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P:\Gridone\RPA\외화일일현황보고서\20260616\"/>
    </mc:Choice>
  </mc:AlternateContent>
  <xr:revisionPtr revIDLastSave="0" documentId="8_{BD281BC8-E2F2-4DDA-A8D3-E9520DF2B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일일현황보고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9" i="7" l="1"/>
  <c r="F98" i="7"/>
  <c r="F97" i="7"/>
  <c r="F96" i="7"/>
  <c r="F95" i="7"/>
  <c r="F94" i="7"/>
  <c r="F93" i="7"/>
  <c r="F92" i="7"/>
  <c r="E80" i="7"/>
  <c r="Q48" i="7"/>
  <c r="Q49" i="7"/>
  <c r="Q47" i="7"/>
  <c r="Q46" i="7"/>
  <c r="Q45" i="7"/>
  <c r="O59" i="7"/>
  <c r="Q63" i="7"/>
  <c r="Q62" i="7"/>
  <c r="Q61" i="7"/>
  <c r="Q60" i="7"/>
  <c r="Q59" i="7" l="1"/>
  <c r="K32" i="7"/>
  <c r="K29" i="7"/>
  <c r="K40" i="7" l="1"/>
  <c r="K12" i="7"/>
  <c r="K23" i="7" s="1"/>
  <c r="E76" i="7"/>
  <c r="E75" i="7"/>
  <c r="E74" i="7"/>
  <c r="E73" i="7"/>
  <c r="E72" i="7"/>
  <c r="E71" i="7"/>
  <c r="E70" i="7"/>
  <c r="O32" i="7"/>
  <c r="Q32" i="7" s="1"/>
  <c r="O29" i="7"/>
  <c r="Q29" i="7" s="1"/>
  <c r="O12" i="7"/>
  <c r="O23" i="7" s="1"/>
  <c r="O58" i="7"/>
  <c r="Q58" i="7" s="1"/>
  <c r="S30" i="7"/>
  <c r="S31" i="7"/>
  <c r="S33" i="7"/>
  <c r="S34" i="7"/>
  <c r="S35" i="7"/>
  <c r="S36" i="7"/>
  <c r="S37" i="7"/>
  <c r="S38" i="7"/>
  <c r="S39" i="7"/>
  <c r="S41" i="7"/>
  <c r="Q30" i="7"/>
  <c r="Q31" i="7"/>
  <c r="Q33" i="7"/>
  <c r="Q34" i="7"/>
  <c r="Q35" i="7"/>
  <c r="Q36" i="7"/>
  <c r="Q37" i="7"/>
  <c r="Q38" i="7"/>
  <c r="Q39" i="7"/>
  <c r="Q41" i="7"/>
  <c r="S28" i="7"/>
  <c r="Q28" i="7"/>
  <c r="S11" i="7"/>
  <c r="S13" i="7"/>
  <c r="S14" i="7"/>
  <c r="S15" i="7"/>
  <c r="S16" i="7"/>
  <c r="S17" i="7"/>
  <c r="S18" i="7"/>
  <c r="S19" i="7"/>
  <c r="S20" i="7"/>
  <c r="S21" i="7"/>
  <c r="S22" i="7"/>
  <c r="S10" i="7"/>
  <c r="Q11" i="7"/>
  <c r="Q13" i="7"/>
  <c r="Q14" i="7"/>
  <c r="Q15" i="7"/>
  <c r="Q16" i="7"/>
  <c r="Q17" i="7"/>
  <c r="Q18" i="7"/>
  <c r="Q19" i="7"/>
  <c r="Q20" i="7"/>
  <c r="Q21" i="7"/>
  <c r="Q22" i="7"/>
  <c r="Q10" i="7"/>
  <c r="S32" i="7" l="1"/>
  <c r="O40" i="7"/>
  <c r="S40" i="7" s="1"/>
  <c r="S23" i="7"/>
  <c r="Q23" i="7"/>
  <c r="S12" i="7"/>
  <c r="Q12" i="7"/>
  <c r="S29" i="7"/>
  <c r="Q4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Q7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* Tiering Interest
1) 50M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: EFF
2) 50M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: EFF - 0.20%
* O/D Charge
- Prime Rate + 2.00%</t>
        </r>
      </text>
    </comment>
    <comment ref="Q7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EFF - 0.50%</t>
        </r>
      </text>
    </comment>
    <comment ref="Q7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*Tiering Interest
1) 3.55% : 20M </t>
        </r>
        <r>
          <rPr>
            <b/>
            <sz val="9"/>
            <color indexed="81"/>
            <rFont val="돋움"/>
            <family val="3"/>
            <charset val="129"/>
          </rPr>
          <t xml:space="preserve">미만
</t>
        </r>
        <r>
          <rPr>
            <b/>
            <sz val="9"/>
            <color indexed="81"/>
            <rFont val="Tahoma"/>
            <family val="2"/>
          </rPr>
          <t xml:space="preserve">2) 2.25% : 20M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80M </t>
        </r>
        <r>
          <rPr>
            <b/>
            <sz val="9"/>
            <color indexed="81"/>
            <rFont val="돋움"/>
            <family val="3"/>
            <charset val="129"/>
          </rPr>
          <t xml:space="preserve">미만
</t>
        </r>
        <r>
          <rPr>
            <b/>
            <sz val="9"/>
            <color indexed="81"/>
            <rFont val="Tahoma"/>
            <family val="2"/>
          </rPr>
          <t xml:space="preserve">3) 0.01% : 80M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Q7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* Bracketing Interest
1) 60M </t>
        </r>
        <r>
          <rPr>
            <b/>
            <sz val="9"/>
            <color indexed="81"/>
            <rFont val="돋움"/>
            <family val="3"/>
            <charset val="129"/>
          </rPr>
          <t>미만</t>
        </r>
        <r>
          <rPr>
            <b/>
            <sz val="9"/>
            <color indexed="81"/>
            <rFont val="Tahoma"/>
            <family val="2"/>
          </rPr>
          <t xml:space="preserve"> : 3.62%
2) 60M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: 0.01%
* </t>
        </r>
        <r>
          <rPr>
            <b/>
            <sz val="9"/>
            <color indexed="81"/>
            <rFont val="돋움"/>
            <family val="3"/>
            <charset val="129"/>
          </rPr>
          <t>월평잔</t>
        </r>
        <r>
          <rPr>
            <b/>
            <sz val="9"/>
            <color indexed="81"/>
            <rFont val="Tahoma"/>
            <family val="2"/>
          </rPr>
          <t xml:space="preserve"> 10M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</text>
    </comment>
  </commentList>
</comments>
</file>

<file path=xl/sharedStrings.xml><?xml version="1.0" encoding="utf-8"?>
<sst xmlns="http://schemas.openxmlformats.org/spreadsheetml/2006/main" count="210" uniqueCount="140">
  <si>
    <t>외화콜론</t>
  </si>
  <si>
    <t>매입외환</t>
  </si>
  <si>
    <t>▣ 외화자금수급</t>
  </si>
  <si>
    <t>○ 운용부문</t>
  </si>
  <si>
    <t>과목</t>
    <phoneticPr fontId="1" type="noConversion"/>
  </si>
  <si>
    <t>차이</t>
    <phoneticPr fontId="1" type="noConversion"/>
  </si>
  <si>
    <t>외화예수금</t>
  </si>
  <si>
    <t>외화차입금</t>
  </si>
  <si>
    <t>외환포지션</t>
  </si>
  <si>
    <t>▣ 외화유동성 관리지표</t>
  </si>
  <si>
    <t xml:space="preserve">  (단위:백만불)</t>
  </si>
  <si>
    <t>외화자산</t>
    <phoneticPr fontId="1" type="noConversion"/>
  </si>
  <si>
    <t>외화부채</t>
    <phoneticPr fontId="1" type="noConversion"/>
  </si>
  <si>
    <t>구분</t>
    <phoneticPr fontId="1" type="noConversion"/>
  </si>
  <si>
    <t>내부기준</t>
    <phoneticPr fontId="1" type="noConversion"/>
  </si>
  <si>
    <t>비고</t>
    <phoneticPr fontId="1" type="noConversion"/>
  </si>
  <si>
    <t>80% 이상</t>
    <phoneticPr fontId="1" type="noConversion"/>
  </si>
  <si>
    <t>100% 이상</t>
    <phoneticPr fontId="1" type="noConversion"/>
  </si>
  <si>
    <t>중장기외화자금조달비율</t>
    <phoneticPr fontId="1" type="noConversion"/>
  </si>
  <si>
    <t>자금부 (본점) 거래 현황 요약</t>
    <phoneticPr fontId="1" type="noConversion"/>
  </si>
  <si>
    <t>거래종류</t>
    <phoneticPr fontId="1" type="noConversion"/>
  </si>
  <si>
    <t>기간</t>
    <phoneticPr fontId="1" type="noConversion"/>
  </si>
  <si>
    <t>거래상대방</t>
    <phoneticPr fontId="1" type="noConversion"/>
  </si>
  <si>
    <t>금액</t>
    <phoneticPr fontId="1" type="noConversion"/>
  </si>
  <si>
    <t>대미환산금액</t>
    <phoneticPr fontId="1" type="noConversion"/>
  </si>
  <si>
    <t>시작일</t>
    <phoneticPr fontId="1" type="noConversion"/>
  </si>
  <si>
    <t>만기일</t>
    <phoneticPr fontId="1" type="noConversion"/>
  </si>
  <si>
    <t>금리</t>
    <phoneticPr fontId="1" type="noConversion"/>
  </si>
  <si>
    <t>기타</t>
    <phoneticPr fontId="1" type="noConversion"/>
  </si>
  <si>
    <t>○ 조달</t>
  </si>
  <si>
    <t>○ FX SWAP</t>
  </si>
  <si>
    <t>금액1</t>
    <phoneticPr fontId="1" type="noConversion"/>
  </si>
  <si>
    <t>상대통화</t>
    <phoneticPr fontId="1" type="noConversion"/>
  </si>
  <si>
    <t>금액2</t>
    <phoneticPr fontId="1" type="noConversion"/>
  </si>
  <si>
    <t>기준통화</t>
    <phoneticPr fontId="1" type="noConversion"/>
  </si>
  <si>
    <t>▣ 일일 자금거래 내역</t>
    <phoneticPr fontId="8" type="noConversion"/>
  </si>
  <si>
    <t>○ 조달부문</t>
  </si>
  <si>
    <t xml:space="preserve">  (단위:백만불)</t>
    <phoneticPr fontId="1" type="noConversion"/>
  </si>
  <si>
    <t xml:space="preserve">  (단위:백만)</t>
    <phoneticPr fontId="1" type="noConversion"/>
  </si>
  <si>
    <t>지준마감일</t>
    <phoneticPr fontId="1" type="noConversion"/>
  </si>
  <si>
    <t>전체예금분</t>
    <phoneticPr fontId="1" type="noConversion"/>
  </si>
  <si>
    <t>엔화예금 제외분</t>
    <phoneticPr fontId="1" type="noConversion"/>
  </si>
  <si>
    <t>▣ 외화 지급준비금 관리내용</t>
    <phoneticPr fontId="1" type="noConversion"/>
  </si>
  <si>
    <t>외화유가증권</t>
    <phoneticPr fontId="1" type="noConversion"/>
  </si>
  <si>
    <t>외화투자</t>
    <phoneticPr fontId="1" type="noConversion"/>
  </si>
  <si>
    <t>외화발행채권</t>
    <phoneticPr fontId="1" type="noConversion"/>
  </si>
  <si>
    <t>외화콜머니</t>
    <phoneticPr fontId="1" type="noConversion"/>
  </si>
  <si>
    <t>미지급미결제현물환</t>
    <phoneticPr fontId="1" type="noConversion"/>
  </si>
  <si>
    <t>기타부채</t>
    <phoneticPr fontId="1" type="noConversion"/>
  </si>
  <si>
    <t xml:space="preserve">  (단위:불)</t>
    <phoneticPr fontId="1" type="noConversion"/>
  </si>
  <si>
    <t>조기경보지표</t>
    <phoneticPr fontId="1" type="noConversion"/>
  </si>
  <si>
    <t>외화LCR</t>
    <phoneticPr fontId="1" type="noConversion"/>
  </si>
  <si>
    <t>잔액</t>
    <phoneticPr fontId="1" type="noConversion"/>
  </si>
  <si>
    <t>평잔</t>
    <phoneticPr fontId="1" type="noConversion"/>
  </si>
  <si>
    <t>외화유동성비율</t>
    <phoneticPr fontId="1" type="noConversion"/>
  </si>
  <si>
    <t>순콜자금 비중</t>
    <phoneticPr fontId="1" type="noConversion"/>
  </si>
  <si>
    <t>외화 일일자금 및 유동성 현황 보고</t>
    <phoneticPr fontId="1" type="noConversion"/>
  </si>
  <si>
    <t>규제기준</t>
    <phoneticPr fontId="1" type="noConversion"/>
  </si>
  <si>
    <t>▣ 외화 유동성 리스크</t>
    <phoneticPr fontId="1" type="noConversion"/>
  </si>
  <si>
    <t>예치금</t>
  </si>
  <si>
    <t>예치금</t>
    <phoneticPr fontId="1" type="noConversion"/>
  </si>
  <si>
    <t>MMDA</t>
    <phoneticPr fontId="1" type="noConversion"/>
  </si>
  <si>
    <t>대미환산</t>
    <phoneticPr fontId="1" type="noConversion"/>
  </si>
  <si>
    <t>▣ 3개월 내 만기도래 차입금 내역</t>
    <phoneticPr fontId="8" type="noConversion"/>
  </si>
  <si>
    <t>기준</t>
    <phoneticPr fontId="1" type="noConversion"/>
  </si>
  <si>
    <t>10% 초과</t>
    <phoneticPr fontId="1" type="noConversion"/>
  </si>
  <si>
    <t>급속한 자산증가</t>
    <phoneticPr fontId="1" type="noConversion"/>
  </si>
  <si>
    <t>5% 이상</t>
    <phoneticPr fontId="1" type="noConversion"/>
  </si>
  <si>
    <t>국가별 조달편중도</t>
    <phoneticPr fontId="1" type="noConversion"/>
  </si>
  <si>
    <t>기관별 조달편중도</t>
    <phoneticPr fontId="1" type="noConversion"/>
  </si>
  <si>
    <t>35% 초과</t>
    <phoneticPr fontId="1" type="noConversion"/>
  </si>
  <si>
    <t>25% 초과</t>
    <phoneticPr fontId="1" type="noConversion"/>
  </si>
  <si>
    <t>20% 초과</t>
    <phoneticPr fontId="1" type="noConversion"/>
  </si>
  <si>
    <t>30% 초과</t>
    <phoneticPr fontId="1" type="noConversion"/>
  </si>
  <si>
    <t>해당여부</t>
    <phoneticPr fontId="1" type="noConversion"/>
  </si>
  <si>
    <t>CP 1단계</t>
    <phoneticPr fontId="1" type="noConversion"/>
  </si>
  <si>
    <t>7~12개월 차입비중</t>
    <phoneticPr fontId="1" type="noConversion"/>
  </si>
  <si>
    <t>1~6개월 월별 차입비중</t>
    <phoneticPr fontId="1" type="noConversion"/>
  </si>
  <si>
    <t>기평</t>
    <phoneticPr fontId="1" type="noConversion"/>
  </si>
  <si>
    <t>전일비</t>
    <phoneticPr fontId="1" type="noConversion"/>
  </si>
  <si>
    <t>전월말비</t>
    <phoneticPr fontId="1" type="noConversion"/>
  </si>
  <si>
    <t>-</t>
    <phoneticPr fontId="1" type="noConversion"/>
  </si>
  <si>
    <t>외국통화</t>
    <phoneticPr fontId="1" type="noConversion"/>
  </si>
  <si>
    <t>외화예치금</t>
    <phoneticPr fontId="1" type="noConversion"/>
  </si>
  <si>
    <t>지준예치금</t>
    <phoneticPr fontId="1" type="noConversion"/>
  </si>
  <si>
    <t>외화대출금</t>
    <phoneticPr fontId="1" type="noConversion"/>
  </si>
  <si>
    <t>내국수입유산스</t>
    <phoneticPr fontId="1" type="noConversion"/>
  </si>
  <si>
    <t>은행간대여금</t>
  </si>
  <si>
    <t>미수미결제현물환</t>
  </si>
  <si>
    <t>기타자산</t>
  </si>
  <si>
    <r>
      <t>요구불</t>
    </r>
    <r>
      <rPr>
        <sz val="11"/>
        <color theme="1"/>
        <rFont val="맑은 고딕"/>
        <family val="2"/>
        <charset val="129"/>
      </rPr>
      <t>∙MMDA</t>
    </r>
    <phoneticPr fontId="1" type="noConversion"/>
  </si>
  <si>
    <t>정기예금</t>
    <phoneticPr fontId="1" type="noConversion"/>
  </si>
  <si>
    <t>은행차입금</t>
    <phoneticPr fontId="1" type="noConversion"/>
  </si>
  <si>
    <t>타점차월</t>
    <phoneticPr fontId="1" type="noConversion"/>
  </si>
  <si>
    <t>수입신용장 관련</t>
    <phoneticPr fontId="1" type="noConversion"/>
  </si>
  <si>
    <t>과부족</t>
    <phoneticPr fontId="1" type="noConversion"/>
  </si>
  <si>
    <t>외화RP매도</t>
    <phoneticPr fontId="1" type="noConversion"/>
  </si>
  <si>
    <t>기평</t>
  </si>
  <si>
    <t>만기일</t>
    <phoneticPr fontId="15" type="noConversion"/>
  </si>
  <si>
    <t>아웃스탠딩</t>
    <phoneticPr fontId="15" type="noConversion"/>
  </si>
  <si>
    <t>bs</t>
    <phoneticPr fontId="15" type="noConversion"/>
  </si>
  <si>
    <t>지준화면</t>
    <phoneticPr fontId="15" type="noConversion"/>
  </si>
  <si>
    <t xml:space="preserve"> </t>
  </si>
  <si>
    <t/>
  </si>
  <si>
    <r>
      <t>일반</t>
    </r>
    <r>
      <rPr>
        <sz val="11"/>
        <color theme="1"/>
        <rFont val="맑은 고딕"/>
        <family val="2"/>
        <charset val="129"/>
      </rPr>
      <t>∙</t>
    </r>
    <r>
      <rPr>
        <sz val="11"/>
        <color theme="1"/>
        <rFont val="맑은 고딕"/>
        <family val="2"/>
        <charset val="129"/>
        <scheme val="minor"/>
      </rPr>
      <t>정기∙기타예치금</t>
    </r>
    <phoneticPr fontId="1" type="noConversion"/>
  </si>
  <si>
    <t>○ 예치</t>
    <phoneticPr fontId="15" type="noConversion"/>
  </si>
  <si>
    <t>○ 운용</t>
    <phoneticPr fontId="15" type="noConversion"/>
  </si>
  <si>
    <t>DEUTSCHE BANK AG</t>
    <phoneticPr fontId="1" type="noConversion"/>
  </si>
  <si>
    <t>DEUTSCHE BANK TRUST COMPANY</t>
    <phoneticPr fontId="15" type="noConversion"/>
  </si>
  <si>
    <t>BANK OF AMERICA,NY</t>
    <phoneticPr fontId="15" type="noConversion"/>
  </si>
  <si>
    <t>JP MORGAN CHASE,NY</t>
    <phoneticPr fontId="1" type="noConversion"/>
  </si>
  <si>
    <t>BANK OF NEW YORK MELLON</t>
    <phoneticPr fontId="15" type="noConversion"/>
  </si>
  <si>
    <t>WACHOVIA BANK, NEW YORK</t>
    <phoneticPr fontId="1" type="noConversion"/>
  </si>
  <si>
    <t>SCB, NY</t>
    <phoneticPr fontId="1" type="noConversion"/>
  </si>
  <si>
    <t>ING BANK N.V</t>
  </si>
  <si>
    <t>US</t>
    <phoneticPr fontId="15" type="noConversion"/>
  </si>
  <si>
    <t>DZ BANK HONG KONG BRANCH</t>
  </si>
  <si>
    <t>BANK OF AMERICA, N.A. SINGAPORE</t>
  </si>
  <si>
    <t>USD 20.00</t>
  </si>
  <si>
    <t>STANDARD CHARTERED BANK</t>
  </si>
  <si>
    <t>50% 이상</t>
    <phoneticPr fontId="1" type="noConversion"/>
  </si>
  <si>
    <t>-</t>
    <phoneticPr fontId="15" type="noConversion"/>
  </si>
  <si>
    <t>외화여유자금비율</t>
    <phoneticPr fontId="1" type="noConversion"/>
  </si>
  <si>
    <t>HSBC BANK (MAURITIUS) LIMITED</t>
  </si>
  <si>
    <t>2개월</t>
    <phoneticPr fontId="15" type="noConversion"/>
  </si>
  <si>
    <t>WACHOVIA BANK, NEW YORK</t>
  </si>
  <si>
    <t>INDUSTRIAL BANK, SL</t>
  </si>
  <si>
    <t>HSBC_HK</t>
    <phoneticPr fontId="15" type="noConversion"/>
  </si>
  <si>
    <t>USD 30.00</t>
  </si>
  <si>
    <t>요지준액 05월</t>
    <phoneticPr fontId="15" type="noConversion"/>
  </si>
  <si>
    <t>콜론</t>
  </si>
  <si>
    <t>USD 4.98</t>
    <phoneticPr fontId="15" type="noConversion"/>
  </si>
  <si>
    <t>USD 26.78</t>
    <phoneticPr fontId="15" type="noConversion"/>
  </si>
  <si>
    <t>USD 0.78</t>
    <phoneticPr fontId="15" type="noConversion"/>
  </si>
  <si>
    <t>USD 9.38</t>
    <phoneticPr fontId="15" type="noConversion"/>
  </si>
  <si>
    <t>USD 7.20</t>
    <phoneticPr fontId="15" type="noConversion"/>
  </si>
  <si>
    <t>USD 0.50</t>
    <phoneticPr fontId="15" type="noConversion"/>
  </si>
  <si>
    <t>USD 0.66</t>
    <phoneticPr fontId="15" type="noConversion"/>
  </si>
  <si>
    <t>OVERSEA-CHINESE BANKING COPORATION</t>
  </si>
  <si>
    <t>USD 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</si>
</sst>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yyyy&quot;년&quot;\ mm&quot;월&quot;"/>
    <numFmt numFmtId="179" formatCode="_-[$$-409]* #,##0.00_ ;_-[$$-409]* \-#,##0.00\ ;_-[$$-409]* &quot;-&quot;??_ ;_-@_ "/>
    <numFmt numFmtId="180" formatCode="#,###\ &quot;일 &quot;"/>
    <numFmt numFmtId="181" formatCode="0.00%\ "/>
    <numFmt numFmtId="182" formatCode="yyyy&quot;년&quot;"/>
    <numFmt numFmtId="183" formatCode="_-* #,##0_-;[Red]* \-#,##0_-;_-* &quot;-&quot;_-;_-@_-"/>
    <numFmt numFmtId="184" formatCode="_-* #,##0%_-;\-* #,##0%_-;_-* &quot;-&quot;_-;_-@_-"/>
    <numFmt numFmtId="185" formatCode="_-* #,##0.0%_-;[Red]* \-#,##0.0%_-;_-* &quot;-&quot;_-;_-@_-"/>
    <numFmt numFmtId="186" formatCode="_-* #,##0.00%_-;[Red]* \-#,##0.00%_-;_-* &quot;-&quot;_-;_-@_-"/>
    <numFmt numFmtId="187" formatCode="_-* #,##0.00%\p_-;[Red]* \-#,##0.00%\p_-;_-* &quot;-&quot;_-;_-@_-"/>
    <numFmt numFmtId="188" formatCode="_-* #,##0.00_-;\-* #,##0.00_-;_-* &quot;-&quot;_-;_-@_-"/>
    <numFmt numFmtId="189" formatCode="_-* #,##0.00_-;[Red]* \-#,##0.00_-;_-* &quot;-&quot;_-;_-@_-"/>
    <numFmt numFmtId="190" formatCode="_-* \+#,##0.0%_-;[Red]* \-#,##0.0%_-;_-* &quot;-&quot;_-;_-@_-"/>
    <numFmt numFmtId="191" formatCode="General&quot;일&quot;"/>
    <numFmt numFmtId="192" formatCode="_-* \+#,##0.00%\p_-;[Red]* \-#,##0.00%\p_-;_-* &quot;-&quot;_-;_-@_-"/>
    <numFmt numFmtId="193" formatCode="&quot;요지준액&quot;\ mm&quot;월&quot;"/>
    <numFmt numFmtId="194" formatCode="#,##0\ &quot;일 &quot;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2"/>
      <name val="맑은 고딕"/>
      <family val="3"/>
      <charset val="129"/>
    </font>
    <font>
      <sz val="1"/>
      <name val="돋움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/>
      <right style="medium">
        <color indexed="64"/>
      </right>
      <top style="double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indexed="64"/>
      </bottom>
      <diagonal/>
    </border>
    <border>
      <left/>
      <right style="thin">
        <color indexed="64"/>
      </right>
      <top style="dotted">
        <color auto="1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indexed="64"/>
      </bottom>
      <diagonal/>
    </border>
    <border>
      <left style="thin">
        <color indexed="64"/>
      </left>
      <right/>
      <top style="dotted">
        <color auto="1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auto="1"/>
      </top>
      <bottom style="medium">
        <color indexed="64"/>
      </bottom>
      <diagonal/>
    </border>
    <border>
      <left/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indexed="64"/>
      </bottom>
      <diagonal/>
    </border>
    <border>
      <left/>
      <right style="medium">
        <color indexed="64"/>
      </right>
      <top style="double">
        <color auto="1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176" fontId="16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6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left" vertical="center" indent="1"/>
    </xf>
    <xf numFmtId="0" fontId="0" fillId="2" borderId="12" xfId="0" applyFill="1" applyBorder="1" applyAlignment="1">
      <alignment horizontal="left" vertical="center" indent="1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7" fillId="0" borderId="0" xfId="0" applyFont="1" applyAlignment="1">
      <alignment vertical="center"/>
    </xf>
    <xf numFmtId="0" fontId="0" fillId="2" borderId="1" xfId="0" applyFill="1" applyBorder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4" fillId="2" borderId="0" xfId="0" applyFont="1" applyFill="1" applyAlignment="1">
      <alignment vertical="center"/>
    </xf>
    <xf numFmtId="181" fontId="0" fillId="2" borderId="20" xfId="2" applyNumberFormat="1" applyFont="1" applyFill="1" applyBorder="1" applyAlignment="1">
      <alignment vertical="center"/>
    </xf>
    <xf numFmtId="181" fontId="0" fillId="2" borderId="21" xfId="2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5" borderId="9" xfId="0" applyFill="1" applyBorder="1" applyAlignment="1">
      <alignment horizontal="left" vertical="center" indent="2"/>
    </xf>
    <xf numFmtId="0" fontId="0" fillId="5" borderId="10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2" borderId="30" xfId="0" applyFill="1" applyBorder="1" applyAlignment="1">
      <alignment horizontal="center" vertical="center" shrinkToFit="1"/>
    </xf>
    <xf numFmtId="0" fontId="0" fillId="2" borderId="32" xfId="0" applyFill="1" applyBorder="1" applyAlignment="1">
      <alignment horizontal="center" vertical="center" shrinkToFit="1"/>
    </xf>
    <xf numFmtId="180" fontId="0" fillId="2" borderId="31" xfId="0" applyNumberFormat="1" applyFill="1" applyBorder="1" applyAlignment="1">
      <alignment vertical="center" shrinkToFit="1"/>
    </xf>
    <xf numFmtId="180" fontId="0" fillId="2" borderId="29" xfId="0" applyNumberFormat="1" applyFont="1" applyFill="1" applyBorder="1" applyAlignment="1">
      <alignment vertical="center" shrinkToFit="1"/>
    </xf>
    <xf numFmtId="180" fontId="0" fillId="2" borderId="31" xfId="0" applyNumberFormat="1" applyFont="1" applyFill="1" applyBorder="1" applyAlignment="1">
      <alignment vertical="center" shrinkToFit="1"/>
    </xf>
    <xf numFmtId="176" fontId="0" fillId="2" borderId="0" xfId="1" applyFont="1" applyFill="1">
      <alignment vertical="center"/>
    </xf>
    <xf numFmtId="179" fontId="0" fillId="2" borderId="0" xfId="0" applyNumberFormat="1" applyFill="1">
      <alignment vertical="center"/>
    </xf>
    <xf numFmtId="179" fontId="0" fillId="2" borderId="21" xfId="0" applyNumberFormat="1" applyFill="1" applyBorder="1" applyAlignment="1">
      <alignment horizontal="center" vertical="center"/>
    </xf>
    <xf numFmtId="179" fontId="0" fillId="2" borderId="17" xfId="0" applyNumberForma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83" fontId="0" fillId="2" borderId="19" xfId="1" applyNumberFormat="1" applyFont="1" applyFill="1" applyBorder="1" applyAlignment="1">
      <alignment horizontal="center" vertical="center"/>
    </xf>
    <xf numFmtId="183" fontId="0" fillId="2" borderId="4" xfId="1" applyNumberFormat="1" applyFont="1" applyFill="1" applyBorder="1" applyAlignment="1">
      <alignment horizontal="center" vertical="center"/>
    </xf>
    <xf numFmtId="183" fontId="18" fillId="2" borderId="19" xfId="1" applyNumberFormat="1" applyFont="1" applyFill="1" applyBorder="1" applyAlignment="1">
      <alignment horizontal="center" vertical="center"/>
    </xf>
    <xf numFmtId="183" fontId="0" fillId="2" borderId="15" xfId="1" applyNumberFormat="1" applyFont="1" applyFill="1" applyBorder="1" applyAlignment="1">
      <alignment horizontal="center" vertical="center"/>
    </xf>
    <xf numFmtId="183" fontId="0" fillId="2" borderId="5" xfId="1" applyNumberFormat="1" applyFont="1" applyFill="1" applyBorder="1" applyAlignment="1">
      <alignment horizontal="center" vertical="center"/>
    </xf>
    <xf numFmtId="183" fontId="0" fillId="2" borderId="20" xfId="1" applyNumberFormat="1" applyFont="1" applyFill="1" applyBorder="1" applyAlignment="1">
      <alignment horizontal="center" vertical="center"/>
    </xf>
    <xf numFmtId="183" fontId="0" fillId="2" borderId="7" xfId="1" applyNumberFormat="1" applyFont="1" applyFill="1" applyBorder="1" applyAlignment="1">
      <alignment horizontal="center" vertical="center"/>
    </xf>
    <xf numFmtId="183" fontId="18" fillId="2" borderId="20" xfId="1" applyNumberFormat="1" applyFont="1" applyFill="1" applyBorder="1" applyAlignment="1">
      <alignment horizontal="center" vertical="center"/>
    </xf>
    <xf numFmtId="183" fontId="0" fillId="2" borderId="16" xfId="1" applyNumberFormat="1" applyFont="1" applyFill="1" applyBorder="1" applyAlignment="1">
      <alignment horizontal="center" vertical="center"/>
    </xf>
    <xf numFmtId="183" fontId="0" fillId="2" borderId="8" xfId="1" applyNumberFormat="1" applyFont="1" applyFill="1" applyBorder="1" applyAlignment="1">
      <alignment horizontal="center" vertical="center"/>
    </xf>
    <xf numFmtId="183" fontId="0" fillId="2" borderId="21" xfId="1" applyNumberFormat="1" applyFont="1" applyFill="1" applyBorder="1" applyAlignment="1">
      <alignment horizontal="center" vertical="center"/>
    </xf>
    <xf numFmtId="183" fontId="0" fillId="2" borderId="10" xfId="1" applyNumberFormat="1" applyFont="1" applyFill="1" applyBorder="1" applyAlignment="1">
      <alignment horizontal="center" vertical="center"/>
    </xf>
    <xf numFmtId="183" fontId="18" fillId="2" borderId="21" xfId="1" applyNumberFormat="1" applyFont="1" applyFill="1" applyBorder="1" applyAlignment="1">
      <alignment horizontal="center" vertical="center"/>
    </xf>
    <xf numFmtId="183" fontId="0" fillId="2" borderId="17" xfId="1" applyNumberFormat="1" applyFont="1" applyFill="1" applyBorder="1" applyAlignment="1">
      <alignment horizontal="center" vertical="center"/>
    </xf>
    <xf numFmtId="183" fontId="0" fillId="2" borderId="11" xfId="1" applyNumberFormat="1" applyFont="1" applyFill="1" applyBorder="1" applyAlignment="1">
      <alignment horizontal="center" vertical="center"/>
    </xf>
    <xf numFmtId="183" fontId="0" fillId="5" borderId="21" xfId="1" applyNumberFormat="1" applyFont="1" applyFill="1" applyBorder="1" applyAlignment="1">
      <alignment horizontal="center" vertical="center"/>
    </xf>
    <xf numFmtId="183" fontId="0" fillId="5" borderId="10" xfId="1" applyNumberFormat="1" applyFont="1" applyFill="1" applyBorder="1" applyAlignment="1">
      <alignment horizontal="center" vertical="center"/>
    </xf>
    <xf numFmtId="183" fontId="18" fillId="5" borderId="21" xfId="1" applyNumberFormat="1" applyFont="1" applyFill="1" applyBorder="1" applyAlignment="1">
      <alignment horizontal="center" vertical="center"/>
    </xf>
    <xf numFmtId="183" fontId="0" fillId="5" borderId="17" xfId="1" applyNumberFormat="1" applyFont="1" applyFill="1" applyBorder="1" applyAlignment="1">
      <alignment horizontal="center" vertical="center"/>
    </xf>
    <xf numFmtId="183" fontId="0" fillId="5" borderId="11" xfId="1" applyNumberFormat="1" applyFont="1" applyFill="1" applyBorder="1" applyAlignment="1">
      <alignment horizontal="center" vertical="center"/>
    </xf>
    <xf numFmtId="183" fontId="0" fillId="2" borderId="22" xfId="1" applyNumberFormat="1" applyFont="1" applyFill="1" applyBorder="1" applyAlignment="1">
      <alignment horizontal="center" vertical="center"/>
    </xf>
    <xf numFmtId="183" fontId="0" fillId="2" borderId="13" xfId="1" applyNumberFormat="1" applyFont="1" applyFill="1" applyBorder="1" applyAlignment="1">
      <alignment horizontal="center" vertical="center"/>
    </xf>
    <xf numFmtId="183" fontId="0" fillId="2" borderId="18" xfId="1" applyNumberFormat="1" applyFont="1" applyFill="1" applyBorder="1" applyAlignment="1">
      <alignment horizontal="center" vertical="center"/>
    </xf>
    <xf numFmtId="183" fontId="0" fillId="2" borderId="14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86" fontId="0" fillId="2" borderId="20" xfId="1" applyNumberFormat="1" applyFont="1" applyFill="1" applyBorder="1" applyAlignment="1">
      <alignment horizontal="center" vertical="center"/>
    </xf>
    <xf numFmtId="186" fontId="0" fillId="2" borderId="7" xfId="1" applyNumberFormat="1" applyFont="1" applyFill="1" applyBorder="1" applyAlignment="1">
      <alignment horizontal="center" vertical="center"/>
    </xf>
    <xf numFmtId="186" fontId="0" fillId="2" borderId="21" xfId="1" applyNumberFormat="1" applyFont="1" applyFill="1" applyBorder="1" applyAlignment="1">
      <alignment horizontal="center" vertical="center"/>
    </xf>
    <xf numFmtId="186" fontId="0" fillId="2" borderId="10" xfId="1" applyNumberFormat="1" applyFont="1" applyFill="1" applyBorder="1" applyAlignment="1">
      <alignment horizontal="center" vertical="center"/>
    </xf>
    <xf numFmtId="192" fontId="0" fillId="2" borderId="21" xfId="1" applyNumberFormat="1" applyFont="1" applyFill="1" applyBorder="1" applyAlignment="1">
      <alignment horizontal="center" vertical="center"/>
    </xf>
    <xf numFmtId="187" fontId="0" fillId="2" borderId="17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/>
    </xf>
    <xf numFmtId="190" fontId="0" fillId="2" borderId="64" xfId="1" applyNumberFormat="1" applyFont="1" applyFill="1" applyBorder="1" applyAlignment="1">
      <alignment horizontal="center" vertical="center"/>
    </xf>
    <xf numFmtId="184" fontId="0" fillId="2" borderId="63" xfId="1" applyNumberFormat="1" applyFont="1" applyFill="1" applyBorder="1" applyAlignment="1">
      <alignment horizontal="center" vertical="center"/>
    </xf>
    <xf numFmtId="190" fontId="0" fillId="2" borderId="67" xfId="1" applyNumberFormat="1" applyFont="1" applyFill="1" applyBorder="1" applyAlignment="1">
      <alignment horizontal="center" vertical="center"/>
    </xf>
    <xf numFmtId="184" fontId="0" fillId="2" borderId="69" xfId="1" applyNumberFormat="1" applyFont="1" applyFill="1" applyBorder="1" applyAlignment="1">
      <alignment horizontal="center" vertical="center"/>
    </xf>
    <xf numFmtId="185" fontId="0" fillId="2" borderId="21" xfId="1" applyNumberFormat="1" applyFont="1" applyFill="1" applyBorder="1" applyAlignment="1">
      <alignment horizontal="center" vertical="center"/>
    </xf>
    <xf numFmtId="184" fontId="0" fillId="2" borderId="17" xfId="1" applyNumberFormat="1" applyFont="1" applyFill="1" applyBorder="1" applyAlignment="1">
      <alignment horizontal="center" vertical="center"/>
    </xf>
    <xf numFmtId="185" fontId="0" fillId="2" borderId="22" xfId="1" applyNumberFormat="1" applyFont="1" applyFill="1" applyBorder="1" applyAlignment="1">
      <alignment horizontal="center" vertical="center"/>
    </xf>
    <xf numFmtId="184" fontId="0" fillId="2" borderId="18" xfId="1" applyNumberFormat="1" applyFont="1" applyFill="1" applyBorder="1" applyAlignment="1">
      <alignment horizontal="center" vertical="center"/>
    </xf>
    <xf numFmtId="179" fontId="0" fillId="2" borderId="20" xfId="0" applyNumberFormat="1" applyFill="1" applyBorder="1" applyAlignment="1">
      <alignment horizontal="center" vertical="center"/>
    </xf>
    <xf numFmtId="179" fontId="0" fillId="2" borderId="16" xfId="0" applyNumberForma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91" fontId="0" fillId="2" borderId="82" xfId="0" applyNumberFormat="1" applyFont="1" applyFill="1" applyBorder="1" applyAlignment="1">
      <alignment horizontal="center" vertical="center" shrinkToFit="1"/>
    </xf>
    <xf numFmtId="179" fontId="0" fillId="2" borderId="83" xfId="0" applyNumberFormat="1" applyFill="1" applyBorder="1" applyAlignment="1">
      <alignment vertical="center"/>
    </xf>
    <xf numFmtId="179" fontId="0" fillId="2" borderId="81" xfId="0" applyNumberFormat="1" applyFill="1" applyBorder="1" applyAlignment="1">
      <alignment vertical="center"/>
    </xf>
    <xf numFmtId="179" fontId="0" fillId="2" borderId="85" xfId="0" applyNumberFormat="1" applyFill="1" applyBorder="1" applyAlignment="1">
      <alignment vertical="center"/>
    </xf>
    <xf numFmtId="0" fontId="0" fillId="2" borderId="85" xfId="0" applyFill="1" applyBorder="1" applyAlignment="1">
      <alignment horizontal="center" vertical="center" shrinkToFit="1"/>
    </xf>
    <xf numFmtId="191" fontId="0" fillId="2" borderId="87" xfId="0" applyNumberFormat="1" applyFont="1" applyFill="1" applyBorder="1" applyAlignment="1">
      <alignment horizontal="center" vertical="center" shrinkToFit="1"/>
    </xf>
    <xf numFmtId="179" fontId="0" fillId="2" borderId="86" xfId="0" applyNumberFormat="1" applyFill="1" applyBorder="1" applyAlignment="1">
      <alignment vertical="center"/>
    </xf>
    <xf numFmtId="0" fontId="0" fillId="2" borderId="90" xfId="0" applyFill="1" applyBorder="1" applyAlignment="1">
      <alignment horizontal="center" vertical="center" shrinkToFit="1"/>
    </xf>
    <xf numFmtId="191" fontId="0" fillId="2" borderId="94" xfId="0" applyNumberFormat="1" applyFont="1" applyFill="1" applyBorder="1" applyAlignment="1">
      <alignment horizontal="center" vertical="center" shrinkToFit="1"/>
    </xf>
    <xf numFmtId="179" fontId="0" fillId="2" borderId="92" xfId="0" applyNumberFormat="1" applyFill="1" applyBorder="1" applyAlignment="1">
      <alignment vertical="center"/>
    </xf>
    <xf numFmtId="179" fontId="0" fillId="2" borderId="93" xfId="0" applyNumberFormat="1" applyFill="1" applyBorder="1" applyAlignment="1">
      <alignment vertical="center"/>
    </xf>
    <xf numFmtId="0" fontId="0" fillId="2" borderId="92" xfId="0" applyFill="1" applyBorder="1" applyAlignment="1">
      <alignment horizontal="center" vertical="center" shrinkToFit="1"/>
    </xf>
    <xf numFmtId="0" fontId="0" fillId="2" borderId="96" xfId="0" applyFill="1" applyBorder="1" applyAlignment="1">
      <alignment horizontal="center" vertical="center" shrinkToFit="1"/>
    </xf>
    <xf numFmtId="0" fontId="0" fillId="2" borderId="97" xfId="0" applyFill="1" applyBorder="1" applyAlignment="1">
      <alignment vertical="center"/>
    </xf>
    <xf numFmtId="0" fontId="0" fillId="2" borderId="98" xfId="0" applyFill="1" applyBorder="1" applyAlignment="1">
      <alignment vertical="center"/>
    </xf>
    <xf numFmtId="179" fontId="0" fillId="2" borderId="20" xfId="0" applyNumberFormat="1" applyFill="1" applyBorder="1" applyAlignment="1">
      <alignment horizontal="left" vertical="center"/>
    </xf>
    <xf numFmtId="179" fontId="0" fillId="2" borderId="21" xfId="0" applyNumberFormat="1" applyFill="1" applyBorder="1" applyAlignment="1">
      <alignment horizontal="left" vertical="center"/>
    </xf>
    <xf numFmtId="186" fontId="0" fillId="2" borderId="37" xfId="1" applyNumberFormat="1" applyFont="1" applyFill="1" applyBorder="1" applyAlignment="1">
      <alignment horizontal="center" vertical="center"/>
    </xf>
    <xf numFmtId="186" fontId="0" fillId="2" borderId="40" xfId="1" applyNumberFormat="1" applyFont="1" applyFill="1" applyBorder="1" applyAlignment="1">
      <alignment horizontal="center" vertical="center"/>
    </xf>
    <xf numFmtId="192" fontId="0" fillId="2" borderId="37" xfId="1" applyNumberFormat="1" applyFont="1" applyFill="1" applyBorder="1" applyAlignment="1">
      <alignment horizontal="center" vertical="center"/>
    </xf>
    <xf numFmtId="187" fontId="0" fillId="2" borderId="78" xfId="1" applyNumberFormat="1" applyFont="1" applyFill="1" applyBorder="1" applyAlignment="1">
      <alignment horizontal="center" vertical="center"/>
    </xf>
    <xf numFmtId="181" fontId="0" fillId="2" borderId="37" xfId="2" applyNumberFormat="1" applyFont="1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180" fontId="0" fillId="2" borderId="99" xfId="0" applyNumberFormat="1" applyFill="1" applyBorder="1" applyAlignment="1">
      <alignment vertical="center" shrinkToFit="1"/>
    </xf>
    <xf numFmtId="179" fontId="0" fillId="2" borderId="100" xfId="0" applyNumberFormat="1" applyFill="1" applyBorder="1" applyAlignment="1">
      <alignment horizontal="left" vertical="center"/>
    </xf>
    <xf numFmtId="179" fontId="0" fillId="2" borderId="98" xfId="0" applyNumberFormat="1" applyFill="1" applyBorder="1" applyAlignment="1">
      <alignment horizontal="center" vertical="center"/>
    </xf>
    <xf numFmtId="179" fontId="0" fillId="2" borderId="100" xfId="0" applyNumberFormat="1" applyFill="1" applyBorder="1" applyAlignment="1">
      <alignment horizontal="center" vertical="center"/>
    </xf>
    <xf numFmtId="0" fontId="0" fillId="2" borderId="102" xfId="0" applyFill="1" applyBorder="1" applyAlignment="1">
      <alignment horizontal="center" vertical="center" shrinkToFit="1"/>
    </xf>
    <xf numFmtId="194" fontId="0" fillId="2" borderId="99" xfId="0" applyNumberFormat="1" applyFont="1" applyFill="1" applyBorder="1" applyAlignment="1">
      <alignment vertical="center"/>
    </xf>
    <xf numFmtId="177" fontId="0" fillId="2" borderId="100" xfId="0" applyNumberFormat="1" applyFill="1" applyBorder="1" applyAlignment="1">
      <alignment horizontal="center" vertical="center"/>
    </xf>
    <xf numFmtId="177" fontId="0" fillId="2" borderId="98" xfId="0" applyNumberForma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0" fillId="2" borderId="89" xfId="0" applyFill="1" applyBorder="1" applyAlignment="1">
      <alignment vertical="center" shrinkToFit="1"/>
    </xf>
    <xf numFmtId="0" fontId="0" fillId="2" borderId="85" xfId="0" applyFill="1" applyBorder="1" applyAlignment="1">
      <alignment vertical="center" shrinkToFit="1"/>
    </xf>
    <xf numFmtId="0" fontId="0" fillId="2" borderId="86" xfId="0" applyFill="1" applyBorder="1" applyAlignment="1">
      <alignment vertical="center" shrinkToFit="1"/>
    </xf>
    <xf numFmtId="10" fontId="0" fillId="2" borderId="88" xfId="0" applyNumberFormat="1" applyFill="1" applyBorder="1" applyAlignment="1">
      <alignment horizontal="center" vertical="center"/>
    </xf>
    <xf numFmtId="10" fontId="0" fillId="2" borderId="85" xfId="0" applyNumberFormat="1" applyFill="1" applyBorder="1" applyAlignment="1">
      <alignment horizontal="center" vertical="center"/>
    </xf>
    <xf numFmtId="10" fontId="0" fillId="2" borderId="86" xfId="0" applyNumberFormat="1" applyFill="1" applyBorder="1" applyAlignment="1">
      <alignment horizontal="center" vertical="center"/>
    </xf>
    <xf numFmtId="179" fontId="0" fillId="2" borderId="88" xfId="0" applyNumberFormat="1" applyFill="1" applyBorder="1" applyAlignment="1">
      <alignment horizontal="center" vertical="center"/>
    </xf>
    <xf numFmtId="179" fontId="0" fillId="2" borderId="86" xfId="0" applyNumberFormat="1" applyFill="1" applyBorder="1" applyAlignment="1">
      <alignment horizontal="center" vertical="center"/>
    </xf>
    <xf numFmtId="14" fontId="0" fillId="2" borderId="88" xfId="0" applyNumberFormat="1" applyFill="1" applyBorder="1" applyAlignment="1">
      <alignment horizontal="center" vertical="center"/>
    </xf>
    <xf numFmtId="14" fontId="0" fillId="2" borderId="86" xfId="0" applyNumberForma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0" fillId="2" borderId="100" xfId="0" applyFill="1" applyBorder="1" applyAlignment="1">
      <alignment horizontal="left" vertical="center" shrinkToFit="1"/>
    </xf>
    <xf numFmtId="0" fontId="0" fillId="2" borderId="101" xfId="0" applyFill="1" applyBorder="1" applyAlignment="1">
      <alignment horizontal="left" vertical="center" shrinkToFit="1"/>
    </xf>
    <xf numFmtId="0" fontId="0" fillId="2" borderId="98" xfId="0" applyFill="1" applyBorder="1" applyAlignment="1">
      <alignment horizontal="left" vertical="center" shrinkToFit="1"/>
    </xf>
    <xf numFmtId="0" fontId="0" fillId="2" borderId="21" xfId="0" applyFill="1" applyBorder="1" applyAlignment="1">
      <alignment vertical="center" shrinkToFit="1"/>
    </xf>
    <xf numFmtId="0" fontId="0" fillId="2" borderId="10" xfId="0" applyFill="1" applyBorder="1" applyAlignment="1">
      <alignment vertical="center" shrinkToFit="1"/>
    </xf>
    <xf numFmtId="0" fontId="0" fillId="2" borderId="17" xfId="0" applyFill="1" applyBorder="1" applyAlignment="1">
      <alignment vertical="center" shrinkToFit="1"/>
    </xf>
    <xf numFmtId="10" fontId="0" fillId="2" borderId="21" xfId="0" applyNumberFormat="1" applyFill="1" applyBorder="1" applyAlignment="1">
      <alignment horizontal="center" vertical="center"/>
    </xf>
    <xf numFmtId="10" fontId="0" fillId="2" borderId="10" xfId="0" applyNumberFormat="1" applyFill="1" applyBorder="1" applyAlignment="1">
      <alignment horizontal="center" vertical="center"/>
    </xf>
    <xf numFmtId="10" fontId="0" fillId="2" borderId="17" xfId="0" applyNumberFormat="1" applyFill="1" applyBorder="1" applyAlignment="1">
      <alignment horizontal="center" vertical="center"/>
    </xf>
    <xf numFmtId="14" fontId="0" fillId="2" borderId="100" xfId="0" applyNumberFormat="1" applyFill="1" applyBorder="1" applyAlignment="1">
      <alignment horizontal="center" vertical="center"/>
    </xf>
    <xf numFmtId="14" fontId="0" fillId="2" borderId="98" xfId="0" applyNumberFormat="1" applyFill="1" applyBorder="1" applyAlignment="1">
      <alignment horizontal="center" vertical="center"/>
    </xf>
    <xf numFmtId="14" fontId="0" fillId="2" borderId="21" xfId="0" applyNumberFormat="1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14" fontId="0" fillId="2" borderId="16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vertical="center" shrinkToFit="1"/>
    </xf>
    <xf numFmtId="0" fontId="0" fillId="2" borderId="7" xfId="0" applyFill="1" applyBorder="1" applyAlignment="1">
      <alignment vertical="center" shrinkToFit="1"/>
    </xf>
    <xf numFmtId="0" fontId="0" fillId="2" borderId="16" xfId="0" applyFill="1" applyBorder="1" applyAlignment="1">
      <alignment vertical="center" shrinkToFit="1"/>
    </xf>
    <xf numFmtId="178" fontId="3" fillId="3" borderId="33" xfId="0" applyNumberFormat="1" applyFont="1" applyFill="1" applyBorder="1" applyAlignment="1">
      <alignment horizontal="center" vertical="center"/>
    </xf>
    <xf numFmtId="178" fontId="3" fillId="3" borderId="36" xfId="0" applyNumberFormat="1" applyFont="1" applyFill="1" applyBorder="1" applyAlignment="1">
      <alignment horizontal="center" vertical="center"/>
    </xf>
    <xf numFmtId="14" fontId="3" fillId="3" borderId="33" xfId="0" applyNumberFormat="1" applyFont="1" applyFill="1" applyBorder="1" applyAlignment="1">
      <alignment horizontal="center" vertical="center"/>
    </xf>
    <xf numFmtId="14" fontId="3" fillId="3" borderId="36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19" fillId="2" borderId="69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82" fontId="3" fillId="3" borderId="25" xfId="0" applyNumberFormat="1" applyFont="1" applyFill="1" applyBorder="1" applyAlignment="1">
      <alignment horizontal="center" vertical="center"/>
    </xf>
    <xf numFmtId="182" fontId="3" fillId="3" borderId="26" xfId="0" applyNumberFormat="1" applyFont="1" applyFill="1" applyBorder="1" applyAlignment="1">
      <alignment horizontal="center" vertical="center"/>
    </xf>
    <xf numFmtId="178" fontId="3" fillId="3" borderId="25" xfId="0" applyNumberFormat="1" applyFont="1" applyFill="1" applyBorder="1" applyAlignment="1">
      <alignment horizontal="center" vertical="center"/>
    </xf>
    <xf numFmtId="178" fontId="3" fillId="3" borderId="26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top"/>
    </xf>
    <xf numFmtId="0" fontId="3" fillId="3" borderId="4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14" fontId="3" fillId="3" borderId="23" xfId="0" applyNumberFormat="1" applyFont="1" applyFill="1" applyBorder="1" applyAlignment="1">
      <alignment horizontal="center" vertical="center"/>
    </xf>
    <xf numFmtId="14" fontId="3" fillId="3" borderId="24" xfId="0" applyNumberFormat="1" applyFont="1" applyFill="1" applyBorder="1" applyAlignment="1">
      <alignment horizontal="center" vertical="center"/>
    </xf>
    <xf numFmtId="14" fontId="3" fillId="3" borderId="25" xfId="0" applyNumberFormat="1" applyFont="1" applyFill="1" applyBorder="1" applyAlignment="1">
      <alignment horizontal="center" vertical="center"/>
    </xf>
    <xf numFmtId="14" fontId="3" fillId="3" borderId="26" xfId="0" applyNumberFormat="1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7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188" fontId="0" fillId="2" borderId="22" xfId="1" applyNumberFormat="1" applyFont="1" applyFill="1" applyBorder="1" applyAlignment="1">
      <alignment horizontal="center" vertical="center"/>
    </xf>
    <xf numFmtId="188" fontId="0" fillId="2" borderId="13" xfId="1" applyNumberFormat="1" applyFont="1" applyFill="1" applyBorder="1" applyAlignment="1">
      <alignment horizontal="center" vertical="center"/>
    </xf>
    <xf numFmtId="188" fontId="0" fillId="2" borderId="18" xfId="1" applyNumberFormat="1" applyFont="1" applyFill="1" applyBorder="1" applyAlignment="1">
      <alignment horizontal="center" vertical="center"/>
    </xf>
    <xf numFmtId="188" fontId="0" fillId="2" borderId="71" xfId="1" applyNumberFormat="1" applyFont="1" applyFill="1" applyBorder="1" applyAlignment="1">
      <alignment horizontal="center" vertical="center"/>
    </xf>
    <xf numFmtId="188" fontId="0" fillId="2" borderId="72" xfId="1" applyNumberFormat="1" applyFont="1" applyFill="1" applyBorder="1" applyAlignment="1">
      <alignment horizontal="center" vertical="center"/>
    </xf>
    <xf numFmtId="188" fontId="0" fillId="2" borderId="73" xfId="1" applyNumberFormat="1" applyFont="1" applyFill="1" applyBorder="1" applyAlignment="1">
      <alignment horizontal="center" vertical="center"/>
    </xf>
    <xf numFmtId="188" fontId="0" fillId="2" borderId="20" xfId="1" applyNumberFormat="1" applyFont="1" applyFill="1" applyBorder="1" applyAlignment="1">
      <alignment horizontal="center" vertical="center"/>
    </xf>
    <xf numFmtId="188" fontId="0" fillId="2" borderId="7" xfId="1" applyNumberFormat="1" applyFont="1" applyFill="1" applyBorder="1" applyAlignment="1">
      <alignment horizontal="center" vertical="center"/>
    </xf>
    <xf numFmtId="188" fontId="0" fillId="2" borderId="16" xfId="1" applyNumberFormat="1" applyFont="1" applyFill="1" applyBorder="1" applyAlignment="1">
      <alignment horizontal="center" vertical="center"/>
    </xf>
    <xf numFmtId="188" fontId="0" fillId="2" borderId="64" xfId="1" applyNumberFormat="1" applyFont="1" applyFill="1" applyBorder="1" applyAlignment="1">
      <alignment horizontal="center" vertical="center"/>
    </xf>
    <xf numFmtId="188" fontId="0" fillId="2" borderId="65" xfId="1" applyNumberFormat="1" applyFont="1" applyFill="1" applyBorder="1" applyAlignment="1">
      <alignment horizontal="center" vertical="center"/>
    </xf>
    <xf numFmtId="188" fontId="0" fillId="2" borderId="63" xfId="1" applyNumberFormat="1" applyFont="1" applyFill="1" applyBorder="1" applyAlignment="1">
      <alignment horizontal="center" vertical="center"/>
    </xf>
    <xf numFmtId="193" fontId="3" fillId="3" borderId="33" xfId="0" applyNumberFormat="1" applyFont="1" applyFill="1" applyBorder="1" applyAlignment="1">
      <alignment horizontal="center" vertical="center"/>
    </xf>
    <xf numFmtId="193" fontId="3" fillId="3" borderId="34" xfId="0" applyNumberFormat="1" applyFont="1" applyFill="1" applyBorder="1" applyAlignment="1">
      <alignment horizontal="center" vertical="center"/>
    </xf>
    <xf numFmtId="193" fontId="3" fillId="3" borderId="36" xfId="0" applyNumberFormat="1" applyFont="1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76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77" xfId="0" applyFill="1" applyBorder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0" fillId="2" borderId="69" xfId="0" applyFill="1" applyBorder="1" applyAlignment="1">
      <alignment horizontal="center" vertical="center"/>
    </xf>
    <xf numFmtId="9" fontId="0" fillId="2" borderId="21" xfId="0" applyNumberFormat="1" applyFill="1" applyBorder="1" applyAlignment="1">
      <alignment horizontal="center" vertical="center"/>
    </xf>
    <xf numFmtId="9" fontId="0" fillId="2" borderId="17" xfId="0" applyNumberFormat="1" applyFill="1" applyBorder="1" applyAlignment="1">
      <alignment horizontal="center" vertical="center"/>
    </xf>
    <xf numFmtId="14" fontId="0" fillId="2" borderId="41" xfId="0" applyNumberFormat="1" applyFill="1" applyBorder="1" applyAlignment="1">
      <alignment horizontal="center" vertical="center"/>
    </xf>
    <xf numFmtId="14" fontId="0" fillId="2" borderId="42" xfId="0" applyNumberFormat="1" applyFill="1" applyBorder="1" applyAlignment="1">
      <alignment horizontal="center" vertical="center"/>
    </xf>
    <xf numFmtId="14" fontId="0" fillId="2" borderId="43" xfId="0" applyNumberFormat="1" applyFill="1" applyBorder="1" applyAlignment="1">
      <alignment horizontal="center" vertical="center"/>
    </xf>
    <xf numFmtId="14" fontId="0" fillId="2" borderId="37" xfId="0" applyNumberFormat="1" applyFill="1" applyBorder="1" applyAlignment="1">
      <alignment horizontal="center" vertical="center"/>
    </xf>
    <xf numFmtId="14" fontId="0" fillId="2" borderId="40" xfId="0" applyNumberFormat="1" applyFill="1" applyBorder="1" applyAlignment="1">
      <alignment horizontal="center" vertical="center"/>
    </xf>
    <xf numFmtId="14" fontId="0" fillId="2" borderId="38" xfId="0" applyNumberForma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100" xfId="0" applyFill="1" applyBorder="1" applyAlignment="1">
      <alignment horizontal="center" vertical="center"/>
    </xf>
    <xf numFmtId="0" fontId="0" fillId="2" borderId="98" xfId="0" applyFill="1" applyBorder="1" applyAlignment="1">
      <alignment horizontal="center" vertical="center"/>
    </xf>
    <xf numFmtId="189" fontId="0" fillId="2" borderId="20" xfId="1" applyNumberFormat="1" applyFont="1" applyFill="1" applyBorder="1" applyAlignment="1">
      <alignment horizontal="center" vertical="center"/>
    </xf>
    <xf numFmtId="189" fontId="0" fillId="2" borderId="7" xfId="1" applyNumberFormat="1" applyFont="1" applyFill="1" applyBorder="1" applyAlignment="1">
      <alignment horizontal="center" vertical="center"/>
    </xf>
    <xf numFmtId="189" fontId="0" fillId="2" borderId="16" xfId="1" applyNumberFormat="1" applyFont="1" applyFill="1" applyBorder="1" applyAlignment="1">
      <alignment horizontal="center" vertical="center"/>
    </xf>
    <xf numFmtId="189" fontId="0" fillId="2" borderId="22" xfId="1" applyNumberFormat="1" applyFont="1" applyFill="1" applyBorder="1" applyAlignment="1">
      <alignment horizontal="center" vertical="center"/>
    </xf>
    <xf numFmtId="189" fontId="0" fillId="2" borderId="13" xfId="1" applyNumberFormat="1" applyFont="1" applyFill="1" applyBorder="1" applyAlignment="1">
      <alignment horizontal="center" vertical="center"/>
    </xf>
    <xf numFmtId="189" fontId="0" fillId="2" borderId="18" xfId="1" applyNumberFormat="1" applyFont="1" applyFill="1" applyBorder="1" applyAlignment="1">
      <alignment horizontal="center" vertical="center"/>
    </xf>
    <xf numFmtId="0" fontId="19" fillId="2" borderId="64" xfId="0" applyFont="1" applyFill="1" applyBorder="1" applyAlignment="1">
      <alignment horizontal="center" vertical="center"/>
    </xf>
    <xf numFmtId="0" fontId="19" fillId="2" borderId="63" xfId="0" applyFont="1" applyFill="1" applyBorder="1" applyAlignment="1">
      <alignment horizontal="center" vertical="center"/>
    </xf>
    <xf numFmtId="10" fontId="0" fillId="2" borderId="20" xfId="0" applyNumberFormat="1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10" fontId="0" fillId="2" borderId="16" xfId="0" applyNumberFormat="1" applyFill="1" applyBorder="1" applyAlignment="1">
      <alignment horizontal="center" vertical="center"/>
    </xf>
    <xf numFmtId="10" fontId="0" fillId="2" borderId="100" xfId="0" applyNumberFormat="1" applyFill="1" applyBorder="1" applyAlignment="1">
      <alignment horizontal="center" vertical="center"/>
    </xf>
    <xf numFmtId="10" fontId="0" fillId="2" borderId="101" xfId="0" applyNumberFormat="1" applyFill="1" applyBorder="1" applyAlignment="1">
      <alignment horizontal="center" vertical="center"/>
    </xf>
    <xf numFmtId="10" fontId="0" fillId="2" borderId="98" xfId="0" applyNumberFormat="1" applyFill="1" applyBorder="1" applyAlignment="1">
      <alignment horizontal="center" vertical="center"/>
    </xf>
    <xf numFmtId="0" fontId="0" fillId="2" borderId="79" xfId="0" applyFill="1" applyBorder="1" applyAlignment="1">
      <alignment vertical="center" shrinkToFit="1"/>
    </xf>
    <xf numFmtId="0" fontId="0" fillId="2" borderId="80" xfId="0" applyFill="1" applyBorder="1" applyAlignment="1">
      <alignment vertical="center" shrinkToFit="1"/>
    </xf>
    <xf numFmtId="0" fontId="0" fillId="2" borderId="81" xfId="0" applyFill="1" applyBorder="1" applyAlignment="1">
      <alignment vertical="center" shrinkToFit="1"/>
    </xf>
    <xf numFmtId="14" fontId="0" fillId="2" borderId="83" xfId="0" applyNumberFormat="1" applyFill="1" applyBorder="1" applyAlignment="1">
      <alignment horizontal="center" vertical="center"/>
    </xf>
    <xf numFmtId="14" fontId="0" fillId="2" borderId="81" xfId="0" applyNumberFormat="1" applyFill="1" applyBorder="1" applyAlignment="1">
      <alignment horizontal="center" vertical="center"/>
    </xf>
    <xf numFmtId="10" fontId="0" fillId="2" borderId="83" xfId="0" applyNumberFormat="1" applyFill="1" applyBorder="1" applyAlignment="1">
      <alignment horizontal="center" vertical="center"/>
    </xf>
    <xf numFmtId="10" fontId="0" fillId="2" borderId="80" xfId="0" applyNumberFormat="1" applyFill="1" applyBorder="1" applyAlignment="1">
      <alignment horizontal="center" vertical="center"/>
    </xf>
    <xf numFmtId="10" fontId="0" fillId="2" borderId="81" xfId="0" applyNumberFormat="1" applyFill="1" applyBorder="1" applyAlignment="1">
      <alignment horizontal="center" vertical="center"/>
    </xf>
    <xf numFmtId="179" fontId="0" fillId="2" borderId="83" xfId="0" applyNumberFormat="1" applyFill="1" applyBorder="1" applyAlignment="1">
      <alignment horizontal="center" vertical="center"/>
    </xf>
    <xf numFmtId="179" fontId="0" fillId="2" borderId="81" xfId="0" applyNumberFormat="1" applyFill="1" applyBorder="1" applyAlignment="1">
      <alignment horizontal="center" vertical="center"/>
    </xf>
    <xf numFmtId="0" fontId="0" fillId="2" borderId="80" xfId="0" applyFill="1" applyBorder="1" applyAlignment="1">
      <alignment horizontal="center" vertical="center" shrinkToFit="1"/>
    </xf>
    <xf numFmtId="0" fontId="0" fillId="2" borderId="84" xfId="0" applyFill="1" applyBorder="1" applyAlignment="1">
      <alignment horizontal="center" vertical="center" shrinkToFit="1"/>
    </xf>
    <xf numFmtId="14" fontId="0" fillId="2" borderId="103" xfId="0" applyNumberFormat="1" applyFill="1" applyBorder="1" applyAlignment="1">
      <alignment horizontal="center" vertical="center"/>
    </xf>
    <xf numFmtId="179" fontId="0" fillId="2" borderId="95" xfId="0" applyNumberFormat="1" applyFill="1" applyBorder="1" applyAlignment="1">
      <alignment horizontal="center" vertical="center"/>
    </xf>
    <xf numFmtId="179" fontId="0" fillId="2" borderId="93" xfId="0" applyNumberFormat="1" applyFill="1" applyBorder="1" applyAlignment="1">
      <alignment horizontal="center" vertical="center"/>
    </xf>
    <xf numFmtId="14" fontId="0" fillId="2" borderId="95" xfId="0" applyNumberFormat="1" applyFill="1" applyBorder="1" applyAlignment="1">
      <alignment horizontal="center" vertical="center"/>
    </xf>
    <xf numFmtId="14" fontId="0" fillId="2" borderId="93" xfId="0" applyNumberFormat="1" applyFill="1" applyBorder="1" applyAlignment="1">
      <alignment horizontal="center" vertical="center"/>
    </xf>
    <xf numFmtId="10" fontId="0" fillId="2" borderId="95" xfId="0" applyNumberFormat="1" applyFill="1" applyBorder="1" applyAlignment="1">
      <alignment horizontal="center" vertical="center"/>
    </xf>
    <xf numFmtId="10" fontId="0" fillId="2" borderId="92" xfId="0" applyNumberFormat="1" applyFill="1" applyBorder="1" applyAlignment="1">
      <alignment horizontal="center" vertical="center"/>
    </xf>
    <xf numFmtId="10" fontId="0" fillId="2" borderId="93" xfId="0" applyNumberFormat="1" applyFill="1" applyBorder="1" applyAlignment="1">
      <alignment horizontal="center" vertical="center"/>
    </xf>
    <xf numFmtId="0" fontId="0" fillId="2" borderId="91" xfId="0" applyFill="1" applyBorder="1" applyAlignment="1">
      <alignment vertical="center" shrinkToFit="1"/>
    </xf>
    <xf numFmtId="0" fontId="0" fillId="2" borderId="92" xfId="0" applyFill="1" applyBorder="1" applyAlignment="1">
      <alignment vertical="center" shrinkToFit="1"/>
    </xf>
    <xf numFmtId="0" fontId="0" fillId="2" borderId="93" xfId="0" applyFill="1" applyBorder="1" applyAlignment="1">
      <alignment vertical="center" shrinkToFit="1"/>
    </xf>
  </cellXfs>
  <cellStyles count="8">
    <cellStyle name="백분율" xfId="2" builtinId="5"/>
    <cellStyle name="쉼표 [0]" xfId="1" builtinId="6"/>
    <cellStyle name="쉼표 [0] 2" xfId="3" xr:uid="{00000000-0005-0000-0000-000003000000}"/>
    <cellStyle name="쉼표 [0] 3" xfId="6" xr:uid="{00000000-0005-0000-0000-000004000000}"/>
    <cellStyle name="쉼표 [0] 4" xfId="7" xr:uid="{E8E0F30C-BE2A-4A38-AECB-77F73894AC9D}"/>
    <cellStyle name="표준" xfId="0" builtinId="0"/>
    <cellStyle name="표준 2" xfId="5" xr:uid="{00000000-0005-0000-0000-000006000000}"/>
    <cellStyle name="표준 27" xfId="4" xr:uid="{00000000-0005-0000-0000-000007000000}"/>
  </cellStyles>
  <dxfs count="1"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C3:W101"/>
  <sheetViews>
    <sheetView showGridLines="0" tabSelected="1" topLeftCell="A70" zoomScale="85" zoomScaleNormal="85" zoomScaleSheetLayoutView="85" workbookViewId="0">
      <selection activeCell="W80" sqref="W80"/>
    </sheetView>
  </sheetViews>
  <sheetFormatPr defaultRowHeight="16.5" x14ac:dyDescent="0.3"/>
  <cols>
    <col min="1" max="1" width="9" style="1"/>
    <col min="2" max="2" width="1.625" style="1" customWidth="1"/>
    <col min="3" max="3" width="22.125" style="1" customWidth="1"/>
    <col min="4" max="4" width="1.25" style="1" customWidth="1"/>
    <col min="5" max="5" width="11" style="1" customWidth="1"/>
    <col min="6" max="6" width="13.625" style="1" customWidth="1"/>
    <col min="7" max="7" width="7.375" style="1" bestFit="1" customWidth="1"/>
    <col min="8" max="8" width="4.375" style="1" customWidth="1"/>
    <col min="9" max="9" width="10.25" style="1" customWidth="1"/>
    <col min="10" max="10" width="4.375" style="1" customWidth="1"/>
    <col min="11" max="11" width="11.25" style="1" customWidth="1"/>
    <col min="12" max="12" width="4.375" style="1" customWidth="1"/>
    <col min="13" max="13" width="11.25" style="1" customWidth="1"/>
    <col min="14" max="14" width="4.375" style="1" customWidth="1"/>
    <col min="15" max="15" width="11.25" style="1" customWidth="1"/>
    <col min="16" max="16" width="4.375" style="1" customWidth="1"/>
    <col min="17" max="17" width="11.5" style="1" bestFit="1" customWidth="1"/>
    <col min="18" max="18" width="2.375" style="1" customWidth="1"/>
    <col min="19" max="19" width="9.625" style="1" customWidth="1"/>
    <col min="20" max="20" width="7.375" style="1" customWidth="1"/>
    <col min="21" max="21" width="1.625" style="1" customWidth="1"/>
    <col min="22" max="22" width="9.25" style="1" bestFit="1" customWidth="1"/>
    <col min="23" max="23" width="9.375" style="1" bestFit="1" customWidth="1"/>
    <col min="24" max="16384" width="9" style="1"/>
  </cols>
  <sheetData>
    <row r="3" spans="3:20" ht="38.25" x14ac:dyDescent="0.3">
      <c r="C3" s="174" t="s">
        <v>56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 spans="3:20" ht="20.100000000000001" customHeight="1" x14ac:dyDescent="0.3">
      <c r="C4" s="175">
        <v>46188</v>
      </c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</row>
    <row r="5" spans="3:20" ht="24.95" customHeight="1" x14ac:dyDescent="0.3"/>
    <row r="6" spans="3:20" ht="20.25" customHeight="1" x14ac:dyDescent="0.3">
      <c r="C6" s="6" t="s">
        <v>2</v>
      </c>
    </row>
    <row r="7" spans="3:20" ht="20.100000000000001" customHeight="1" thickBot="1" x14ac:dyDescent="0.35">
      <c r="C7" s="7" t="s">
        <v>3</v>
      </c>
      <c r="K7" s="42" t="s">
        <v>102</v>
      </c>
      <c r="L7" s="42"/>
      <c r="T7" s="2" t="s">
        <v>10</v>
      </c>
    </row>
    <row r="8" spans="3:20" ht="17.25" customHeight="1" x14ac:dyDescent="0.3">
      <c r="C8" s="176" t="s">
        <v>4</v>
      </c>
      <c r="D8" s="177"/>
      <c r="E8" s="177"/>
      <c r="F8" s="178"/>
      <c r="G8" s="182" t="s">
        <v>97</v>
      </c>
      <c r="H8" s="178"/>
      <c r="I8" s="182" t="s">
        <v>78</v>
      </c>
      <c r="J8" s="178"/>
      <c r="K8" s="182" t="s">
        <v>52</v>
      </c>
      <c r="L8" s="178"/>
      <c r="M8" s="183">
        <v>46185</v>
      </c>
      <c r="N8" s="184"/>
      <c r="O8" s="183">
        <v>46188</v>
      </c>
      <c r="P8" s="184"/>
      <c r="Q8" s="187" t="s">
        <v>5</v>
      </c>
      <c r="R8" s="188"/>
      <c r="S8" s="188"/>
      <c r="T8" s="189"/>
    </row>
    <row r="9" spans="3:20" ht="17.25" customHeight="1" thickBot="1" x14ac:dyDescent="0.35">
      <c r="C9" s="179"/>
      <c r="D9" s="180"/>
      <c r="E9" s="180"/>
      <c r="F9" s="181"/>
      <c r="G9" s="170">
        <v>45657</v>
      </c>
      <c r="H9" s="171"/>
      <c r="I9" s="170">
        <v>46022</v>
      </c>
      <c r="J9" s="171"/>
      <c r="K9" s="172">
        <v>46173</v>
      </c>
      <c r="L9" s="173"/>
      <c r="M9" s="185"/>
      <c r="N9" s="186"/>
      <c r="O9" s="185"/>
      <c r="P9" s="186"/>
      <c r="Q9" s="190" t="s">
        <v>79</v>
      </c>
      <c r="R9" s="191"/>
      <c r="S9" s="190" t="s">
        <v>80</v>
      </c>
      <c r="T9" s="192"/>
    </row>
    <row r="10" spans="3:20" ht="17.25" customHeight="1" thickTop="1" thickBot="1" x14ac:dyDescent="0.35">
      <c r="C10" s="23" t="s">
        <v>11</v>
      </c>
      <c r="D10" s="24"/>
      <c r="E10" s="24"/>
      <c r="F10" s="25"/>
      <c r="G10" s="43">
        <v>2200.4566461599998</v>
      </c>
      <c r="H10" s="44"/>
      <c r="I10" s="45">
        <v>2276.1057091299999</v>
      </c>
      <c r="J10" s="44"/>
      <c r="K10" s="43">
        <v>2595.2807536700002</v>
      </c>
      <c r="L10" s="44"/>
      <c r="M10" s="43">
        <v>2723.3893001800002</v>
      </c>
      <c r="N10" s="44"/>
      <c r="O10" s="43">
        <v>2471.87788181</v>
      </c>
      <c r="P10" s="44"/>
      <c r="Q10" s="43">
        <f>ROUND(O10-M10,0)</f>
        <v>-252</v>
      </c>
      <c r="R10" s="46"/>
      <c r="S10" s="43">
        <f>ROUND(O10-K10,0)</f>
        <v>-123</v>
      </c>
      <c r="T10" s="47"/>
    </row>
    <row r="11" spans="3:20" ht="17.25" customHeight="1" thickTop="1" x14ac:dyDescent="0.3">
      <c r="C11" s="3" t="s">
        <v>82</v>
      </c>
      <c r="D11" s="16"/>
      <c r="E11" s="16"/>
      <c r="F11" s="17"/>
      <c r="G11" s="48">
        <v>43.176194649999999</v>
      </c>
      <c r="H11" s="49"/>
      <c r="I11" s="50">
        <v>45.777759680000003</v>
      </c>
      <c r="J11" s="49"/>
      <c r="K11" s="48">
        <v>47.692223630000001</v>
      </c>
      <c r="L11" s="49"/>
      <c r="M11" s="48">
        <v>52.024441170000003</v>
      </c>
      <c r="N11" s="49"/>
      <c r="O11" s="48">
        <v>51.906387670000001</v>
      </c>
      <c r="P11" s="49"/>
      <c r="Q11" s="48">
        <f t="shared" ref="Q11:Q23" si="0">ROUND(O11-M11,0)</f>
        <v>0</v>
      </c>
      <c r="R11" s="51"/>
      <c r="S11" s="48">
        <f t="shared" ref="S11:S23" si="1">ROUND(O11-K11,0)</f>
        <v>4</v>
      </c>
      <c r="T11" s="52"/>
    </row>
    <row r="12" spans="3:20" ht="17.25" customHeight="1" x14ac:dyDescent="0.3">
      <c r="C12" s="4" t="s">
        <v>83</v>
      </c>
      <c r="D12" s="11"/>
      <c r="E12" s="11"/>
      <c r="F12" s="12"/>
      <c r="G12" s="53">
        <v>268.77901123999999</v>
      </c>
      <c r="H12" s="54"/>
      <c r="I12" s="53">
        <v>199.45150311000003</v>
      </c>
      <c r="J12" s="54"/>
      <c r="K12" s="53">
        <f>K13+K14</f>
        <v>264.78025192000001</v>
      </c>
      <c r="L12" s="54"/>
      <c r="M12" s="53">
        <v>229.83701460999998</v>
      </c>
      <c r="N12" s="54"/>
      <c r="O12" s="53">
        <f>O13+O14</f>
        <v>157.73955304</v>
      </c>
      <c r="P12" s="54"/>
      <c r="Q12" s="53">
        <f t="shared" si="0"/>
        <v>-72</v>
      </c>
      <c r="R12" s="56"/>
      <c r="S12" s="53">
        <f t="shared" si="1"/>
        <v>-107</v>
      </c>
      <c r="T12" s="57"/>
    </row>
    <row r="13" spans="3:20" ht="17.25" customHeight="1" x14ac:dyDescent="0.3">
      <c r="C13" s="30" t="s">
        <v>84</v>
      </c>
      <c r="D13" s="31"/>
      <c r="E13" s="31"/>
      <c r="F13" s="32"/>
      <c r="G13" s="58">
        <v>67.288514810000009</v>
      </c>
      <c r="H13" s="59"/>
      <c r="I13" s="60">
        <v>52.936056840000006</v>
      </c>
      <c r="J13" s="59"/>
      <c r="K13" s="58">
        <v>35.07839559</v>
      </c>
      <c r="L13" s="59"/>
      <c r="M13" s="58">
        <v>38.943865750000001</v>
      </c>
      <c r="N13" s="59"/>
      <c r="O13" s="58">
        <v>36.504731929999998</v>
      </c>
      <c r="P13" s="59"/>
      <c r="Q13" s="58">
        <f t="shared" si="0"/>
        <v>-2</v>
      </c>
      <c r="R13" s="61"/>
      <c r="S13" s="58">
        <f t="shared" si="1"/>
        <v>1</v>
      </c>
      <c r="T13" s="62"/>
    </row>
    <row r="14" spans="3:20" ht="17.25" customHeight="1" x14ac:dyDescent="0.3">
      <c r="C14" s="30" t="s">
        <v>104</v>
      </c>
      <c r="D14" s="31"/>
      <c r="E14" s="31"/>
      <c r="F14" s="32"/>
      <c r="G14" s="58">
        <v>201.49049642999998</v>
      </c>
      <c r="H14" s="59"/>
      <c r="I14" s="60">
        <v>106.4327471</v>
      </c>
      <c r="J14" s="59"/>
      <c r="K14" s="58">
        <v>229.70185633</v>
      </c>
      <c r="L14" s="59"/>
      <c r="M14" s="58">
        <v>190.89314886</v>
      </c>
      <c r="N14" s="59"/>
      <c r="O14" s="58">
        <v>121.23482111</v>
      </c>
      <c r="P14" s="59"/>
      <c r="Q14" s="58">
        <f t="shared" si="0"/>
        <v>-70</v>
      </c>
      <c r="R14" s="61"/>
      <c r="S14" s="58">
        <f t="shared" si="1"/>
        <v>-108</v>
      </c>
      <c r="T14" s="62"/>
    </row>
    <row r="15" spans="3:20" ht="17.25" customHeight="1" x14ac:dyDescent="0.3">
      <c r="C15" s="4" t="s">
        <v>43</v>
      </c>
      <c r="D15" s="11"/>
      <c r="E15" s="11"/>
      <c r="F15" s="12"/>
      <c r="G15" s="53">
        <v>230.83402049</v>
      </c>
      <c r="H15" s="54"/>
      <c r="I15" s="55">
        <v>308.60163944999999</v>
      </c>
      <c r="J15" s="54"/>
      <c r="K15" s="53">
        <v>362.52443438</v>
      </c>
      <c r="L15" s="54"/>
      <c r="M15" s="53">
        <v>362.11464405999999</v>
      </c>
      <c r="N15" s="54"/>
      <c r="O15" s="53">
        <v>362.45666932</v>
      </c>
      <c r="P15" s="54"/>
      <c r="Q15" s="53">
        <f t="shared" si="0"/>
        <v>0</v>
      </c>
      <c r="R15" s="56"/>
      <c r="S15" s="53">
        <f t="shared" si="1"/>
        <v>0</v>
      </c>
      <c r="T15" s="57"/>
    </row>
    <row r="16" spans="3:20" ht="17.25" customHeight="1" x14ac:dyDescent="0.3">
      <c r="C16" s="4" t="s">
        <v>44</v>
      </c>
      <c r="D16" s="11"/>
      <c r="E16" s="11"/>
      <c r="F16" s="12"/>
      <c r="G16" s="53">
        <v>143.22677590000001</v>
      </c>
      <c r="H16" s="54"/>
      <c r="I16" s="55">
        <v>148.5</v>
      </c>
      <c r="J16" s="54"/>
      <c r="K16" s="53">
        <v>148.5</v>
      </c>
      <c r="L16" s="54"/>
      <c r="M16" s="53">
        <v>148.5</v>
      </c>
      <c r="N16" s="54"/>
      <c r="O16" s="53">
        <v>148.5</v>
      </c>
      <c r="P16" s="54"/>
      <c r="Q16" s="53">
        <f t="shared" si="0"/>
        <v>0</v>
      </c>
      <c r="R16" s="56"/>
      <c r="S16" s="53">
        <f t="shared" si="1"/>
        <v>0</v>
      </c>
      <c r="T16" s="57"/>
    </row>
    <row r="17" spans="3:20" ht="17.25" customHeight="1" x14ac:dyDescent="0.3">
      <c r="C17" s="4" t="s">
        <v>85</v>
      </c>
      <c r="D17" s="11"/>
      <c r="E17" s="11"/>
      <c r="F17" s="12"/>
      <c r="G17" s="53">
        <v>290.01177281000002</v>
      </c>
      <c r="H17" s="54"/>
      <c r="I17" s="55">
        <v>307.42461882999999</v>
      </c>
      <c r="J17" s="54"/>
      <c r="K17" s="53">
        <v>308.00331093</v>
      </c>
      <c r="L17" s="54"/>
      <c r="M17" s="53">
        <v>305.47243056000002</v>
      </c>
      <c r="N17" s="54"/>
      <c r="O17" s="53">
        <v>314.22538722000002</v>
      </c>
      <c r="P17" s="54"/>
      <c r="Q17" s="53">
        <f t="shared" si="0"/>
        <v>9</v>
      </c>
      <c r="R17" s="56"/>
      <c r="S17" s="53">
        <f t="shared" si="1"/>
        <v>6</v>
      </c>
      <c r="T17" s="57"/>
    </row>
    <row r="18" spans="3:20" ht="17.25" customHeight="1" x14ac:dyDescent="0.3">
      <c r="C18" s="4" t="s">
        <v>86</v>
      </c>
      <c r="D18" s="11"/>
      <c r="E18" s="11"/>
      <c r="F18" s="12"/>
      <c r="G18" s="53">
        <v>341.23719585000003</v>
      </c>
      <c r="H18" s="54"/>
      <c r="I18" s="55">
        <v>293.69328492</v>
      </c>
      <c r="J18" s="54"/>
      <c r="K18" s="53">
        <v>297.90686828999998</v>
      </c>
      <c r="L18" s="54"/>
      <c r="M18" s="53">
        <v>293.33772966999999</v>
      </c>
      <c r="N18" s="54"/>
      <c r="O18" s="53">
        <v>299.26943402000001</v>
      </c>
      <c r="P18" s="54"/>
      <c r="Q18" s="53">
        <f t="shared" si="0"/>
        <v>6</v>
      </c>
      <c r="R18" s="56"/>
      <c r="S18" s="53">
        <f t="shared" si="1"/>
        <v>1</v>
      </c>
      <c r="T18" s="57"/>
    </row>
    <row r="19" spans="3:20" ht="17.25" customHeight="1" x14ac:dyDescent="0.3">
      <c r="C19" s="4" t="s">
        <v>87</v>
      </c>
      <c r="D19" s="11"/>
      <c r="E19" s="11"/>
      <c r="F19" s="12"/>
      <c r="G19" s="53">
        <v>226.78688528000001</v>
      </c>
      <c r="H19" s="54"/>
      <c r="I19" s="55">
        <v>182.42710958000001</v>
      </c>
      <c r="J19" s="54"/>
      <c r="K19" s="53">
        <v>147</v>
      </c>
      <c r="L19" s="54"/>
      <c r="M19" s="53">
        <v>147</v>
      </c>
      <c r="N19" s="54"/>
      <c r="O19" s="53">
        <v>147</v>
      </c>
      <c r="P19" s="54"/>
      <c r="Q19" s="53">
        <f t="shared" si="0"/>
        <v>0</v>
      </c>
      <c r="R19" s="56"/>
      <c r="S19" s="53">
        <f t="shared" si="1"/>
        <v>0</v>
      </c>
      <c r="T19" s="57"/>
    </row>
    <row r="20" spans="3:20" ht="17.25" customHeight="1" x14ac:dyDescent="0.3">
      <c r="C20" s="4" t="s">
        <v>0</v>
      </c>
      <c r="D20" s="11"/>
      <c r="E20" s="11"/>
      <c r="F20" s="12"/>
      <c r="G20" s="53">
        <v>239.08987730000001</v>
      </c>
      <c r="H20" s="54"/>
      <c r="I20" s="55">
        <v>286.96566185</v>
      </c>
      <c r="J20" s="54"/>
      <c r="K20" s="53">
        <v>183.54159999999999</v>
      </c>
      <c r="L20" s="54"/>
      <c r="M20" s="53">
        <v>264.9742</v>
      </c>
      <c r="N20" s="54"/>
      <c r="O20" s="53">
        <v>306.86619999999999</v>
      </c>
      <c r="P20" s="54"/>
      <c r="Q20" s="53">
        <f t="shared" si="0"/>
        <v>42</v>
      </c>
      <c r="R20" s="56"/>
      <c r="S20" s="53">
        <f t="shared" si="1"/>
        <v>123</v>
      </c>
      <c r="T20" s="57"/>
    </row>
    <row r="21" spans="3:20" ht="17.25" customHeight="1" x14ac:dyDescent="0.3">
      <c r="C21" s="4" t="s">
        <v>1</v>
      </c>
      <c r="D21" s="11"/>
      <c r="E21" s="11"/>
      <c r="F21" s="12"/>
      <c r="G21" s="53">
        <v>58.864379410000005</v>
      </c>
      <c r="H21" s="54"/>
      <c r="I21" s="55">
        <v>40.76938372</v>
      </c>
      <c r="J21" s="54"/>
      <c r="K21" s="53">
        <v>67.508238160000005</v>
      </c>
      <c r="L21" s="54"/>
      <c r="M21" s="53">
        <v>68.198008849999994</v>
      </c>
      <c r="N21" s="54"/>
      <c r="O21" s="53">
        <v>67.470166030000001</v>
      </c>
      <c r="P21" s="54"/>
      <c r="Q21" s="53">
        <f t="shared" si="0"/>
        <v>-1</v>
      </c>
      <c r="R21" s="56"/>
      <c r="S21" s="53">
        <f t="shared" si="1"/>
        <v>0</v>
      </c>
      <c r="T21" s="57"/>
    </row>
    <row r="22" spans="3:20" ht="17.25" customHeight="1" x14ac:dyDescent="0.3">
      <c r="C22" s="4" t="s">
        <v>88</v>
      </c>
      <c r="D22" s="11"/>
      <c r="E22" s="11"/>
      <c r="F22" s="12"/>
      <c r="G22" s="53">
        <v>342.62847227999998</v>
      </c>
      <c r="H22" s="54"/>
      <c r="I22" s="55">
        <v>460.81481939999998</v>
      </c>
      <c r="J22" s="54"/>
      <c r="K22" s="53">
        <v>766.11633745999995</v>
      </c>
      <c r="L22" s="54"/>
      <c r="M22" s="53">
        <v>850.05837086999998</v>
      </c>
      <c r="N22" s="54"/>
      <c r="O22" s="53">
        <v>614.12940337999999</v>
      </c>
      <c r="P22" s="54"/>
      <c r="Q22" s="53">
        <f t="shared" si="0"/>
        <v>-236</v>
      </c>
      <c r="R22" s="56"/>
      <c r="S22" s="53">
        <f t="shared" si="1"/>
        <v>-152</v>
      </c>
      <c r="T22" s="57"/>
    </row>
    <row r="23" spans="3:20" ht="17.25" customHeight="1" thickBot="1" x14ac:dyDescent="0.35">
      <c r="C23" s="5" t="s">
        <v>89</v>
      </c>
      <c r="D23" s="18"/>
      <c r="E23" s="18"/>
      <c r="F23" s="19"/>
      <c r="G23" s="63">
        <v>15.822060949999923</v>
      </c>
      <c r="H23" s="64"/>
      <c r="I23" s="63">
        <v>1.679928590000145</v>
      </c>
      <c r="J23" s="64"/>
      <c r="K23" s="63">
        <f>K10-K11-K12-K15-K16-K17-K18-K19-K20-K21-K22</f>
        <v>1.7074889000001576</v>
      </c>
      <c r="L23" s="64"/>
      <c r="M23" s="63">
        <v>1.8724603900000147</v>
      </c>
      <c r="N23" s="64"/>
      <c r="O23" s="63">
        <f>O10-O11-O12-O15-O16-O17-O18-O19-O20-O21-O22</f>
        <v>2.3146811300000536</v>
      </c>
      <c r="P23" s="64"/>
      <c r="Q23" s="63">
        <f t="shared" si="0"/>
        <v>0</v>
      </c>
      <c r="R23" s="65"/>
      <c r="S23" s="63">
        <f t="shared" si="1"/>
        <v>1</v>
      </c>
      <c r="T23" s="66"/>
    </row>
    <row r="24" spans="3:20" ht="15" customHeight="1" x14ac:dyDescent="0.3"/>
    <row r="25" spans="3:20" ht="20.100000000000001" customHeight="1" thickBot="1" x14ac:dyDescent="0.35">
      <c r="C25" s="7" t="s">
        <v>36</v>
      </c>
      <c r="K25" s="42" t="s">
        <v>102</v>
      </c>
      <c r="L25" s="67"/>
      <c r="T25" s="2" t="s">
        <v>10</v>
      </c>
    </row>
    <row r="26" spans="3:20" ht="17.25" customHeight="1" x14ac:dyDescent="0.3">
      <c r="C26" s="176" t="s">
        <v>4</v>
      </c>
      <c r="D26" s="177"/>
      <c r="E26" s="177"/>
      <c r="F26" s="178"/>
      <c r="G26" s="182" t="s">
        <v>78</v>
      </c>
      <c r="H26" s="178"/>
      <c r="I26" s="182" t="s">
        <v>78</v>
      </c>
      <c r="J26" s="178"/>
      <c r="K26" s="182" t="s">
        <v>52</v>
      </c>
      <c r="L26" s="178"/>
      <c r="M26" s="183">
        <v>46185</v>
      </c>
      <c r="N26" s="184"/>
      <c r="O26" s="183">
        <v>46188</v>
      </c>
      <c r="P26" s="184"/>
      <c r="Q26" s="187" t="s">
        <v>5</v>
      </c>
      <c r="R26" s="188"/>
      <c r="S26" s="188"/>
      <c r="T26" s="189"/>
    </row>
    <row r="27" spans="3:20" ht="17.25" customHeight="1" thickBot="1" x14ac:dyDescent="0.35">
      <c r="C27" s="179"/>
      <c r="D27" s="180"/>
      <c r="E27" s="180"/>
      <c r="F27" s="181"/>
      <c r="G27" s="170">
        <v>45657</v>
      </c>
      <c r="H27" s="171"/>
      <c r="I27" s="170">
        <v>46022</v>
      </c>
      <c r="J27" s="171"/>
      <c r="K27" s="172">
        <v>46173</v>
      </c>
      <c r="L27" s="173"/>
      <c r="M27" s="185"/>
      <c r="N27" s="186"/>
      <c r="O27" s="185"/>
      <c r="P27" s="186"/>
      <c r="Q27" s="190" t="s">
        <v>79</v>
      </c>
      <c r="R27" s="191"/>
      <c r="S27" s="190" t="s">
        <v>80</v>
      </c>
      <c r="T27" s="192"/>
    </row>
    <row r="28" spans="3:20" ht="17.25" customHeight="1" thickTop="1" thickBot="1" x14ac:dyDescent="0.35">
      <c r="C28" s="23" t="s">
        <v>12</v>
      </c>
      <c r="D28" s="24"/>
      <c r="E28" s="24"/>
      <c r="F28" s="25"/>
      <c r="G28" s="43">
        <v>2200.4566461599998</v>
      </c>
      <c r="H28" s="44"/>
      <c r="I28" s="45">
        <v>2276.1057091299999</v>
      </c>
      <c r="J28" s="44"/>
      <c r="K28" s="43">
        <v>2595.2807536700002</v>
      </c>
      <c r="L28" s="44"/>
      <c r="M28" s="43">
        <v>2723.3893001800002</v>
      </c>
      <c r="N28" s="44"/>
      <c r="O28" s="43">
        <v>2471.87788181</v>
      </c>
      <c r="P28" s="44"/>
      <c r="Q28" s="43">
        <f>ROUND(O28-M28,0)</f>
        <v>-252</v>
      </c>
      <c r="R28" s="46"/>
      <c r="S28" s="43">
        <f>ROUND(O28-K28,0)</f>
        <v>-123</v>
      </c>
      <c r="T28" s="47"/>
    </row>
    <row r="29" spans="3:20" ht="17.25" customHeight="1" thickTop="1" x14ac:dyDescent="0.3">
      <c r="C29" s="3" t="s">
        <v>6</v>
      </c>
      <c r="D29" s="16"/>
      <c r="E29" s="16"/>
      <c r="F29" s="17"/>
      <c r="G29" s="48">
        <v>586.06941568999991</v>
      </c>
      <c r="H29" s="49"/>
      <c r="I29" s="48">
        <v>647.19108588999984</v>
      </c>
      <c r="J29" s="49"/>
      <c r="K29" s="48">
        <f>K30+K31</f>
        <v>687.17901651</v>
      </c>
      <c r="L29" s="49"/>
      <c r="M29" s="48">
        <v>666.87504452000007</v>
      </c>
      <c r="N29" s="49"/>
      <c r="O29" s="48">
        <f>O30+O31</f>
        <v>665.79088758</v>
      </c>
      <c r="P29" s="49"/>
      <c r="Q29" s="48">
        <f t="shared" ref="Q29:Q41" si="2">ROUND(O29-M29,0)</f>
        <v>-1</v>
      </c>
      <c r="R29" s="51"/>
      <c r="S29" s="48">
        <f t="shared" ref="S29:S41" si="3">ROUND(O29-K29,0)</f>
        <v>-21</v>
      </c>
      <c r="T29" s="52"/>
    </row>
    <row r="30" spans="3:20" ht="17.25" customHeight="1" x14ac:dyDescent="0.3">
      <c r="C30" s="30" t="s">
        <v>90</v>
      </c>
      <c r="D30" s="31"/>
      <c r="E30" s="31"/>
      <c r="F30" s="32"/>
      <c r="G30" s="58">
        <v>363.51834971999995</v>
      </c>
      <c r="H30" s="59"/>
      <c r="I30" s="60">
        <v>349.97885408999997</v>
      </c>
      <c r="J30" s="59"/>
      <c r="K30" s="58">
        <v>369.30884713</v>
      </c>
      <c r="L30" s="59"/>
      <c r="M30" s="58">
        <v>356.33691875</v>
      </c>
      <c r="N30" s="59"/>
      <c r="O30" s="58">
        <v>355.04692174000002</v>
      </c>
      <c r="P30" s="59"/>
      <c r="Q30" s="58">
        <f t="shared" si="2"/>
        <v>-1</v>
      </c>
      <c r="R30" s="61"/>
      <c r="S30" s="58">
        <f t="shared" si="3"/>
        <v>-14</v>
      </c>
      <c r="T30" s="62"/>
    </row>
    <row r="31" spans="3:20" ht="17.25" customHeight="1" x14ac:dyDescent="0.3">
      <c r="C31" s="30" t="s">
        <v>91</v>
      </c>
      <c r="D31" s="31"/>
      <c r="E31" s="31"/>
      <c r="F31" s="32"/>
      <c r="G31" s="58">
        <v>222.55106597</v>
      </c>
      <c r="H31" s="59"/>
      <c r="I31" s="60">
        <v>297.21223179999993</v>
      </c>
      <c r="J31" s="59"/>
      <c r="K31" s="58">
        <v>317.87016937999999</v>
      </c>
      <c r="L31" s="59"/>
      <c r="M31" s="58">
        <v>310.53812577000002</v>
      </c>
      <c r="N31" s="59"/>
      <c r="O31" s="58">
        <v>310.74396583999999</v>
      </c>
      <c r="P31" s="59"/>
      <c r="Q31" s="58">
        <f t="shared" si="2"/>
        <v>0</v>
      </c>
      <c r="R31" s="61"/>
      <c r="S31" s="58">
        <f t="shared" si="3"/>
        <v>-7</v>
      </c>
      <c r="T31" s="62"/>
    </row>
    <row r="32" spans="3:20" ht="17.25" customHeight="1" x14ac:dyDescent="0.3">
      <c r="C32" s="4" t="s">
        <v>7</v>
      </c>
      <c r="D32" s="11"/>
      <c r="E32" s="11"/>
      <c r="F32" s="12"/>
      <c r="G32" s="53">
        <v>1074.2250555100002</v>
      </c>
      <c r="H32" s="54"/>
      <c r="I32" s="53">
        <v>979.1864539799999</v>
      </c>
      <c r="J32" s="54"/>
      <c r="K32" s="53">
        <f>K33+K34+K35</f>
        <v>895.73044582000011</v>
      </c>
      <c r="L32" s="54"/>
      <c r="M32" s="53">
        <v>980.00709439000002</v>
      </c>
      <c r="N32" s="54"/>
      <c r="O32" s="53">
        <f>O33+O34+O35</f>
        <v>921.03893066000001</v>
      </c>
      <c r="P32" s="54"/>
      <c r="Q32" s="53">
        <f t="shared" si="2"/>
        <v>-59</v>
      </c>
      <c r="R32" s="56"/>
      <c r="S32" s="53">
        <f t="shared" si="3"/>
        <v>25</v>
      </c>
      <c r="T32" s="57"/>
    </row>
    <row r="33" spans="3:20" ht="17.25" customHeight="1" x14ac:dyDescent="0.3">
      <c r="C33" s="30" t="s">
        <v>92</v>
      </c>
      <c r="D33" s="31"/>
      <c r="E33" s="31"/>
      <c r="F33" s="32"/>
      <c r="G33" s="58">
        <v>743.64736339000012</v>
      </c>
      <c r="H33" s="59"/>
      <c r="I33" s="60">
        <v>693.98772600999996</v>
      </c>
      <c r="J33" s="59"/>
      <c r="K33" s="58">
        <v>630</v>
      </c>
      <c r="L33" s="59"/>
      <c r="M33" s="58">
        <v>670</v>
      </c>
      <c r="N33" s="59"/>
      <c r="O33" s="58">
        <v>650</v>
      </c>
      <c r="P33" s="59"/>
      <c r="Q33" s="58">
        <f t="shared" si="2"/>
        <v>-20</v>
      </c>
      <c r="R33" s="61"/>
      <c r="S33" s="58">
        <f t="shared" si="3"/>
        <v>20</v>
      </c>
      <c r="T33" s="62"/>
    </row>
    <row r="34" spans="3:20" ht="17.25" customHeight="1" x14ac:dyDescent="0.3">
      <c r="C34" s="30" t="s">
        <v>93</v>
      </c>
      <c r="D34" s="31"/>
      <c r="E34" s="31"/>
      <c r="F34" s="32"/>
      <c r="G34" s="58">
        <v>7.5103309100000004</v>
      </c>
      <c r="H34" s="59"/>
      <c r="I34" s="60">
        <v>8.4117233699999989</v>
      </c>
      <c r="J34" s="59"/>
      <c r="K34" s="58">
        <v>2.3086281999999998</v>
      </c>
      <c r="L34" s="59"/>
      <c r="M34" s="58">
        <v>48.47981644</v>
      </c>
      <c r="N34" s="59"/>
      <c r="O34" s="58">
        <v>3.5108136600000002</v>
      </c>
      <c r="P34" s="59"/>
      <c r="Q34" s="58">
        <f t="shared" si="2"/>
        <v>-45</v>
      </c>
      <c r="R34" s="61"/>
      <c r="S34" s="58">
        <f t="shared" si="3"/>
        <v>1</v>
      </c>
      <c r="T34" s="62"/>
    </row>
    <row r="35" spans="3:20" ht="17.25" customHeight="1" x14ac:dyDescent="0.3">
      <c r="C35" s="30" t="s">
        <v>94</v>
      </c>
      <c r="D35" s="31"/>
      <c r="E35" s="31"/>
      <c r="F35" s="32"/>
      <c r="G35" s="58">
        <v>323.06736121</v>
      </c>
      <c r="H35" s="59"/>
      <c r="I35" s="60">
        <v>276.78700459999999</v>
      </c>
      <c r="J35" s="59"/>
      <c r="K35" s="58">
        <v>263.42181762000001</v>
      </c>
      <c r="L35" s="59"/>
      <c r="M35" s="58">
        <v>261.52727794999998</v>
      </c>
      <c r="N35" s="59"/>
      <c r="O35" s="58">
        <v>267.52811700000001</v>
      </c>
      <c r="P35" s="59"/>
      <c r="Q35" s="58">
        <f t="shared" si="2"/>
        <v>6</v>
      </c>
      <c r="R35" s="61"/>
      <c r="S35" s="58">
        <f t="shared" si="3"/>
        <v>4</v>
      </c>
      <c r="T35" s="62"/>
    </row>
    <row r="36" spans="3:20" ht="17.25" customHeight="1" x14ac:dyDescent="0.3">
      <c r="C36" s="4" t="s">
        <v>45</v>
      </c>
      <c r="D36" s="11"/>
      <c r="E36" s="11"/>
      <c r="F36" s="12"/>
      <c r="G36" s="53">
        <v>0</v>
      </c>
      <c r="H36" s="54"/>
      <c r="I36" s="53">
        <v>0</v>
      </c>
      <c r="J36" s="54"/>
      <c r="K36" s="53">
        <v>0</v>
      </c>
      <c r="L36" s="54"/>
      <c r="M36" s="53">
        <v>0</v>
      </c>
      <c r="N36" s="54"/>
      <c r="O36" s="53">
        <v>0</v>
      </c>
      <c r="P36" s="54"/>
      <c r="Q36" s="53">
        <f t="shared" si="2"/>
        <v>0</v>
      </c>
      <c r="R36" s="56"/>
      <c r="S36" s="53">
        <f t="shared" si="3"/>
        <v>0</v>
      </c>
      <c r="T36" s="57"/>
    </row>
    <row r="37" spans="3:20" ht="17.25" customHeight="1" x14ac:dyDescent="0.3">
      <c r="C37" s="4" t="s">
        <v>46</v>
      </c>
      <c r="D37" s="11"/>
      <c r="E37" s="11"/>
      <c r="F37" s="12"/>
      <c r="G37" s="53">
        <v>244.46457240999999</v>
      </c>
      <c r="H37" s="54"/>
      <c r="I37" s="53">
        <v>279.68065818000002</v>
      </c>
      <c r="J37" s="54"/>
      <c r="K37" s="53">
        <v>256.07249999999999</v>
      </c>
      <c r="L37" s="54"/>
      <c r="M37" s="53">
        <v>275.73250000000002</v>
      </c>
      <c r="N37" s="54"/>
      <c r="O37" s="53">
        <v>286.98700000000002</v>
      </c>
      <c r="P37" s="54"/>
      <c r="Q37" s="53">
        <f t="shared" si="2"/>
        <v>11</v>
      </c>
      <c r="R37" s="56"/>
      <c r="S37" s="53">
        <f t="shared" si="3"/>
        <v>31</v>
      </c>
      <c r="T37" s="57"/>
    </row>
    <row r="38" spans="3:20" ht="17.25" customHeight="1" x14ac:dyDescent="0.3">
      <c r="C38" s="4" t="s">
        <v>96</v>
      </c>
      <c r="D38" s="11"/>
      <c r="E38" s="11"/>
      <c r="F38" s="12"/>
      <c r="G38" s="53">
        <v>0</v>
      </c>
      <c r="H38" s="54"/>
      <c r="I38" s="53">
        <v>0</v>
      </c>
      <c r="J38" s="54"/>
      <c r="K38" s="53">
        <v>0</v>
      </c>
      <c r="L38" s="54"/>
      <c r="M38" s="53">
        <v>0</v>
      </c>
      <c r="N38" s="54"/>
      <c r="O38" s="53">
        <v>0</v>
      </c>
      <c r="P38" s="54"/>
      <c r="Q38" s="53">
        <f t="shared" si="2"/>
        <v>0</v>
      </c>
      <c r="R38" s="56"/>
      <c r="S38" s="53">
        <f t="shared" si="3"/>
        <v>0</v>
      </c>
      <c r="T38" s="57"/>
    </row>
    <row r="39" spans="3:20" ht="17.25" customHeight="1" x14ac:dyDescent="0.3">
      <c r="C39" s="4" t="s">
        <v>47</v>
      </c>
      <c r="D39" s="11"/>
      <c r="E39" s="11"/>
      <c r="F39" s="12"/>
      <c r="G39" s="53">
        <v>318.09415280000002</v>
      </c>
      <c r="H39" s="54"/>
      <c r="I39" s="53">
        <v>425.10165644</v>
      </c>
      <c r="J39" s="54"/>
      <c r="K39" s="53">
        <v>900.72897307999995</v>
      </c>
      <c r="L39" s="54"/>
      <c r="M39" s="53">
        <v>869.85327056999995</v>
      </c>
      <c r="N39" s="54"/>
      <c r="O39" s="53">
        <v>936.70161832999997</v>
      </c>
      <c r="P39" s="54"/>
      <c r="Q39" s="53">
        <f t="shared" si="2"/>
        <v>67</v>
      </c>
      <c r="R39" s="56"/>
      <c r="S39" s="53">
        <f t="shared" si="3"/>
        <v>36</v>
      </c>
      <c r="T39" s="57"/>
    </row>
    <row r="40" spans="3:20" ht="17.25" customHeight="1" x14ac:dyDescent="0.3">
      <c r="C40" s="4" t="s">
        <v>48</v>
      </c>
      <c r="D40" s="11"/>
      <c r="E40" s="11"/>
      <c r="F40" s="12"/>
      <c r="G40" s="53">
        <v>44.138187569999644</v>
      </c>
      <c r="H40" s="54"/>
      <c r="I40" s="53">
        <v>22.989574839999932</v>
      </c>
      <c r="J40" s="54"/>
      <c r="K40" s="53">
        <f>K28-K29-K32-K36-K37-K38-K39-K41</f>
        <v>50.111076390000022</v>
      </c>
      <c r="L40" s="54"/>
      <c r="M40" s="53">
        <v>48.233719030000302</v>
      </c>
      <c r="N40" s="54"/>
      <c r="O40" s="53">
        <f>O28-O29-O32-O36-O37-O38-O39-O41</f>
        <v>44.726760890000037</v>
      </c>
      <c r="P40" s="54"/>
      <c r="Q40" s="53">
        <f t="shared" si="2"/>
        <v>-4</v>
      </c>
      <c r="R40" s="56"/>
      <c r="S40" s="53">
        <f t="shared" si="3"/>
        <v>-5</v>
      </c>
      <c r="T40" s="57"/>
    </row>
    <row r="41" spans="3:20" ht="17.25" customHeight="1" thickBot="1" x14ac:dyDescent="0.35">
      <c r="C41" s="5" t="s">
        <v>8</v>
      </c>
      <c r="D41" s="18"/>
      <c r="E41" s="18"/>
      <c r="F41" s="19"/>
      <c r="G41" s="63">
        <v>-66.534737819999947</v>
      </c>
      <c r="H41" s="64"/>
      <c r="I41" s="63">
        <v>-99.677805049999947</v>
      </c>
      <c r="J41" s="64"/>
      <c r="K41" s="63">
        <v>-194.54125812999999</v>
      </c>
      <c r="L41" s="64"/>
      <c r="M41" s="63">
        <v>-117.31232833</v>
      </c>
      <c r="N41" s="64"/>
      <c r="O41" s="63">
        <v>-383.36731565000002</v>
      </c>
      <c r="P41" s="64"/>
      <c r="Q41" s="63">
        <f t="shared" si="2"/>
        <v>-266</v>
      </c>
      <c r="R41" s="65"/>
      <c r="S41" s="63">
        <f t="shared" si="3"/>
        <v>-189</v>
      </c>
      <c r="T41" s="66"/>
    </row>
    <row r="42" spans="3:20" ht="15" customHeight="1" x14ac:dyDescent="0.3"/>
    <row r="43" spans="3:20" ht="20.25" customHeight="1" thickBot="1" x14ac:dyDescent="0.35">
      <c r="C43" s="26" t="s">
        <v>9</v>
      </c>
      <c r="K43" s="42" t="s">
        <v>102</v>
      </c>
      <c r="L43" s="67"/>
    </row>
    <row r="44" spans="3:20" ht="17.25" customHeight="1" thickBot="1" x14ac:dyDescent="0.35">
      <c r="C44" s="129" t="s">
        <v>13</v>
      </c>
      <c r="D44" s="132"/>
      <c r="E44" s="132"/>
      <c r="F44" s="130"/>
      <c r="G44" s="131" t="s">
        <v>57</v>
      </c>
      <c r="H44" s="130"/>
      <c r="I44" s="131" t="s">
        <v>14</v>
      </c>
      <c r="J44" s="130"/>
      <c r="K44" s="151">
        <v>46173</v>
      </c>
      <c r="L44" s="152"/>
      <c r="M44" s="153">
        <v>46185</v>
      </c>
      <c r="N44" s="154"/>
      <c r="O44" s="153">
        <v>46188</v>
      </c>
      <c r="P44" s="154"/>
      <c r="Q44" s="131" t="s">
        <v>79</v>
      </c>
      <c r="R44" s="130"/>
      <c r="S44" s="131" t="s">
        <v>15</v>
      </c>
      <c r="T44" s="165"/>
    </row>
    <row r="45" spans="3:20" ht="17.25" customHeight="1" thickTop="1" x14ac:dyDescent="0.3">
      <c r="C45" s="193" t="s">
        <v>51</v>
      </c>
      <c r="D45" s="194"/>
      <c r="E45" s="197" t="s">
        <v>52</v>
      </c>
      <c r="F45" s="198"/>
      <c r="G45" s="199" t="s">
        <v>16</v>
      </c>
      <c r="H45" s="200"/>
      <c r="I45" s="199" t="s">
        <v>17</v>
      </c>
      <c r="J45" s="200"/>
      <c r="K45" s="68">
        <v>1.7097690489316</v>
      </c>
      <c r="L45" s="69"/>
      <c r="M45" s="68">
        <v>1.7553407095964</v>
      </c>
      <c r="N45" s="69"/>
      <c r="O45" s="68">
        <v>1.81194277550378</v>
      </c>
      <c r="P45" s="69"/>
      <c r="Q45" s="72">
        <f>IF(O45="","",O45-M45)</f>
        <v>5.6602065907380039E-2</v>
      </c>
      <c r="R45" s="73"/>
      <c r="S45" s="27"/>
      <c r="T45" s="20"/>
    </row>
    <row r="46" spans="3:20" ht="17.25" customHeight="1" x14ac:dyDescent="0.3">
      <c r="C46" s="195"/>
      <c r="D46" s="196"/>
      <c r="E46" s="203" t="s">
        <v>53</v>
      </c>
      <c r="F46" s="169"/>
      <c r="G46" s="201"/>
      <c r="H46" s="202"/>
      <c r="I46" s="201"/>
      <c r="J46" s="202"/>
      <c r="K46" s="70">
        <v>1.7846034738908001</v>
      </c>
      <c r="L46" s="71"/>
      <c r="M46" s="70">
        <v>1.7887179695597699</v>
      </c>
      <c r="N46" s="71"/>
      <c r="O46" s="70">
        <v>1.7909721375330301</v>
      </c>
      <c r="P46" s="71"/>
      <c r="Q46" s="72">
        <f>IF(O46="","",O46-M46)</f>
        <v>2.2541679732601683E-3</v>
      </c>
      <c r="R46" s="73"/>
      <c r="S46" s="28"/>
      <c r="T46" s="21"/>
    </row>
    <row r="47" spans="3:20" ht="17.25" customHeight="1" x14ac:dyDescent="0.3">
      <c r="C47" s="204" t="s">
        <v>54</v>
      </c>
      <c r="D47" s="168"/>
      <c r="E47" s="168"/>
      <c r="F47" s="169"/>
      <c r="G47" s="160" t="s">
        <v>81</v>
      </c>
      <c r="H47" s="169"/>
      <c r="I47" s="160" t="s">
        <v>16</v>
      </c>
      <c r="J47" s="169"/>
      <c r="K47" s="70">
        <v>0.97079045715993895</v>
      </c>
      <c r="L47" s="71"/>
      <c r="M47" s="70">
        <v>0.97303125360918996</v>
      </c>
      <c r="N47" s="71"/>
      <c r="O47" s="70">
        <v>0.95775451260517497</v>
      </c>
      <c r="P47" s="71"/>
      <c r="Q47" s="72">
        <f>IF(O47="","",O47-M47)</f>
        <v>-1.5276741004014993E-2</v>
      </c>
      <c r="R47" s="73"/>
      <c r="S47" s="28"/>
      <c r="T47" s="21"/>
    </row>
    <row r="48" spans="3:20" ht="17.25" customHeight="1" x14ac:dyDescent="0.3">
      <c r="C48" s="204" t="s">
        <v>18</v>
      </c>
      <c r="D48" s="168"/>
      <c r="E48" s="168"/>
      <c r="F48" s="169"/>
      <c r="G48" s="160" t="s">
        <v>17</v>
      </c>
      <c r="H48" s="169"/>
      <c r="I48" s="160" t="s">
        <v>17</v>
      </c>
      <c r="J48" s="169"/>
      <c r="K48" s="70">
        <v>1.7698974166891901</v>
      </c>
      <c r="L48" s="71"/>
      <c r="M48" s="70">
        <v>1.7712863273963899</v>
      </c>
      <c r="N48" s="71"/>
      <c r="O48" s="70">
        <v>1.7266242115311501</v>
      </c>
      <c r="P48" s="71"/>
      <c r="Q48" s="72">
        <f>IF(O48="","",O48-M48)</f>
        <v>-4.4662115865239826E-2</v>
      </c>
      <c r="R48" s="73"/>
      <c r="S48" s="28"/>
      <c r="T48" s="21"/>
    </row>
    <row r="49" spans="3:22" ht="17.25" customHeight="1" thickBot="1" x14ac:dyDescent="0.35">
      <c r="C49" s="205" t="s">
        <v>122</v>
      </c>
      <c r="D49" s="206"/>
      <c r="E49" s="206"/>
      <c r="F49" s="207"/>
      <c r="G49" s="208" t="s">
        <v>120</v>
      </c>
      <c r="H49" s="207"/>
      <c r="I49" s="208" t="s">
        <v>121</v>
      </c>
      <c r="J49" s="207"/>
      <c r="K49" s="104">
        <v>0.7</v>
      </c>
      <c r="L49" s="105"/>
      <c r="M49" s="104">
        <v>0.64976959999999995</v>
      </c>
      <c r="N49" s="105"/>
      <c r="O49" s="104">
        <v>0.78436660000000002</v>
      </c>
      <c r="P49" s="105"/>
      <c r="Q49" s="106">
        <f>IF(O49="","",O49-M49)</f>
        <v>0.13459700000000008</v>
      </c>
      <c r="R49" s="107"/>
      <c r="S49" s="108"/>
      <c r="T49" s="109"/>
    </row>
    <row r="50" spans="3:22" ht="15" customHeight="1" x14ac:dyDescent="0.3"/>
    <row r="51" spans="3:22" ht="17.25" customHeight="1" thickBot="1" x14ac:dyDescent="0.35">
      <c r="C51" s="6" t="s">
        <v>42</v>
      </c>
      <c r="R51" s="74" t="s">
        <v>103</v>
      </c>
      <c r="S51" s="67"/>
      <c r="T51" s="2" t="s">
        <v>49</v>
      </c>
    </row>
    <row r="52" spans="3:22" ht="17.25" customHeight="1" thickBot="1" x14ac:dyDescent="0.35">
      <c r="C52" s="129" t="s">
        <v>13</v>
      </c>
      <c r="D52" s="132"/>
      <c r="E52" s="130"/>
      <c r="F52" s="221" t="s">
        <v>129</v>
      </c>
      <c r="G52" s="222"/>
      <c r="H52" s="223"/>
      <c r="I52" s="131" t="s">
        <v>52</v>
      </c>
      <c r="J52" s="132"/>
      <c r="K52" s="130"/>
      <c r="L52" s="131" t="s">
        <v>53</v>
      </c>
      <c r="M52" s="132"/>
      <c r="N52" s="130"/>
      <c r="O52" s="131" t="s">
        <v>95</v>
      </c>
      <c r="P52" s="132"/>
      <c r="Q52" s="130"/>
      <c r="R52" s="131" t="s">
        <v>39</v>
      </c>
      <c r="S52" s="132"/>
      <c r="T52" s="165"/>
    </row>
    <row r="53" spans="3:22" ht="17.25" customHeight="1" thickTop="1" x14ac:dyDescent="0.3">
      <c r="C53" s="15" t="s">
        <v>40</v>
      </c>
      <c r="D53" s="16"/>
      <c r="E53" s="17"/>
      <c r="F53" s="215">
        <v>30356841</v>
      </c>
      <c r="G53" s="216"/>
      <c r="H53" s="217"/>
      <c r="I53" s="218">
        <v>26278343.309999999</v>
      </c>
      <c r="J53" s="219"/>
      <c r="K53" s="220"/>
      <c r="L53" s="218">
        <v>26701057.600000001</v>
      </c>
      <c r="M53" s="219"/>
      <c r="N53" s="220"/>
      <c r="O53" s="248">
        <v>-3655783</v>
      </c>
      <c r="P53" s="249"/>
      <c r="Q53" s="250"/>
      <c r="R53" s="232">
        <v>46211</v>
      </c>
      <c r="S53" s="233"/>
      <c r="T53" s="234"/>
      <c r="V53" s="1" t="s">
        <v>101</v>
      </c>
    </row>
    <row r="54" spans="3:22" ht="17.25" customHeight="1" thickBot="1" x14ac:dyDescent="0.35">
      <c r="C54" s="22" t="s">
        <v>41</v>
      </c>
      <c r="D54" s="18"/>
      <c r="E54" s="19"/>
      <c r="F54" s="209">
        <v>24656869</v>
      </c>
      <c r="G54" s="210"/>
      <c r="H54" s="211"/>
      <c r="I54" s="212">
        <v>26278343.309999999</v>
      </c>
      <c r="J54" s="213"/>
      <c r="K54" s="214"/>
      <c r="L54" s="212">
        <v>25809093.309999999</v>
      </c>
      <c r="M54" s="213"/>
      <c r="N54" s="214"/>
      <c r="O54" s="251">
        <v>1152224</v>
      </c>
      <c r="P54" s="252"/>
      <c r="Q54" s="253"/>
      <c r="R54" s="235"/>
      <c r="S54" s="236"/>
      <c r="T54" s="237"/>
      <c r="V54" s="1" t="s">
        <v>101</v>
      </c>
    </row>
    <row r="55" spans="3:22" ht="15" customHeight="1" x14ac:dyDescent="0.3">
      <c r="R55" s="75"/>
      <c r="S55" s="74"/>
      <c r="T55" s="74"/>
    </row>
    <row r="56" spans="3:22" ht="17.25" customHeight="1" thickBot="1" x14ac:dyDescent="0.35">
      <c r="C56" s="6" t="s">
        <v>58</v>
      </c>
      <c r="K56" s="42" t="s">
        <v>102</v>
      </c>
      <c r="L56" s="67"/>
    </row>
    <row r="57" spans="3:22" ht="17.25" customHeight="1" thickBot="1" x14ac:dyDescent="0.35">
      <c r="C57" s="129" t="s">
        <v>13</v>
      </c>
      <c r="D57" s="132"/>
      <c r="E57" s="132"/>
      <c r="F57" s="132"/>
      <c r="G57" s="132"/>
      <c r="H57" s="130"/>
      <c r="I57" s="131" t="s">
        <v>64</v>
      </c>
      <c r="J57" s="130"/>
      <c r="K57" s="153">
        <v>46173</v>
      </c>
      <c r="L57" s="154"/>
      <c r="M57" s="153">
        <v>46185</v>
      </c>
      <c r="N57" s="154"/>
      <c r="O57" s="153">
        <v>46188</v>
      </c>
      <c r="P57" s="154"/>
      <c r="Q57" s="153" t="s">
        <v>74</v>
      </c>
      <c r="R57" s="154"/>
      <c r="S57" s="131" t="s">
        <v>15</v>
      </c>
      <c r="T57" s="165"/>
    </row>
    <row r="58" spans="3:22" ht="17.25" customHeight="1" thickTop="1" x14ac:dyDescent="0.3">
      <c r="C58" s="243" t="s">
        <v>75</v>
      </c>
      <c r="D58" s="244"/>
      <c r="E58" s="241" t="s">
        <v>55</v>
      </c>
      <c r="F58" s="245"/>
      <c r="G58" s="245"/>
      <c r="H58" s="244"/>
      <c r="I58" s="241" t="s">
        <v>65</v>
      </c>
      <c r="J58" s="244"/>
      <c r="K58" s="76">
        <v>2.6035244264186734E-2</v>
      </c>
      <c r="L58" s="77"/>
      <c r="M58" s="76">
        <v>3.9503349738830799E-3</v>
      </c>
      <c r="N58" s="77"/>
      <c r="O58" s="76">
        <f>(O37-O20)/O10</f>
        <v>-8.0421448592936512E-3</v>
      </c>
      <c r="P58" s="77"/>
      <c r="Q58" s="254" t="str">
        <f>IF(O58&gt;10%,"해당","")</f>
        <v/>
      </c>
      <c r="R58" s="255"/>
      <c r="S58" s="241"/>
      <c r="T58" s="242"/>
      <c r="V58" s="1" t="s">
        <v>100</v>
      </c>
    </row>
    <row r="59" spans="3:22" ht="17.25" customHeight="1" x14ac:dyDescent="0.3">
      <c r="C59" s="224" t="s">
        <v>50</v>
      </c>
      <c r="D59" s="225"/>
      <c r="E59" s="166" t="s">
        <v>66</v>
      </c>
      <c r="F59" s="228"/>
      <c r="G59" s="228"/>
      <c r="H59" s="229"/>
      <c r="I59" s="166" t="s">
        <v>67</v>
      </c>
      <c r="J59" s="229"/>
      <c r="K59" s="78">
        <v>3.2553654361776659E-2</v>
      </c>
      <c r="L59" s="79"/>
      <c r="M59" s="78">
        <v>-6.5834120177701624E-3</v>
      </c>
      <c r="N59" s="79"/>
      <c r="O59" s="78">
        <f>(SUM(O15,O17,O18,O21)-SUM(K15,K17,K18,K21))/SUM(K15,K17,K18,K21)</f>
        <v>7.2193218161544009E-3</v>
      </c>
      <c r="P59" s="79"/>
      <c r="Q59" s="156" t="str">
        <f>IF(O59&gt;=5%,"해당","")</f>
        <v/>
      </c>
      <c r="R59" s="157"/>
      <c r="S59" s="166" t="s">
        <v>80</v>
      </c>
      <c r="T59" s="167"/>
      <c r="V59" s="1" t="s">
        <v>100</v>
      </c>
    </row>
    <row r="60" spans="3:22" ht="17.25" customHeight="1" x14ac:dyDescent="0.3">
      <c r="C60" s="226"/>
      <c r="D60" s="227"/>
      <c r="E60" s="160" t="s">
        <v>68</v>
      </c>
      <c r="F60" s="168"/>
      <c r="G60" s="168"/>
      <c r="H60" s="169"/>
      <c r="I60" s="230" t="s">
        <v>70</v>
      </c>
      <c r="J60" s="231"/>
      <c r="K60" s="80">
        <v>0.33333333333333298</v>
      </c>
      <c r="L60" s="81"/>
      <c r="M60" s="80">
        <v>0.28358208955223901</v>
      </c>
      <c r="N60" s="81"/>
      <c r="O60" s="80">
        <v>0.29230769230769199</v>
      </c>
      <c r="P60" s="81"/>
      <c r="Q60" s="158" t="str">
        <f>IF(O60&gt;35%,"해당","")</f>
        <v/>
      </c>
      <c r="R60" s="159"/>
      <c r="S60" s="160" t="s">
        <v>115</v>
      </c>
      <c r="T60" s="161"/>
      <c r="V60" s="1" t="s">
        <v>99</v>
      </c>
    </row>
    <row r="61" spans="3:22" ht="17.25" customHeight="1" x14ac:dyDescent="0.3">
      <c r="C61" s="226"/>
      <c r="D61" s="227"/>
      <c r="E61" s="160" t="s">
        <v>69</v>
      </c>
      <c r="F61" s="168"/>
      <c r="G61" s="168"/>
      <c r="H61" s="169"/>
      <c r="I61" s="230" t="s">
        <v>71</v>
      </c>
      <c r="J61" s="231"/>
      <c r="K61" s="80">
        <v>0.158730158730159</v>
      </c>
      <c r="L61" s="81"/>
      <c r="M61" s="80">
        <v>0.17910447761194001</v>
      </c>
      <c r="N61" s="81"/>
      <c r="O61" s="80">
        <v>0.18461538461538499</v>
      </c>
      <c r="P61" s="81"/>
      <c r="Q61" s="158" t="str">
        <f>IF(O61&gt;25%,"해당","")</f>
        <v/>
      </c>
      <c r="R61" s="159"/>
      <c r="S61" s="160" t="s">
        <v>127</v>
      </c>
      <c r="T61" s="161"/>
      <c r="V61" s="1" t="s">
        <v>99</v>
      </c>
    </row>
    <row r="62" spans="3:22" ht="17.25" customHeight="1" x14ac:dyDescent="0.3">
      <c r="C62" s="226"/>
      <c r="D62" s="227"/>
      <c r="E62" s="160" t="s">
        <v>77</v>
      </c>
      <c r="F62" s="168"/>
      <c r="G62" s="168"/>
      <c r="H62" s="169"/>
      <c r="I62" s="160" t="s">
        <v>72</v>
      </c>
      <c r="J62" s="169"/>
      <c r="K62" s="80">
        <v>9.5238095238095205E-2</v>
      </c>
      <c r="L62" s="81"/>
      <c r="M62" s="80">
        <v>8.9552238805970102E-2</v>
      </c>
      <c r="N62" s="81"/>
      <c r="O62" s="80">
        <v>9.2307692307692299E-2</v>
      </c>
      <c r="P62" s="81"/>
      <c r="Q62" s="158" t="str">
        <f>IF(O62&gt;20%,"해당","")</f>
        <v/>
      </c>
      <c r="R62" s="159"/>
      <c r="S62" s="160" t="s">
        <v>124</v>
      </c>
      <c r="T62" s="161"/>
      <c r="V62" s="1" t="s">
        <v>99</v>
      </c>
    </row>
    <row r="63" spans="3:22" ht="17.25" customHeight="1" thickBot="1" x14ac:dyDescent="0.35">
      <c r="C63" s="205"/>
      <c r="D63" s="207"/>
      <c r="E63" s="162" t="s">
        <v>76</v>
      </c>
      <c r="F63" s="163"/>
      <c r="G63" s="163"/>
      <c r="H63" s="164"/>
      <c r="I63" s="162" t="s">
        <v>73</v>
      </c>
      <c r="J63" s="164"/>
      <c r="K63" s="82">
        <v>0.30158730158730201</v>
      </c>
      <c r="L63" s="83"/>
      <c r="M63" s="82">
        <v>0.28358208955223901</v>
      </c>
      <c r="N63" s="83"/>
      <c r="O63" s="82">
        <v>0.29230769230769199</v>
      </c>
      <c r="P63" s="83"/>
      <c r="Q63" s="238" t="str">
        <f>IF(O63&gt;30%,"해당","")</f>
        <v/>
      </c>
      <c r="R63" s="239"/>
      <c r="S63" s="162"/>
      <c r="T63" s="240"/>
      <c r="V63" s="1" t="s">
        <v>99</v>
      </c>
    </row>
    <row r="64" spans="3:22" ht="15" customHeight="1" x14ac:dyDescent="0.3"/>
    <row r="65" spans="3:23" ht="17.25" customHeight="1" x14ac:dyDescent="0.3">
      <c r="C65" s="155" t="s">
        <v>19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</row>
    <row r="66" spans="3:23" ht="15" customHeight="1" x14ac:dyDescent="0.3"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3:23" ht="20.100000000000001" customHeight="1" x14ac:dyDescent="0.3">
      <c r="C67" s="8" t="s">
        <v>35</v>
      </c>
      <c r="W67" s="38"/>
    </row>
    <row r="68" spans="3:23" ht="17.25" customHeight="1" thickBot="1" x14ac:dyDescent="0.35">
      <c r="C68" s="7" t="s">
        <v>105</v>
      </c>
      <c r="T68" s="2" t="s">
        <v>37</v>
      </c>
    </row>
    <row r="69" spans="3:23" ht="17.25" customHeight="1" thickBot="1" x14ac:dyDescent="0.35">
      <c r="C69" s="129" t="s">
        <v>20</v>
      </c>
      <c r="D69" s="130"/>
      <c r="E69" s="13" t="s">
        <v>21</v>
      </c>
      <c r="F69" s="131" t="s">
        <v>22</v>
      </c>
      <c r="G69" s="132"/>
      <c r="H69" s="130"/>
      <c r="I69" s="131" t="s">
        <v>23</v>
      </c>
      <c r="J69" s="130"/>
      <c r="K69" s="131" t="s">
        <v>62</v>
      </c>
      <c r="L69" s="130"/>
      <c r="M69" s="131" t="s">
        <v>25</v>
      </c>
      <c r="N69" s="130"/>
      <c r="O69" s="131" t="s">
        <v>98</v>
      </c>
      <c r="P69" s="130"/>
      <c r="Q69" s="131" t="s">
        <v>27</v>
      </c>
      <c r="R69" s="132"/>
      <c r="S69" s="130"/>
      <c r="T69" s="14" t="s">
        <v>15</v>
      </c>
    </row>
    <row r="70" spans="3:23" ht="17.25" customHeight="1" thickTop="1" x14ac:dyDescent="0.3">
      <c r="C70" s="15" t="s">
        <v>61</v>
      </c>
      <c r="D70" s="16"/>
      <c r="E70" s="36">
        <f t="shared" ref="E70:E76" si="4">O70-M70</f>
        <v>1</v>
      </c>
      <c r="F70" s="148" t="s">
        <v>107</v>
      </c>
      <c r="G70" s="149"/>
      <c r="H70" s="150"/>
      <c r="I70" s="102" t="s">
        <v>132</v>
      </c>
      <c r="J70" s="85"/>
      <c r="K70" s="84">
        <v>26.779810000000001</v>
      </c>
      <c r="L70" s="85"/>
      <c r="M70" s="146">
        <v>46188</v>
      </c>
      <c r="N70" s="147"/>
      <c r="O70" s="146">
        <v>46189</v>
      </c>
      <c r="P70" s="147"/>
      <c r="Q70" s="256">
        <v>3.6400000000000002E-2</v>
      </c>
      <c r="R70" s="257"/>
      <c r="S70" s="258"/>
      <c r="T70" s="33"/>
    </row>
    <row r="71" spans="3:23" ht="17.25" customHeight="1" x14ac:dyDescent="0.3">
      <c r="C71" s="10" t="s">
        <v>60</v>
      </c>
      <c r="D71" s="11"/>
      <c r="E71" s="37">
        <f t="shared" si="4"/>
        <v>1</v>
      </c>
      <c r="F71" s="136" t="s">
        <v>108</v>
      </c>
      <c r="G71" s="137"/>
      <c r="H71" s="138"/>
      <c r="I71" s="103" t="s">
        <v>133</v>
      </c>
      <c r="J71" s="41"/>
      <c r="K71" s="40">
        <v>0.78446099999999996</v>
      </c>
      <c r="L71" s="41"/>
      <c r="M71" s="144">
        <v>46188</v>
      </c>
      <c r="N71" s="145"/>
      <c r="O71" s="144">
        <v>46189</v>
      </c>
      <c r="P71" s="145"/>
      <c r="Q71" s="139">
        <v>3.1399999999999997E-2</v>
      </c>
      <c r="R71" s="140"/>
      <c r="S71" s="141"/>
      <c r="T71" s="34"/>
    </row>
    <row r="72" spans="3:23" ht="17.25" customHeight="1" x14ac:dyDescent="0.3">
      <c r="C72" s="10" t="s">
        <v>59</v>
      </c>
      <c r="D72" s="11"/>
      <c r="E72" s="37">
        <f t="shared" si="4"/>
        <v>1</v>
      </c>
      <c r="F72" s="136" t="s">
        <v>109</v>
      </c>
      <c r="G72" s="137"/>
      <c r="H72" s="138"/>
      <c r="I72" s="103" t="s">
        <v>134</v>
      </c>
      <c r="J72" s="41"/>
      <c r="K72" s="40">
        <v>9.3788630000000008</v>
      </c>
      <c r="L72" s="41"/>
      <c r="M72" s="144">
        <v>46188</v>
      </c>
      <c r="N72" s="145"/>
      <c r="O72" s="144">
        <v>46189</v>
      </c>
      <c r="P72" s="145"/>
      <c r="Q72" s="139">
        <v>3.1E-2</v>
      </c>
      <c r="R72" s="140"/>
      <c r="S72" s="141"/>
      <c r="T72" s="34"/>
    </row>
    <row r="73" spans="3:23" ht="17.25" customHeight="1" x14ac:dyDescent="0.3">
      <c r="C73" s="10" t="s">
        <v>59</v>
      </c>
      <c r="D73" s="11"/>
      <c r="E73" s="35">
        <f t="shared" si="4"/>
        <v>1</v>
      </c>
      <c r="F73" s="136" t="s">
        <v>110</v>
      </c>
      <c r="G73" s="137"/>
      <c r="H73" s="138"/>
      <c r="I73" s="103" t="s">
        <v>135</v>
      </c>
      <c r="J73" s="41"/>
      <c r="K73" s="40">
        <v>7.1993809999999998</v>
      </c>
      <c r="L73" s="41"/>
      <c r="M73" s="144">
        <v>46188</v>
      </c>
      <c r="N73" s="145"/>
      <c r="O73" s="144">
        <v>46189</v>
      </c>
      <c r="P73" s="145"/>
      <c r="Q73" s="139">
        <v>3.0800000000000001E-2</v>
      </c>
      <c r="R73" s="140"/>
      <c r="S73" s="141"/>
      <c r="T73" s="34"/>
    </row>
    <row r="74" spans="3:23" ht="17.25" customHeight="1" x14ac:dyDescent="0.3">
      <c r="C74" s="10" t="s">
        <v>59</v>
      </c>
      <c r="D74" s="11"/>
      <c r="E74" s="35">
        <f t="shared" si="4"/>
        <v>1</v>
      </c>
      <c r="F74" s="136" t="s">
        <v>111</v>
      </c>
      <c r="G74" s="137"/>
      <c r="H74" s="138"/>
      <c r="I74" s="103" t="s">
        <v>136</v>
      </c>
      <c r="J74" s="41"/>
      <c r="K74" s="40">
        <v>0.49747200000000003</v>
      </c>
      <c r="L74" s="41"/>
      <c r="M74" s="144">
        <v>46188</v>
      </c>
      <c r="N74" s="145"/>
      <c r="O74" s="144">
        <v>46189</v>
      </c>
      <c r="P74" s="145"/>
      <c r="Q74" s="139">
        <v>3.0499999999999999E-2</v>
      </c>
      <c r="R74" s="140"/>
      <c r="S74" s="141"/>
      <c r="T74" s="34"/>
    </row>
    <row r="75" spans="3:23" ht="17.25" customHeight="1" x14ac:dyDescent="0.3">
      <c r="C75" s="10" t="s">
        <v>59</v>
      </c>
      <c r="D75" s="11"/>
      <c r="E75" s="35">
        <f t="shared" si="4"/>
        <v>1</v>
      </c>
      <c r="F75" s="136" t="s">
        <v>112</v>
      </c>
      <c r="G75" s="137"/>
      <c r="H75" s="138"/>
      <c r="I75" s="103" t="s">
        <v>131</v>
      </c>
      <c r="J75" s="41"/>
      <c r="K75" s="40">
        <v>4.9837109999999996</v>
      </c>
      <c r="L75" s="41"/>
      <c r="M75" s="144">
        <v>46188</v>
      </c>
      <c r="N75" s="145"/>
      <c r="O75" s="144">
        <v>46189</v>
      </c>
      <c r="P75" s="145"/>
      <c r="Q75" s="139">
        <v>3.1199999999999999E-2</v>
      </c>
      <c r="R75" s="140"/>
      <c r="S75" s="141"/>
      <c r="T75" s="34"/>
    </row>
    <row r="76" spans="3:23" ht="17.25" customHeight="1" thickBot="1" x14ac:dyDescent="0.35">
      <c r="C76" s="10" t="s">
        <v>59</v>
      </c>
      <c r="D76" s="11"/>
      <c r="E76" s="35">
        <f t="shared" si="4"/>
        <v>1</v>
      </c>
      <c r="F76" s="136" t="s">
        <v>113</v>
      </c>
      <c r="G76" s="137"/>
      <c r="H76" s="138"/>
      <c r="I76" s="103" t="s">
        <v>137</v>
      </c>
      <c r="J76" s="41"/>
      <c r="K76" s="40">
        <v>0.65682786999999998</v>
      </c>
      <c r="L76" s="41"/>
      <c r="M76" s="144">
        <v>46188</v>
      </c>
      <c r="N76" s="145"/>
      <c r="O76" s="144">
        <v>46189</v>
      </c>
      <c r="P76" s="145"/>
      <c r="Q76" s="139">
        <v>2.2499999999999999E-2</v>
      </c>
      <c r="R76" s="140"/>
      <c r="S76" s="141"/>
      <c r="T76" s="34"/>
    </row>
    <row r="77" spans="3:23" ht="15" customHeight="1" x14ac:dyDescent="0.3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3:23" ht="17.25" customHeight="1" thickBot="1" x14ac:dyDescent="0.35">
      <c r="C78" s="7" t="s">
        <v>106</v>
      </c>
      <c r="T78" s="2" t="s">
        <v>10</v>
      </c>
    </row>
    <row r="79" spans="3:23" ht="17.25" customHeight="1" thickBot="1" x14ac:dyDescent="0.35">
      <c r="C79" s="129" t="s">
        <v>20</v>
      </c>
      <c r="D79" s="130"/>
      <c r="E79" s="118" t="s">
        <v>21</v>
      </c>
      <c r="F79" s="131" t="s">
        <v>22</v>
      </c>
      <c r="G79" s="132"/>
      <c r="H79" s="130"/>
      <c r="I79" s="131" t="s">
        <v>23</v>
      </c>
      <c r="J79" s="130"/>
      <c r="K79" s="131" t="s">
        <v>62</v>
      </c>
      <c r="L79" s="130"/>
      <c r="M79" s="131" t="s">
        <v>25</v>
      </c>
      <c r="N79" s="130"/>
      <c r="O79" s="131" t="s">
        <v>26</v>
      </c>
      <c r="P79" s="130"/>
      <c r="Q79" s="131" t="s">
        <v>27</v>
      </c>
      <c r="R79" s="132"/>
      <c r="S79" s="130"/>
      <c r="T79" s="14" t="s">
        <v>15</v>
      </c>
    </row>
    <row r="80" spans="3:23" ht="18" customHeight="1" thickTop="1" thickBot="1" x14ac:dyDescent="0.35">
      <c r="C80" s="100" t="s">
        <v>130</v>
      </c>
      <c r="D80" s="101"/>
      <c r="E80" s="110">
        <f>O80-M80</f>
        <v>1</v>
      </c>
      <c r="F80" s="133" t="s">
        <v>138</v>
      </c>
      <c r="G80" s="134"/>
      <c r="H80" s="135"/>
      <c r="I80" s="111" t="s">
        <v>139</v>
      </c>
      <c r="J80" s="112"/>
      <c r="K80" s="113">
        <v>50</v>
      </c>
      <c r="L80" s="112"/>
      <c r="M80" s="142">
        <v>46188</v>
      </c>
      <c r="N80" s="143"/>
      <c r="O80" s="142">
        <v>46189</v>
      </c>
      <c r="P80" s="143"/>
      <c r="Q80" s="259">
        <v>3.6499999999999998E-2</v>
      </c>
      <c r="R80" s="260"/>
      <c r="S80" s="261"/>
      <c r="T80" s="114"/>
    </row>
    <row r="81" spans="3:22" ht="15" customHeight="1" x14ac:dyDescent="0.3"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</row>
    <row r="82" spans="3:22" ht="17.25" customHeight="1" thickBot="1" x14ac:dyDescent="0.35">
      <c r="C82" s="7" t="s">
        <v>29</v>
      </c>
      <c r="T82" s="2" t="s">
        <v>10</v>
      </c>
    </row>
    <row r="83" spans="3:22" ht="17.25" customHeight="1" thickBot="1" x14ac:dyDescent="0.35">
      <c r="C83" s="129" t="s">
        <v>20</v>
      </c>
      <c r="D83" s="130"/>
      <c r="E83" s="118" t="s">
        <v>21</v>
      </c>
      <c r="F83" s="131" t="s">
        <v>22</v>
      </c>
      <c r="G83" s="132"/>
      <c r="H83" s="130"/>
      <c r="I83" s="131" t="s">
        <v>23</v>
      </c>
      <c r="J83" s="130"/>
      <c r="K83" s="131" t="s">
        <v>62</v>
      </c>
      <c r="L83" s="130"/>
      <c r="M83" s="131" t="s">
        <v>25</v>
      </c>
      <c r="N83" s="130"/>
      <c r="O83" s="131" t="s">
        <v>26</v>
      </c>
      <c r="P83" s="130"/>
      <c r="Q83" s="131" t="s">
        <v>27</v>
      </c>
      <c r="R83" s="132"/>
      <c r="S83" s="130"/>
      <c r="T83" s="14" t="s">
        <v>15</v>
      </c>
    </row>
    <row r="84" spans="3:22" ht="18" customHeight="1" thickTop="1" thickBot="1" x14ac:dyDescent="0.35">
      <c r="C84" s="100"/>
      <c r="D84" s="101"/>
      <c r="E84" s="110"/>
      <c r="F84" s="133"/>
      <c r="G84" s="134"/>
      <c r="H84" s="135"/>
      <c r="I84" s="111"/>
      <c r="J84" s="112"/>
      <c r="K84" s="113"/>
      <c r="L84" s="112"/>
      <c r="M84" s="142"/>
      <c r="N84" s="143"/>
      <c r="O84" s="142"/>
      <c r="P84" s="143"/>
      <c r="Q84" s="259"/>
      <c r="R84" s="260"/>
      <c r="S84" s="261"/>
      <c r="T84" s="114"/>
    </row>
    <row r="85" spans="3:22" ht="15" customHeight="1" x14ac:dyDescent="0.3"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</row>
    <row r="86" spans="3:22" ht="17.25" customHeight="1" thickBot="1" x14ac:dyDescent="0.35">
      <c r="C86" s="7" t="s">
        <v>30</v>
      </c>
      <c r="T86" s="2" t="s">
        <v>38</v>
      </c>
    </row>
    <row r="87" spans="3:22" ht="17.25" customHeight="1" thickBot="1" x14ac:dyDescent="0.35">
      <c r="C87" s="129" t="s">
        <v>20</v>
      </c>
      <c r="D87" s="130"/>
      <c r="E87" s="118" t="s">
        <v>21</v>
      </c>
      <c r="F87" s="131" t="s">
        <v>22</v>
      </c>
      <c r="G87" s="132"/>
      <c r="H87" s="130"/>
      <c r="I87" s="131" t="s">
        <v>34</v>
      </c>
      <c r="J87" s="130"/>
      <c r="K87" s="131" t="s">
        <v>31</v>
      </c>
      <c r="L87" s="130"/>
      <c r="M87" s="131" t="s">
        <v>32</v>
      </c>
      <c r="N87" s="130"/>
      <c r="O87" s="131" t="s">
        <v>33</v>
      </c>
      <c r="P87" s="130"/>
      <c r="Q87" s="131" t="s">
        <v>25</v>
      </c>
      <c r="R87" s="130"/>
      <c r="S87" s="131" t="s">
        <v>26</v>
      </c>
      <c r="T87" s="165"/>
    </row>
    <row r="88" spans="3:22" ht="17.25" customHeight="1" thickTop="1" thickBot="1" x14ac:dyDescent="0.35">
      <c r="C88" s="100"/>
      <c r="D88" s="101"/>
      <c r="E88" s="115"/>
      <c r="F88" s="133"/>
      <c r="G88" s="134"/>
      <c r="H88" s="135"/>
      <c r="I88" s="246"/>
      <c r="J88" s="247"/>
      <c r="K88" s="116"/>
      <c r="L88" s="117"/>
      <c r="M88" s="246"/>
      <c r="N88" s="247"/>
      <c r="O88" s="116"/>
      <c r="P88" s="117"/>
      <c r="Q88" s="142"/>
      <c r="R88" s="143"/>
      <c r="S88" s="142"/>
      <c r="T88" s="274"/>
    </row>
    <row r="89" spans="3:22" ht="11.25" customHeight="1" x14ac:dyDescent="0.3"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</row>
    <row r="90" spans="3:22" ht="17.25" customHeight="1" thickBot="1" x14ac:dyDescent="0.35">
      <c r="C90" s="8" t="s">
        <v>63</v>
      </c>
      <c r="T90" s="2" t="s">
        <v>10</v>
      </c>
    </row>
    <row r="91" spans="3:22" ht="17.25" customHeight="1" thickBot="1" x14ac:dyDescent="0.35">
      <c r="C91" s="129" t="s">
        <v>22</v>
      </c>
      <c r="D91" s="132"/>
      <c r="E91" s="130"/>
      <c r="F91" s="13" t="s">
        <v>21</v>
      </c>
      <c r="G91" s="132" t="s">
        <v>23</v>
      </c>
      <c r="H91" s="130"/>
      <c r="I91" s="131" t="s">
        <v>24</v>
      </c>
      <c r="J91" s="130"/>
      <c r="K91" s="131" t="s">
        <v>25</v>
      </c>
      <c r="L91" s="130"/>
      <c r="M91" s="131" t="s">
        <v>26</v>
      </c>
      <c r="N91" s="130"/>
      <c r="O91" s="131" t="s">
        <v>27</v>
      </c>
      <c r="P91" s="132"/>
      <c r="Q91" s="132"/>
      <c r="R91" s="130"/>
      <c r="S91" s="132" t="s">
        <v>28</v>
      </c>
      <c r="T91" s="165"/>
    </row>
    <row r="92" spans="3:22" ht="17.25" customHeight="1" thickTop="1" x14ac:dyDescent="0.3">
      <c r="C92" s="262" t="s">
        <v>114</v>
      </c>
      <c r="D92" s="263"/>
      <c r="E92" s="264"/>
      <c r="F92" s="87">
        <f>M92-K92</f>
        <v>367</v>
      </c>
      <c r="G92" s="270" t="s">
        <v>118</v>
      </c>
      <c r="H92" s="271"/>
      <c r="I92" s="88">
        <v>20</v>
      </c>
      <c r="J92" s="89"/>
      <c r="K92" s="265">
        <v>45835</v>
      </c>
      <c r="L92" s="266"/>
      <c r="M92" s="265">
        <v>46202</v>
      </c>
      <c r="N92" s="266"/>
      <c r="O92" s="267">
        <v>4.1162000000000004E-2</v>
      </c>
      <c r="P92" s="268"/>
      <c r="Q92" s="268"/>
      <c r="R92" s="269"/>
      <c r="S92" s="272"/>
      <c r="T92" s="273"/>
      <c r="V92" s="39"/>
    </row>
    <row r="93" spans="3:22" ht="17.25" customHeight="1" x14ac:dyDescent="0.3">
      <c r="C93" s="119" t="s">
        <v>117</v>
      </c>
      <c r="D93" s="120"/>
      <c r="E93" s="121"/>
      <c r="F93" s="92">
        <f>M93-K93</f>
        <v>367</v>
      </c>
      <c r="G93" s="125" t="s">
        <v>118</v>
      </c>
      <c r="H93" s="126"/>
      <c r="I93" s="90">
        <v>20</v>
      </c>
      <c r="J93" s="93"/>
      <c r="K93" s="127">
        <v>45849</v>
      </c>
      <c r="L93" s="128"/>
      <c r="M93" s="127">
        <v>46216</v>
      </c>
      <c r="N93" s="128"/>
      <c r="O93" s="122">
        <v>4.1189999999999997E-2</v>
      </c>
      <c r="P93" s="123"/>
      <c r="Q93" s="123"/>
      <c r="R93" s="124"/>
      <c r="S93" s="91"/>
      <c r="T93" s="94"/>
      <c r="V93" s="39"/>
    </row>
    <row r="94" spans="3:22" ht="17.25" customHeight="1" x14ac:dyDescent="0.3">
      <c r="C94" s="119" t="s">
        <v>116</v>
      </c>
      <c r="D94" s="120"/>
      <c r="E94" s="121"/>
      <c r="F94" s="92">
        <f>M94-K94</f>
        <v>367</v>
      </c>
      <c r="G94" s="125" t="s">
        <v>118</v>
      </c>
      <c r="H94" s="126"/>
      <c r="I94" s="90">
        <v>20</v>
      </c>
      <c r="J94" s="93"/>
      <c r="K94" s="127">
        <v>45863</v>
      </c>
      <c r="L94" s="128"/>
      <c r="M94" s="127">
        <v>46230</v>
      </c>
      <c r="N94" s="128"/>
      <c r="O94" s="122">
        <v>4.0866E-2</v>
      </c>
      <c r="P94" s="123"/>
      <c r="Q94" s="123"/>
      <c r="R94" s="124"/>
      <c r="S94" s="91"/>
      <c r="T94" s="94"/>
      <c r="V94" s="39"/>
    </row>
    <row r="95" spans="3:22" ht="17.25" customHeight="1" x14ac:dyDescent="0.3">
      <c r="C95" s="119" t="s">
        <v>119</v>
      </c>
      <c r="D95" s="120"/>
      <c r="E95" s="121"/>
      <c r="F95" s="92">
        <f>M95-K95</f>
        <v>242</v>
      </c>
      <c r="G95" s="125" t="s">
        <v>118</v>
      </c>
      <c r="H95" s="126"/>
      <c r="I95" s="90">
        <v>20</v>
      </c>
      <c r="J95" s="93"/>
      <c r="K95" s="127">
        <v>45989</v>
      </c>
      <c r="L95" s="128"/>
      <c r="M95" s="127">
        <v>46231</v>
      </c>
      <c r="N95" s="128"/>
      <c r="O95" s="122">
        <v>4.0419999999999998E-2</v>
      </c>
      <c r="P95" s="123"/>
      <c r="Q95" s="123"/>
      <c r="R95" s="124"/>
      <c r="S95" s="91"/>
      <c r="T95" s="94"/>
      <c r="V95" s="39"/>
    </row>
    <row r="96" spans="3:22" ht="17.25" customHeight="1" x14ac:dyDescent="0.3">
      <c r="C96" s="119" t="s">
        <v>117</v>
      </c>
      <c r="D96" s="120"/>
      <c r="E96" s="121"/>
      <c r="F96" s="92">
        <f>M96-K96</f>
        <v>368</v>
      </c>
      <c r="G96" s="125" t="s">
        <v>118</v>
      </c>
      <c r="H96" s="126"/>
      <c r="I96" s="90">
        <v>20</v>
      </c>
      <c r="J96" s="93"/>
      <c r="K96" s="127">
        <v>45877</v>
      </c>
      <c r="L96" s="128"/>
      <c r="M96" s="127">
        <v>46245</v>
      </c>
      <c r="N96" s="128"/>
      <c r="O96" s="122">
        <v>4.0732999999999998E-2</v>
      </c>
      <c r="P96" s="123"/>
      <c r="Q96" s="123"/>
      <c r="R96" s="124"/>
      <c r="S96" s="91"/>
      <c r="T96" s="94"/>
      <c r="V96" s="39"/>
    </row>
    <row r="97" spans="3:22" ht="17.25" customHeight="1" x14ac:dyDescent="0.3">
      <c r="C97" s="119" t="s">
        <v>123</v>
      </c>
      <c r="D97" s="120"/>
      <c r="E97" s="121"/>
      <c r="F97" s="92">
        <f>M97-K97</f>
        <v>731</v>
      </c>
      <c r="G97" s="125" t="s">
        <v>118</v>
      </c>
      <c r="H97" s="126"/>
      <c r="I97" s="90">
        <v>20</v>
      </c>
      <c r="J97" s="93"/>
      <c r="K97" s="127">
        <v>45520</v>
      </c>
      <c r="L97" s="128"/>
      <c r="M97" s="127">
        <v>46251</v>
      </c>
      <c r="N97" s="128"/>
      <c r="O97" s="122">
        <v>4.5411E-2</v>
      </c>
      <c r="P97" s="123"/>
      <c r="Q97" s="123"/>
      <c r="R97" s="124"/>
      <c r="S97" s="91"/>
      <c r="T97" s="94"/>
      <c r="V97" s="39"/>
    </row>
    <row r="98" spans="3:22" ht="17.25" customHeight="1" x14ac:dyDescent="0.3">
      <c r="C98" s="119" t="s">
        <v>125</v>
      </c>
      <c r="D98" s="120"/>
      <c r="E98" s="121"/>
      <c r="F98" s="92">
        <f>M98-K98</f>
        <v>367</v>
      </c>
      <c r="G98" s="125" t="s">
        <v>118</v>
      </c>
      <c r="H98" s="126"/>
      <c r="I98" s="90">
        <v>20</v>
      </c>
      <c r="J98" s="93"/>
      <c r="K98" s="127">
        <v>45898</v>
      </c>
      <c r="L98" s="128"/>
      <c r="M98" s="127">
        <v>46265</v>
      </c>
      <c r="N98" s="128"/>
      <c r="O98" s="122">
        <v>4.0857999999999998E-2</v>
      </c>
      <c r="P98" s="123"/>
      <c r="Q98" s="123"/>
      <c r="R98" s="124"/>
      <c r="S98" s="91"/>
      <c r="T98" s="94"/>
      <c r="V98" s="39"/>
    </row>
    <row r="99" spans="3:22" ht="17.25" customHeight="1" thickBot="1" x14ac:dyDescent="0.35">
      <c r="C99" s="282" t="s">
        <v>126</v>
      </c>
      <c r="D99" s="283"/>
      <c r="E99" s="284"/>
      <c r="F99" s="95">
        <f>M99-K99</f>
        <v>124</v>
      </c>
      <c r="G99" s="275" t="s">
        <v>128</v>
      </c>
      <c r="H99" s="276"/>
      <c r="I99" s="96">
        <v>30</v>
      </c>
      <c r="J99" s="97"/>
      <c r="K99" s="277">
        <v>46149</v>
      </c>
      <c r="L99" s="278"/>
      <c r="M99" s="277">
        <v>46273</v>
      </c>
      <c r="N99" s="278"/>
      <c r="O99" s="279">
        <v>0.04</v>
      </c>
      <c r="P99" s="280"/>
      <c r="Q99" s="280"/>
      <c r="R99" s="281"/>
      <c r="S99" s="98"/>
      <c r="T99" s="99"/>
      <c r="V99" s="39"/>
    </row>
    <row r="100" spans="3:22" x14ac:dyDescent="0.3"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</row>
    <row r="101" spans="3:22" x14ac:dyDescent="0.3">
      <c r="V101" s="39"/>
    </row>
  </sheetData>
  <sortState xmlns:xlrd2="http://schemas.microsoft.com/office/spreadsheetml/2017/richdata2" ref="C80:T80">
    <sortCondition ref="O80"/>
  </sortState>
  <mergeCells count="215">
    <mergeCell ref="C94:E94"/>
    <mergeCell ref="C95:E95"/>
    <mergeCell ref="C96:E96"/>
    <mergeCell ref="C97:E97"/>
    <mergeCell ref="C98:E98"/>
    <mergeCell ref="C99:E99"/>
    <mergeCell ref="O97:R97"/>
    <mergeCell ref="G98:H98"/>
    <mergeCell ref="K98:L98"/>
    <mergeCell ref="M98:N98"/>
    <mergeCell ref="O98:R98"/>
    <mergeCell ref="G99:H99"/>
    <mergeCell ref="K99:L99"/>
    <mergeCell ref="M99:N99"/>
    <mergeCell ref="O99:R99"/>
    <mergeCell ref="G93:H93"/>
    <mergeCell ref="K93:L93"/>
    <mergeCell ref="M93:N93"/>
    <mergeCell ref="O93:R93"/>
    <mergeCell ref="G94:H94"/>
    <mergeCell ref="K94:L94"/>
    <mergeCell ref="M94:N94"/>
    <mergeCell ref="O94:R94"/>
    <mergeCell ref="G95:H95"/>
    <mergeCell ref="K95:L95"/>
    <mergeCell ref="M95:N95"/>
    <mergeCell ref="O95:R95"/>
    <mergeCell ref="G96:H96"/>
    <mergeCell ref="K96:L96"/>
    <mergeCell ref="M96:N96"/>
    <mergeCell ref="O96:R96"/>
    <mergeCell ref="G97:H97"/>
    <mergeCell ref="K97:L97"/>
    <mergeCell ref="M97:N97"/>
    <mergeCell ref="C92:E92"/>
    <mergeCell ref="C91:E91"/>
    <mergeCell ref="G91:H91"/>
    <mergeCell ref="M84:N84"/>
    <mergeCell ref="K92:L92"/>
    <mergeCell ref="M92:N92"/>
    <mergeCell ref="O92:R92"/>
    <mergeCell ref="O84:P84"/>
    <mergeCell ref="Q84:S84"/>
    <mergeCell ref="F88:H88"/>
    <mergeCell ref="I91:J91"/>
    <mergeCell ref="K91:L91"/>
    <mergeCell ref="G92:H92"/>
    <mergeCell ref="S92:T92"/>
    <mergeCell ref="Q87:R87"/>
    <mergeCell ref="S88:T88"/>
    <mergeCell ref="S87:T87"/>
    <mergeCell ref="M88:N88"/>
    <mergeCell ref="Q88:R88"/>
    <mergeCell ref="M91:N91"/>
    <mergeCell ref="O91:R91"/>
    <mergeCell ref="S91:T91"/>
    <mergeCell ref="M87:N87"/>
    <mergeCell ref="O87:P87"/>
    <mergeCell ref="I88:J88"/>
    <mergeCell ref="K87:L87"/>
    <mergeCell ref="L53:N53"/>
    <mergeCell ref="K57:L57"/>
    <mergeCell ref="M57:N57"/>
    <mergeCell ref="O57:P57"/>
    <mergeCell ref="O53:Q53"/>
    <mergeCell ref="L54:N54"/>
    <mergeCell ref="O54:Q54"/>
    <mergeCell ref="Q58:R58"/>
    <mergeCell ref="Q70:S70"/>
    <mergeCell ref="O69:P69"/>
    <mergeCell ref="Q69:S69"/>
    <mergeCell ref="O76:P76"/>
    <mergeCell ref="O75:P75"/>
    <mergeCell ref="M75:N75"/>
    <mergeCell ref="M76:N76"/>
    <mergeCell ref="Q75:S75"/>
    <mergeCell ref="Q80:S80"/>
    <mergeCell ref="C48:F48"/>
    <mergeCell ref="G48:H48"/>
    <mergeCell ref="I48:J48"/>
    <mergeCell ref="C52:E52"/>
    <mergeCell ref="F53:H53"/>
    <mergeCell ref="I53:K53"/>
    <mergeCell ref="F52:H52"/>
    <mergeCell ref="I52:K52"/>
    <mergeCell ref="C59:D63"/>
    <mergeCell ref="E59:H59"/>
    <mergeCell ref="I59:J59"/>
    <mergeCell ref="E62:H62"/>
    <mergeCell ref="I62:J62"/>
    <mergeCell ref="E61:H61"/>
    <mergeCell ref="I61:J61"/>
    <mergeCell ref="I60:J60"/>
    <mergeCell ref="I63:J63"/>
    <mergeCell ref="C58:D58"/>
    <mergeCell ref="E58:H58"/>
    <mergeCell ref="I58:J58"/>
    <mergeCell ref="Q26:T26"/>
    <mergeCell ref="C45:D46"/>
    <mergeCell ref="E45:F45"/>
    <mergeCell ref="G45:H46"/>
    <mergeCell ref="I45:J46"/>
    <mergeCell ref="E46:F46"/>
    <mergeCell ref="S44:T44"/>
    <mergeCell ref="C47:F47"/>
    <mergeCell ref="G47:H47"/>
    <mergeCell ref="I47:J47"/>
    <mergeCell ref="G27:H27"/>
    <mergeCell ref="I27:J27"/>
    <mergeCell ref="S27:T27"/>
    <mergeCell ref="C26:F27"/>
    <mergeCell ref="G26:H26"/>
    <mergeCell ref="I26:J26"/>
    <mergeCell ref="K26:L26"/>
    <mergeCell ref="M26:N27"/>
    <mergeCell ref="O26:P27"/>
    <mergeCell ref="K27:L27"/>
    <mergeCell ref="Q27:R27"/>
    <mergeCell ref="I9:J9"/>
    <mergeCell ref="K9:L9"/>
    <mergeCell ref="C3:T3"/>
    <mergeCell ref="C4:T4"/>
    <mergeCell ref="C8:F9"/>
    <mergeCell ref="G8:H8"/>
    <mergeCell ref="I8:J8"/>
    <mergeCell ref="K8:L8"/>
    <mergeCell ref="M8:N9"/>
    <mergeCell ref="O8:P9"/>
    <mergeCell ref="Q8:T8"/>
    <mergeCell ref="G9:H9"/>
    <mergeCell ref="Q9:R9"/>
    <mergeCell ref="S9:T9"/>
    <mergeCell ref="C44:F44"/>
    <mergeCell ref="G44:H44"/>
    <mergeCell ref="I44:J44"/>
    <mergeCell ref="Q44:R44"/>
    <mergeCell ref="K44:L44"/>
    <mergeCell ref="M44:N44"/>
    <mergeCell ref="O44:P44"/>
    <mergeCell ref="C65:T65"/>
    <mergeCell ref="C69:D69"/>
    <mergeCell ref="Q59:R59"/>
    <mergeCell ref="Q62:R62"/>
    <mergeCell ref="S62:T62"/>
    <mergeCell ref="S60:T60"/>
    <mergeCell ref="E63:H63"/>
    <mergeCell ref="R52:T52"/>
    <mergeCell ref="S57:T57"/>
    <mergeCell ref="Q61:R61"/>
    <mergeCell ref="S61:T61"/>
    <mergeCell ref="S59:T59"/>
    <mergeCell ref="E60:H60"/>
    <mergeCell ref="C49:F49"/>
    <mergeCell ref="G49:H49"/>
    <mergeCell ref="I49:J49"/>
    <mergeCell ref="F54:H54"/>
    <mergeCell ref="L52:N52"/>
    <mergeCell ref="O52:Q52"/>
    <mergeCell ref="F71:H71"/>
    <mergeCell ref="Q71:S71"/>
    <mergeCell ref="M70:N70"/>
    <mergeCell ref="O70:P70"/>
    <mergeCell ref="M71:N71"/>
    <mergeCell ref="O71:P71"/>
    <mergeCell ref="Q72:S72"/>
    <mergeCell ref="F70:H70"/>
    <mergeCell ref="F69:H69"/>
    <mergeCell ref="I69:J69"/>
    <mergeCell ref="K69:L69"/>
    <mergeCell ref="M69:N69"/>
    <mergeCell ref="I54:K54"/>
    <mergeCell ref="C57:H57"/>
    <mergeCell ref="I57:J57"/>
    <mergeCell ref="Q57:R57"/>
    <mergeCell ref="R53:T54"/>
    <mergeCell ref="Q63:R63"/>
    <mergeCell ref="S63:T63"/>
    <mergeCell ref="Q60:R60"/>
    <mergeCell ref="S58:T58"/>
    <mergeCell ref="F73:H73"/>
    <mergeCell ref="Q73:S73"/>
    <mergeCell ref="F74:H74"/>
    <mergeCell ref="Q74:S74"/>
    <mergeCell ref="O72:P72"/>
    <mergeCell ref="O73:P73"/>
    <mergeCell ref="O74:P74"/>
    <mergeCell ref="M72:N72"/>
    <mergeCell ref="M73:N73"/>
    <mergeCell ref="M74:N74"/>
    <mergeCell ref="F72:H72"/>
    <mergeCell ref="C83:D83"/>
    <mergeCell ref="F83:H83"/>
    <mergeCell ref="C79:D79"/>
    <mergeCell ref="F79:H79"/>
    <mergeCell ref="F84:H84"/>
    <mergeCell ref="C87:D87"/>
    <mergeCell ref="F87:H87"/>
    <mergeCell ref="F75:H75"/>
    <mergeCell ref="Q83:S83"/>
    <mergeCell ref="Q76:S76"/>
    <mergeCell ref="Q79:S79"/>
    <mergeCell ref="K79:L79"/>
    <mergeCell ref="I79:J79"/>
    <mergeCell ref="F80:H80"/>
    <mergeCell ref="M79:N79"/>
    <mergeCell ref="F76:H76"/>
    <mergeCell ref="O79:P79"/>
    <mergeCell ref="O83:P83"/>
    <mergeCell ref="M80:N80"/>
    <mergeCell ref="I83:J83"/>
    <mergeCell ref="O80:P80"/>
    <mergeCell ref="K83:L83"/>
    <mergeCell ref="M83:N83"/>
    <mergeCell ref="I87:J87"/>
    <mergeCell ref="C93:E93"/>
  </mergeCells>
  <phoneticPr fontId="15" type="noConversion"/>
  <conditionalFormatting sqref="Y12">
    <cfRule type="cellIs" dxfId="0" priority="1" operator="greaterThan">
      <formula>0.1</formula>
    </cfRule>
  </conditionalFormatting>
  <pageMargins left="0.7" right="0.7" top="0.75" bottom="0.75" header="0.3" footer="0.3"/>
  <pageSetup paperSize="9" scale="35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일일현황보고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MasterVD</dc:creator>
  <cp:lastModifiedBy>Administrator</cp:lastModifiedBy>
  <cp:lastPrinted>2026-02-24T00:49:27Z</cp:lastPrinted>
  <dcterms:created xsi:type="dcterms:W3CDTF">2024-07-23T06:34:07Z</dcterms:created>
  <dcterms:modified xsi:type="dcterms:W3CDTF">2026-06-16T07:23:27Z</dcterms:modified>
</cp:coreProperties>
</file>