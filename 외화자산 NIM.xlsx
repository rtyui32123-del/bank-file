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외화자산_NI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<sst xmlns="http://schemas.openxmlformats.org/spreadsheetml/2006/main" count="82" uniqueCount="67">
  <si>
    <r>
      <rPr>
        <b val="true"/>
        <sz val="14"/>
        <rFont val="Noto Sans CJK SC"/>
        <family val="2"/>
      </rPr>
      <t xml:space="preserve">외화자산 추출 및 외화 </t>
    </r>
    <r>
      <rPr>
        <b val="true"/>
        <sz val="14"/>
        <rFont val="Arial"/>
        <family val="0"/>
        <charset val="1"/>
      </rPr>
      <t xml:space="preserve">NIM </t>
    </r>
    <r>
      <rPr>
        <b val="true"/>
        <sz val="14"/>
        <rFont val="Noto Sans CJK SC"/>
        <family val="2"/>
      </rPr>
      <t xml:space="preserve">계산</t>
    </r>
  </si>
  <si>
    <r>
      <rPr>
        <i val="true"/>
        <sz val="9"/>
        <color rgb="FF7F7F7F"/>
        <rFont val="Noto Sans CJK SC"/>
        <family val="2"/>
      </rPr>
      <t xml:space="preserve">단위</t>
    </r>
    <r>
      <rPr>
        <i val="true"/>
        <sz val="9"/>
        <color rgb="FF7F7F7F"/>
        <rFont val="Arial"/>
        <family val="0"/>
        <charset val="1"/>
      </rPr>
      <t xml:space="preserve">: </t>
    </r>
    <r>
      <rPr>
        <i val="true"/>
        <sz val="9"/>
        <color rgb="FF7F7F7F"/>
        <rFont val="Noto Sans CJK SC"/>
        <family val="2"/>
      </rPr>
      <t xml:space="preserve">백만원  </t>
    </r>
    <r>
      <rPr>
        <i val="true"/>
        <sz val="9"/>
        <color rgb="FF7F7F7F"/>
        <rFont val="Arial"/>
        <family val="0"/>
        <charset val="1"/>
      </rPr>
      <t xml:space="preserve">|  </t>
    </r>
    <r>
      <rPr>
        <i val="true"/>
        <sz val="9"/>
        <color rgb="FF7F7F7F"/>
        <rFont val="Noto Sans CJK SC"/>
        <family val="2"/>
      </rPr>
      <t xml:space="preserve">출처</t>
    </r>
    <r>
      <rPr>
        <i val="true"/>
        <sz val="9"/>
        <color rgb="FF7F7F7F"/>
        <rFont val="Arial"/>
        <family val="0"/>
        <charset val="1"/>
      </rPr>
      <t xml:space="preserve">: FX</t>
    </r>
    <r>
      <rPr>
        <i val="true"/>
        <sz val="9"/>
        <color rgb="FF7F7F7F"/>
        <rFont val="Noto Sans CJK SC"/>
        <family val="2"/>
      </rPr>
      <t xml:space="preserve">계산</t>
    </r>
    <r>
      <rPr>
        <i val="true"/>
        <sz val="9"/>
        <color rgb="FF7F7F7F"/>
        <rFont val="Arial"/>
        <family val="0"/>
        <charset val="1"/>
      </rPr>
      <t xml:space="preserve">.xlsx (COA </t>
    </r>
    <r>
      <rPr>
        <i val="true"/>
        <sz val="9"/>
        <color rgb="FF7F7F7F"/>
        <rFont val="Noto Sans CJK SC"/>
        <family val="2"/>
      </rPr>
      <t xml:space="preserve">기준</t>
    </r>
    <r>
      <rPr>
        <i val="true"/>
        <sz val="9"/>
        <color rgb="FF7F7F7F"/>
        <rFont val="Arial"/>
        <family val="0"/>
        <charset val="1"/>
      </rPr>
      <t xml:space="preserve">)  |  </t>
    </r>
    <r>
      <rPr>
        <i val="true"/>
        <sz val="9"/>
        <color rgb="FF7F7F7F"/>
        <rFont val="Noto Sans CJK SC"/>
        <family val="2"/>
      </rPr>
      <t xml:space="preserve">수익률</t>
    </r>
    <r>
      <rPr>
        <i val="true"/>
        <sz val="9"/>
        <color rgb="FF7F7F7F"/>
        <rFont val="Arial"/>
        <family val="0"/>
        <charset val="1"/>
      </rPr>
      <t xml:space="preserve">·NIM</t>
    </r>
    <r>
      <rPr>
        <i val="true"/>
        <sz val="9"/>
        <color rgb="FF7F7F7F"/>
        <rFont val="Noto Sans CJK SC"/>
        <family val="2"/>
      </rPr>
      <t xml:space="preserve">은 산식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검정</t>
    </r>
    <r>
      <rPr>
        <i val="true"/>
        <sz val="9"/>
        <color rgb="FF7F7F7F"/>
        <rFont val="Arial"/>
        <family val="0"/>
        <charset val="1"/>
      </rPr>
      <t xml:space="preserve">), </t>
    </r>
    <r>
      <rPr>
        <i val="true"/>
        <sz val="9"/>
        <color rgb="FF7F7F7F"/>
        <rFont val="Noto Sans CJK SC"/>
        <family val="2"/>
      </rPr>
      <t xml:space="preserve">원천값은 파랑</t>
    </r>
  </si>
  <si>
    <r>
      <rPr>
        <b val="true"/>
        <sz val="11"/>
        <color rgb="FF1F4E79"/>
        <rFont val="Noto Sans CJK SC"/>
        <family val="2"/>
      </rPr>
      <t xml:space="preserve">① 이자부 외화자산 </t>
    </r>
    <r>
      <rPr>
        <b val="true"/>
        <sz val="11"/>
        <color rgb="FF1F4E79"/>
        <rFont val="Arial"/>
        <family val="0"/>
        <charset val="1"/>
      </rPr>
      <t xml:space="preserve">(Interest-earning)</t>
    </r>
  </si>
  <si>
    <t xml:space="preserve">계정</t>
  </si>
  <si>
    <t xml:space="preserve">잔액</t>
  </si>
  <si>
    <t xml:space="preserve">기중평잔</t>
  </si>
  <si>
    <r>
      <rPr>
        <b val="true"/>
        <sz val="10"/>
        <color rgb="FFFFFFFF"/>
        <rFont val="Noto Sans CJK SC"/>
        <family val="2"/>
      </rPr>
      <t xml:space="preserve">이자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기중순액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</si>
  <si>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수익률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원가율</t>
    </r>
  </si>
  <si>
    <t xml:space="preserve">외화예치금</t>
  </si>
  <si>
    <r>
      <rPr>
        <sz val="10"/>
        <color rgb="FF000000"/>
        <rFont val="Noto Sans CJK SC"/>
        <family val="2"/>
      </rPr>
      <t xml:space="preserve">외화 </t>
    </r>
    <r>
      <rPr>
        <sz val="10"/>
        <color rgb="FF000000"/>
        <rFont val="Arial"/>
        <family val="0"/>
        <charset val="1"/>
      </rPr>
      <t xml:space="preserve">FVOCI </t>
    </r>
    <r>
      <rPr>
        <sz val="10"/>
        <color rgb="FF000000"/>
        <rFont val="Noto Sans CJK SC"/>
        <family val="2"/>
      </rPr>
      <t xml:space="preserve">유가증권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채권</t>
    </r>
    <r>
      <rPr>
        <sz val="10"/>
        <color rgb="FF000000"/>
        <rFont val="Arial"/>
        <family val="0"/>
        <charset val="1"/>
      </rPr>
      <t xml:space="preserve">)</t>
    </r>
  </si>
  <si>
    <t xml:space="preserve">외화대출금</t>
  </si>
  <si>
    <t xml:space="preserve">외화콜론</t>
  </si>
  <si>
    <r>
      <rPr>
        <sz val="10"/>
        <color rgb="FF000000"/>
        <rFont val="Noto Sans CJK SC"/>
        <family val="2"/>
      </rPr>
      <t xml:space="preserve">은행간외화대여금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종속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관계</t>
    </r>
    <r>
      <rPr>
        <sz val="10"/>
        <color rgb="FF000000"/>
        <rFont val="Arial"/>
        <family val="0"/>
        <charset val="1"/>
      </rPr>
      <t xml:space="preserve">)</t>
    </r>
  </si>
  <si>
    <t xml:space="preserve">은행간외화대여금</t>
  </si>
  <si>
    <t xml:space="preserve">내국수입유산스</t>
  </si>
  <si>
    <t xml:space="preserve">매입외환</t>
  </si>
  <si>
    <t xml:space="preserve">외화사모사채</t>
  </si>
  <si>
    <t xml:space="preserve">외화지급보증대지급</t>
  </si>
  <si>
    <r>
      <rPr>
        <b val="true"/>
        <sz val="10"/>
        <rFont val="Noto Sans CJK SC"/>
        <family val="2"/>
      </rPr>
      <t xml:space="preserve">이자부 외화자산 소계 </t>
    </r>
    <r>
      <rPr>
        <b val="true"/>
        <sz val="10"/>
        <rFont val="Arial"/>
        <family val="0"/>
        <charset val="1"/>
      </rPr>
      <t xml:space="preserve">(= </t>
    </r>
    <r>
      <rPr>
        <b val="true"/>
        <sz val="10"/>
        <rFont val="Noto Sans CJK SC"/>
        <family val="2"/>
      </rPr>
      <t xml:space="preserve">운용자산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</si>
  <si>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1"/>
        <color rgb="FF1F4E79"/>
        <rFont val="Noto Sans CJK SC"/>
        <family val="2"/>
      </rPr>
      <t xml:space="preserve">② 비이자</t>
    </r>
    <r>
      <rPr>
        <b val="true"/>
        <sz val="11"/>
        <color rgb="FF1F4E79"/>
        <rFont val="Arial"/>
        <family val="0"/>
        <charset val="1"/>
      </rPr>
      <t xml:space="preserve">·</t>
    </r>
    <r>
      <rPr>
        <b val="true"/>
        <sz val="11"/>
        <color rgb="FF1F4E79"/>
        <rFont val="Noto Sans CJK SC"/>
        <family val="2"/>
      </rPr>
      <t xml:space="preserve">무수익 외화자산 </t>
    </r>
    <r>
      <rPr>
        <b val="true"/>
        <sz val="11"/>
        <color rgb="FF1F4E79"/>
        <rFont val="Arial"/>
        <family val="0"/>
        <charset val="1"/>
      </rPr>
      <t xml:space="preserve">(</t>
    </r>
    <r>
      <rPr>
        <b val="true"/>
        <sz val="11"/>
        <color rgb="FF1F4E79"/>
        <rFont val="Noto Sans CJK SC"/>
        <family val="2"/>
      </rPr>
      <t xml:space="preserve">참고</t>
    </r>
    <r>
      <rPr>
        <b val="true"/>
        <sz val="11"/>
        <color rgb="FF1F4E79"/>
        <rFont val="Arial"/>
        <family val="0"/>
        <charset val="1"/>
      </rPr>
      <t xml:space="preserve">, NIM </t>
    </r>
    <r>
      <rPr>
        <b val="true"/>
        <sz val="11"/>
        <color rgb="FF1F4E79"/>
        <rFont val="Noto Sans CJK SC"/>
        <family val="2"/>
      </rPr>
      <t xml:space="preserve">분모 제외</t>
    </r>
    <r>
      <rPr>
        <b val="true"/>
        <sz val="11"/>
        <color rgb="FF1F4E79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</si>
  <si>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외화미수미결제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현물환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</si>
  <si>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외화투자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관계회사 등</t>
    </r>
    <r>
      <rPr>
        <sz val="10"/>
        <color rgb="FF000000"/>
        <rFont val="Arial"/>
        <family val="0"/>
        <charset val="1"/>
      </rPr>
      <t xml:space="preserve">)</t>
    </r>
  </si>
  <si>
    <t xml:space="preserve">외국통화</t>
  </si>
  <si>
    <r>
      <rPr>
        <sz val="10"/>
        <color rgb="FF000000"/>
        <rFont val="Noto Sans CJK SC"/>
        <family val="2"/>
      </rPr>
      <t xml:space="preserve">외화 기타</t>
    </r>
    <r>
      <rPr>
        <sz val="10"/>
        <color rgb="FF000000"/>
        <rFont val="Arial"/>
        <family val="0"/>
        <charset val="1"/>
      </rPr>
      <t xml:space="preserve">FVPL </t>
    </r>
    <r>
      <rPr>
        <sz val="10"/>
        <color rgb="FF000000"/>
        <rFont val="Noto Sans CJK SC"/>
        <family val="2"/>
      </rPr>
      <t xml:space="preserve">유가증권</t>
    </r>
  </si>
  <si>
    <t xml:space="preserve">외화 단기매매증권</t>
  </si>
  <si>
    <t xml:space="preserve">외화미수수익</t>
  </si>
  <si>
    <r>
      <rPr>
        <sz val="10"/>
        <color rgb="FF000000"/>
        <rFont val="Noto Sans CJK SC"/>
        <family val="2"/>
      </rPr>
      <t xml:space="preserve">외화본지점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국외갑계정</t>
    </r>
    <r>
      <rPr>
        <sz val="10"/>
        <color rgb="FF000000"/>
        <rFont val="Arial"/>
        <family val="0"/>
        <charset val="1"/>
      </rPr>
      <t xml:space="preserve">)</t>
    </r>
  </si>
  <si>
    <t xml:space="preserve">외화리스사용권자산</t>
  </si>
  <si>
    <t xml:space="preserve">외화미수금</t>
  </si>
  <si>
    <r>
      <rPr>
        <b val="true"/>
        <sz val="10"/>
        <rFont val="Noto Sans CJK SC"/>
        <family val="2"/>
      </rPr>
      <t xml:space="preserve">비이자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무수익 외화자산 소계</t>
    </r>
  </si>
  <si>
    <r>
      <rPr>
        <b val="true"/>
        <sz val="11"/>
        <color rgb="FF1F4E79"/>
        <rFont val="Arial"/>
        <family val="0"/>
        <charset val="1"/>
      </rPr>
      <t xml:space="preserve">③ (-) </t>
    </r>
    <r>
      <rPr>
        <b val="true"/>
        <sz val="11"/>
        <color rgb="FF1F4E79"/>
        <rFont val="Noto Sans CJK SC"/>
        <family val="2"/>
      </rPr>
      <t xml:space="preserve">외화 대손충당금</t>
    </r>
  </si>
  <si>
    <r>
      <rPr>
        <sz val="10"/>
        <color rgb="FF000000"/>
        <rFont val="Noto Sans CJK SC"/>
        <family val="2"/>
      </rPr>
      <t xml:space="preserve">외화대출금 대손충당금</t>
    </r>
    <r>
      <rPr>
        <sz val="10"/>
        <color rgb="FF000000"/>
        <rFont val="Arial"/>
        <family val="0"/>
        <charset val="1"/>
      </rPr>
      <t xml:space="preserve">(-)</t>
    </r>
  </si>
  <si>
    <r>
      <rPr>
        <sz val="10"/>
        <color rgb="FF000000"/>
        <rFont val="Noto Sans CJK SC"/>
        <family val="2"/>
      </rPr>
      <t xml:space="preserve">매입외환 대손충당금</t>
    </r>
    <r>
      <rPr>
        <sz val="10"/>
        <color rgb="FF000000"/>
        <rFont val="Arial"/>
        <family val="0"/>
        <charset val="1"/>
      </rPr>
      <t xml:space="preserve">(-)</t>
    </r>
  </si>
  <si>
    <r>
      <rPr>
        <b val="true"/>
        <sz val="10"/>
        <rFont val="Noto Sans CJK SC"/>
        <family val="2"/>
      </rPr>
      <t xml:space="preserve">충당금 소계</t>
    </r>
    <r>
      <rPr>
        <b val="true"/>
        <sz val="10"/>
        <rFont val="Arial"/>
        <family val="0"/>
        <charset val="1"/>
      </rPr>
      <t xml:space="preserve">(-)</t>
    </r>
  </si>
  <si>
    <r>
      <rPr>
        <b val="true"/>
        <sz val="11"/>
        <color rgb="FF1F4E79"/>
        <rFont val="Noto Sans CJK SC"/>
        <family val="2"/>
      </rPr>
      <t xml:space="preserve">④ 이자부 외화부채 </t>
    </r>
    <r>
      <rPr>
        <b val="true"/>
        <sz val="11"/>
        <color rgb="FF1F4E79"/>
        <rFont val="Arial"/>
        <family val="0"/>
        <charset val="1"/>
      </rPr>
      <t xml:space="preserve">(Interest-bearing, </t>
    </r>
    <r>
      <rPr>
        <b val="true"/>
        <sz val="11"/>
        <color rgb="FF1F4E79"/>
        <rFont val="Noto Sans CJK SC"/>
        <family val="2"/>
      </rPr>
      <t xml:space="preserve">조달</t>
    </r>
    <r>
      <rPr>
        <b val="true"/>
        <sz val="11"/>
        <color rgb="FF1F4E79"/>
        <rFont val="Arial"/>
        <family val="0"/>
        <charset val="1"/>
      </rPr>
      <t xml:space="preserve">)</t>
    </r>
  </si>
  <si>
    <t xml:space="preserve">외화차입금</t>
  </si>
  <si>
    <t xml:space="preserve">외화예수금</t>
  </si>
  <si>
    <t xml:space="preserve">외화콜머니</t>
  </si>
  <si>
    <r>
      <rPr>
        <sz val="10"/>
        <color rgb="FF000000"/>
        <rFont val="Noto Sans CJK SC"/>
        <family val="2"/>
      </rPr>
      <t xml:space="preserve">외화</t>
    </r>
    <r>
      <rPr>
        <sz val="10"/>
        <color rgb="FF000000"/>
        <rFont val="Arial"/>
        <family val="0"/>
        <charset val="1"/>
      </rPr>
      <t xml:space="preserve">RP</t>
    </r>
    <r>
      <rPr>
        <sz val="10"/>
        <color rgb="FF000000"/>
        <rFont val="Noto Sans CJK SC"/>
        <family val="2"/>
      </rPr>
      <t xml:space="preserve">매도</t>
    </r>
  </si>
  <si>
    <r>
      <rPr>
        <b val="true"/>
        <sz val="10"/>
        <rFont val="Noto Sans CJK SC"/>
        <family val="2"/>
      </rPr>
      <t xml:space="preserve">이자부 외화부채 소계 </t>
    </r>
    <r>
      <rPr>
        <b val="true"/>
        <sz val="10"/>
        <rFont val="Arial"/>
        <family val="0"/>
        <charset val="1"/>
      </rPr>
      <t xml:space="preserve">(= </t>
    </r>
    <r>
      <rPr>
        <b val="true"/>
        <sz val="10"/>
        <rFont val="Noto Sans CJK SC"/>
        <family val="2"/>
      </rPr>
      <t xml:space="preserve">조달자금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</si>
  <si>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1"/>
        <color rgb="FF1F4E79"/>
        <rFont val="Noto Sans CJK SC"/>
        <family val="2"/>
      </rPr>
      <t xml:space="preserve">⑤ 외화 </t>
    </r>
    <r>
      <rPr>
        <b val="true"/>
        <sz val="11"/>
        <color rgb="FF1F4E79"/>
        <rFont val="Arial"/>
        <family val="0"/>
        <charset val="1"/>
      </rPr>
      <t xml:space="preserve">NIM </t>
    </r>
    <r>
      <rPr>
        <b val="true"/>
        <sz val="11"/>
        <color rgb="FF1F4E79"/>
        <rFont val="Noto Sans CJK SC"/>
        <family val="2"/>
      </rPr>
      <t xml:space="preserve">계산</t>
    </r>
  </si>
  <si>
    <t xml:space="preserve">항목</t>
  </si>
  <si>
    <t xml:space="preserve">값</t>
  </si>
  <si>
    <t xml:space="preserve">비고</t>
  </si>
  <si>
    <r>
      <rPr>
        <sz val="10"/>
        <color rgb="FF000000"/>
        <rFont val="Noto Sans CJK SC"/>
        <family val="2"/>
      </rPr>
      <t xml:space="preserve">외화 이자수익 </t>
    </r>
    <r>
      <rPr>
        <sz val="10"/>
        <color rgb="FF000000"/>
        <rFont val="Arial"/>
        <family val="0"/>
        <charset val="1"/>
      </rPr>
      <t xml:space="preserve">(A)</t>
    </r>
  </si>
  <si>
    <t xml:space="preserve">이자부 외화자산 이자 합계</t>
  </si>
  <si>
    <r>
      <rPr>
        <sz val="10"/>
        <color rgb="FF000000"/>
        <rFont val="Noto Sans CJK SC"/>
        <family val="2"/>
      </rPr>
      <t xml:space="preserve">외화 이자비용 </t>
    </r>
    <r>
      <rPr>
        <sz val="10"/>
        <color rgb="FF000000"/>
        <rFont val="Arial"/>
        <family val="0"/>
        <charset val="1"/>
      </rPr>
      <t xml:space="preserve">(B)</t>
    </r>
  </si>
  <si>
    <t xml:space="preserve">이자부 외화부채 이자 합계</t>
  </si>
  <si>
    <r>
      <rPr>
        <sz val="10"/>
        <color rgb="FF000000"/>
        <rFont val="Noto Sans CJK SC"/>
        <family val="2"/>
      </rPr>
      <t xml:space="preserve">외화 순이자손익 </t>
    </r>
    <r>
      <rPr>
        <sz val="10"/>
        <color rgb="FF000000"/>
        <rFont val="Arial"/>
        <family val="0"/>
        <charset val="1"/>
      </rPr>
      <t xml:space="preserve">(A-B)</t>
    </r>
  </si>
  <si>
    <t xml:space="preserve">음수면 순이자 역마진</t>
  </si>
  <si>
    <r>
      <rPr>
        <sz val="10"/>
        <color rgb="FF000000"/>
        <rFont val="Noto Sans CJK SC"/>
        <family val="2"/>
      </rPr>
      <t xml:space="preserve">평균 이자부 외화자산 </t>
    </r>
    <r>
      <rPr>
        <sz val="10"/>
        <color rgb="FF000000"/>
        <rFont val="Arial"/>
        <family val="0"/>
        <charset val="1"/>
      </rPr>
      <t xml:space="preserve">(C)</t>
    </r>
  </si>
  <si>
    <r>
      <rPr>
        <i val="true"/>
        <sz val="9"/>
        <color rgb="FF7F7F7F"/>
        <rFont val="Arial"/>
        <family val="0"/>
        <charset val="1"/>
      </rPr>
      <t xml:space="preserve">NIM </t>
    </r>
    <r>
      <rPr>
        <i val="true"/>
        <sz val="9"/>
        <color rgb="FF7F7F7F"/>
        <rFont val="Noto Sans CJK SC"/>
        <family val="2"/>
      </rPr>
      <t xml:space="preserve">분모</t>
    </r>
  </si>
  <si>
    <r>
      <rPr>
        <sz val="10"/>
        <color rgb="FF000000"/>
        <rFont val="Noto Sans CJK SC"/>
        <family val="2"/>
      </rPr>
      <t xml:space="preserve">평균 이자부 외화부채 </t>
    </r>
    <r>
      <rPr>
        <sz val="10"/>
        <color rgb="FF000000"/>
        <rFont val="Arial"/>
        <family val="0"/>
        <charset val="1"/>
      </rPr>
      <t xml:space="preserve">(D)</t>
    </r>
  </si>
  <si>
    <t xml:space="preserve">참고</t>
  </si>
  <si>
    <r>
      <rPr>
        <sz val="10"/>
        <color rgb="FF000000"/>
        <rFont val="Noto Sans CJK SC"/>
        <family val="2"/>
      </rPr>
      <t xml:space="preserve">외화 자산 운용수익률 </t>
    </r>
    <r>
      <rPr>
        <sz val="10"/>
        <color rgb="FF000000"/>
        <rFont val="Arial"/>
        <family val="0"/>
        <charset val="1"/>
      </rPr>
      <t xml:space="preserve">(A/C)</t>
    </r>
  </si>
  <si>
    <r>
      <rPr>
        <sz val="10"/>
        <color rgb="FF000000"/>
        <rFont val="Noto Sans CJK SC"/>
        <family val="2"/>
      </rPr>
      <t xml:space="preserve">외화 부채 조달원가율 </t>
    </r>
    <r>
      <rPr>
        <sz val="10"/>
        <color rgb="FF000000"/>
        <rFont val="Arial"/>
        <family val="0"/>
        <charset val="1"/>
      </rPr>
      <t xml:space="preserve">(B/D)</t>
    </r>
  </si>
  <si>
    <r>
      <rPr>
        <b val="true"/>
        <sz val="11"/>
        <rFont val="Noto Sans CJK SC"/>
        <family val="2"/>
      </rPr>
      <t xml:space="preserve">▶ 외화 </t>
    </r>
    <r>
      <rPr>
        <b val="true"/>
        <sz val="11"/>
        <rFont val="Arial"/>
        <family val="0"/>
        <charset val="1"/>
      </rPr>
      <t xml:space="preserve">NIM = (A-B)/C</t>
    </r>
  </si>
  <si>
    <r>
      <rPr>
        <i val="true"/>
        <sz val="9"/>
        <color rgb="FF7F7F7F"/>
        <rFont val="Noto Sans CJK SC"/>
        <family val="2"/>
      </rPr>
      <t xml:space="preserve">순이자 </t>
    </r>
    <r>
      <rPr>
        <i val="true"/>
        <sz val="9"/>
        <color rgb="FF7F7F7F"/>
        <rFont val="Arial"/>
        <family val="0"/>
        <charset val="1"/>
      </rPr>
      <t xml:space="preserve">/ </t>
    </r>
    <r>
      <rPr>
        <i val="true"/>
        <sz val="9"/>
        <color rgb="FF7F7F7F"/>
        <rFont val="Noto Sans CJK SC"/>
        <family val="2"/>
      </rPr>
      <t xml:space="preserve">평균 이자부 외화자산</t>
    </r>
  </si>
  <si>
    <t xml:space="preserve">※ 해석 주의점</t>
  </si>
  <si>
    <r>
      <rPr>
        <i val="true"/>
        <sz val="9"/>
        <color rgb="FF7F7F7F"/>
        <rFont val="Arial"/>
        <family val="0"/>
        <charset val="1"/>
      </rPr>
      <t xml:space="preserve">1) </t>
    </r>
    <r>
      <rPr>
        <i val="true"/>
        <sz val="9"/>
        <color rgb="FF7F7F7F"/>
        <rFont val="Noto Sans CJK SC"/>
        <family val="2"/>
      </rPr>
      <t xml:space="preserve">이자부 외화부채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조달</t>
    </r>
    <r>
      <rPr>
        <i val="true"/>
        <sz val="9"/>
        <color rgb="FF7F7F7F"/>
        <rFont val="Arial"/>
        <family val="0"/>
        <charset val="1"/>
      </rPr>
      <t xml:space="preserve">) </t>
    </r>
    <r>
      <rPr>
        <i val="true"/>
        <sz val="9"/>
        <color rgb="FF7F7F7F"/>
        <rFont val="Noto Sans CJK SC"/>
        <family val="2"/>
      </rPr>
      <t xml:space="preserve">평잔이 이자부 외화자산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운용</t>
    </r>
    <r>
      <rPr>
        <i val="true"/>
        <sz val="9"/>
        <color rgb="FF7F7F7F"/>
        <rFont val="Arial"/>
        <family val="0"/>
        <charset val="1"/>
      </rPr>
      <t xml:space="preserve">) </t>
    </r>
    <r>
      <rPr>
        <i val="true"/>
        <sz val="9"/>
        <color rgb="FF7F7F7F"/>
        <rFont val="Noto Sans CJK SC"/>
        <family val="2"/>
      </rPr>
      <t xml:space="preserve">평잔보다 큽니다</t>
    </r>
    <r>
      <rPr>
        <i val="true"/>
        <sz val="9"/>
        <color rgb="FF7F7F7F"/>
        <rFont val="Arial"/>
        <family val="0"/>
        <charset val="1"/>
      </rPr>
      <t xml:space="preserve">. </t>
    </r>
    <r>
      <rPr>
        <i val="true"/>
        <sz val="9"/>
        <color rgb="FF7F7F7F"/>
        <rFont val="Noto Sans CJK SC"/>
        <family val="2"/>
      </rPr>
      <t xml:space="preserve">초과 외화조달분은</t>
    </r>
  </si>
  <si>
    <r>
      <rPr>
        <i val="true"/>
        <sz val="9"/>
        <color rgb="FF7F7F7F"/>
        <rFont val="Noto Sans CJK SC"/>
        <family val="2"/>
      </rPr>
      <t xml:space="preserve">   외화미수미결제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외화투자 등 무수익 자산을 받치거나 </t>
    </r>
    <r>
      <rPr>
        <i val="true"/>
        <sz val="9"/>
        <color rgb="FF7F7F7F"/>
        <rFont val="Arial"/>
        <family val="0"/>
        <charset val="1"/>
      </rPr>
      <t xml:space="preserve">KRW/USD </t>
    </r>
    <r>
      <rPr>
        <i val="true"/>
        <sz val="9"/>
        <color rgb="FF7F7F7F"/>
        <rFont val="Noto Sans CJK SC"/>
        <family val="2"/>
      </rPr>
      <t xml:space="preserve">스왑으로 원화자산에 운용됩니다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</si>
  <si>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Noto Sans CJK SC"/>
        <family val="2"/>
      </rPr>
      <t xml:space="preserve">   따라서 </t>
    </r>
    <r>
      <rPr>
        <i val="true"/>
        <sz val="9"/>
        <color rgb="FF7F7F7F"/>
        <rFont val="Arial"/>
        <family val="0"/>
        <charset val="1"/>
      </rPr>
      <t xml:space="preserve">"</t>
    </r>
    <r>
      <rPr>
        <i val="true"/>
        <sz val="9"/>
        <color rgb="FF7F7F7F"/>
        <rFont val="Noto Sans CJK SC"/>
        <family val="2"/>
      </rPr>
      <t xml:space="preserve">이자만</t>
    </r>
    <r>
      <rPr>
        <i val="true"/>
        <sz val="9"/>
        <color rgb="FF7F7F7F"/>
        <rFont val="Arial"/>
        <family val="0"/>
        <charset val="1"/>
      </rPr>
      <t xml:space="preserve">"</t>
    </r>
    <r>
      <rPr>
        <i val="true"/>
        <sz val="9"/>
        <color rgb="FF7F7F7F"/>
        <rFont val="Noto Sans CJK SC"/>
        <family val="2"/>
      </rPr>
      <t xml:space="preserve">으로 본 외화 </t>
    </r>
    <r>
      <rPr>
        <i val="true"/>
        <sz val="9"/>
        <color rgb="FF7F7F7F"/>
        <rFont val="Arial"/>
        <family val="0"/>
        <charset val="1"/>
      </rPr>
      <t xml:space="preserve">NIM</t>
    </r>
    <r>
      <rPr>
        <i val="true"/>
        <sz val="9"/>
        <color rgb="FF7F7F7F"/>
        <rFont val="Noto Sans CJK SC"/>
        <family val="2"/>
      </rPr>
      <t xml:space="preserve">은 음</t>
    </r>
    <r>
      <rPr>
        <i val="true"/>
        <sz val="9"/>
        <color rgb="FF7F7F7F"/>
        <rFont val="Arial"/>
        <family val="0"/>
        <charset val="1"/>
      </rPr>
      <t xml:space="preserve">(-)</t>
    </r>
    <r>
      <rPr>
        <i val="true"/>
        <sz val="9"/>
        <color rgb="FF7F7F7F"/>
        <rFont val="Noto Sans CJK SC"/>
        <family val="2"/>
      </rPr>
      <t xml:space="preserve">에 가깝게 나오며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Noto Sans CJK SC"/>
        <family val="2"/>
      </rPr>
      <t xml:space="preserve">그 차이는 스왑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외환손익으로 회수됩니다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</si>
  <si>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Arial"/>
        <family val="0"/>
        <charset val="1"/>
      </rPr>
      <t xml:space="preserve">2) </t>
    </r>
    <r>
      <rPr>
        <i val="true"/>
        <sz val="9"/>
        <color rgb="FF7F7F7F"/>
        <rFont val="Noto Sans CJK SC"/>
        <family val="2"/>
      </rPr>
      <t xml:space="preserve">내국수입유산스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자산</t>
    </r>
    <r>
      <rPr>
        <i val="true"/>
        <sz val="9"/>
        <color rgb="FF7F7F7F"/>
        <rFont val="Arial"/>
        <family val="0"/>
        <charset val="1"/>
      </rPr>
      <t xml:space="preserve">) </t>
    </r>
    <r>
      <rPr>
        <i val="true"/>
        <sz val="9"/>
        <color rgb="FF7F7F7F"/>
        <rFont val="Noto Sans CJK SC"/>
        <family val="2"/>
      </rPr>
      <t xml:space="preserve">및 외화차입금 내 </t>
    </r>
    <r>
      <rPr>
        <i val="true"/>
        <sz val="9"/>
        <color rgb="FF7F7F7F"/>
        <rFont val="Arial"/>
        <family val="0"/>
        <charset val="1"/>
      </rPr>
      <t xml:space="preserve">"</t>
    </r>
    <r>
      <rPr>
        <i val="true"/>
        <sz val="9"/>
        <color rgb="FF7F7F7F"/>
        <rFont val="Noto Sans CJK SC"/>
        <family val="2"/>
      </rPr>
      <t xml:space="preserve">해외은행</t>
    </r>
    <r>
      <rPr>
        <i val="true"/>
        <sz val="9"/>
        <color rgb="FF7F7F7F"/>
        <rFont val="Arial"/>
        <family val="0"/>
        <charset val="1"/>
      </rPr>
      <t xml:space="preserve">" </t>
    </r>
    <r>
      <rPr>
        <i val="true"/>
        <sz val="9"/>
        <color rgb="FF7F7F7F"/>
        <rFont val="Noto Sans CJK SC"/>
        <family val="2"/>
      </rPr>
      <t xml:space="preserve">약 </t>
    </r>
    <r>
      <rPr>
        <i val="true"/>
        <sz val="9"/>
        <color rgb="FF7F7F7F"/>
        <rFont val="Arial"/>
        <family val="0"/>
        <charset val="1"/>
      </rPr>
      <t xml:space="preserve">3,932</t>
    </r>
    <r>
      <rPr>
        <i val="true"/>
        <sz val="9"/>
        <color rgb="FF7F7F7F"/>
        <rFont val="Noto Sans CJK SC"/>
        <family val="2"/>
      </rPr>
      <t xml:space="preserve">억은 금리 </t>
    </r>
    <r>
      <rPr>
        <i val="true"/>
        <sz val="9"/>
        <color rgb="FF7F7F7F"/>
        <rFont val="Arial"/>
        <family val="0"/>
        <charset val="1"/>
      </rPr>
      <t xml:space="preserve">0%</t>
    </r>
    <r>
      <rPr>
        <i val="true"/>
        <sz val="9"/>
        <color rgb="FF7F7F7F"/>
        <rFont val="Noto Sans CJK SC"/>
        <family val="2"/>
      </rPr>
      <t xml:space="preserve">의 </t>
    </r>
    <r>
      <rPr>
        <i val="true"/>
        <sz val="9"/>
        <color rgb="FF7F7F7F"/>
        <rFont val="Arial"/>
        <family val="0"/>
        <charset val="1"/>
      </rPr>
      <t xml:space="preserve">B/A </t>
    </r>
    <r>
      <rPr>
        <i val="true"/>
        <sz val="9"/>
        <color rgb="FF7F7F7F"/>
        <rFont val="Noto Sans CJK SC"/>
        <family val="2"/>
      </rPr>
      <t xml:space="preserve">통과항목으로</t>
    </r>
  </si>
  <si>
    <r>
      <rPr>
        <i val="true"/>
        <sz val="9"/>
        <color rgb="FF7F7F7F"/>
        <rFont val="Noto Sans CJK SC"/>
        <family val="2"/>
      </rPr>
      <t xml:space="preserve">   양변에 동시 존재합니다</t>
    </r>
    <r>
      <rPr>
        <i val="true"/>
        <sz val="9"/>
        <color rgb="FF7F7F7F"/>
        <rFont val="Arial"/>
        <family val="0"/>
        <charset val="1"/>
      </rPr>
      <t xml:space="preserve">. </t>
    </r>
    <r>
      <rPr>
        <i val="true"/>
        <sz val="9"/>
        <color rgb="FF7F7F7F"/>
        <rFont val="Noto Sans CJK SC"/>
        <family val="2"/>
      </rPr>
      <t xml:space="preserve">코어 이자성 스프레드를 보려면 양쪽에서 제외하고 다시 계산하세요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</si>
  <si>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Arial"/>
        <family val="0"/>
        <charset val="1"/>
      </rPr>
      <t xml:space="preserve">3) </t>
    </r>
    <r>
      <rPr>
        <i val="true"/>
        <sz val="9"/>
        <color rgb="FF7F7F7F"/>
        <rFont val="Noto Sans CJK SC"/>
        <family val="2"/>
      </rPr>
      <t xml:space="preserve">외화 단기매매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기타</t>
    </r>
    <r>
      <rPr>
        <i val="true"/>
        <sz val="9"/>
        <color rgb="FF7F7F7F"/>
        <rFont val="Arial"/>
        <family val="0"/>
        <charset val="1"/>
      </rPr>
      <t xml:space="preserve">FVPL </t>
    </r>
    <r>
      <rPr>
        <i val="true"/>
        <sz val="9"/>
        <color rgb="FF7F7F7F"/>
        <rFont val="Noto Sans CJK SC"/>
        <family val="2"/>
      </rPr>
      <t xml:space="preserve">증권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Noto Sans CJK SC"/>
        <family val="2"/>
      </rPr>
      <t xml:space="preserve">외화투자는 이자가 아닌 평가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매매손익</t>
    </r>
    <r>
      <rPr>
        <i val="true"/>
        <sz val="9"/>
        <color rgb="FF7F7F7F"/>
        <rFont val="Arial"/>
        <family val="0"/>
        <charset val="1"/>
      </rPr>
      <t xml:space="preserve">(P&amp;L)</t>
    </r>
    <r>
      <rPr>
        <i val="true"/>
        <sz val="9"/>
        <color rgb="FF7F7F7F"/>
        <rFont val="Noto Sans CJK SC"/>
        <family val="2"/>
      </rPr>
      <t xml:space="preserve">으로 수익이 잡혀</t>
    </r>
  </si>
  <si>
    <r>
      <rPr>
        <i val="true"/>
        <sz val="9"/>
        <color rgb="FF7F7F7F"/>
        <rFont val="Noto Sans CJK SC"/>
        <family val="2"/>
      </rPr>
      <t xml:space="preserve">   이자부에서 제외했습니다</t>
    </r>
    <r>
      <rPr>
        <i val="true"/>
        <sz val="9"/>
        <color rgb="FF7F7F7F"/>
        <rFont val="Arial"/>
        <family val="0"/>
        <charset val="1"/>
      </rPr>
      <t xml:space="preserve">. NIM </t>
    </r>
    <r>
      <rPr>
        <i val="true"/>
        <sz val="9"/>
        <color rgb="FF7F7F7F"/>
        <rFont val="Noto Sans CJK SC"/>
        <family val="2"/>
      </rPr>
      <t xml:space="preserve">분모에 포함하려면 ①로 옮기면 됩니다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</si>
  <si>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Arial"/>
        <family val="0"/>
        <charset val="1"/>
      </rPr>
      <t xml:space="preserve">4) </t>
    </r>
    <r>
      <rPr>
        <i val="true"/>
        <sz val="9"/>
        <color rgb="FF7F7F7F"/>
        <rFont val="Noto Sans CJK SC"/>
        <family val="2"/>
      </rPr>
      <t xml:space="preserve">단기매매증권 평가</t>
    </r>
    <r>
      <rPr>
        <i val="true"/>
        <sz val="9"/>
        <color rgb="FF7F7F7F"/>
        <rFont val="Arial"/>
        <family val="0"/>
        <charset val="1"/>
      </rPr>
      <t xml:space="preserve">/</t>
    </r>
    <r>
      <rPr>
        <i val="true"/>
        <sz val="9"/>
        <color rgb="FF7F7F7F"/>
        <rFont val="Noto Sans CJK SC"/>
        <family val="2"/>
      </rPr>
      <t xml:space="preserve">매매익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Noto Sans CJK SC"/>
        <family val="2"/>
      </rPr>
      <t xml:space="preserve">외환환산손익 등 손익</t>
    </r>
    <r>
      <rPr>
        <i val="true"/>
        <sz val="9"/>
        <color rgb="FF7F7F7F"/>
        <rFont val="Arial"/>
        <family val="0"/>
        <charset val="1"/>
      </rPr>
      <t xml:space="preserve">(P&amp;L) </t>
    </r>
    <r>
      <rPr>
        <i val="true"/>
        <sz val="9"/>
        <color rgb="FF7F7F7F"/>
        <rFont val="Noto Sans CJK SC"/>
        <family val="2"/>
      </rPr>
      <t xml:space="preserve">계정은 자산이 아니므로 추출에서 제외했습니다</t>
    </r>
    <r>
      <rPr>
        <i val="true"/>
        <sz val="9"/>
        <color rgb="FF7F7F7F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</si>
</sst>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7F7F7F"/>
      <name val="Noto Sans CJK SC"/>
      <family val="2"/>
    </font>
    <font>
      <i val="true"/>
      <sz val="9"/>
      <color rgb="FF7F7F7F"/>
      <name val="Arial"/>
      <family val="0"/>
      <charset val="1"/>
    </font>
    <font>
      <b val="true"/>
      <sz val="11"/>
      <color rgb="FF1F4E79"/>
      <name val="Noto Sans CJK SC"/>
      <family val="2"/>
    </font>
    <font>
      <b val="true"/>
      <sz val="11"/>
      <color rgb="FF1F4E7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6"/>
    <col collapsed="false" customWidth="true" hidden="false" outlineLevel="0" max="6" min="6" style="0" width="4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7" t="n">
        <v>460340.9</v>
      </c>
      <c r="C6" s="7" t="n">
        <v>283882.6</v>
      </c>
      <c r="D6" s="7" t="n">
        <v>4975.3</v>
      </c>
      <c r="E6" s="8" t="n">
        <f aca="false">IF(C6=0,0,D6/C6)</f>
        <v>0.0175259068361358</v>
      </c>
    </row>
    <row r="7" customFormat="false" ht="15" hidden="false" customHeight="false" outlineLevel="0" collapsed="false">
      <c r="A7" s="6" t="s">
        <v>9</v>
      </c>
      <c r="B7" s="7" t="n">
        <v>428539.8</v>
      </c>
      <c r="C7" s="7" t="n">
        <v>362934.5</v>
      </c>
      <c r="D7" s="7" t="n">
        <v>14138.3</v>
      </c>
      <c r="E7" s="8" t="n">
        <f aca="false">IF(C7=0,0,D7/C7)</f>
        <v>0.0389555140114814</v>
      </c>
    </row>
    <row r="8" customFormat="false" ht="15" hidden="false" customHeight="false" outlineLevel="0" collapsed="false">
      <c r="A8" s="6" t="s">
        <v>10</v>
      </c>
      <c r="B8" s="7" t="n">
        <v>406375.9</v>
      </c>
      <c r="C8" s="7" t="n">
        <v>432824.7</v>
      </c>
      <c r="D8" s="7" t="n">
        <v>18899.4</v>
      </c>
      <c r="E8" s="8" t="n">
        <f aca="false">IF(C8=0,0,D8/C8)</f>
        <v>0.0436652529303434</v>
      </c>
    </row>
    <row r="9" customFormat="false" ht="15" hidden="false" customHeight="false" outlineLevel="0" collapsed="false">
      <c r="A9" s="6" t="s">
        <v>11</v>
      </c>
      <c r="B9" s="7" t="n">
        <v>216096.3</v>
      </c>
      <c r="C9" s="7" t="n">
        <v>412608.9</v>
      </c>
      <c r="D9" s="7" t="n">
        <v>15659.9</v>
      </c>
      <c r="E9" s="8" t="n">
        <f aca="false">IF(C9=0,0,D9/C9)</f>
        <v>0.0379533742485923</v>
      </c>
    </row>
    <row r="10" customFormat="false" ht="15" hidden="false" customHeight="false" outlineLevel="0" collapsed="false">
      <c r="A10" s="6" t="s">
        <v>12</v>
      </c>
      <c r="B10" s="7" t="n">
        <v>251107.5</v>
      </c>
      <c r="C10" s="7" t="n">
        <v>248829.9</v>
      </c>
      <c r="D10" s="7" t="n">
        <v>13474.8</v>
      </c>
      <c r="E10" s="8" t="n">
        <f aca="false">IF(C10=0,0,D10/C10)</f>
        <v>0.054152656091571</v>
      </c>
    </row>
    <row r="11" customFormat="false" ht="15" hidden="false" customHeight="false" outlineLevel="0" collapsed="false">
      <c r="A11" s="6" t="s">
        <v>13</v>
      </c>
      <c r="B11" s="7" t="n">
        <v>0</v>
      </c>
      <c r="C11" s="7" t="n">
        <v>10524</v>
      </c>
      <c r="D11" s="7" t="n">
        <v>378.8</v>
      </c>
      <c r="E11" s="8" t="n">
        <f aca="false">IF(C11=0,0,D11/C11)</f>
        <v>0.0359939186621057</v>
      </c>
    </row>
    <row r="12" customFormat="false" ht="15" hidden="false" customHeight="false" outlineLevel="0" collapsed="false">
      <c r="A12" s="6" t="s">
        <v>14</v>
      </c>
      <c r="B12" s="7" t="n">
        <v>341055.5</v>
      </c>
      <c r="C12" s="7" t="n">
        <v>417336</v>
      </c>
      <c r="D12" s="7" t="n">
        <v>799.1</v>
      </c>
      <c r="E12" s="8" t="n">
        <f aca="false">IF(C12=0,0,D12/C12)</f>
        <v>0.00191476412291295</v>
      </c>
    </row>
    <row r="13" customFormat="false" ht="15" hidden="false" customHeight="false" outlineLevel="0" collapsed="false">
      <c r="A13" s="6" t="s">
        <v>15</v>
      </c>
      <c r="B13" s="7" t="n">
        <v>47874.6</v>
      </c>
      <c r="C13" s="7" t="n">
        <v>57614.8</v>
      </c>
      <c r="D13" s="7" t="n">
        <v>2633.4</v>
      </c>
      <c r="E13" s="8" t="n">
        <f aca="false">IF(C13=0,0,D13/C13)</f>
        <v>0.0457070058387775</v>
      </c>
    </row>
    <row r="14" customFormat="false" ht="15" hidden="false" customHeight="false" outlineLevel="0" collapsed="false">
      <c r="A14" s="6" t="s">
        <v>16</v>
      </c>
      <c r="B14" s="7" t="n">
        <v>0</v>
      </c>
      <c r="C14" s="7" t="n">
        <v>1517.2</v>
      </c>
      <c r="D14" s="7" t="n">
        <v>117.7</v>
      </c>
      <c r="E14" s="8" t="n">
        <f aca="false">IF(C14=0,0,D14/C14)</f>
        <v>0.0775771157395202</v>
      </c>
    </row>
    <row r="15" customFormat="false" ht="15" hidden="false" customHeight="false" outlineLevel="0" collapsed="false">
      <c r="A15" s="6" t="s">
        <v>17</v>
      </c>
      <c r="B15" s="7" t="n">
        <v>7127.5</v>
      </c>
      <c r="C15" s="7" t="n">
        <v>3781.8</v>
      </c>
      <c r="D15" s="7" t="n">
        <v>16.4</v>
      </c>
      <c r="E15" s="8" t="n">
        <f aca="false">IF(C15=0,0,D15/C15)</f>
        <v>0.0043365593103813</v>
      </c>
    </row>
    <row r="16" customFormat="false" ht="15" hidden="false" customHeight="false" outlineLevel="0" collapsed="false">
      <c r="A16" s="9" t="s">
        <v>18</v>
      </c>
      <c r="B16" s="10" t="n">
        <f aca="false">SUM(B6:B15)</f>
        <v>2158518</v>
      </c>
      <c r="C16" s="10" t="n">
        <f aca="false">SUM(C6:C15)</f>
        <v>2231854.4</v>
      </c>
      <c r="D16" s="10" t="n">
        <f aca="false">SUM(D6:D15)</f>
        <v>71093.1</v>
      </c>
      <c r="E16" s="11" t="n">
        <f aca="false">IF(C16=0,0,D16/C16)</f>
        <v>0.0318538252316101</v>
      </c>
    </row>
    <row r="18" customFormat="false" ht="17.15" hidden="false" customHeight="false" outlineLevel="0" collapsed="false">
      <c r="A18" s="3" t="s">
        <v>19</v>
      </c>
    </row>
    <row r="19" customFormat="false" ht="15" hidden="false" customHeight="false" outlineLevel="0" collapsed="false">
      <c r="A19" s="4" t="s">
        <v>3</v>
      </c>
      <c r="B19" s="5" t="s">
        <v>4</v>
      </c>
      <c r="C19" s="5" t="s">
        <v>5</v>
      </c>
      <c r="D19" s="5" t="s">
        <v>6</v>
      </c>
      <c r="E19" s="5" t="s">
        <v>7</v>
      </c>
    </row>
    <row r="20" customFormat="false" ht="15" hidden="false" customHeight="false" outlineLevel="0" collapsed="false">
      <c r="A20" s="6" t="s">
        <v>20</v>
      </c>
      <c r="B20" s="7" t="n">
        <v>301764.3</v>
      </c>
      <c r="C20" s="7" t="n">
        <v>654938.9</v>
      </c>
      <c r="D20" s="7" t="n">
        <v>0</v>
      </c>
      <c r="E20" s="8" t="n">
        <f aca="false">IF(C20=0,0,D20/C20)</f>
        <v>0</v>
      </c>
    </row>
    <row r="21" customFormat="false" ht="15" hidden="false" customHeight="false" outlineLevel="0" collapsed="false">
      <c r="A21" s="6" t="s">
        <v>21</v>
      </c>
      <c r="B21" s="7" t="n">
        <v>166824.9</v>
      </c>
      <c r="C21" s="7" t="n">
        <v>166824.9</v>
      </c>
      <c r="D21" s="7" t="n">
        <v>0</v>
      </c>
      <c r="E21" s="8" t="n">
        <f aca="false">IF(C21=0,0,D21/C21)</f>
        <v>0</v>
      </c>
    </row>
    <row r="22" customFormat="false" ht="15" hidden="false" customHeight="false" outlineLevel="0" collapsed="false">
      <c r="A22" s="6" t="s">
        <v>22</v>
      </c>
      <c r="B22" s="7" t="n">
        <v>73911.1</v>
      </c>
      <c r="C22" s="7" t="n">
        <v>64875.8</v>
      </c>
      <c r="D22" s="7" t="n">
        <v>0</v>
      </c>
      <c r="E22" s="8" t="n">
        <f aca="false">IF(C22=0,0,D22/C22)</f>
        <v>0</v>
      </c>
    </row>
    <row r="23" customFormat="false" ht="15" hidden="false" customHeight="false" outlineLevel="0" collapsed="false">
      <c r="A23" s="6" t="s">
        <v>23</v>
      </c>
      <c r="B23" s="7" t="n">
        <v>59377.5</v>
      </c>
      <c r="C23" s="7" t="n">
        <v>52597.7</v>
      </c>
      <c r="D23" s="7" t="n">
        <v>0</v>
      </c>
      <c r="E23" s="8" t="n">
        <f aca="false">IF(C23=0,0,D23/C23)</f>
        <v>0</v>
      </c>
    </row>
    <row r="24" customFormat="false" ht="15" hidden="false" customHeight="false" outlineLevel="0" collapsed="false">
      <c r="A24" s="6" t="s">
        <v>24</v>
      </c>
      <c r="B24" s="7" t="n">
        <v>0</v>
      </c>
      <c r="C24" s="7" t="n">
        <v>23225.6</v>
      </c>
      <c r="D24" s="7" t="n">
        <v>0</v>
      </c>
      <c r="E24" s="8" t="n">
        <f aca="false">IF(C24=0,0,D24/C24)</f>
        <v>0</v>
      </c>
    </row>
    <row r="25" customFormat="false" ht="15" hidden="false" customHeight="false" outlineLevel="0" collapsed="false">
      <c r="A25" s="6" t="s">
        <v>25</v>
      </c>
      <c r="B25" s="7" t="n">
        <v>7749.2</v>
      </c>
      <c r="C25" s="7" t="n">
        <v>7080.8</v>
      </c>
      <c r="D25" s="7" t="n">
        <v>0</v>
      </c>
      <c r="E25" s="8" t="n">
        <f aca="false">IF(C25=0,0,D25/C25)</f>
        <v>0</v>
      </c>
    </row>
    <row r="26" customFormat="false" ht="15" hidden="false" customHeight="false" outlineLevel="0" collapsed="false">
      <c r="A26" s="6" t="s">
        <v>26</v>
      </c>
      <c r="B26" s="7" t="n">
        <v>0</v>
      </c>
      <c r="C26" s="7" t="n">
        <v>8562.3</v>
      </c>
      <c r="D26" s="7" t="n">
        <v>0</v>
      </c>
      <c r="E26" s="8" t="n">
        <f aca="false">IF(C26=0,0,D26/C26)</f>
        <v>0</v>
      </c>
    </row>
    <row r="27" customFormat="false" ht="15" hidden="false" customHeight="false" outlineLevel="0" collapsed="false">
      <c r="A27" s="6" t="s">
        <v>27</v>
      </c>
      <c r="B27" s="7" t="n">
        <v>3114.2</v>
      </c>
      <c r="C27" s="7" t="n">
        <v>3275.3</v>
      </c>
      <c r="D27" s="7" t="n">
        <v>0</v>
      </c>
      <c r="E27" s="8" t="n">
        <f aca="false">IF(C27=0,0,D27/C27)</f>
        <v>0</v>
      </c>
    </row>
    <row r="28" customFormat="false" ht="15" hidden="false" customHeight="false" outlineLevel="0" collapsed="false">
      <c r="A28" s="6" t="s">
        <v>28</v>
      </c>
      <c r="B28" s="7" t="n">
        <v>1432.9</v>
      </c>
      <c r="C28" s="7" t="n">
        <v>452.3</v>
      </c>
      <c r="D28" s="7" t="n">
        <v>0</v>
      </c>
      <c r="E28" s="8" t="n">
        <f aca="false">IF(C28=0,0,D28/C28)</f>
        <v>0</v>
      </c>
    </row>
    <row r="29" customFormat="false" ht="15" hidden="false" customHeight="false" outlineLevel="0" collapsed="false">
      <c r="A29" s="9" t="s">
        <v>29</v>
      </c>
      <c r="B29" s="10" t="n">
        <f aca="false">SUM(B20:B28)</f>
        <v>614174.1</v>
      </c>
      <c r="C29" s="10" t="n">
        <f aca="false">SUM(C20:C28)</f>
        <v>981833.6</v>
      </c>
      <c r="D29" s="10" t="n">
        <f aca="false">SUM(D20:D28)</f>
        <v>0</v>
      </c>
      <c r="E29" s="12"/>
    </row>
    <row r="31" customFormat="false" ht="17.15" hidden="false" customHeight="false" outlineLevel="0" collapsed="false">
      <c r="A31" s="13" t="s">
        <v>30</v>
      </c>
    </row>
    <row r="32" customFormat="false" ht="15" hidden="false" customHeight="false" outlineLevel="0" collapsed="false">
      <c r="A32" s="4" t="s">
        <v>3</v>
      </c>
      <c r="B32" s="5" t="s">
        <v>4</v>
      </c>
      <c r="C32" s="5" t="s">
        <v>5</v>
      </c>
      <c r="D32" s="5" t="s">
        <v>6</v>
      </c>
      <c r="E32" s="5" t="s">
        <v>7</v>
      </c>
    </row>
    <row r="33" customFormat="false" ht="15" hidden="false" customHeight="false" outlineLevel="0" collapsed="false">
      <c r="A33" s="6" t="s">
        <v>31</v>
      </c>
      <c r="B33" s="7" t="n">
        <v>-10085.7</v>
      </c>
      <c r="C33" s="7" t="n">
        <v>-14387.3</v>
      </c>
      <c r="D33" s="7" t="n">
        <v>0</v>
      </c>
      <c r="E33" s="8" t="n">
        <f aca="false">IF(C33=0,0,D33/C33)</f>
        <v>-0</v>
      </c>
    </row>
    <row r="34" customFormat="false" ht="15" hidden="false" customHeight="false" outlineLevel="0" collapsed="false">
      <c r="A34" s="6" t="s">
        <v>32</v>
      </c>
      <c r="B34" s="7" t="n">
        <v>-799.8</v>
      </c>
      <c r="C34" s="7" t="n">
        <v>-303.7</v>
      </c>
      <c r="D34" s="7" t="n">
        <v>0</v>
      </c>
      <c r="E34" s="8" t="n">
        <f aca="false">IF(C34=0,0,D34/C34)</f>
        <v>-0</v>
      </c>
    </row>
    <row r="35" customFormat="false" ht="15" hidden="false" customHeight="false" outlineLevel="0" collapsed="false">
      <c r="A35" s="9" t="s">
        <v>33</v>
      </c>
      <c r="B35" s="10" t="n">
        <f aca="false">SUM(B33:B34)</f>
        <v>-10885.5</v>
      </c>
      <c r="C35" s="10" t="n">
        <f aca="false">SUM(C33:C34)</f>
        <v>-14691</v>
      </c>
      <c r="D35" s="10" t="n">
        <f aca="false">SUM(D33:D34)</f>
        <v>0</v>
      </c>
      <c r="E35" s="12"/>
    </row>
    <row r="37" customFormat="false" ht="17.15" hidden="false" customHeight="false" outlineLevel="0" collapsed="false">
      <c r="A37" s="3" t="s">
        <v>34</v>
      </c>
    </row>
    <row r="38" customFormat="false" ht="15" hidden="false" customHeight="false" outlineLevel="0" collapsed="false">
      <c r="A38" s="4" t="s">
        <v>3</v>
      </c>
      <c r="B38" s="5" t="s">
        <v>4</v>
      </c>
      <c r="C38" s="5" t="s">
        <v>5</v>
      </c>
      <c r="D38" s="5" t="s">
        <v>6</v>
      </c>
      <c r="E38" s="5" t="s">
        <v>7</v>
      </c>
    </row>
    <row r="39" customFormat="false" ht="15" hidden="false" customHeight="false" outlineLevel="0" collapsed="false">
      <c r="A39" s="6" t="s">
        <v>35</v>
      </c>
      <c r="B39" s="7" t="n">
        <v>1382981.5</v>
      </c>
      <c r="C39" s="7" t="n">
        <v>1391957</v>
      </c>
      <c r="D39" s="7" t="n">
        <v>48645</v>
      </c>
      <c r="E39" s="8" t="n">
        <f aca="false">IF(C39=0,0,D39/C39)</f>
        <v>0.0349472002367889</v>
      </c>
    </row>
    <row r="40" customFormat="false" ht="15" hidden="false" customHeight="false" outlineLevel="0" collapsed="false">
      <c r="A40" s="6" t="s">
        <v>36</v>
      </c>
      <c r="B40" s="7" t="n">
        <v>1004686</v>
      </c>
      <c r="C40" s="7" t="n">
        <v>923549.5</v>
      </c>
      <c r="D40" s="7" t="n">
        <v>18088.3</v>
      </c>
      <c r="E40" s="8" t="n">
        <f aca="false">IF(C40=0,0,D40/C40)</f>
        <v>0.0195856313061725</v>
      </c>
    </row>
    <row r="41" customFormat="false" ht="15" hidden="false" customHeight="false" outlineLevel="0" collapsed="false">
      <c r="A41" s="6" t="s">
        <v>37</v>
      </c>
      <c r="B41" s="7" t="n">
        <v>307421.5</v>
      </c>
      <c r="C41" s="7" t="n">
        <v>398721.9</v>
      </c>
      <c r="D41" s="7" t="n">
        <v>15550.6</v>
      </c>
      <c r="E41" s="8" t="n">
        <f aca="false">IF(C41=0,0,D41/C41)</f>
        <v>0.0390011183233226</v>
      </c>
    </row>
    <row r="42" customFormat="false" ht="15" hidden="false" customHeight="false" outlineLevel="0" collapsed="false">
      <c r="A42" s="6" t="s">
        <v>38</v>
      </c>
      <c r="B42" s="7" t="n">
        <v>0</v>
      </c>
      <c r="C42" s="7" t="n">
        <v>130.3</v>
      </c>
      <c r="D42" s="7" t="n">
        <v>6.1</v>
      </c>
      <c r="E42" s="8" t="n">
        <f aca="false">IF(C42=0,0,D42/C42)</f>
        <v>0.046815042210284</v>
      </c>
    </row>
    <row r="43" customFormat="false" ht="15" hidden="false" customHeight="false" outlineLevel="0" collapsed="false">
      <c r="A43" s="9" t="s">
        <v>39</v>
      </c>
      <c r="B43" s="10" t="n">
        <f aca="false">SUM(B39:B42)</f>
        <v>2695089</v>
      </c>
      <c r="C43" s="10" t="n">
        <f aca="false">SUM(C39:C42)</f>
        <v>2714358.7</v>
      </c>
      <c r="D43" s="10" t="n">
        <f aca="false">SUM(D39:D42)</f>
        <v>82290</v>
      </c>
      <c r="E43" s="11" t="n">
        <f aca="false">IF(C43=0,0,D43/C43)</f>
        <v>0.0303165532248925</v>
      </c>
    </row>
    <row r="45" customFormat="false" ht="17.15" hidden="false" customHeight="false" outlineLevel="0" collapsed="false">
      <c r="A45" s="3" t="s">
        <v>40</v>
      </c>
    </row>
    <row r="46" customFormat="false" ht="15" hidden="false" customHeight="false" outlineLevel="0" collapsed="false">
      <c r="A46" s="4" t="s">
        <v>41</v>
      </c>
      <c r="B46" s="5" t="s">
        <v>42</v>
      </c>
      <c r="C46" s="5"/>
      <c r="D46" s="5"/>
      <c r="E46" s="5" t="s">
        <v>43</v>
      </c>
    </row>
    <row r="47" customFormat="false" ht="15" hidden="false" customHeight="false" outlineLevel="0" collapsed="false">
      <c r="A47" s="6" t="s">
        <v>44</v>
      </c>
      <c r="B47" s="14" t="n">
        <f aca="false">D16</f>
        <v>71093.1</v>
      </c>
      <c r="C47" s="15"/>
      <c r="D47" s="15"/>
      <c r="E47" s="16" t="s">
        <v>45</v>
      </c>
    </row>
    <row r="48" customFormat="false" ht="15" hidden="false" customHeight="false" outlineLevel="0" collapsed="false">
      <c r="A48" s="6" t="s">
        <v>46</v>
      </c>
      <c r="B48" s="14" t="n">
        <f aca="false">D43</f>
        <v>82290</v>
      </c>
      <c r="C48" s="15"/>
      <c r="D48" s="15"/>
      <c r="E48" s="16" t="s">
        <v>47</v>
      </c>
    </row>
    <row r="49" customFormat="false" ht="15" hidden="false" customHeight="false" outlineLevel="0" collapsed="false">
      <c r="A49" s="6" t="s">
        <v>48</v>
      </c>
      <c r="B49" s="14" t="n">
        <f aca="false">B47-B48</f>
        <v>-11196.9</v>
      </c>
      <c r="C49" s="15"/>
      <c r="D49" s="15"/>
      <c r="E49" s="16" t="s">
        <v>49</v>
      </c>
    </row>
    <row r="50" customFormat="false" ht="15" hidden="false" customHeight="false" outlineLevel="0" collapsed="false">
      <c r="A50" s="6" t="s">
        <v>50</v>
      </c>
      <c r="B50" s="14" t="n">
        <f aca="false">C16</f>
        <v>2231854.4</v>
      </c>
      <c r="C50" s="15"/>
      <c r="D50" s="15"/>
      <c r="E50" s="17" t="s">
        <v>51</v>
      </c>
    </row>
    <row r="51" customFormat="false" ht="15" hidden="false" customHeight="false" outlineLevel="0" collapsed="false">
      <c r="A51" s="6" t="s">
        <v>52</v>
      </c>
      <c r="B51" s="14" t="n">
        <f aca="false">C43</f>
        <v>2714358.7</v>
      </c>
      <c r="C51" s="15"/>
      <c r="D51" s="15"/>
      <c r="E51" s="16" t="s">
        <v>53</v>
      </c>
    </row>
    <row r="52" customFormat="false" ht="15" hidden="false" customHeight="false" outlineLevel="0" collapsed="false">
      <c r="A52" s="6" t="s">
        <v>54</v>
      </c>
      <c r="B52" s="8" t="n">
        <f aca="false">B47/B50</f>
        <v>0.0318538252316101</v>
      </c>
      <c r="C52" s="15"/>
      <c r="D52" s="15"/>
      <c r="E52" s="15"/>
    </row>
    <row r="53" customFormat="false" ht="15" hidden="false" customHeight="false" outlineLevel="0" collapsed="false">
      <c r="A53" s="6" t="s">
        <v>55</v>
      </c>
      <c r="B53" s="8" t="n">
        <f aca="false">B48/B51</f>
        <v>0.0303165532248925</v>
      </c>
      <c r="C53" s="15"/>
      <c r="D53" s="15"/>
      <c r="E53" s="15"/>
    </row>
    <row r="54" customFormat="false" ht="17.15" hidden="false" customHeight="false" outlineLevel="0" collapsed="false">
      <c r="A54" s="18" t="s">
        <v>56</v>
      </c>
      <c r="B54" s="19" t="n">
        <f aca="false">B49/B50</f>
        <v>-0.00501685952273589</v>
      </c>
      <c r="C54" s="20"/>
      <c r="D54" s="20"/>
      <c r="E54" s="21" t="s">
        <v>57</v>
      </c>
    </row>
    <row r="56" customFormat="false" ht="15" hidden="false" customHeight="false" outlineLevel="0" collapsed="false">
      <c r="A56" s="2" t="s">
        <v>58</v>
      </c>
    </row>
    <row r="57" customFormat="false" ht="15" hidden="false" customHeight="false" outlineLevel="0" collapsed="false">
      <c r="A57" s="22" t="s">
        <v>59</v>
      </c>
    </row>
    <row r="58" customFormat="false" ht="15" hidden="false" customHeight="false" outlineLevel="0" collapsed="false">
      <c r="A58" s="2" t="s">
        <v>60</v>
      </c>
    </row>
    <row r="59" customFormat="false" ht="15" hidden="false" customHeight="false" outlineLevel="0" collapsed="false">
      <c r="A59" s="2" t="s">
        <v>61</v>
      </c>
    </row>
    <row r="60" customFormat="false" ht="15" hidden="false" customHeight="false" outlineLevel="0" collapsed="false">
      <c r="A60" s="22" t="s">
        <v>62</v>
      </c>
    </row>
    <row r="61" customFormat="false" ht="15" hidden="false" customHeight="false" outlineLevel="0" collapsed="false">
      <c r="A61" s="2" t="s">
        <v>63</v>
      </c>
    </row>
    <row r="62" customFormat="false" ht="15" hidden="false" customHeight="false" outlineLevel="0" collapsed="false">
      <c r="A62" s="22" t="s">
        <v>64</v>
      </c>
    </row>
    <row r="63" customFormat="false" ht="15" hidden="false" customHeight="false" outlineLevel="0" collapsed="false">
      <c r="A63" s="2" t="s">
        <v>65</v>
      </c>
    </row>
    <row r="64" customFormat="false" ht="15" hidden="false" customHeight="false" outlineLevel="0" collapsed="false">
      <c r="A64" s="2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2026-06-24T01:00:24Z</dcterms:created>
  <dc:creator>openpyxl</dc:creator>
  <dc:description/>
  <dc:language>en-US</dc:language>
  <cp:lastModifiedBy/>
  <dcterms:modified xsi:type="dcterms:W3CDTF">2026-06-24T01:00:24Z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