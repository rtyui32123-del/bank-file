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외화_종합마진" sheetId="1" state="visible" r:id="rId3"/>
    <sheet name="외화_RAW추출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<sst xmlns="http://schemas.openxmlformats.org/spreadsheetml/2006/main" count="223" uniqueCount="155">
  <si>
    <r>
      <rPr>
        <b val="true"/>
        <sz val="14"/>
        <rFont val="Noto Sans CJK SC"/>
        <family val="2"/>
      </rPr>
      <t xml:space="preserve">외화부문 종합마진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이자 </t>
    </r>
    <r>
      <rPr>
        <b val="true"/>
        <sz val="14"/>
        <rFont val="Arial"/>
        <family val="0"/>
        <charset val="1"/>
      </rPr>
      <t xml:space="preserve">+ </t>
    </r>
    <r>
      <rPr>
        <b val="true"/>
        <sz val="14"/>
        <rFont val="Noto Sans CJK SC"/>
        <family val="2"/>
      </rPr>
      <t xml:space="preserve">비이자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</si>
  <si>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7F7F7F"/>
        <rFont val="Noto Sans CJK SC"/>
        <family val="2"/>
      </rPr>
      <t xml:space="preserve">단위</t>
    </r>
    <r>
      <rPr>
        <i val="true"/>
        <sz val="9"/>
        <color rgb="FF7F7F7F"/>
        <rFont val="Arial"/>
        <family val="0"/>
        <charset val="1"/>
      </rPr>
      <t xml:space="preserve">: </t>
    </r>
    <r>
      <rPr>
        <i val="true"/>
        <sz val="9"/>
        <color rgb="FF7F7F7F"/>
        <rFont val="Noto Sans CJK SC"/>
        <family val="2"/>
      </rPr>
      <t xml:space="preserve">백만원  </t>
    </r>
    <r>
      <rPr>
        <i val="true"/>
        <sz val="9"/>
        <color rgb="FF7F7F7F"/>
        <rFont val="Arial"/>
        <family val="0"/>
        <charset val="1"/>
      </rPr>
      <t xml:space="preserve">|  </t>
    </r>
    <r>
      <rPr>
        <i val="true"/>
        <sz val="9"/>
        <color rgb="FF7F7F7F"/>
        <rFont val="Noto Sans CJK SC"/>
        <family val="2"/>
      </rPr>
      <t xml:space="preserve">모든 값은 </t>
    </r>
    <r>
      <rPr>
        <i val="true"/>
        <sz val="9"/>
        <color rgb="FF7F7F7F"/>
        <rFont val="Arial"/>
        <family val="0"/>
        <charset val="1"/>
      </rPr>
      <t xml:space="preserve">[</t>
    </r>
    <r>
      <rPr>
        <i val="true"/>
        <sz val="9"/>
        <color rgb="FF7F7F7F"/>
        <rFont val="Noto Sans CJK SC"/>
        <family val="2"/>
      </rPr>
      <t xml:space="preserve">외화</t>
    </r>
    <r>
      <rPr>
        <i val="true"/>
        <sz val="9"/>
        <color rgb="FF7F7F7F"/>
        <rFont val="Arial"/>
        <family val="0"/>
        <charset val="1"/>
      </rPr>
      <t xml:space="preserve">_RAW</t>
    </r>
    <r>
      <rPr>
        <i val="true"/>
        <sz val="9"/>
        <color rgb="FF7F7F7F"/>
        <rFont val="Noto Sans CJK SC"/>
        <family val="2"/>
      </rPr>
      <t xml:space="preserve">추출</t>
    </r>
    <r>
      <rPr>
        <i val="true"/>
        <sz val="9"/>
        <color rgb="FF7F7F7F"/>
        <rFont val="Arial"/>
        <family val="0"/>
        <charset val="1"/>
      </rPr>
      <t xml:space="preserve">] </t>
    </r>
    <r>
      <rPr>
        <i val="true"/>
        <sz val="9"/>
        <color rgb="FF7F7F7F"/>
        <rFont val="Noto Sans CJK SC"/>
        <family val="2"/>
      </rPr>
      <t xml:space="preserve">탭을 </t>
    </r>
    <r>
      <rPr>
        <i val="true"/>
        <sz val="9"/>
        <color rgb="FF7F7F7F"/>
        <rFont val="Arial"/>
        <family val="0"/>
        <charset val="1"/>
      </rPr>
      <t xml:space="preserve">SUMIF/SUMIFS</t>
    </r>
    <r>
      <rPr>
        <i val="true"/>
        <sz val="9"/>
        <color rgb="FF7F7F7F"/>
        <rFont val="Noto Sans CJK SC"/>
        <family val="2"/>
      </rPr>
      <t xml:space="preserve">로 참조  </t>
    </r>
    <r>
      <rPr>
        <i val="true"/>
        <sz val="9"/>
        <color rgb="FF7F7F7F"/>
        <rFont val="Arial"/>
        <family val="0"/>
        <charset val="1"/>
      </rPr>
      <t xml:space="preserve">|  </t>
    </r>
    <r>
      <rPr>
        <i val="true"/>
        <sz val="9"/>
        <color rgb="FF7F7F7F"/>
        <rFont val="Noto Sans CJK SC"/>
        <family val="2"/>
      </rPr>
      <t xml:space="preserve">검정</t>
    </r>
    <r>
      <rPr>
        <i val="true"/>
        <sz val="9"/>
        <color rgb="FF7F7F7F"/>
        <rFont val="Arial"/>
        <family val="0"/>
        <charset val="1"/>
      </rPr>
      <t xml:space="preserve">=</t>
    </r>
    <r>
      <rPr>
        <i val="true"/>
        <sz val="9"/>
        <color rgb="FF7F7F7F"/>
        <rFont val="Noto Sans CJK SC"/>
        <family val="2"/>
      </rPr>
      <t xml:space="preserve">산식</t>
    </r>
  </si>
  <si>
    <r>
      <rPr>
        <b val="true"/>
        <sz val="11"/>
        <color rgb="FF1F4E79"/>
        <rFont val="Arial"/>
        <family val="0"/>
        <charset val="1"/>
      </rPr>
      <t xml:space="preserve">Ⅰ. </t>
    </r>
    <r>
      <rPr>
        <b val="true"/>
        <sz val="11"/>
        <color rgb="FF1F4E79"/>
        <rFont val="Noto Sans CJK SC"/>
        <family val="2"/>
      </rPr>
      <t xml:space="preserve">이자손익 </t>
    </r>
    <r>
      <rPr>
        <b val="true"/>
        <sz val="11"/>
        <color rgb="FF1F4E79"/>
        <rFont val="Arial"/>
        <family val="0"/>
        <charset val="1"/>
      </rPr>
      <t xml:space="preserve">(NIM)</t>
    </r>
  </si>
  <si>
    <r>
      <rPr>
        <sz val="10"/>
        <color rgb="FF000000"/>
        <rFont val="Noto Sans CJK SC"/>
        <family val="2"/>
      </rPr>
      <t xml:space="preserve">이자수익 </t>
    </r>
    <r>
      <rPr>
        <sz val="10"/>
        <color rgb="FF000000"/>
        <rFont val="Arial"/>
        <family val="0"/>
        <charset val="1"/>
      </rPr>
      <t xml:space="preserve">(A)</t>
    </r>
  </si>
  <si>
    <t xml:space="preserve">이자부 외화자산 이자 합계</t>
  </si>
  <si>
    <r>
      <rPr>
        <sz val="10"/>
        <color rgb="FF000000"/>
        <rFont val="Noto Sans CJK SC"/>
        <family val="2"/>
      </rPr>
      <t xml:space="preserve">이자비용 </t>
    </r>
    <r>
      <rPr>
        <sz val="10"/>
        <color rgb="FF000000"/>
        <rFont val="Arial"/>
        <family val="0"/>
        <charset val="1"/>
      </rPr>
      <t xml:space="preserve">(B)</t>
    </r>
  </si>
  <si>
    <t xml:space="preserve">이자부 외화부채 이자 합계</t>
  </si>
  <si>
    <r>
      <rPr>
        <sz val="10"/>
        <color rgb="FF000000"/>
        <rFont val="Noto Sans CJK SC"/>
        <family val="2"/>
      </rPr>
      <t xml:space="preserve">순이자손익 </t>
    </r>
    <r>
      <rPr>
        <sz val="10"/>
        <color rgb="FF000000"/>
        <rFont val="Arial"/>
        <family val="0"/>
        <charset val="1"/>
      </rPr>
      <t xml:space="preserve">(C=A-B)</t>
    </r>
  </si>
  <si>
    <r>
      <rPr>
        <i val="true"/>
        <sz val="9"/>
        <color rgb="FF7F7F7F"/>
        <rFont val="Noto Sans CJK SC"/>
        <family val="2"/>
      </rPr>
      <t xml:space="preserve">음수 </t>
    </r>
    <r>
      <rPr>
        <i val="true"/>
        <sz val="9"/>
        <color rgb="FF7F7F7F"/>
        <rFont val="Arial"/>
        <family val="0"/>
        <charset val="1"/>
      </rPr>
      <t xml:space="preserve">= </t>
    </r>
    <r>
      <rPr>
        <i val="true"/>
        <sz val="9"/>
        <color rgb="FF7F7F7F"/>
        <rFont val="Noto Sans CJK SC"/>
        <family val="2"/>
      </rPr>
      <t xml:space="preserve">이자 역마진</t>
    </r>
  </si>
  <si>
    <t xml:space="preserve">평균 이자부 외화자산</t>
  </si>
  <si>
    <r>
      <rPr>
        <i val="true"/>
        <sz val="9"/>
        <color rgb="FF7F7F7F"/>
        <rFont val="Arial"/>
        <family val="0"/>
        <charset val="1"/>
      </rPr>
      <t xml:space="preserve">NIM·</t>
    </r>
    <r>
      <rPr>
        <i val="true"/>
        <sz val="9"/>
        <color rgb="FF7F7F7F"/>
        <rFont val="Noto Sans CJK SC"/>
        <family val="2"/>
      </rPr>
      <t xml:space="preserve">마진율 분모</t>
    </r>
  </si>
  <si>
    <t xml:space="preserve">평균 이자부 외화부채</t>
  </si>
  <si>
    <r>
      <rPr>
        <sz val="10"/>
        <color rgb="FF000000"/>
        <rFont val="Noto Sans CJK SC"/>
        <family val="2"/>
      </rPr>
      <t xml:space="preserve">외화 운용수익률 </t>
    </r>
    <r>
      <rPr>
        <sz val="10"/>
        <color rgb="FF000000"/>
        <rFont val="Arial"/>
        <family val="0"/>
        <charset val="1"/>
      </rPr>
      <t xml:space="preserve">(A/</t>
    </r>
    <r>
      <rPr>
        <sz val="10"/>
        <color rgb="FF000000"/>
        <rFont val="Noto Sans CJK SC"/>
        <family val="2"/>
      </rPr>
      <t xml:space="preserve">자산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</si>
  <si>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외화 조달원가율 </t>
    </r>
    <r>
      <rPr>
        <sz val="10"/>
        <color rgb="FF000000"/>
        <rFont val="Arial"/>
        <family val="0"/>
        <charset val="1"/>
      </rPr>
      <t xml:space="preserve">(B/</t>
    </r>
    <r>
      <rPr>
        <sz val="10"/>
        <color rgb="FF000000"/>
        <rFont val="Noto Sans CJK SC"/>
        <family val="2"/>
      </rPr>
      <t xml:space="preserve">부채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</si>
  <si>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7F7F7F"/>
        <rFont val="Noto Sans CJK SC"/>
        <family val="2"/>
      </rPr>
      <t xml:space="preserve">운용수익률 </t>
    </r>
    <r>
      <rPr>
        <i val="true"/>
        <sz val="9"/>
        <color rgb="FF7F7F7F"/>
        <rFont val="Arial"/>
        <family val="0"/>
        <charset val="1"/>
      </rPr>
      <t xml:space="preserve">&gt; </t>
    </r>
    <r>
      <rPr>
        <i val="true"/>
        <sz val="9"/>
        <color rgb="FF7F7F7F"/>
        <rFont val="Noto Sans CJK SC"/>
        <family val="2"/>
      </rPr>
      <t xml:space="preserve">조달원가율이면 단가 스프레드 </t>
    </r>
    <r>
      <rPr>
        <i val="true"/>
        <sz val="9"/>
        <color rgb="FF7F7F7F"/>
        <rFont val="Arial"/>
        <family val="0"/>
        <charset val="1"/>
      </rPr>
      <t xml:space="preserve">+</t>
    </r>
  </si>
  <si>
    <r>
      <rPr>
        <sz val="10"/>
        <color rgb="FF000000"/>
        <rFont val="Noto Sans CJK SC"/>
        <family val="2"/>
      </rPr>
      <t xml:space="preserve">외화 </t>
    </r>
    <r>
      <rPr>
        <sz val="10"/>
        <color rgb="FF000000"/>
        <rFont val="Arial"/>
        <family val="0"/>
        <charset val="1"/>
      </rPr>
      <t xml:space="preserve">NIM (C/</t>
    </r>
    <r>
      <rPr>
        <sz val="10"/>
        <color rgb="FF000000"/>
        <rFont val="Noto Sans CJK SC"/>
        <family val="2"/>
      </rPr>
      <t xml:space="preserve">자산</t>
    </r>
    <r>
      <rPr>
        <sz val="10"/>
        <color rgb="FF000000"/>
        <rFont val="Arial"/>
        <family val="0"/>
        <charset val="1"/>
      </rPr>
      <t xml:space="preserve">)</t>
    </r>
  </si>
  <si>
    <t xml:space="preserve">이자만 반영 → 과소평가</t>
  </si>
  <si>
    <r>
      <rPr>
        <b val="true"/>
        <sz val="11"/>
        <color rgb="FF1F4E79"/>
        <rFont val="Arial"/>
        <family val="0"/>
        <charset val="1"/>
      </rPr>
      <t xml:space="preserve">Ⅱ. </t>
    </r>
    <r>
      <rPr>
        <b val="true"/>
        <sz val="11"/>
        <color rgb="FF1F4E79"/>
        <rFont val="Noto Sans CJK SC"/>
        <family val="2"/>
      </rPr>
      <t xml:space="preserve">비이자손익</t>
    </r>
  </si>
  <si>
    <r>
      <rPr>
        <sz val="10"/>
        <color rgb="FF000000"/>
        <rFont val="Noto Sans CJK SC"/>
        <family val="2"/>
      </rPr>
      <t xml:space="preserve">비이자수익 </t>
    </r>
    <r>
      <rPr>
        <sz val="10"/>
        <color rgb="FF000000"/>
        <rFont val="Arial"/>
        <family val="0"/>
        <charset val="1"/>
      </rPr>
      <t xml:space="preserve">(D)</t>
    </r>
  </si>
  <si>
    <r>
      <rPr>
        <i val="true"/>
        <sz val="9"/>
        <color rgb="FF7F7F7F"/>
        <rFont val="Noto Sans CJK SC"/>
        <family val="2"/>
      </rPr>
      <t xml:space="preserve">외환손익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수수료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증권평가익</t>
    </r>
  </si>
  <si>
    <r>
      <rPr>
        <sz val="10"/>
        <color rgb="FF000000"/>
        <rFont val="Noto Sans CJK SC"/>
        <family val="2"/>
      </rPr>
      <t xml:space="preserve">비이자비용 </t>
    </r>
    <r>
      <rPr>
        <sz val="10"/>
        <color rgb="FF000000"/>
        <rFont val="Arial"/>
        <family val="0"/>
        <charset val="1"/>
      </rPr>
      <t xml:space="preserve">(E)</t>
    </r>
  </si>
  <si>
    <r>
      <rPr>
        <i val="true"/>
        <sz val="9"/>
        <color rgb="FF7F7F7F"/>
        <rFont val="Noto Sans CJK SC"/>
        <family val="2"/>
      </rPr>
      <t xml:space="preserve">외환손실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지급수수료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기타</t>
    </r>
  </si>
  <si>
    <r>
      <rPr>
        <sz val="10"/>
        <color rgb="FF000000"/>
        <rFont val="Noto Sans CJK SC"/>
        <family val="2"/>
      </rPr>
      <t xml:space="preserve">순비이자손익 </t>
    </r>
    <r>
      <rPr>
        <sz val="10"/>
        <color rgb="FF000000"/>
        <rFont val="Arial"/>
        <family val="0"/>
        <charset val="1"/>
      </rPr>
      <t xml:space="preserve">(F=D-E)</t>
    </r>
  </si>
  <si>
    <r>
      <rPr>
        <b val="true"/>
        <sz val="10"/>
        <rFont val="Arial"/>
        <family val="0"/>
        <charset val="1"/>
      </rPr>
      <t xml:space="preserve">  · </t>
    </r>
    <r>
      <rPr>
        <b val="true"/>
        <sz val="10"/>
        <rFont val="Noto Sans CJK SC"/>
        <family val="2"/>
      </rPr>
      <t xml:space="preserve">유형별 순비이자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수익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비용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</si>
  <si>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    매매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환산</t>
    </r>
  </si>
  <si>
    <r>
      <rPr>
        <i val="true"/>
        <sz val="9"/>
        <color rgb="FF7F7F7F"/>
        <rFont val="Noto Sans CJK SC"/>
        <family val="2"/>
      </rPr>
      <t xml:space="preserve">스왑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환포지션 평가성격 → 변동성 큼</t>
    </r>
  </si>
  <si>
    <r>
      <rPr>
        <sz val="10"/>
        <color rgb="FF000000"/>
        <rFont val="Noto Sans CJK SC"/>
        <family val="2"/>
      </rPr>
      <t xml:space="preserve">    증권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평가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매매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</si>
  <si>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7F7F7F"/>
        <rFont val="Noto Sans CJK SC"/>
        <family val="2"/>
      </rPr>
      <t xml:space="preserve">외화투자</t>
    </r>
    <r>
      <rPr>
        <i val="true"/>
        <sz val="9"/>
        <color rgb="FF7F7F7F"/>
        <rFont val="Arial"/>
        <family val="0"/>
        <charset val="1"/>
      </rPr>
      <t xml:space="preserve">/</t>
    </r>
    <r>
      <rPr>
        <i val="true"/>
        <sz val="9"/>
        <color rgb="FF7F7F7F"/>
        <rFont val="Noto Sans CJK SC"/>
        <family val="2"/>
      </rPr>
      <t xml:space="preserve">단기매매</t>
    </r>
    <r>
      <rPr>
        <i val="true"/>
        <sz val="9"/>
        <color rgb="FF7F7F7F"/>
        <rFont val="Arial"/>
        <family val="0"/>
        <charset val="1"/>
      </rPr>
      <t xml:space="preserve">/FVPL </t>
    </r>
    <r>
      <rPr>
        <i val="true"/>
        <sz val="9"/>
        <color rgb="FF7F7F7F"/>
        <rFont val="Noto Sans CJK SC"/>
        <family val="2"/>
      </rPr>
      <t xml:space="preserve">운용수익</t>
    </r>
  </si>
  <si>
    <r>
      <rPr>
        <sz val="10"/>
        <color rgb="FF000000"/>
        <rFont val="Noto Sans CJK SC"/>
        <family val="2"/>
      </rPr>
      <t xml:space="preserve">    수수료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보증료</t>
    </r>
  </si>
  <si>
    <r>
      <rPr>
        <i val="true"/>
        <sz val="9"/>
        <color rgb="FF7F7F7F"/>
        <rFont val="Noto Sans CJK SC"/>
        <family val="2"/>
      </rPr>
      <t xml:space="preserve">안정적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반복적</t>
    </r>
  </si>
  <si>
    <t xml:space="preserve">    기타</t>
  </si>
  <si>
    <r>
      <rPr>
        <i val="true"/>
        <sz val="9"/>
        <color rgb="FF7F7F7F"/>
        <rFont val="Noto Sans CJK SC"/>
        <family val="2"/>
      </rPr>
      <t xml:space="preserve">건전성부담금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리스 등</t>
    </r>
  </si>
  <si>
    <r>
      <rPr>
        <b val="true"/>
        <sz val="11"/>
        <color rgb="FF1F4E79"/>
        <rFont val="Arial"/>
        <family val="0"/>
        <charset val="1"/>
      </rPr>
      <t xml:space="preserve">Ⅲ. </t>
    </r>
    <r>
      <rPr>
        <b val="true"/>
        <sz val="11"/>
        <color rgb="FF1F4E79"/>
        <rFont val="Noto Sans CJK SC"/>
        <family val="2"/>
      </rPr>
      <t xml:space="preserve">외화부문 종합손익 </t>
    </r>
    <r>
      <rPr>
        <b val="true"/>
        <sz val="11"/>
        <color rgb="FF1F4E79"/>
        <rFont val="Arial"/>
        <family val="0"/>
        <charset val="1"/>
      </rPr>
      <t xml:space="preserve">/ </t>
    </r>
    <r>
      <rPr>
        <b val="true"/>
        <sz val="11"/>
        <color rgb="FF1F4E79"/>
        <rFont val="Noto Sans CJK SC"/>
        <family val="2"/>
      </rPr>
      <t xml:space="preserve">종합마진</t>
    </r>
  </si>
  <si>
    <r>
      <rPr>
        <b val="true"/>
        <sz val="10"/>
        <rFont val="Noto Sans CJK SC"/>
        <family val="2"/>
      </rPr>
      <t xml:space="preserve">종합손익 </t>
    </r>
    <r>
      <rPr>
        <b val="true"/>
        <sz val="10"/>
        <rFont val="Arial"/>
        <family val="0"/>
        <charset val="1"/>
      </rPr>
      <t xml:space="preserve">(G=C+F)</t>
    </r>
  </si>
  <si>
    <r>
      <rPr>
        <i val="true"/>
        <sz val="9"/>
        <color rgb="FF7F7F7F"/>
        <rFont val="Noto Sans CJK SC"/>
        <family val="2"/>
      </rPr>
      <t xml:space="preserve">이자 </t>
    </r>
    <r>
      <rPr>
        <i val="true"/>
        <sz val="9"/>
        <color rgb="FF7F7F7F"/>
        <rFont val="Arial"/>
        <family val="0"/>
        <charset val="1"/>
      </rPr>
      <t xml:space="preserve">+ </t>
    </r>
    <r>
      <rPr>
        <i val="true"/>
        <sz val="9"/>
        <color rgb="FF7F7F7F"/>
        <rFont val="Noto Sans CJK SC"/>
        <family val="2"/>
      </rPr>
      <t xml:space="preserve">비이자</t>
    </r>
  </si>
  <si>
    <r>
      <rPr>
        <b val="true"/>
        <sz val="10"/>
        <rFont val="Noto Sans CJK SC"/>
        <family val="2"/>
      </rPr>
      <t xml:space="preserve">종합마진율 </t>
    </r>
    <r>
      <rPr>
        <b val="true"/>
        <sz val="10"/>
        <rFont val="Arial"/>
        <family val="0"/>
        <charset val="1"/>
      </rPr>
      <t xml:space="preserve">(G/</t>
    </r>
    <r>
      <rPr>
        <b val="true"/>
        <sz val="10"/>
        <rFont val="Noto Sans CJK SC"/>
        <family val="2"/>
      </rPr>
      <t xml:space="preserve">이자부자산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</si>
  <si>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7F7F7F"/>
        <rFont val="Arial"/>
        <family val="0"/>
        <charset val="1"/>
      </rPr>
      <t xml:space="preserve">NIM</t>
    </r>
    <r>
      <rPr>
        <i val="true"/>
        <sz val="9"/>
        <color rgb="FF7F7F7F"/>
        <rFont val="Noto Sans CJK SC"/>
        <family val="2"/>
      </rPr>
      <t xml:space="preserve">과 동일 분모로 비교</t>
    </r>
  </si>
  <si>
    <t xml:space="preserve">※ 핵심</t>
  </si>
  <si>
    <r>
      <rPr>
        <i val="true"/>
        <sz val="9"/>
        <color rgb="FF7F7F7F"/>
        <rFont val="Arial"/>
        <family val="0"/>
        <charset val="1"/>
      </rPr>
      <t xml:space="preserve">· NIM(</t>
    </r>
    <r>
      <rPr>
        <i val="true"/>
        <sz val="9"/>
        <color rgb="FF7F7F7F"/>
        <rFont val="Noto Sans CJK SC"/>
        <family val="2"/>
      </rPr>
      <t xml:space="preserve">이자</t>
    </r>
    <r>
      <rPr>
        <i val="true"/>
        <sz val="9"/>
        <color rgb="FF7F7F7F"/>
        <rFont val="Arial"/>
        <family val="0"/>
        <charset val="1"/>
      </rPr>
      <t xml:space="preserve">)</t>
    </r>
    <r>
      <rPr>
        <i val="true"/>
        <sz val="9"/>
        <color rgb="FF7F7F7F"/>
        <rFont val="Noto Sans CJK SC"/>
        <family val="2"/>
      </rPr>
      <t xml:space="preserve">은 음</t>
    </r>
    <r>
      <rPr>
        <i val="true"/>
        <sz val="9"/>
        <color rgb="FF7F7F7F"/>
        <rFont val="Arial"/>
        <family val="0"/>
        <charset val="1"/>
      </rPr>
      <t xml:space="preserve">(-)</t>
    </r>
    <r>
      <rPr>
        <i val="true"/>
        <sz val="9"/>
        <color rgb="FF7F7F7F"/>
        <rFont val="Noto Sans CJK SC"/>
        <family val="2"/>
      </rPr>
      <t xml:space="preserve">이지만</t>
    </r>
    <r>
      <rPr>
        <i val="true"/>
        <sz val="9"/>
        <color rgb="FF7F7F7F"/>
        <rFont val="Arial"/>
        <family val="0"/>
        <charset val="1"/>
      </rPr>
      <t xml:space="preserve">, </t>
    </r>
    <r>
      <rPr>
        <i val="true"/>
        <sz val="9"/>
        <color rgb="FF7F7F7F"/>
        <rFont val="Noto Sans CJK SC"/>
        <family val="2"/>
      </rPr>
      <t xml:space="preserve">비이자수익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외환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스왑손익</t>
    </r>
    <r>
      <rPr>
        <i val="true"/>
        <sz val="9"/>
        <color rgb="FF7F7F7F"/>
        <rFont val="Arial"/>
        <family val="0"/>
        <charset val="1"/>
      </rPr>
      <t xml:space="preserve">+</t>
    </r>
    <r>
      <rPr>
        <i val="true"/>
        <sz val="9"/>
        <color rgb="FF7F7F7F"/>
        <rFont val="Noto Sans CJK SC"/>
        <family val="2"/>
      </rPr>
      <t xml:space="preserve">수수료</t>
    </r>
    <r>
      <rPr>
        <i val="true"/>
        <sz val="9"/>
        <color rgb="FF7F7F7F"/>
        <rFont val="Arial"/>
        <family val="0"/>
        <charset val="1"/>
      </rPr>
      <t xml:space="preserve">+</t>
    </r>
    <r>
      <rPr>
        <i val="true"/>
        <sz val="9"/>
        <color rgb="FF7F7F7F"/>
        <rFont val="Noto Sans CJK SC"/>
        <family val="2"/>
      </rPr>
      <t xml:space="preserve">증권</t>
    </r>
    <r>
      <rPr>
        <i val="true"/>
        <sz val="9"/>
        <color rgb="FF7F7F7F"/>
        <rFont val="Arial"/>
        <family val="0"/>
        <charset val="1"/>
      </rPr>
      <t xml:space="preserve">)</t>
    </r>
    <r>
      <rPr>
        <i val="true"/>
        <sz val="9"/>
        <color rgb="FF7F7F7F"/>
        <rFont val="Noto Sans CJK SC"/>
        <family val="2"/>
      </rPr>
      <t xml:space="preserve">을 더한 종합손익은 플러스로 전환됩니다</t>
    </r>
    <r>
      <rPr>
        <i val="true"/>
        <sz val="9"/>
        <color rgb="FF7F7F7F"/>
        <rFont val="Arial"/>
        <family val="0"/>
        <charset val="1"/>
      </rPr>
      <t xml:space="preserve">.</t>
    </r>
  </si>
  <si>
    <r>
      <rPr>
        <i val="true"/>
        <sz val="9"/>
        <color rgb="FF7F7F7F"/>
        <rFont val="Arial"/>
        <family val="0"/>
        <charset val="1"/>
      </rPr>
      <t xml:space="preserve">· </t>
    </r>
    <r>
      <rPr>
        <i val="true"/>
        <sz val="9"/>
        <color rgb="FF7F7F7F"/>
        <rFont val="Noto Sans CJK SC"/>
        <family val="2"/>
      </rPr>
      <t xml:space="preserve">조달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이자부 부채</t>
    </r>
    <r>
      <rPr>
        <i val="true"/>
        <sz val="9"/>
        <color rgb="FF7F7F7F"/>
        <rFont val="Arial"/>
        <family val="0"/>
        <charset val="1"/>
      </rPr>
      <t xml:space="preserve">)</t>
    </r>
    <r>
      <rPr>
        <i val="true"/>
        <sz val="9"/>
        <color rgb="FF7F7F7F"/>
        <rFont val="Noto Sans CJK SC"/>
        <family val="2"/>
      </rPr>
      <t xml:space="preserve">은 </t>
    </r>
    <r>
      <rPr>
        <i val="true"/>
        <sz val="9"/>
        <color rgb="FF7F7F7F"/>
        <rFont val="Arial"/>
        <family val="0"/>
        <charset val="1"/>
      </rPr>
      <t xml:space="preserve">100% </t>
    </r>
    <r>
      <rPr>
        <i val="true"/>
        <sz val="9"/>
        <color rgb="FF7F7F7F"/>
        <rFont val="Noto Sans CJK SC"/>
        <family val="2"/>
      </rPr>
      <t xml:space="preserve">이자비용으로 나가지만</t>
    </r>
    <r>
      <rPr>
        <i val="true"/>
        <sz val="9"/>
        <color rgb="FF7F7F7F"/>
        <rFont val="Arial"/>
        <family val="0"/>
        <charset val="1"/>
      </rPr>
      <t xml:space="preserve">, </t>
    </r>
    <r>
      <rPr>
        <i val="true"/>
        <sz val="9"/>
        <color rgb="FF7F7F7F"/>
        <rFont val="Noto Sans CJK SC"/>
        <family val="2"/>
      </rPr>
      <t xml:space="preserve">외화투자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단기매매</t>
    </r>
    <r>
      <rPr>
        <i val="true"/>
        <sz val="9"/>
        <color rgb="FF7F7F7F"/>
        <rFont val="Arial"/>
        <family val="0"/>
        <charset val="1"/>
      </rPr>
      <t xml:space="preserve">·FVPL </t>
    </r>
    <r>
      <rPr>
        <i val="true"/>
        <sz val="9"/>
        <color rgb="FF7F7F7F"/>
        <rFont val="Noto Sans CJK SC"/>
        <family val="2"/>
      </rPr>
      <t xml:space="preserve">증권의 운용수익은</t>
    </r>
  </si>
  <si>
    <r>
      <rPr>
        <i val="true"/>
        <sz val="9"/>
        <color rgb="FF7F7F7F"/>
        <rFont val="Noto Sans CJK SC"/>
        <family val="2"/>
      </rPr>
      <t xml:space="preserve">  이자가 아니라 ⑤비이자수익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평가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매매익</t>
    </r>
    <r>
      <rPr>
        <i val="true"/>
        <sz val="9"/>
        <color rgb="FF7F7F7F"/>
        <rFont val="Arial"/>
        <family val="0"/>
        <charset val="1"/>
      </rPr>
      <t xml:space="preserve">)</t>
    </r>
    <r>
      <rPr>
        <i val="true"/>
        <sz val="9"/>
        <color rgb="FF7F7F7F"/>
        <rFont val="Noto Sans CJK SC"/>
        <family val="2"/>
      </rPr>
      <t xml:space="preserve">으로 잡혀 </t>
    </r>
    <r>
      <rPr>
        <i val="true"/>
        <sz val="9"/>
        <color rgb="FF7F7F7F"/>
        <rFont val="Arial"/>
        <family val="0"/>
        <charset val="1"/>
      </rPr>
      <t xml:space="preserve">NIM </t>
    </r>
    <r>
      <rPr>
        <i val="true"/>
        <sz val="9"/>
        <color rgb="FF7F7F7F"/>
        <rFont val="Noto Sans CJK SC"/>
        <family val="2"/>
      </rPr>
      <t xml:space="preserve">분자에서 빠집니다 → </t>
    </r>
    <r>
      <rPr>
        <i val="true"/>
        <sz val="9"/>
        <color rgb="FF7F7F7F"/>
        <rFont val="Arial"/>
        <family val="0"/>
        <charset val="1"/>
      </rPr>
      <t xml:space="preserve">NIM</t>
    </r>
    <r>
      <rPr>
        <i val="true"/>
        <sz val="9"/>
        <color rgb="FF7F7F7F"/>
        <rFont val="Noto Sans CJK SC"/>
        <family val="2"/>
      </rPr>
      <t xml:space="preserve">이 경제성을 과소평가</t>
    </r>
    <r>
      <rPr>
        <i val="true"/>
        <sz val="9"/>
        <color rgb="FF7F7F7F"/>
        <rFont val="Arial"/>
        <family val="0"/>
        <charset val="1"/>
      </rPr>
      <t xml:space="preserve">.</t>
    </r>
  </si>
  <si>
    <r>
      <rPr>
        <i val="true"/>
        <sz val="9"/>
        <color rgb="FF7F7F7F"/>
        <rFont val="Arial"/>
        <family val="0"/>
        <charset val="1"/>
      </rPr>
      <t xml:space="preserve">· </t>
    </r>
    <r>
      <rPr>
        <i val="true"/>
        <sz val="9"/>
        <color rgb="FF7F7F7F"/>
        <rFont val="Noto Sans CJK SC"/>
        <family val="2"/>
      </rPr>
      <t xml:space="preserve">운용수익률 </t>
    </r>
    <r>
      <rPr>
        <i val="true"/>
        <sz val="9"/>
        <color rgb="FF7F7F7F"/>
        <rFont val="Arial"/>
        <family val="0"/>
        <charset val="1"/>
      </rPr>
      <t xml:space="preserve">&gt; </t>
    </r>
    <r>
      <rPr>
        <i val="true"/>
        <sz val="9"/>
        <color rgb="FF7F7F7F"/>
        <rFont val="Noto Sans CJK SC"/>
        <family val="2"/>
      </rPr>
      <t xml:space="preserve">조달원가율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단가 스프레드 </t>
    </r>
    <r>
      <rPr>
        <i val="true"/>
        <sz val="9"/>
        <color rgb="FF7F7F7F"/>
        <rFont val="Arial"/>
        <family val="0"/>
        <charset val="1"/>
      </rPr>
      <t xml:space="preserve">+): </t>
    </r>
    <r>
      <rPr>
        <i val="true"/>
        <sz val="9"/>
        <color rgb="FF7F7F7F"/>
        <rFont val="Noto Sans CJK SC"/>
        <family val="2"/>
      </rPr>
      <t xml:space="preserve">운용 단가 자체는 양호</t>
    </r>
    <r>
      <rPr>
        <i val="true"/>
        <sz val="9"/>
        <color rgb="FF7F7F7F"/>
        <rFont val="Arial"/>
        <family val="0"/>
        <charset val="1"/>
      </rPr>
      <t xml:space="preserve">. </t>
    </r>
    <r>
      <rPr>
        <i val="true"/>
        <sz val="9"/>
        <color rgb="FF7F7F7F"/>
        <rFont val="Noto Sans CJK SC"/>
        <family val="2"/>
      </rPr>
      <t xml:space="preserve">순이자 </t>
    </r>
    <r>
      <rPr>
        <i val="true"/>
        <sz val="9"/>
        <color rgb="FF7F7F7F"/>
        <rFont val="Arial"/>
        <family val="0"/>
        <charset val="1"/>
      </rPr>
      <t xml:space="preserve">(-)</t>
    </r>
    <r>
      <rPr>
        <i val="true"/>
        <sz val="9"/>
        <color rgb="FF7F7F7F"/>
        <rFont val="Noto Sans CJK SC"/>
        <family val="2"/>
      </rPr>
      <t xml:space="preserve">는 볼륨 미스매치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부채</t>
    </r>
    <r>
      <rPr>
        <i val="true"/>
        <sz val="9"/>
        <color rgb="FF7F7F7F"/>
        <rFont val="Arial"/>
        <family val="0"/>
        <charset val="1"/>
      </rPr>
      <t xml:space="preserve">&gt;</t>
    </r>
    <r>
      <rPr>
        <i val="true"/>
        <sz val="9"/>
        <color rgb="FF7F7F7F"/>
        <rFont val="Noto Sans CJK SC"/>
        <family val="2"/>
      </rPr>
      <t xml:space="preserve">자산</t>
    </r>
    <r>
      <rPr>
        <i val="true"/>
        <sz val="9"/>
        <color rgb="FF7F7F7F"/>
        <rFont val="Arial"/>
        <family val="0"/>
        <charset val="1"/>
      </rPr>
      <t xml:space="preserve">).</t>
    </r>
  </si>
  <si>
    <r>
      <rPr>
        <i val="true"/>
        <sz val="9"/>
        <color rgb="FF7F7F7F"/>
        <rFont val="Arial"/>
        <family val="0"/>
        <charset val="1"/>
      </rPr>
      <t xml:space="preserve">· </t>
    </r>
    <r>
      <rPr>
        <i val="true"/>
        <sz val="9"/>
        <color rgb="FF7F7F7F"/>
        <rFont val="Noto Sans CJK SC"/>
        <family val="2"/>
      </rPr>
      <t xml:space="preserve">단</t>
    </r>
    <r>
      <rPr>
        <i val="true"/>
        <sz val="9"/>
        <color rgb="FF7F7F7F"/>
        <rFont val="Arial"/>
        <family val="0"/>
        <charset val="1"/>
      </rPr>
      <t xml:space="preserve">, </t>
    </r>
    <r>
      <rPr>
        <i val="true"/>
        <sz val="9"/>
        <color rgb="FF7F7F7F"/>
        <rFont val="Noto Sans CJK SC"/>
        <family val="2"/>
      </rPr>
      <t xml:space="preserve">매매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환산손익은 환율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헤지 타이밍에 따라 변동성이 큼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스왑포지션 평가성격</t>
    </r>
    <r>
      <rPr>
        <i val="true"/>
        <sz val="9"/>
        <color rgb="FF7F7F7F"/>
        <rFont val="Arial"/>
        <family val="0"/>
        <charset val="1"/>
      </rPr>
      <t xml:space="preserve">). </t>
    </r>
    <r>
      <rPr>
        <i val="true"/>
        <sz val="9"/>
        <color rgb="FF7F7F7F"/>
        <rFont val="Noto Sans CJK SC"/>
        <family val="2"/>
      </rPr>
      <t xml:space="preserve">안정 마진은 수수료</t>
    </r>
    <r>
      <rPr>
        <i val="true"/>
        <sz val="9"/>
        <color rgb="FF7F7F7F"/>
        <rFont val="Arial"/>
        <family val="0"/>
        <charset val="1"/>
      </rPr>
      <t xml:space="preserve">+</t>
    </r>
    <r>
      <rPr>
        <i val="true"/>
        <sz val="9"/>
        <color rgb="FF7F7F7F"/>
        <rFont val="Noto Sans CJK SC"/>
        <family val="2"/>
      </rPr>
      <t xml:space="preserve">증권</t>
    </r>
    <r>
      <rPr>
        <i val="true"/>
        <sz val="9"/>
        <color rgb="FF7F7F7F"/>
        <rFont val="Arial"/>
        <family val="0"/>
        <charset val="1"/>
      </rPr>
      <t xml:space="preserve">.</t>
    </r>
  </si>
  <si>
    <r>
      <rPr>
        <i val="true"/>
        <sz val="9"/>
        <color rgb="FF7F7F7F"/>
        <rFont val="Arial"/>
        <family val="0"/>
        <charset val="1"/>
      </rPr>
      <t xml:space="preserve">· ②</t>
    </r>
    <r>
      <rPr>
        <i val="true"/>
        <sz val="9"/>
        <color rgb="FF7F7F7F"/>
        <rFont val="Noto Sans CJK SC"/>
        <family val="2"/>
      </rPr>
      <t xml:space="preserve">비이자무수익자산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외화투자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증권 등</t>
    </r>
    <r>
      <rPr>
        <i val="true"/>
        <sz val="9"/>
        <color rgb="FF7F7F7F"/>
        <rFont val="Arial"/>
        <family val="0"/>
        <charset val="1"/>
      </rPr>
      <t xml:space="preserve">)</t>
    </r>
    <r>
      <rPr>
        <i val="true"/>
        <sz val="9"/>
        <color rgb="FF7F7F7F"/>
        <rFont val="Noto Sans CJK SC"/>
        <family val="2"/>
      </rPr>
      <t xml:space="preserve">의 수익은 여기 ⑤비이자수익 라인에 나타납니다</t>
    </r>
    <r>
      <rPr>
        <i val="true"/>
        <sz val="9"/>
        <color rgb="FF7F7F7F"/>
        <rFont val="Arial"/>
        <family val="0"/>
        <charset val="1"/>
      </rPr>
      <t xml:space="preserve">(“</t>
    </r>
    <r>
      <rPr>
        <i val="true"/>
        <sz val="9"/>
        <color rgb="FF7F7F7F"/>
        <rFont val="Noto Sans CJK SC"/>
        <family val="2"/>
      </rPr>
      <t xml:space="preserve">비이자가 어디 있나”의 답</t>
    </r>
    <r>
      <rPr>
        <i val="true"/>
        <sz val="9"/>
        <color rgb="FF7F7F7F"/>
        <rFont val="Arial"/>
        <family val="0"/>
        <charset val="1"/>
      </rPr>
      <t xml:space="preserve">).</t>
    </r>
  </si>
  <si>
    <r>
      <rPr>
        <b val="true"/>
        <sz val="13"/>
        <rFont val="Noto Sans CJK SC"/>
        <family val="2"/>
      </rPr>
      <t xml:space="preserve">외화 </t>
    </r>
    <r>
      <rPr>
        <b val="true"/>
        <sz val="13"/>
        <rFont val="Arial"/>
        <family val="0"/>
        <charset val="1"/>
      </rPr>
      <t xml:space="preserve">RAW </t>
    </r>
    <r>
      <rPr>
        <b val="true"/>
        <sz val="13"/>
        <rFont val="Noto Sans CJK SC"/>
        <family val="2"/>
      </rPr>
      <t xml:space="preserve">추출  —  </t>
    </r>
    <r>
      <rPr>
        <b val="true"/>
        <sz val="13"/>
        <rFont val="Arial"/>
        <family val="0"/>
        <charset val="1"/>
      </rPr>
      <t xml:space="preserve">FX</t>
    </r>
    <r>
      <rPr>
        <b val="true"/>
        <sz val="13"/>
        <rFont val="Noto Sans CJK SC"/>
        <family val="2"/>
      </rPr>
      <t xml:space="preserve">계산</t>
    </r>
    <r>
      <rPr>
        <b val="true"/>
        <sz val="13"/>
        <rFont val="Arial"/>
        <family val="0"/>
        <charset val="1"/>
      </rPr>
      <t xml:space="preserve">.xlsx</t>
    </r>
    <r>
      <rPr>
        <b val="true"/>
        <sz val="13"/>
        <rFont val="Noto Sans CJK SC"/>
        <family val="2"/>
      </rPr>
      <t xml:space="preserve">에서 가져온 외화 과목 전체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탭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종합마진의 참조원본</t>
    </r>
    <r>
      <rPr>
        <b val="true"/>
        <sz val="13"/>
        <rFont val="Arial"/>
        <family val="0"/>
        <charset val="1"/>
      </rPr>
      <t xml:space="preserve">)</t>
    </r>
  </si>
  <si>
    <r>
      <rPr>
        <i val="true"/>
        <sz val="9"/>
        <color rgb="FF7F7F7F"/>
        <rFont val="Noto Sans CJK SC"/>
        <family val="2"/>
      </rPr>
      <t xml:space="preserve">단위</t>
    </r>
    <r>
      <rPr>
        <i val="true"/>
        <sz val="9"/>
        <color rgb="FF7F7F7F"/>
        <rFont val="Arial"/>
        <family val="0"/>
        <charset val="1"/>
      </rPr>
      <t xml:space="preserve">: </t>
    </r>
    <r>
      <rPr>
        <i val="true"/>
        <sz val="9"/>
        <color rgb="FF7F7F7F"/>
        <rFont val="Noto Sans CJK SC"/>
        <family val="2"/>
      </rPr>
      <t xml:space="preserve">백만원  </t>
    </r>
    <r>
      <rPr>
        <i val="true"/>
        <sz val="9"/>
        <color rgb="FF7F7F7F"/>
        <rFont val="Arial"/>
        <family val="0"/>
        <charset val="1"/>
      </rPr>
      <t xml:space="preserve">|  </t>
    </r>
    <r>
      <rPr>
        <i val="true"/>
        <sz val="9"/>
        <color rgb="FF7F7F7F"/>
        <rFont val="Noto Sans CJK SC"/>
        <family val="2"/>
      </rPr>
      <t xml:space="preserve">원본행 </t>
    </r>
    <r>
      <rPr>
        <i val="true"/>
        <sz val="9"/>
        <color rgb="FF7F7F7F"/>
        <rFont val="Arial"/>
        <family val="0"/>
        <charset val="1"/>
      </rPr>
      <t xml:space="preserve">= FX</t>
    </r>
    <r>
      <rPr>
        <i val="true"/>
        <sz val="9"/>
        <color rgb="FF7F7F7F"/>
        <rFont val="Noto Sans CJK SC"/>
        <family val="2"/>
      </rPr>
      <t xml:space="preserve">계산</t>
    </r>
    <r>
      <rPr>
        <i val="true"/>
        <sz val="9"/>
        <color rgb="FF7F7F7F"/>
        <rFont val="Arial"/>
        <family val="0"/>
        <charset val="1"/>
      </rPr>
      <t xml:space="preserve">.xlsx </t>
    </r>
    <r>
      <rPr>
        <i val="true"/>
        <sz val="9"/>
        <color rgb="FF7F7F7F"/>
        <rFont val="Noto Sans CJK SC"/>
        <family val="2"/>
      </rPr>
      <t xml:space="preserve">행번호  </t>
    </r>
    <r>
      <rPr>
        <i val="true"/>
        <sz val="9"/>
        <color rgb="FF7F7F7F"/>
        <rFont val="Arial"/>
        <family val="0"/>
        <charset val="1"/>
      </rPr>
      <t xml:space="preserve">|  </t>
    </r>
    <r>
      <rPr>
        <i val="true"/>
        <sz val="9"/>
        <color rgb="FF7F7F7F"/>
        <rFont val="Noto Sans CJK SC"/>
        <family val="2"/>
      </rPr>
      <t xml:space="preserve">금액 </t>
    </r>
    <r>
      <rPr>
        <i val="true"/>
        <sz val="9"/>
        <color rgb="FF7F7F7F"/>
        <rFont val="Arial"/>
        <family val="0"/>
        <charset val="1"/>
      </rPr>
      <t xml:space="preserve">= </t>
    </r>
    <r>
      <rPr>
        <i val="true"/>
        <sz val="9"/>
        <color rgb="FF7F7F7F"/>
        <rFont val="Noto Sans CJK SC"/>
        <family val="2"/>
      </rPr>
      <t xml:space="preserve">기중순액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자산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부채는 이자</t>
    </r>
    <r>
      <rPr>
        <i val="true"/>
        <sz val="9"/>
        <color rgb="FF7F7F7F"/>
        <rFont val="Arial"/>
        <family val="0"/>
        <charset val="1"/>
      </rPr>
      <t xml:space="preserve">, ⑤⑥</t>
    </r>
    <r>
      <rPr>
        <i val="true"/>
        <sz val="9"/>
        <color rgb="FF7F7F7F"/>
        <rFont val="Noto Sans CJK SC"/>
        <family val="2"/>
      </rPr>
      <t xml:space="preserve">은 손익</t>
    </r>
    <r>
      <rPr>
        <i val="true"/>
        <sz val="9"/>
        <color rgb="FF7F7F7F"/>
        <rFont val="Arial"/>
        <family val="0"/>
        <charset val="1"/>
      </rPr>
      <t xml:space="preserve">)  |  </t>
    </r>
    <r>
      <rPr>
        <i val="true"/>
        <sz val="9"/>
        <color rgb="FF7F7F7F"/>
        <rFont val="Noto Sans CJK SC"/>
        <family val="2"/>
      </rPr>
      <t xml:space="preserve">파랑</t>
    </r>
    <r>
      <rPr>
        <i val="true"/>
        <sz val="9"/>
        <color rgb="FF7F7F7F"/>
        <rFont val="Arial"/>
        <family val="0"/>
        <charset val="1"/>
      </rPr>
      <t xml:space="preserve">=</t>
    </r>
    <r>
      <rPr>
        <i val="true"/>
        <sz val="9"/>
        <color rgb="FF7F7F7F"/>
        <rFont val="Noto Sans CJK SC"/>
        <family val="2"/>
      </rPr>
      <t xml:space="preserve">원천값</t>
    </r>
  </si>
  <si>
    <t xml:space="preserve">구분</t>
  </si>
  <si>
    <t xml:space="preserve">유형</t>
  </si>
  <si>
    <t xml:space="preserve">원본행</t>
  </si>
  <si>
    <t xml:space="preserve">코드</t>
  </si>
  <si>
    <t xml:space="preserve">계정명</t>
  </si>
  <si>
    <t xml:space="preserve">잔액</t>
  </si>
  <si>
    <t xml:space="preserve">기중평잔</t>
  </si>
  <si>
    <t xml:space="preserve">금액</t>
  </si>
  <si>
    <t xml:space="preserve">수익률</t>
  </si>
  <si>
    <t xml:space="preserve">①이자부자산</t>
  </si>
  <si>
    <t xml:space="preserve">운용</t>
  </si>
  <si>
    <t xml:space="preserve">610101030000</t>
  </si>
  <si>
    <t xml:space="preserve">외화예치금</t>
  </si>
  <si>
    <t xml:space="preserve">610102030200</t>
  </si>
  <si>
    <r>
      <rPr>
        <sz val="10"/>
        <color rgb="FF000000"/>
        <rFont val="Noto Sans CJK SC"/>
        <family val="2"/>
      </rPr>
      <t xml:space="preserve">외화 </t>
    </r>
    <r>
      <rPr>
        <sz val="10"/>
        <color rgb="FF000000"/>
        <rFont val="Arial"/>
        <family val="0"/>
        <charset val="1"/>
      </rPr>
      <t xml:space="preserve">FVOCI </t>
    </r>
    <r>
      <rPr>
        <sz val="10"/>
        <color rgb="FF000000"/>
        <rFont val="Noto Sans CJK SC"/>
        <family val="2"/>
      </rPr>
      <t xml:space="preserve">유가증권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채권</t>
    </r>
    <r>
      <rPr>
        <sz val="10"/>
        <color rgb="FF000000"/>
        <rFont val="Arial"/>
        <family val="0"/>
        <charset val="1"/>
      </rPr>
      <t xml:space="preserve">)</t>
    </r>
  </si>
  <si>
    <t xml:space="preserve">610104050000</t>
  </si>
  <si>
    <t xml:space="preserve">외화대출금</t>
  </si>
  <si>
    <t xml:space="preserve">617103</t>
  </si>
  <si>
    <t xml:space="preserve">외화콜론</t>
  </si>
  <si>
    <t xml:space="preserve">615306</t>
  </si>
  <si>
    <r>
      <rPr>
        <sz val="10"/>
        <color rgb="FF000000"/>
        <rFont val="Noto Sans CJK SC"/>
        <family val="2"/>
      </rPr>
      <t xml:space="preserve">은행간외화대여금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종속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관계</t>
    </r>
    <r>
      <rPr>
        <sz val="10"/>
        <color rgb="FF000000"/>
        <rFont val="Arial"/>
        <family val="0"/>
        <charset val="1"/>
      </rPr>
      <t xml:space="preserve">)</t>
    </r>
  </si>
  <si>
    <t xml:space="preserve">615302</t>
  </si>
  <si>
    <t xml:space="preserve">은행간외화대여금</t>
  </si>
  <si>
    <t xml:space="preserve">610104070000</t>
  </si>
  <si>
    <t xml:space="preserve">내국수입유산스</t>
  </si>
  <si>
    <t xml:space="preserve">610104100000</t>
  </si>
  <si>
    <t xml:space="preserve">매입외환</t>
  </si>
  <si>
    <t xml:space="preserve">620303</t>
  </si>
  <si>
    <t xml:space="preserve">외화사모사채</t>
  </si>
  <si>
    <t xml:space="preserve">610104110200</t>
  </si>
  <si>
    <t xml:space="preserve">외화지급보증대지급</t>
  </si>
  <si>
    <r>
      <rPr>
        <sz val="10"/>
        <color rgb="FF000000"/>
        <rFont val="Noto Sans CJK SC"/>
        <family val="2"/>
      </rPr>
      <t xml:space="preserve">이자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기타</t>
    </r>
    <r>
      <rPr>
        <sz val="10"/>
        <color rgb="FF000000"/>
        <rFont val="Arial"/>
        <family val="0"/>
        <charset val="1"/>
      </rPr>
      <t xml:space="preserve">)</t>
    </r>
  </si>
  <si>
    <t xml:space="preserve">660161</t>
  </si>
  <si>
    <t xml:space="preserve">국외외화본지점이자</t>
  </si>
  <si>
    <t xml:space="preserve">610202000000</t>
  </si>
  <si>
    <t xml:space="preserve">기타외환수입이자</t>
  </si>
  <si>
    <t xml:space="preserve">②비이자무수익자산</t>
  </si>
  <si>
    <t xml:space="preserve">무수익</t>
  </si>
  <si>
    <t xml:space="preserve">650138</t>
  </si>
  <si>
    <r>
      <rPr>
        <sz val="10"/>
        <color rgb="FF000000"/>
        <rFont val="Noto Sans CJK SC"/>
        <family val="2"/>
      </rPr>
      <t xml:space="preserve">외화미수미결제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현물환</t>
    </r>
    <r>
      <rPr>
        <sz val="10"/>
        <color rgb="FF000000"/>
        <rFont val="Arial"/>
        <family val="0"/>
        <charset val="1"/>
      </rPr>
      <t xml:space="preserve">)</t>
    </r>
  </si>
  <si>
    <t xml:space="preserve">운용성</t>
  </si>
  <si>
    <t xml:space="preserve">630786</t>
  </si>
  <si>
    <r>
      <rPr>
        <sz val="10"/>
        <color rgb="FF000000"/>
        <rFont val="Noto Sans CJK SC"/>
        <family val="2"/>
      </rPr>
      <t xml:space="preserve">외화투자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관계회사 등</t>
    </r>
    <r>
      <rPr>
        <sz val="10"/>
        <color rgb="FF000000"/>
        <rFont val="Arial"/>
        <family val="0"/>
        <charset val="1"/>
      </rPr>
      <t xml:space="preserve">)</t>
    </r>
  </si>
  <si>
    <t xml:space="preserve">630110</t>
  </si>
  <si>
    <t xml:space="preserve">외국통화</t>
  </si>
  <si>
    <t xml:space="preserve">610102010510</t>
  </si>
  <si>
    <r>
      <rPr>
        <sz val="10"/>
        <color rgb="FF000000"/>
        <rFont val="Noto Sans CJK SC"/>
        <family val="2"/>
      </rPr>
      <t xml:space="preserve">외화 기타</t>
    </r>
    <r>
      <rPr>
        <sz val="10"/>
        <color rgb="FF000000"/>
        <rFont val="Arial"/>
        <family val="0"/>
        <charset val="1"/>
      </rPr>
      <t xml:space="preserve">FVPL </t>
    </r>
    <r>
      <rPr>
        <sz val="10"/>
        <color rgb="FF000000"/>
        <rFont val="Noto Sans CJK SC"/>
        <family val="2"/>
      </rPr>
      <t xml:space="preserve">유가증권</t>
    </r>
  </si>
  <si>
    <t xml:space="preserve">610102010200</t>
  </si>
  <si>
    <t xml:space="preserve">외화 단기매매증권</t>
  </si>
  <si>
    <t xml:space="preserve">650529</t>
  </si>
  <si>
    <t xml:space="preserve">외화미수수익</t>
  </si>
  <si>
    <t xml:space="preserve">660158</t>
  </si>
  <si>
    <r>
      <rPr>
        <sz val="10"/>
        <color rgb="FF000000"/>
        <rFont val="Noto Sans CJK SC"/>
        <family val="2"/>
      </rPr>
      <t xml:space="preserve">외화본지점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국외갑계정</t>
    </r>
    <r>
      <rPr>
        <sz val="10"/>
        <color rgb="FF000000"/>
        <rFont val="Arial"/>
        <family val="0"/>
        <charset val="1"/>
      </rPr>
      <t xml:space="preserve">)</t>
    </r>
  </si>
  <si>
    <t xml:space="preserve">610109020100</t>
  </si>
  <si>
    <t xml:space="preserve">외화리스사용권자산</t>
  </si>
  <si>
    <t xml:space="preserve">650160</t>
  </si>
  <si>
    <t xml:space="preserve">외화미수금</t>
  </si>
  <si>
    <t xml:space="preserve">③충당금</t>
  </si>
  <si>
    <t xml:space="preserve">(-)</t>
  </si>
  <si>
    <t xml:space="preserve">750309</t>
  </si>
  <si>
    <r>
      <rPr>
        <sz val="10"/>
        <color rgb="FF000000"/>
        <rFont val="Noto Sans CJK SC"/>
        <family val="2"/>
      </rPr>
      <t xml:space="preserve">외화대출금 대손충당금</t>
    </r>
    <r>
      <rPr>
        <sz val="10"/>
        <color rgb="FF000000"/>
        <rFont val="Arial"/>
        <family val="0"/>
        <charset val="1"/>
      </rPr>
      <t xml:space="preserve">(-)</t>
    </r>
  </si>
  <si>
    <t xml:space="preserve">750311</t>
  </si>
  <si>
    <r>
      <rPr>
        <sz val="10"/>
        <color rgb="FF000000"/>
        <rFont val="Noto Sans CJK SC"/>
        <family val="2"/>
      </rPr>
      <t xml:space="preserve">매입외환 대손충당금</t>
    </r>
    <r>
      <rPr>
        <sz val="10"/>
        <color rgb="FF000000"/>
        <rFont val="Arial"/>
        <family val="0"/>
        <charset val="1"/>
      </rPr>
      <t xml:space="preserve">(-)</t>
    </r>
  </si>
  <si>
    <t xml:space="preserve">④이자부부채</t>
  </si>
  <si>
    <t xml:space="preserve">조달</t>
  </si>
  <si>
    <t xml:space="preserve">712103020000</t>
  </si>
  <si>
    <t xml:space="preserve">외화차입금</t>
  </si>
  <si>
    <t xml:space="preserve">712101030000</t>
  </si>
  <si>
    <t xml:space="preserve">외화예수금</t>
  </si>
  <si>
    <t xml:space="preserve">720303</t>
  </si>
  <si>
    <t xml:space="preserve">외화콜머니</t>
  </si>
  <si>
    <t xml:space="preserve">710603</t>
  </si>
  <si>
    <r>
      <rPr>
        <sz val="10"/>
        <color rgb="FF000000"/>
        <rFont val="Noto Sans CJK SC"/>
        <family val="2"/>
      </rPr>
      <t xml:space="preserve">외화</t>
    </r>
    <r>
      <rPr>
        <sz val="10"/>
        <color rgb="FF000000"/>
        <rFont val="Arial"/>
        <family val="0"/>
        <charset val="1"/>
      </rPr>
      <t xml:space="preserve">RP</t>
    </r>
    <r>
      <rPr>
        <sz val="10"/>
        <color rgb="FF000000"/>
        <rFont val="Noto Sans CJK SC"/>
        <family val="2"/>
      </rPr>
      <t xml:space="preserve">매도</t>
    </r>
  </si>
  <si>
    <t xml:space="preserve">712300000000</t>
  </si>
  <si>
    <t xml:space="preserve">외환지급이자</t>
  </si>
  <si>
    <t xml:space="preserve">⑤비이자수익</t>
  </si>
  <si>
    <r>
      <rPr>
        <sz val="10"/>
        <color rgb="FF000000"/>
        <rFont val="Noto Sans CJK SC"/>
        <family val="2"/>
      </rPr>
      <t xml:space="preserve">매매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환산</t>
    </r>
  </si>
  <si>
    <t xml:space="preserve">611400000000</t>
  </si>
  <si>
    <r>
      <rPr>
        <sz val="10"/>
        <color rgb="FF000000"/>
        <rFont val="Noto Sans CJK SC"/>
        <family val="2"/>
      </rPr>
      <t xml:space="preserve">외환환산이익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매매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환산이익</t>
    </r>
    <r>
      <rPr>
        <sz val="10"/>
        <color rgb="FF000000"/>
        <rFont val="Arial"/>
        <family val="0"/>
        <charset val="1"/>
      </rPr>
      <t xml:space="preserve">)</t>
    </r>
  </si>
  <si>
    <t xml:space="preserve">증권</t>
  </si>
  <si>
    <t xml:space="preserve">610902000000</t>
  </si>
  <si>
    <t xml:space="preserve">외화단기매매증권관련수익</t>
  </si>
  <si>
    <t xml:space="preserve">612203000000</t>
  </si>
  <si>
    <r>
      <rPr>
        <sz val="10"/>
        <color rgb="FF000000"/>
        <rFont val="Noto Sans CJK SC"/>
        <family val="2"/>
      </rPr>
      <t xml:space="preserve">외화기타</t>
    </r>
    <r>
      <rPr>
        <sz val="10"/>
        <color rgb="FF000000"/>
        <rFont val="Arial"/>
        <family val="0"/>
        <charset val="1"/>
      </rPr>
      <t xml:space="preserve">FVPL</t>
    </r>
    <r>
      <rPr>
        <sz val="10"/>
        <color rgb="FF000000"/>
        <rFont val="Noto Sans CJK SC"/>
        <family val="2"/>
      </rPr>
      <t xml:space="preserve">유가증권관련수익</t>
    </r>
  </si>
  <si>
    <t xml:space="preserve">611202000000</t>
  </si>
  <si>
    <r>
      <rPr>
        <sz val="10"/>
        <color rgb="FF000000"/>
        <rFont val="Noto Sans CJK SC"/>
        <family val="2"/>
      </rPr>
      <t xml:space="preserve">외화</t>
    </r>
    <r>
      <rPr>
        <sz val="10"/>
        <color rgb="FF000000"/>
        <rFont val="Arial"/>
        <family val="0"/>
        <charset val="1"/>
      </rPr>
      <t xml:space="preserve">FVOCI</t>
    </r>
    <r>
      <rPr>
        <sz val="10"/>
        <color rgb="FF000000"/>
        <rFont val="Noto Sans CJK SC"/>
        <family val="2"/>
      </rPr>
      <t xml:space="preserve">유가증권관련수익</t>
    </r>
  </si>
  <si>
    <t xml:space="preserve">수수료</t>
  </si>
  <si>
    <t xml:space="preserve">610600000000</t>
  </si>
  <si>
    <t xml:space="preserve">외환수입수수료</t>
  </si>
  <si>
    <t xml:space="preserve">610605000000</t>
  </si>
  <si>
    <t xml:space="preserve">기타외환수입수수료</t>
  </si>
  <si>
    <t xml:space="preserve">610402000000</t>
  </si>
  <si>
    <t xml:space="preserve">외화지급보증료</t>
  </si>
  <si>
    <t xml:space="preserve">640321</t>
  </si>
  <si>
    <t xml:space="preserve">외화직불카드수수료</t>
  </si>
  <si>
    <t xml:space="preserve">⑥비이자비용</t>
  </si>
  <si>
    <t xml:space="preserve">713300000000</t>
  </si>
  <si>
    <r>
      <rPr>
        <sz val="10"/>
        <color rgb="FF000000"/>
        <rFont val="Noto Sans CJK SC"/>
        <family val="2"/>
      </rPr>
      <t xml:space="preserve">외환거래손실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매매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환산손실</t>
    </r>
    <r>
      <rPr>
        <sz val="10"/>
        <color rgb="FF000000"/>
        <rFont val="Arial"/>
        <family val="0"/>
        <charset val="1"/>
      </rPr>
      <t xml:space="preserve">)</t>
    </r>
  </si>
  <si>
    <t xml:space="preserve">712804000000</t>
  </si>
  <si>
    <t xml:space="preserve">외화단기매매관련비용</t>
  </si>
  <si>
    <t xml:space="preserve">712600000000</t>
  </si>
  <si>
    <t xml:space="preserve">외환지급수수료</t>
  </si>
  <si>
    <t xml:space="preserve">기타</t>
  </si>
  <si>
    <t xml:space="preserve">770202</t>
  </si>
  <si>
    <t xml:space="preserve">외환건전성부담금</t>
  </si>
  <si>
    <t xml:space="preserve">714003020000</t>
  </si>
  <si>
    <t xml:space="preserve">외화리스사용권자산상각비</t>
  </si>
  <si>
    <t xml:space="preserve">712103070420</t>
  </si>
  <si>
    <t xml:space="preserve">외화리스부채이자비용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</si>
</sst>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9"/>
      <color rgb="FF7F7F7F"/>
      <name val="Noto Sans CJK SC"/>
      <family val="2"/>
    </font>
    <font>
      <i val="true"/>
      <sz val="9"/>
      <color rgb="FF7F7F7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color rgb="FF1F4E79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1"/>
      <name val="Arial"/>
      <family val="0"/>
      <charset val="1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4"/>
    <col collapsed="false" customWidth="true" hidden="false" outlineLevel="0" max="5" min="5" style="0" width="4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SUMIF(외화_RAW추출!$A$5:$A$46,"①이자부자산",외화_RAW추출!$H$5:$H$46)</f>
        <v>71701.4</v>
      </c>
      <c r="E5" s="6" t="s">
        <v>4</v>
      </c>
    </row>
    <row r="6" customFormat="false" ht="15" hidden="false" customHeight="false" outlineLevel="0" collapsed="false">
      <c r="A6" s="4" t="s">
        <v>5</v>
      </c>
      <c r="B6" s="5" t="n">
        <f aca="false">SUMIF(외화_RAW추출!$A$5:$A$46,"④이자부부채",외화_RAW추출!$H$5:$H$46)</f>
        <v>82568.4</v>
      </c>
      <c r="E6" s="6" t="s">
        <v>6</v>
      </c>
    </row>
    <row r="7" customFormat="false" ht="15" hidden="false" customHeight="false" outlineLevel="0" collapsed="false">
      <c r="A7" s="4" t="s">
        <v>7</v>
      </c>
      <c r="B7" s="5" t="n">
        <f aca="false">B5-B6</f>
        <v>-10867</v>
      </c>
      <c r="E7" s="6" t="s">
        <v>8</v>
      </c>
    </row>
    <row r="8" customFormat="false" ht="15" hidden="false" customHeight="false" outlineLevel="0" collapsed="false">
      <c r="A8" s="4" t="s">
        <v>9</v>
      </c>
      <c r="B8" s="5" t="n">
        <f aca="false">SUMIF(외화_RAW추출!$A$5:$A$46,"①이자부자산",외화_RAW추출!$G$5:$G$46)</f>
        <v>2231854.4</v>
      </c>
      <c r="E8" s="7" t="s">
        <v>10</v>
      </c>
    </row>
    <row r="9" customFormat="false" ht="15" hidden="false" customHeight="false" outlineLevel="0" collapsed="false">
      <c r="A9" s="4" t="s">
        <v>11</v>
      </c>
      <c r="B9" s="5" t="n">
        <f aca="false">SUMIF(외화_RAW추출!$A$5:$A$46,"④이자부부채",외화_RAW추출!$G$5:$G$46)</f>
        <v>2714358.7</v>
      </c>
    </row>
    <row r="10" customFormat="false" ht="15" hidden="false" customHeight="false" outlineLevel="0" collapsed="false">
      <c r="A10" s="4" t="s">
        <v>12</v>
      </c>
      <c r="B10" s="8" t="n">
        <f aca="false">B5/B8</f>
        <v>0.0321263788533876</v>
      </c>
    </row>
    <row r="11" customFormat="false" ht="15" hidden="false" customHeight="false" outlineLevel="0" collapsed="false">
      <c r="A11" s="4" t="s">
        <v>13</v>
      </c>
      <c r="B11" s="8" t="n">
        <f aca="false">B6/B9</f>
        <v>0.0304191188880084</v>
      </c>
      <c r="E11" s="6" t="s">
        <v>14</v>
      </c>
    </row>
    <row r="12" customFormat="false" ht="15" hidden="false" customHeight="false" outlineLevel="0" collapsed="false">
      <c r="A12" s="4" t="s">
        <v>15</v>
      </c>
      <c r="B12" s="8" t="n">
        <f aca="false">B7/B8</f>
        <v>-0.00486904522087104</v>
      </c>
      <c r="E12" s="6" t="s">
        <v>16</v>
      </c>
    </row>
    <row r="14" customFormat="false" ht="17.15" hidden="false" customHeight="false" outlineLevel="0" collapsed="false">
      <c r="A14" s="3" t="s">
        <v>17</v>
      </c>
    </row>
    <row r="15" customFormat="false" ht="15" hidden="false" customHeight="false" outlineLevel="0" collapsed="false">
      <c r="A15" s="4" t="s">
        <v>18</v>
      </c>
      <c r="B15" s="5" t="n">
        <f aca="false">SUMIF(외화_RAW추출!$A$5:$A$46,"⑤비이자수익",외화_RAW추출!$H$5:$H$46)</f>
        <v>344479.3</v>
      </c>
      <c r="E15" s="6" t="s">
        <v>19</v>
      </c>
    </row>
    <row r="16" customFormat="false" ht="15" hidden="false" customHeight="false" outlineLevel="0" collapsed="false">
      <c r="A16" s="4" t="s">
        <v>20</v>
      </c>
      <c r="B16" s="5" t="n">
        <f aca="false">SUMIF(외화_RAW추출!$A$5:$A$46,"⑥비이자비용",외화_RAW추출!$H$5:$H$46)</f>
        <v>302822.5</v>
      </c>
      <c r="E16" s="6" t="s">
        <v>21</v>
      </c>
    </row>
    <row r="17" customFormat="false" ht="15" hidden="false" customHeight="false" outlineLevel="0" collapsed="false">
      <c r="A17" s="4" t="s">
        <v>22</v>
      </c>
      <c r="B17" s="5" t="n">
        <f aca="false">B15-B16</f>
        <v>41656.8</v>
      </c>
    </row>
    <row r="19" customFormat="false" ht="15" hidden="false" customHeight="false" outlineLevel="0" collapsed="false">
      <c r="A19" s="9" t="s">
        <v>23</v>
      </c>
    </row>
    <row r="20" customFormat="false" ht="15" hidden="false" customHeight="false" outlineLevel="0" collapsed="false">
      <c r="A20" s="4" t="s">
        <v>24</v>
      </c>
      <c r="B20" s="5" t="n">
        <f aca="false">SUMIFS(외화_RAW추출!$H$5:$H$46,외화_RAW추출!$A$5:$A$46,"⑤비이자수익",외화_RAW추출!$B$5:$B$46,"매매·환산")-SUMIFS(외화_RAW추출!$H$5:$H$46,외화_RAW추출!$A$5:$A$46,"⑥비이자비용",외화_RAW추출!$B$5:$B$46,"매매·환산")</f>
        <v>31373.8</v>
      </c>
      <c r="E20" s="6" t="s">
        <v>25</v>
      </c>
    </row>
    <row r="21" customFormat="false" ht="15" hidden="false" customHeight="false" outlineLevel="0" collapsed="false">
      <c r="A21" s="4" t="s">
        <v>26</v>
      </c>
      <c r="B21" s="5" t="n">
        <f aca="false">SUMIFS(외화_RAW추출!$H$5:$H$46,외화_RAW추출!$A$5:$A$46,"⑤비이자수익",외화_RAW추출!$B$5:$B$46,"증권")-SUMIFS(외화_RAW추출!$H$5:$H$46,외화_RAW추출!$A$5:$A$46,"⑥비이자비용",외화_RAW추출!$B$5:$B$46,"증권")</f>
        <v>3572.9</v>
      </c>
      <c r="E21" s="6" t="s">
        <v>27</v>
      </c>
    </row>
    <row r="22" customFormat="false" ht="15" hidden="false" customHeight="false" outlineLevel="0" collapsed="false">
      <c r="A22" s="4" t="s">
        <v>28</v>
      </c>
      <c r="B22" s="5" t="n">
        <f aca="false">SUMIFS(외화_RAW추출!$H$5:$H$46,외화_RAW추출!$A$5:$A$46,"⑤비이자수익",외화_RAW추출!$B$5:$B$46,"수수료")-SUMIFS(외화_RAW추출!$H$5:$H$46,외화_RAW추출!$A$5:$A$46,"⑥비이자비용",외화_RAW추출!$B$5:$B$46,"수수료")</f>
        <v>8658.6</v>
      </c>
      <c r="E22" s="6" t="s">
        <v>29</v>
      </c>
    </row>
    <row r="23" customFormat="false" ht="15" hidden="false" customHeight="false" outlineLevel="0" collapsed="false">
      <c r="A23" s="4" t="s">
        <v>30</v>
      </c>
      <c r="B23" s="5" t="n">
        <f aca="false">SUMIFS(외화_RAW추출!$H$5:$H$46,외화_RAW추출!$A$5:$A$46,"⑤비이자수익",외화_RAW추출!$B$5:$B$46,"기타")-SUMIFS(외화_RAW추출!$H$5:$H$46,외화_RAW추출!$A$5:$A$46,"⑥비이자비용",외화_RAW추출!$B$5:$B$46,"기타")</f>
        <v>-1948.5</v>
      </c>
      <c r="E23" s="6" t="s">
        <v>31</v>
      </c>
    </row>
    <row r="25" customFormat="false" ht="17.15" hidden="false" customHeight="false" outlineLevel="0" collapsed="false">
      <c r="A25" s="3" t="s">
        <v>32</v>
      </c>
    </row>
    <row r="26" customFormat="false" ht="15" hidden="false" customHeight="false" outlineLevel="0" collapsed="false">
      <c r="A26" s="10" t="s">
        <v>33</v>
      </c>
      <c r="B26" s="11" t="n">
        <f aca="false">B7+B17</f>
        <v>30789.8</v>
      </c>
      <c r="C26" s="12"/>
      <c r="D26" s="12"/>
      <c r="E26" s="13" t="s">
        <v>34</v>
      </c>
    </row>
    <row r="27" customFormat="false" ht="15" hidden="false" customHeight="false" outlineLevel="0" collapsed="false">
      <c r="A27" s="10" t="s">
        <v>35</v>
      </c>
      <c r="B27" s="14" t="n">
        <f aca="false">B26/B8</f>
        <v>0.0137956131905379</v>
      </c>
      <c r="C27" s="12"/>
      <c r="D27" s="12"/>
      <c r="E27" s="15" t="s">
        <v>36</v>
      </c>
    </row>
    <row r="29" customFormat="false" ht="15" hidden="false" customHeight="false" outlineLevel="0" collapsed="false">
      <c r="A29" s="2" t="s">
        <v>37</v>
      </c>
    </row>
    <row r="30" customFormat="false" ht="15" hidden="false" customHeight="false" outlineLevel="0" collapsed="false">
      <c r="A30" s="16" t="s">
        <v>38</v>
      </c>
    </row>
    <row r="31" customFormat="false" ht="15" hidden="false" customHeight="false" outlineLevel="0" collapsed="false">
      <c r="A31" s="16" t="s">
        <v>39</v>
      </c>
    </row>
    <row r="32" customFormat="false" ht="15" hidden="false" customHeight="false" outlineLevel="0" collapsed="false">
      <c r="A32" s="2" t="s">
        <v>40</v>
      </c>
    </row>
    <row r="33" customFormat="false" ht="15" hidden="false" customHeight="false" outlineLevel="0" collapsed="false">
      <c r="A33" s="16" t="s">
        <v>41</v>
      </c>
    </row>
    <row r="34" customFormat="false" ht="15" hidden="false" customHeight="false" outlineLevel="0" collapsed="false">
      <c r="A34" s="16" t="s">
        <v>42</v>
      </c>
    </row>
    <row r="35" customFormat="false" ht="15" hidden="false" customHeight="false" outlineLevel="0" collapsed="false">
      <c r="A35" s="16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15"/>
    <col collapsed="false" customWidth="true" hidden="false" outlineLevel="0" max="5" min="5" style="0" width="30"/>
    <col collapsed="false" customWidth="true" hidden="false" outlineLevel="0" max="8" min="6" style="0" width="15"/>
    <col collapsed="false" customWidth="true" hidden="false" outlineLevel="0" max="9" min="9" style="0" width="10"/>
  </cols>
  <sheetData>
    <row r="1" customFormat="false" ht="20.1" hidden="false" customHeight="false" outlineLevel="0" collapsed="false">
      <c r="A1" s="17" t="s">
        <v>44</v>
      </c>
    </row>
    <row r="2" customFormat="false" ht="15" hidden="false" customHeight="false" outlineLevel="0" collapsed="false">
      <c r="A2" s="2" t="s">
        <v>45</v>
      </c>
    </row>
    <row r="4" customFormat="false" ht="15" hidden="false" customHeight="false" outlineLevel="0" collapsed="false">
      <c r="A4" s="18" t="s">
        <v>46</v>
      </c>
      <c r="B4" s="18" t="s">
        <v>47</v>
      </c>
      <c r="C4" s="18" t="s">
        <v>48</v>
      </c>
      <c r="D4" s="18" t="s">
        <v>49</v>
      </c>
      <c r="E4" s="18" t="s">
        <v>50</v>
      </c>
      <c r="F4" s="19" t="s">
        <v>51</v>
      </c>
      <c r="G4" s="19" t="s">
        <v>52</v>
      </c>
      <c r="H4" s="19" t="s">
        <v>53</v>
      </c>
      <c r="I4" s="19" t="s">
        <v>54</v>
      </c>
    </row>
    <row r="5" customFormat="false" ht="15" hidden="false" customHeight="false" outlineLevel="0" collapsed="false">
      <c r="A5" s="4" t="s">
        <v>55</v>
      </c>
      <c r="B5" s="4" t="s">
        <v>56</v>
      </c>
      <c r="C5" s="20" t="n">
        <v>22</v>
      </c>
      <c r="D5" s="20" t="s">
        <v>57</v>
      </c>
      <c r="E5" s="4" t="s">
        <v>58</v>
      </c>
      <c r="F5" s="21" t="n">
        <v>460340.9</v>
      </c>
      <c r="G5" s="21" t="n">
        <v>283882.6</v>
      </c>
      <c r="H5" s="21" t="n">
        <v>4975.3</v>
      </c>
      <c r="I5" s="8" t="n">
        <f aca="false">IF(G5=0,"-",H5/G5)</f>
        <v>0.0175259068361358</v>
      </c>
    </row>
    <row r="6" customFormat="false" ht="15" hidden="false" customHeight="false" outlineLevel="0" collapsed="false">
      <c r="A6" s="4" t="s">
        <v>55</v>
      </c>
      <c r="B6" s="4" t="s">
        <v>56</v>
      </c>
      <c r="C6" s="20" t="n">
        <v>75</v>
      </c>
      <c r="D6" s="20" t="s">
        <v>59</v>
      </c>
      <c r="E6" s="4" t="s">
        <v>60</v>
      </c>
      <c r="F6" s="21" t="n">
        <v>428539.8</v>
      </c>
      <c r="G6" s="21" t="n">
        <v>362934.5</v>
      </c>
      <c r="H6" s="21" t="n">
        <v>14138.3</v>
      </c>
      <c r="I6" s="8" t="n">
        <f aca="false">IF(G6=0,"-",H6/G6)</f>
        <v>0.0389555140114814</v>
      </c>
    </row>
    <row r="7" customFormat="false" ht="15" hidden="false" customHeight="false" outlineLevel="0" collapsed="false">
      <c r="A7" s="4" t="s">
        <v>55</v>
      </c>
      <c r="B7" s="4" t="s">
        <v>56</v>
      </c>
      <c r="C7" s="20" t="n">
        <v>236</v>
      </c>
      <c r="D7" s="20" t="s">
        <v>61</v>
      </c>
      <c r="E7" s="4" t="s">
        <v>62</v>
      </c>
      <c r="F7" s="21" t="n">
        <v>406375.9</v>
      </c>
      <c r="G7" s="21" t="n">
        <v>432824.7</v>
      </c>
      <c r="H7" s="21" t="n">
        <v>18899.4</v>
      </c>
      <c r="I7" s="8" t="n">
        <f aca="false">IF(G7=0,"-",H7/G7)</f>
        <v>0.0436652529303434</v>
      </c>
    </row>
    <row r="8" customFormat="false" ht="15" hidden="false" customHeight="false" outlineLevel="0" collapsed="false">
      <c r="A8" s="4" t="s">
        <v>55</v>
      </c>
      <c r="B8" s="4" t="s">
        <v>56</v>
      </c>
      <c r="C8" s="20" t="n">
        <v>258</v>
      </c>
      <c r="D8" s="20" t="s">
        <v>63</v>
      </c>
      <c r="E8" s="4" t="s">
        <v>64</v>
      </c>
      <c r="F8" s="21" t="n">
        <v>216096.3</v>
      </c>
      <c r="G8" s="21" t="n">
        <v>412608.9</v>
      </c>
      <c r="H8" s="21" t="n">
        <v>15659.9</v>
      </c>
      <c r="I8" s="8" t="n">
        <f aca="false">IF(G8=0,"-",H8/G8)</f>
        <v>0.0379533742485923</v>
      </c>
    </row>
    <row r="9" customFormat="false" ht="15" hidden="false" customHeight="false" outlineLevel="0" collapsed="false">
      <c r="A9" s="4" t="s">
        <v>55</v>
      </c>
      <c r="B9" s="4" t="s">
        <v>56</v>
      </c>
      <c r="C9" s="20" t="n">
        <v>248</v>
      </c>
      <c r="D9" s="20" t="s">
        <v>65</v>
      </c>
      <c r="E9" s="4" t="s">
        <v>66</v>
      </c>
      <c r="F9" s="21" t="n">
        <v>251107.5</v>
      </c>
      <c r="G9" s="21" t="n">
        <v>248829.9</v>
      </c>
      <c r="H9" s="21" t="n">
        <v>13474.8</v>
      </c>
      <c r="I9" s="8" t="n">
        <f aca="false">IF(G9=0,"-",H9/G9)</f>
        <v>0.054152656091571</v>
      </c>
    </row>
    <row r="10" customFormat="false" ht="15" hidden="false" customHeight="false" outlineLevel="0" collapsed="false">
      <c r="A10" s="4" t="s">
        <v>55</v>
      </c>
      <c r="B10" s="4" t="s">
        <v>56</v>
      </c>
      <c r="C10" s="20" t="n">
        <v>247</v>
      </c>
      <c r="D10" s="20" t="s">
        <v>67</v>
      </c>
      <c r="E10" s="4" t="s">
        <v>68</v>
      </c>
      <c r="F10" s="21" t="n">
        <v>0</v>
      </c>
      <c r="G10" s="21" t="n">
        <v>10524</v>
      </c>
      <c r="H10" s="21" t="n">
        <v>378.8</v>
      </c>
      <c r="I10" s="8" t="n">
        <f aca="false">IF(G10=0,"-",H10/G10)</f>
        <v>0.0359939186621057</v>
      </c>
    </row>
    <row r="11" customFormat="false" ht="15" hidden="false" customHeight="false" outlineLevel="0" collapsed="false">
      <c r="A11" s="4" t="s">
        <v>55</v>
      </c>
      <c r="B11" s="4" t="s">
        <v>56</v>
      </c>
      <c r="C11" s="20" t="n">
        <v>249</v>
      </c>
      <c r="D11" s="20" t="s">
        <v>69</v>
      </c>
      <c r="E11" s="4" t="s">
        <v>70</v>
      </c>
      <c r="F11" s="21" t="n">
        <v>341055.5</v>
      </c>
      <c r="G11" s="21" t="n">
        <v>417336</v>
      </c>
      <c r="H11" s="21" t="n">
        <v>799.1</v>
      </c>
      <c r="I11" s="8" t="n">
        <f aca="false">IF(G11=0,"-",H11/G11)</f>
        <v>0.00191476412291295</v>
      </c>
    </row>
    <row r="12" customFormat="false" ht="15" hidden="false" customHeight="false" outlineLevel="0" collapsed="false">
      <c r="A12" s="4" t="s">
        <v>55</v>
      </c>
      <c r="B12" s="4" t="s">
        <v>56</v>
      </c>
      <c r="C12" s="20" t="n">
        <v>262</v>
      </c>
      <c r="D12" s="20" t="s">
        <v>71</v>
      </c>
      <c r="E12" s="4" t="s">
        <v>72</v>
      </c>
      <c r="F12" s="21" t="n">
        <v>47874.6</v>
      </c>
      <c r="G12" s="21" t="n">
        <v>57614.8</v>
      </c>
      <c r="H12" s="21" t="n">
        <v>2633.4</v>
      </c>
      <c r="I12" s="8" t="n">
        <f aca="false">IF(G12=0,"-",H12/G12)</f>
        <v>0.0457070058387775</v>
      </c>
    </row>
    <row r="13" customFormat="false" ht="15" hidden="false" customHeight="false" outlineLevel="0" collapsed="false">
      <c r="A13" s="4" t="s">
        <v>55</v>
      </c>
      <c r="B13" s="4" t="s">
        <v>56</v>
      </c>
      <c r="C13" s="20" t="n">
        <v>320</v>
      </c>
      <c r="D13" s="20" t="s">
        <v>73</v>
      </c>
      <c r="E13" s="4" t="s">
        <v>74</v>
      </c>
      <c r="F13" s="21" t="n">
        <v>0</v>
      </c>
      <c r="G13" s="21" t="n">
        <v>1517.2</v>
      </c>
      <c r="H13" s="21" t="n">
        <v>117.7</v>
      </c>
      <c r="I13" s="8" t="n">
        <f aca="false">IF(G13=0,"-",H13/G13)</f>
        <v>0.0775771157395202</v>
      </c>
    </row>
    <row r="14" customFormat="false" ht="15" hidden="false" customHeight="false" outlineLevel="0" collapsed="false">
      <c r="A14" s="4" t="s">
        <v>55</v>
      </c>
      <c r="B14" s="4" t="s">
        <v>56</v>
      </c>
      <c r="C14" s="20" t="n">
        <v>280</v>
      </c>
      <c r="D14" s="20" t="s">
        <v>75</v>
      </c>
      <c r="E14" s="4" t="s">
        <v>76</v>
      </c>
      <c r="F14" s="21" t="n">
        <v>7127.5</v>
      </c>
      <c r="G14" s="21" t="n">
        <v>3781.8</v>
      </c>
      <c r="H14" s="21" t="n">
        <v>16.4</v>
      </c>
      <c r="I14" s="8" t="n">
        <f aca="false">IF(G14=0,"-",H14/G14)</f>
        <v>0.0043365593103813</v>
      </c>
    </row>
    <row r="15" customFormat="false" ht="15" hidden="false" customHeight="false" outlineLevel="0" collapsed="false">
      <c r="A15" s="4" t="s">
        <v>55</v>
      </c>
      <c r="B15" s="4" t="s">
        <v>77</v>
      </c>
      <c r="C15" s="20" t="n">
        <v>462</v>
      </c>
      <c r="D15" s="20" t="s">
        <v>78</v>
      </c>
      <c r="E15" s="4" t="s">
        <v>79</v>
      </c>
      <c r="F15" s="21" t="n">
        <v>0</v>
      </c>
      <c r="G15" s="21" t="n">
        <v>0</v>
      </c>
      <c r="H15" s="21" t="n">
        <v>590.9</v>
      </c>
      <c r="I15" s="8" t="str">
        <f aca="false">IF(G15=0,"-",H15/G15)</f>
        <v>-</v>
      </c>
    </row>
    <row r="16" customFormat="false" ht="15" hidden="false" customHeight="false" outlineLevel="0" collapsed="false">
      <c r="A16" s="4" t="s">
        <v>55</v>
      </c>
      <c r="B16" s="4" t="s">
        <v>77</v>
      </c>
      <c r="C16" s="20" t="n">
        <v>468</v>
      </c>
      <c r="D16" s="20" t="s">
        <v>80</v>
      </c>
      <c r="E16" s="4" t="s">
        <v>81</v>
      </c>
      <c r="F16" s="21" t="n">
        <v>0</v>
      </c>
      <c r="G16" s="21" t="n">
        <v>0</v>
      </c>
      <c r="H16" s="21" t="n">
        <v>17.4</v>
      </c>
      <c r="I16" s="8" t="str">
        <f aca="false">IF(G16=0,"-",H16/G16)</f>
        <v>-</v>
      </c>
    </row>
    <row r="17" customFormat="false" ht="15" hidden="false" customHeight="false" outlineLevel="0" collapsed="false">
      <c r="A17" s="4" t="s">
        <v>82</v>
      </c>
      <c r="B17" s="4" t="s">
        <v>83</v>
      </c>
      <c r="C17" s="20" t="n">
        <v>390</v>
      </c>
      <c r="D17" s="20" t="s">
        <v>84</v>
      </c>
      <c r="E17" s="4" t="s">
        <v>85</v>
      </c>
      <c r="F17" s="21" t="n">
        <v>301764.3</v>
      </c>
      <c r="G17" s="21" t="n">
        <v>654938.9</v>
      </c>
      <c r="H17" s="21" t="n">
        <v>0</v>
      </c>
      <c r="I17" s="8" t="n">
        <f aca="false">IF(G17=0,"-",H17/G17)</f>
        <v>0</v>
      </c>
    </row>
    <row r="18" customFormat="false" ht="15" hidden="false" customHeight="false" outlineLevel="0" collapsed="false">
      <c r="A18" s="4" t="s">
        <v>82</v>
      </c>
      <c r="B18" s="4" t="s">
        <v>86</v>
      </c>
      <c r="C18" s="20" t="n">
        <v>102</v>
      </c>
      <c r="D18" s="20" t="s">
        <v>87</v>
      </c>
      <c r="E18" s="4" t="s">
        <v>88</v>
      </c>
      <c r="F18" s="21" t="n">
        <v>166824.9</v>
      </c>
      <c r="G18" s="21" t="n">
        <v>166824.9</v>
      </c>
      <c r="H18" s="21" t="n">
        <v>0</v>
      </c>
      <c r="I18" s="8" t="n">
        <f aca="false">IF(G18=0,"-",H18/G18)</f>
        <v>0</v>
      </c>
    </row>
    <row r="19" customFormat="false" ht="15" hidden="false" customHeight="false" outlineLevel="0" collapsed="false">
      <c r="A19" s="4" t="s">
        <v>82</v>
      </c>
      <c r="B19" s="4" t="s">
        <v>83</v>
      </c>
      <c r="C19" s="20" t="n">
        <v>13</v>
      </c>
      <c r="D19" s="20" t="s">
        <v>89</v>
      </c>
      <c r="E19" s="4" t="s">
        <v>90</v>
      </c>
      <c r="F19" s="21" t="n">
        <v>73911.1</v>
      </c>
      <c r="G19" s="21" t="n">
        <v>64875.8</v>
      </c>
      <c r="H19" s="21" t="n">
        <v>0</v>
      </c>
      <c r="I19" s="8" t="n">
        <f aca="false">IF(G19=0,"-",H19/G19)</f>
        <v>0</v>
      </c>
    </row>
    <row r="20" customFormat="false" ht="15" hidden="false" customHeight="false" outlineLevel="0" collapsed="false">
      <c r="A20" s="4" t="s">
        <v>82</v>
      </c>
      <c r="B20" s="4" t="s">
        <v>86</v>
      </c>
      <c r="C20" s="20" t="n">
        <v>51</v>
      </c>
      <c r="D20" s="20" t="s">
        <v>91</v>
      </c>
      <c r="E20" s="4" t="s">
        <v>92</v>
      </c>
      <c r="F20" s="21" t="n">
        <v>59377.5</v>
      </c>
      <c r="G20" s="21" t="n">
        <v>52597.7</v>
      </c>
      <c r="H20" s="21" t="n">
        <v>0</v>
      </c>
      <c r="I20" s="8" t="n">
        <f aca="false">IF(G20=0,"-",H20/G20)</f>
        <v>0</v>
      </c>
    </row>
    <row r="21" customFormat="false" ht="15" hidden="false" customHeight="false" outlineLevel="0" collapsed="false">
      <c r="A21" s="4" t="s">
        <v>82</v>
      </c>
      <c r="B21" s="4" t="s">
        <v>86</v>
      </c>
      <c r="C21" s="20" t="n">
        <v>38</v>
      </c>
      <c r="D21" s="20" t="s">
        <v>93</v>
      </c>
      <c r="E21" s="4" t="s">
        <v>94</v>
      </c>
      <c r="F21" s="21" t="n">
        <v>0</v>
      </c>
      <c r="G21" s="21" t="n">
        <v>23225.6</v>
      </c>
      <c r="H21" s="21" t="n">
        <v>0</v>
      </c>
      <c r="I21" s="8" t="n">
        <f aca="false">IF(G21=0,"-",H21/G21)</f>
        <v>0</v>
      </c>
    </row>
    <row r="22" customFormat="false" ht="15" hidden="false" customHeight="false" outlineLevel="0" collapsed="false">
      <c r="A22" s="4" t="s">
        <v>82</v>
      </c>
      <c r="B22" s="4" t="s">
        <v>83</v>
      </c>
      <c r="C22" s="20" t="n">
        <v>422</v>
      </c>
      <c r="D22" s="20" t="s">
        <v>95</v>
      </c>
      <c r="E22" s="4" t="s">
        <v>96</v>
      </c>
      <c r="F22" s="21" t="n">
        <v>7749.2</v>
      </c>
      <c r="G22" s="21" t="n">
        <v>7080.8</v>
      </c>
      <c r="H22" s="21" t="n">
        <v>0</v>
      </c>
      <c r="I22" s="8" t="n">
        <f aca="false">IF(G22=0,"-",H22/G22)</f>
        <v>0</v>
      </c>
    </row>
    <row r="23" customFormat="false" ht="15" hidden="false" customHeight="false" outlineLevel="0" collapsed="false">
      <c r="A23" s="4" t="s">
        <v>82</v>
      </c>
      <c r="B23" s="4" t="s">
        <v>83</v>
      </c>
      <c r="C23" s="20" t="n">
        <v>463</v>
      </c>
      <c r="D23" s="20" t="s">
        <v>97</v>
      </c>
      <c r="E23" s="4" t="s">
        <v>98</v>
      </c>
      <c r="F23" s="21" t="n">
        <v>0</v>
      </c>
      <c r="G23" s="21" t="n">
        <v>8562.3</v>
      </c>
      <c r="H23" s="21" t="n">
        <v>0</v>
      </c>
      <c r="I23" s="8" t="n">
        <f aca="false">IF(G23=0,"-",H23/G23)</f>
        <v>0</v>
      </c>
    </row>
    <row r="24" customFormat="false" ht="15" hidden="false" customHeight="false" outlineLevel="0" collapsed="false">
      <c r="A24" s="4" t="s">
        <v>82</v>
      </c>
      <c r="B24" s="4" t="s">
        <v>83</v>
      </c>
      <c r="C24" s="20" t="n">
        <v>356</v>
      </c>
      <c r="D24" s="20" t="s">
        <v>99</v>
      </c>
      <c r="E24" s="4" t="s">
        <v>100</v>
      </c>
      <c r="F24" s="21" t="n">
        <v>3114.2</v>
      </c>
      <c r="G24" s="21" t="n">
        <v>3275.3</v>
      </c>
      <c r="H24" s="21" t="n">
        <v>0</v>
      </c>
      <c r="I24" s="8" t="n">
        <f aca="false">IF(G24=0,"-",H24/G24)</f>
        <v>0</v>
      </c>
    </row>
    <row r="25" customFormat="false" ht="15" hidden="false" customHeight="false" outlineLevel="0" collapsed="false">
      <c r="A25" s="4" t="s">
        <v>82</v>
      </c>
      <c r="B25" s="4" t="s">
        <v>83</v>
      </c>
      <c r="C25" s="20" t="n">
        <v>396</v>
      </c>
      <c r="D25" s="20" t="s">
        <v>101</v>
      </c>
      <c r="E25" s="4" t="s">
        <v>102</v>
      </c>
      <c r="F25" s="21" t="n">
        <v>1432.9</v>
      </c>
      <c r="G25" s="21" t="n">
        <v>452.3</v>
      </c>
      <c r="H25" s="21" t="n">
        <v>0</v>
      </c>
      <c r="I25" s="8" t="n">
        <f aca="false">IF(G25=0,"-",H25/G25)</f>
        <v>0</v>
      </c>
    </row>
    <row r="26" customFormat="false" ht="15" hidden="false" customHeight="false" outlineLevel="0" collapsed="false">
      <c r="A26" s="4" t="s">
        <v>103</v>
      </c>
      <c r="B26" s="22" t="s">
        <v>104</v>
      </c>
      <c r="C26" s="20" t="n">
        <v>327</v>
      </c>
      <c r="D26" s="20" t="s">
        <v>105</v>
      </c>
      <c r="E26" s="4" t="s">
        <v>106</v>
      </c>
      <c r="F26" s="21" t="n">
        <v>-10085.7</v>
      </c>
      <c r="G26" s="21" t="n">
        <v>-14387.3</v>
      </c>
      <c r="H26" s="21" t="n">
        <v>0</v>
      </c>
      <c r="I26" s="8" t="n">
        <f aca="false">IF(G26=0,"-",H26/G26)</f>
        <v>-0</v>
      </c>
    </row>
    <row r="27" customFormat="false" ht="15" hidden="false" customHeight="false" outlineLevel="0" collapsed="false">
      <c r="A27" s="4" t="s">
        <v>103</v>
      </c>
      <c r="B27" s="22" t="s">
        <v>104</v>
      </c>
      <c r="C27" s="20" t="n">
        <v>329</v>
      </c>
      <c r="D27" s="20" t="s">
        <v>107</v>
      </c>
      <c r="E27" s="4" t="s">
        <v>108</v>
      </c>
      <c r="F27" s="21" t="n">
        <v>-799.8</v>
      </c>
      <c r="G27" s="21" t="n">
        <v>-303.7</v>
      </c>
      <c r="H27" s="21" t="n">
        <v>0</v>
      </c>
      <c r="I27" s="8" t="n">
        <f aca="false">IF(G27=0,"-",H27/G27)</f>
        <v>-0</v>
      </c>
    </row>
    <row r="28" customFormat="false" ht="15" hidden="false" customHeight="false" outlineLevel="0" collapsed="false">
      <c r="A28" s="4" t="s">
        <v>109</v>
      </c>
      <c r="B28" s="4" t="s">
        <v>110</v>
      </c>
      <c r="C28" s="20" t="n">
        <v>108</v>
      </c>
      <c r="D28" s="20" t="s">
        <v>111</v>
      </c>
      <c r="E28" s="4" t="s">
        <v>112</v>
      </c>
      <c r="F28" s="21" t="n">
        <v>1382981.5</v>
      </c>
      <c r="G28" s="21" t="n">
        <v>1391957</v>
      </c>
      <c r="H28" s="21" t="n">
        <v>48645</v>
      </c>
      <c r="I28" s="8" t="n">
        <f aca="false">IF(G28=0,"-",H28/G28)</f>
        <v>0.0349472002367889</v>
      </c>
    </row>
    <row r="29" customFormat="false" ht="15" hidden="false" customHeight="false" outlineLevel="0" collapsed="false">
      <c r="A29" s="4" t="s">
        <v>109</v>
      </c>
      <c r="B29" s="4" t="s">
        <v>110</v>
      </c>
      <c r="C29" s="20" t="n">
        <v>68</v>
      </c>
      <c r="D29" s="20" t="s">
        <v>113</v>
      </c>
      <c r="E29" s="4" t="s">
        <v>114</v>
      </c>
      <c r="F29" s="21" t="n">
        <v>1004686</v>
      </c>
      <c r="G29" s="21" t="n">
        <v>923549.5</v>
      </c>
      <c r="H29" s="21" t="n">
        <v>18088.3</v>
      </c>
      <c r="I29" s="8" t="n">
        <f aca="false">IF(G29=0,"-",H29/G29)</f>
        <v>0.0195856313061725</v>
      </c>
    </row>
    <row r="30" customFormat="false" ht="15" hidden="false" customHeight="false" outlineLevel="0" collapsed="false">
      <c r="A30" s="4" t="s">
        <v>109</v>
      </c>
      <c r="B30" s="4" t="s">
        <v>110</v>
      </c>
      <c r="C30" s="20" t="n">
        <v>118</v>
      </c>
      <c r="D30" s="20" t="s">
        <v>115</v>
      </c>
      <c r="E30" s="4" t="s">
        <v>116</v>
      </c>
      <c r="F30" s="21" t="n">
        <v>307421.5</v>
      </c>
      <c r="G30" s="21" t="n">
        <v>398721.9</v>
      </c>
      <c r="H30" s="21" t="n">
        <v>15550.6</v>
      </c>
      <c r="I30" s="8" t="n">
        <f aca="false">IF(G30=0,"-",H30/G30)</f>
        <v>0.0390011183233226</v>
      </c>
    </row>
    <row r="31" customFormat="false" ht="15" hidden="false" customHeight="false" outlineLevel="0" collapsed="false">
      <c r="A31" s="4" t="s">
        <v>109</v>
      </c>
      <c r="B31" s="4" t="s">
        <v>110</v>
      </c>
      <c r="C31" s="20" t="n">
        <v>128</v>
      </c>
      <c r="D31" s="20" t="s">
        <v>117</v>
      </c>
      <c r="E31" s="4" t="s">
        <v>118</v>
      </c>
      <c r="F31" s="21" t="n">
        <v>0</v>
      </c>
      <c r="G31" s="21" t="n">
        <v>130.3</v>
      </c>
      <c r="H31" s="21" t="n">
        <v>6.1</v>
      </c>
      <c r="I31" s="8" t="n">
        <f aca="false">IF(G31=0,"-",H31/G31)</f>
        <v>0.046815042210284</v>
      </c>
    </row>
    <row r="32" customFormat="false" ht="15" hidden="false" customHeight="false" outlineLevel="0" collapsed="false">
      <c r="A32" s="4" t="s">
        <v>109</v>
      </c>
      <c r="B32" s="4" t="s">
        <v>77</v>
      </c>
      <c r="C32" s="20" t="n">
        <v>338</v>
      </c>
      <c r="D32" s="20" t="s">
        <v>119</v>
      </c>
      <c r="E32" s="4" t="s">
        <v>120</v>
      </c>
      <c r="F32" s="21" t="n">
        <v>0</v>
      </c>
      <c r="G32" s="21" t="n">
        <v>0</v>
      </c>
      <c r="H32" s="21" t="n">
        <v>278.4</v>
      </c>
      <c r="I32" s="8" t="str">
        <f aca="false">IF(G32=0,"-",H32/G32)</f>
        <v>-</v>
      </c>
    </row>
    <row r="33" customFormat="false" ht="15" hidden="false" customHeight="false" outlineLevel="0" collapsed="false">
      <c r="A33" s="4" t="s">
        <v>121</v>
      </c>
      <c r="B33" s="4" t="s">
        <v>122</v>
      </c>
      <c r="C33" s="20" t="n">
        <v>711</v>
      </c>
      <c r="D33" s="20" t="s">
        <v>123</v>
      </c>
      <c r="E33" s="4" t="s">
        <v>124</v>
      </c>
      <c r="F33" s="21" t="n">
        <v>0</v>
      </c>
      <c r="G33" s="21" t="n">
        <v>0</v>
      </c>
      <c r="H33" s="21" t="n">
        <v>329925.6</v>
      </c>
      <c r="I33" s="8" t="str">
        <f aca="false">IF(G33=0,"-",H33/G33)</f>
        <v>-</v>
      </c>
    </row>
    <row r="34" customFormat="false" ht="15" hidden="false" customHeight="false" outlineLevel="0" collapsed="false">
      <c r="A34" s="4" t="s">
        <v>121</v>
      </c>
      <c r="B34" s="4" t="s">
        <v>125</v>
      </c>
      <c r="C34" s="20" t="n">
        <v>687</v>
      </c>
      <c r="D34" s="20" t="s">
        <v>126</v>
      </c>
      <c r="E34" s="4" t="s">
        <v>127</v>
      </c>
      <c r="F34" s="21" t="n">
        <v>0</v>
      </c>
      <c r="G34" s="21" t="n">
        <v>0</v>
      </c>
      <c r="H34" s="21" t="n">
        <v>1225.4</v>
      </c>
      <c r="I34" s="8" t="str">
        <f aca="false">IF(G34=0,"-",H34/G34)</f>
        <v>-</v>
      </c>
    </row>
    <row r="35" customFormat="false" ht="15" hidden="false" customHeight="false" outlineLevel="0" collapsed="false">
      <c r="A35" s="4" t="s">
        <v>121</v>
      </c>
      <c r="B35" s="4" t="s">
        <v>125</v>
      </c>
      <c r="C35" s="20" t="n">
        <v>701</v>
      </c>
      <c r="D35" s="20" t="s">
        <v>128</v>
      </c>
      <c r="E35" s="4" t="s">
        <v>129</v>
      </c>
      <c r="F35" s="21" t="n">
        <v>0</v>
      </c>
      <c r="G35" s="21" t="n">
        <v>0</v>
      </c>
      <c r="H35" s="21" t="n">
        <v>2401.9</v>
      </c>
      <c r="I35" s="8" t="str">
        <f aca="false">IF(G35=0,"-",H35/G35)</f>
        <v>-</v>
      </c>
    </row>
    <row r="36" customFormat="false" ht="15" hidden="false" customHeight="false" outlineLevel="0" collapsed="false">
      <c r="A36" s="4" t="s">
        <v>121</v>
      </c>
      <c r="B36" s="4" t="s">
        <v>125</v>
      </c>
      <c r="C36" s="20" t="n">
        <v>709</v>
      </c>
      <c r="D36" s="20" t="s">
        <v>130</v>
      </c>
      <c r="E36" s="4" t="s">
        <v>131</v>
      </c>
      <c r="F36" s="21" t="n">
        <v>0</v>
      </c>
      <c r="G36" s="21" t="n">
        <v>0</v>
      </c>
      <c r="H36" s="21" t="n">
        <v>506</v>
      </c>
      <c r="I36" s="8" t="str">
        <f aca="false">IF(G36=0,"-",H36/G36)</f>
        <v>-</v>
      </c>
    </row>
    <row r="37" customFormat="false" ht="15" hidden="false" customHeight="false" outlineLevel="0" collapsed="false">
      <c r="A37" s="4" t="s">
        <v>121</v>
      </c>
      <c r="B37" s="4" t="s">
        <v>132</v>
      </c>
      <c r="C37" s="20" t="n">
        <v>647</v>
      </c>
      <c r="D37" s="20" t="s">
        <v>133</v>
      </c>
      <c r="E37" s="4" t="s">
        <v>134</v>
      </c>
      <c r="F37" s="21" t="n">
        <v>0</v>
      </c>
      <c r="G37" s="21" t="n">
        <v>0</v>
      </c>
      <c r="H37" s="21" t="n">
        <v>7823.6</v>
      </c>
      <c r="I37" s="8" t="str">
        <f aca="false">IF(G37=0,"-",H37/G37)</f>
        <v>-</v>
      </c>
    </row>
    <row r="38" customFormat="false" ht="15" hidden="false" customHeight="false" outlineLevel="0" collapsed="false">
      <c r="A38" s="4" t="s">
        <v>121</v>
      </c>
      <c r="B38" s="4" t="s">
        <v>132</v>
      </c>
      <c r="C38" s="20" t="n">
        <v>673</v>
      </c>
      <c r="D38" s="20" t="s">
        <v>135</v>
      </c>
      <c r="E38" s="4" t="s">
        <v>136</v>
      </c>
      <c r="F38" s="21" t="n">
        <v>0</v>
      </c>
      <c r="G38" s="21" t="n">
        <v>0</v>
      </c>
      <c r="H38" s="21" t="n">
        <v>1103</v>
      </c>
      <c r="I38" s="8" t="str">
        <f aca="false">IF(G38=0,"-",H38/G38)</f>
        <v>-</v>
      </c>
    </row>
    <row r="39" customFormat="false" ht="15" hidden="false" customHeight="false" outlineLevel="0" collapsed="false">
      <c r="A39" s="4" t="s">
        <v>121</v>
      </c>
      <c r="B39" s="4" t="s">
        <v>132</v>
      </c>
      <c r="C39" s="20" t="n">
        <v>486</v>
      </c>
      <c r="D39" s="20" t="s">
        <v>137</v>
      </c>
      <c r="E39" s="4" t="s">
        <v>138</v>
      </c>
      <c r="F39" s="21" t="n">
        <v>0</v>
      </c>
      <c r="G39" s="21" t="n">
        <v>0</v>
      </c>
      <c r="H39" s="21" t="n">
        <v>1492.3</v>
      </c>
      <c r="I39" s="8" t="str">
        <f aca="false">IF(G39=0,"-",H39/G39)</f>
        <v>-</v>
      </c>
    </row>
    <row r="40" customFormat="false" ht="15" hidden="false" customHeight="false" outlineLevel="0" collapsed="false">
      <c r="A40" s="4" t="s">
        <v>121</v>
      </c>
      <c r="B40" s="4" t="s">
        <v>132</v>
      </c>
      <c r="C40" s="20" t="n">
        <v>627</v>
      </c>
      <c r="D40" s="20" t="s">
        <v>139</v>
      </c>
      <c r="E40" s="4" t="s">
        <v>140</v>
      </c>
      <c r="F40" s="21" t="n">
        <v>0</v>
      </c>
      <c r="G40" s="21" t="n">
        <v>0</v>
      </c>
      <c r="H40" s="21" t="n">
        <v>1.5</v>
      </c>
      <c r="I40" s="8" t="str">
        <f aca="false">IF(G40=0,"-",H40/G40)</f>
        <v>-</v>
      </c>
    </row>
    <row r="41" customFormat="false" ht="15" hidden="false" customHeight="false" outlineLevel="0" collapsed="false">
      <c r="A41" s="4" t="s">
        <v>141</v>
      </c>
      <c r="B41" s="4" t="s">
        <v>122</v>
      </c>
      <c r="C41" s="20" t="n">
        <v>437</v>
      </c>
      <c r="D41" s="20" t="s">
        <v>142</v>
      </c>
      <c r="E41" s="4" t="s">
        <v>143</v>
      </c>
      <c r="F41" s="21" t="n">
        <v>0</v>
      </c>
      <c r="G41" s="21" t="n">
        <v>0</v>
      </c>
      <c r="H41" s="21" t="n">
        <v>298551.8</v>
      </c>
      <c r="I41" s="8" t="str">
        <f aca="false">IF(G41=0,"-",H41/G41)</f>
        <v>-</v>
      </c>
    </row>
    <row r="42" customFormat="false" ht="15" hidden="false" customHeight="false" outlineLevel="0" collapsed="false">
      <c r="A42" s="4" t="s">
        <v>141</v>
      </c>
      <c r="B42" s="4" t="s">
        <v>125</v>
      </c>
      <c r="C42" s="20" t="n">
        <v>424</v>
      </c>
      <c r="D42" s="20" t="s">
        <v>144</v>
      </c>
      <c r="E42" s="4" t="s">
        <v>145</v>
      </c>
      <c r="F42" s="21" t="n">
        <v>0</v>
      </c>
      <c r="G42" s="21" t="n">
        <v>0</v>
      </c>
      <c r="H42" s="21" t="n">
        <v>560.4</v>
      </c>
      <c r="I42" s="8" t="str">
        <f aca="false">IF(G42=0,"-",H42/G42)</f>
        <v>-</v>
      </c>
    </row>
    <row r="43" customFormat="false" ht="15" hidden="false" customHeight="false" outlineLevel="0" collapsed="false">
      <c r="A43" s="4" t="s">
        <v>141</v>
      </c>
      <c r="B43" s="4" t="s">
        <v>132</v>
      </c>
      <c r="C43" s="20" t="n">
        <v>397</v>
      </c>
      <c r="D43" s="20" t="s">
        <v>146</v>
      </c>
      <c r="E43" s="4" t="s">
        <v>147</v>
      </c>
      <c r="F43" s="21" t="n">
        <v>0</v>
      </c>
      <c r="G43" s="21" t="n">
        <v>0</v>
      </c>
      <c r="H43" s="21" t="n">
        <v>1761.8</v>
      </c>
      <c r="I43" s="8" t="str">
        <f aca="false">IF(G43=0,"-",H43/G43)</f>
        <v>-</v>
      </c>
    </row>
    <row r="44" customFormat="false" ht="15" hidden="false" customHeight="false" outlineLevel="0" collapsed="false">
      <c r="A44" s="4" t="s">
        <v>141</v>
      </c>
      <c r="B44" s="4" t="s">
        <v>148</v>
      </c>
      <c r="C44" s="20" t="n">
        <v>470</v>
      </c>
      <c r="D44" s="20" t="s">
        <v>149</v>
      </c>
      <c r="E44" s="4" t="s">
        <v>150</v>
      </c>
      <c r="F44" s="21" t="n">
        <v>0</v>
      </c>
      <c r="G44" s="21" t="n">
        <v>0</v>
      </c>
      <c r="H44" s="21" t="n">
        <v>730</v>
      </c>
      <c r="I44" s="8" t="str">
        <f aca="false">IF(G44=0,"-",H44/G44)</f>
        <v>-</v>
      </c>
    </row>
    <row r="45" customFormat="false" ht="15" hidden="false" customHeight="false" outlineLevel="0" collapsed="false">
      <c r="A45" s="4" t="s">
        <v>141</v>
      </c>
      <c r="B45" s="4" t="s">
        <v>148</v>
      </c>
      <c r="C45" s="20" t="n">
        <v>496</v>
      </c>
      <c r="D45" s="20" t="s">
        <v>151</v>
      </c>
      <c r="E45" s="4" t="s">
        <v>152</v>
      </c>
      <c r="F45" s="21" t="n">
        <v>0</v>
      </c>
      <c r="G45" s="21" t="n">
        <v>0</v>
      </c>
      <c r="H45" s="21" t="n">
        <v>1163.9</v>
      </c>
      <c r="I45" s="8" t="str">
        <f aca="false">IF(G45=0,"-",H45/G45)</f>
        <v>-</v>
      </c>
    </row>
    <row r="46" customFormat="false" ht="15" hidden="false" customHeight="false" outlineLevel="0" collapsed="false">
      <c r="A46" s="4" t="s">
        <v>141</v>
      </c>
      <c r="B46" s="4" t="s">
        <v>148</v>
      </c>
      <c r="C46" s="20" t="n">
        <v>350</v>
      </c>
      <c r="D46" s="20" t="s">
        <v>153</v>
      </c>
      <c r="E46" s="4" t="s">
        <v>154</v>
      </c>
      <c r="F46" s="21" t="n">
        <v>0</v>
      </c>
      <c r="G46" s="21" t="n">
        <v>0</v>
      </c>
      <c r="H46" s="21" t="n">
        <v>54.6</v>
      </c>
      <c r="I46" s="8" t="str">
        <f aca="false">IF(G46=0,"-",H46/G46)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2026-06-24T01:24:02Z</dcterms:created>
  <dc:creator>openpyxl</dc:creator>
  <dc:description/>
  <dc:language>en-US</dc:language>
  <cp:lastModifiedBy/>
  <dcterms:modified xsi:type="dcterms:W3CDTF">2026-06-24T01:24:02Z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