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외화재무상태표_은행비교" sheetId="1" state="visible" r:id="rId3"/>
    <sheet name="국민은행" sheetId="2" state="visible" r:id="rId4"/>
    <sheet name="우리은행" sheetId="3" state="visible" r:id="rId5"/>
    <sheet name="하나은행" sheetId="4" state="visible" r:id="rId6"/>
    <sheet name="아이엠뱅크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<sst xmlns="http://schemas.openxmlformats.org/spreadsheetml/2006/main" count="218" uniqueCount="46">
  <si>
    <r>
      <rPr>
        <b val="true"/>
        <sz val="13"/>
        <color rgb="FFFFFFFF"/>
        <rFont val="Noto Sans CJK SC"/>
        <family val="2"/>
      </rPr>
      <t xml:space="preserve">외화 재무상태표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자산</t>
    </r>
    <r>
      <rPr>
        <b val="true"/>
        <sz val="13"/>
        <color rgb="FFFFFFFF"/>
        <rFont val="Arial"/>
        <family val="0"/>
        <charset val="1"/>
      </rPr>
      <t xml:space="preserve">-</t>
    </r>
    <r>
      <rPr>
        <b val="true"/>
        <sz val="13"/>
        <color rgb="FFFFFFFF"/>
        <rFont val="Noto Sans CJK SC"/>
        <family val="2"/>
      </rPr>
      <t xml:space="preserve">은행계정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</si>
  <si>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기준일</t>
    </r>
    <r>
      <rPr>
        <sz val="9"/>
        <color rgb="FF595959"/>
        <rFont val="Arial"/>
        <family val="0"/>
        <charset val="1"/>
      </rPr>
      <t xml:space="preserve">: 2025</t>
    </r>
    <r>
      <rPr>
        <sz val="9"/>
        <color rgb="FF595959"/>
        <rFont val="Noto Sans CJK SC"/>
        <family val="2"/>
      </rPr>
      <t xml:space="preserve">년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월말  </t>
    </r>
    <r>
      <rPr>
        <sz val="9"/>
        <color rgb="FF595959"/>
        <rFont val="Arial"/>
        <family val="0"/>
        <charset val="1"/>
      </rPr>
      <t xml:space="preserve">/  </t>
    </r>
    <r>
      <rPr>
        <sz val="9"/>
        <color rgb="FF595959"/>
        <rFont val="Noto Sans CJK SC"/>
        <family val="2"/>
      </rPr>
      <t xml:space="preserve">단위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백만원</t>
    </r>
  </si>
  <si>
    <t xml:space="preserve">구  분</t>
  </si>
  <si>
    <t xml:space="preserve">국민은행</t>
  </si>
  <si>
    <t xml:space="preserve">우리은행</t>
  </si>
  <si>
    <t xml:space="preserve">하나은행</t>
  </si>
  <si>
    <t xml:space="preserve">아이엠뱅크</t>
  </si>
  <si>
    <r>
      <rPr>
        <b val="true"/>
        <sz val="10"/>
        <color rgb="FF000000"/>
        <rFont val="Arial"/>
        <family val="0"/>
        <charset val="1"/>
      </rPr>
      <t xml:space="preserve">Ⅰ. </t>
    </r>
    <r>
      <rPr>
        <b val="true"/>
        <sz val="10"/>
        <color rgb="FF000000"/>
        <rFont val="Noto Sans CJK SC"/>
        <family val="2"/>
      </rPr>
      <t xml:space="preserve">현금 및 예치금</t>
    </r>
  </si>
  <si>
    <t xml:space="preserve">  외국통화</t>
  </si>
  <si>
    <t xml:space="preserve">  외화예치금</t>
  </si>
  <si>
    <t xml:space="preserve">  역외외화예치금</t>
  </si>
  <si>
    <t xml:space="preserve">  현금 및 예치금 소계</t>
  </si>
  <si>
    <r>
      <rPr>
        <b val="true"/>
        <sz val="10"/>
        <color rgb="FF000000"/>
        <rFont val="Arial"/>
        <family val="0"/>
        <charset val="1"/>
      </rPr>
      <t xml:space="preserve">Ⅱ. </t>
    </r>
    <r>
      <rPr>
        <b val="true"/>
        <sz val="10"/>
        <color rgb="FF000000"/>
        <rFont val="Noto Sans CJK SC"/>
        <family val="2"/>
      </rPr>
      <t xml:space="preserve">유가증권</t>
    </r>
  </si>
  <si>
    <r>
      <rPr>
        <sz val="10"/>
        <color rgb="FF000000"/>
        <rFont val="Noto Sans CJK SC"/>
        <family val="2"/>
      </rPr>
      <t xml:space="preserve">  외화 당기손익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공정가치측정유가증권</t>
    </r>
  </si>
  <si>
    <r>
      <rPr>
        <sz val="10"/>
        <color rgb="FF000000"/>
        <rFont val="Noto Sans CJK SC"/>
        <family val="2"/>
      </rPr>
      <t xml:space="preserve">  역외 당기손익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공정가치측정유가증권</t>
    </r>
  </si>
  <si>
    <r>
      <rPr>
        <sz val="10"/>
        <color rgb="FF000000"/>
        <rFont val="Noto Sans CJK SC"/>
        <family val="2"/>
      </rPr>
      <t xml:space="preserve">  외화 기타포괄손익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공정가치측정유가증권</t>
    </r>
  </si>
  <si>
    <r>
      <rPr>
        <sz val="10"/>
        <color rgb="FF000000"/>
        <rFont val="Noto Sans CJK SC"/>
        <family val="2"/>
      </rPr>
      <t xml:space="preserve">  역외 기타포괄손익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공정가치측정유가증권</t>
    </r>
  </si>
  <si>
    <t xml:space="preserve">  외화 상각후원가측정유가증권</t>
  </si>
  <si>
    <t xml:space="preserve">  역외외화 상각후원가측정유가증권</t>
  </si>
  <si>
    <r>
      <rPr>
        <sz val="10"/>
        <color rgb="FFC00000"/>
        <rFont val="Arial"/>
        <family val="0"/>
        <charset val="1"/>
      </rPr>
      <t xml:space="preserve">  (</t>
    </r>
    <r>
      <rPr>
        <sz val="10"/>
        <color rgb="FFC00000"/>
        <rFont val="Noto Sans CJK SC"/>
        <family val="2"/>
      </rPr>
      <t xml:space="preserve">외화 상각후원가 대손충당금</t>
    </r>
    <r>
      <rPr>
        <sz val="10"/>
        <color rgb="FFC00000"/>
        <rFont val="Arial"/>
        <family val="0"/>
        <charset val="1"/>
      </rPr>
      <t xml:space="preserve">)(-)</t>
    </r>
  </si>
  <si>
    <t xml:space="preserve">  외화투자주식</t>
  </si>
  <si>
    <t xml:space="preserve">  유가증권 소계</t>
  </si>
  <si>
    <r>
      <rPr>
        <b val="true"/>
        <sz val="10"/>
        <color rgb="FF000000"/>
        <rFont val="Arial"/>
        <family val="0"/>
        <charset val="1"/>
      </rPr>
      <t xml:space="preserve">Ⅲ. </t>
    </r>
    <r>
      <rPr>
        <b val="true"/>
        <sz val="10"/>
        <color rgb="FF000000"/>
        <rFont val="Noto Sans CJK SC"/>
        <family val="2"/>
      </rPr>
      <t xml:space="preserve">대출채권</t>
    </r>
  </si>
  <si>
    <t xml:space="preserve">  외화대출금</t>
  </si>
  <si>
    <t xml:space="preserve">  은행간외화대여금</t>
  </si>
  <si>
    <t xml:space="preserve">  외화차관자금대출금</t>
  </si>
  <si>
    <t xml:space="preserve">  내국수입유산스</t>
  </si>
  <si>
    <t xml:space="preserve">  역외외화대출금</t>
  </si>
  <si>
    <t xml:space="preserve">  외화콜론</t>
  </si>
  <si>
    <t xml:space="preserve">  매입외환</t>
  </si>
  <si>
    <t xml:space="preserve">  외화지급보증대지급금</t>
  </si>
  <si>
    <r>
      <rPr>
        <sz val="10"/>
        <color rgb="FF000000"/>
        <rFont val="Noto Sans CJK SC"/>
        <family val="2"/>
      </rPr>
      <t xml:space="preserve">  직불카드채권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외화</t>
    </r>
    <r>
      <rPr>
        <sz val="10"/>
        <color rgb="FF000000"/>
        <rFont val="Arial"/>
        <family val="0"/>
        <charset val="1"/>
      </rPr>
      <t xml:space="preserve">)</t>
    </r>
  </si>
  <si>
    <t xml:space="preserve">  외화사모사채</t>
  </si>
  <si>
    <t xml:space="preserve">  외화팩토링채권</t>
  </si>
  <si>
    <t xml:space="preserve">  외화출자전환채권</t>
  </si>
  <si>
    <r>
      <rPr>
        <sz val="10"/>
        <color rgb="FFC00000"/>
        <rFont val="Arial"/>
        <family val="0"/>
        <charset val="1"/>
      </rPr>
      <t xml:space="preserve">  (</t>
    </r>
    <r>
      <rPr>
        <sz val="10"/>
        <color rgb="FFC00000"/>
        <rFont val="Noto Sans CJK SC"/>
        <family val="2"/>
      </rPr>
      <t xml:space="preserve">외화대출금 대손충당금</t>
    </r>
    <r>
      <rPr>
        <sz val="10"/>
        <color rgb="FFC00000"/>
        <rFont val="Arial"/>
        <family val="0"/>
        <charset val="1"/>
      </rPr>
      <t xml:space="preserve">)(-)</t>
    </r>
  </si>
  <si>
    <r>
      <rPr>
        <sz val="10"/>
        <color rgb="FFC00000"/>
        <rFont val="Arial"/>
        <family val="0"/>
        <charset val="1"/>
      </rPr>
      <t xml:space="preserve">  (</t>
    </r>
    <r>
      <rPr>
        <sz val="10"/>
        <color rgb="FFC00000"/>
        <rFont val="Noto Sans CJK SC"/>
        <family val="2"/>
      </rPr>
      <t xml:space="preserve">매입외환 대손충당금</t>
    </r>
    <r>
      <rPr>
        <sz val="10"/>
        <color rgb="FFC00000"/>
        <rFont val="Arial"/>
        <family val="0"/>
        <charset val="1"/>
      </rPr>
      <t xml:space="preserve">)(-)</t>
    </r>
  </si>
  <si>
    <t xml:space="preserve">  대출채권 소계</t>
  </si>
  <si>
    <r>
      <rPr>
        <b val="true"/>
        <sz val="10"/>
        <color rgb="FF000000"/>
        <rFont val="Arial"/>
        <family val="0"/>
        <charset val="1"/>
      </rPr>
      <t xml:space="preserve">Ⅳ. </t>
    </r>
    <r>
      <rPr>
        <b val="true"/>
        <sz val="10"/>
        <color rgb="FF000000"/>
        <rFont val="Noto Sans CJK SC"/>
        <family val="2"/>
      </rPr>
      <t xml:space="preserve">기타자산</t>
    </r>
  </si>
  <si>
    <r>
      <rPr>
        <sz val="10"/>
        <color rgb="FF000000"/>
        <rFont val="Noto Sans CJK SC"/>
        <family val="2"/>
      </rPr>
      <t xml:space="preserve">  파생상품자산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통화관련</t>
    </r>
    <r>
      <rPr>
        <sz val="10"/>
        <color rgb="FF000000"/>
        <rFont val="Arial"/>
        <family val="0"/>
        <charset val="1"/>
      </rPr>
      <t xml:space="preserve">)</t>
    </r>
  </si>
  <si>
    <t xml:space="preserve">  외화본지점</t>
  </si>
  <si>
    <t xml:space="preserve">  역외외화본지점</t>
  </si>
  <si>
    <t xml:space="preserve">  기타자산 소계</t>
  </si>
  <si>
    <t xml:space="preserve">외화자산 합계</t>
  </si>
  <si>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참고</t>
    </r>
    <r>
      <rPr>
        <sz val="10"/>
        <color rgb="FF595959"/>
        <rFont val="Arial"/>
        <family val="0"/>
        <charset val="1"/>
      </rPr>
      <t xml:space="preserve">) </t>
    </r>
    <r>
      <rPr>
        <sz val="10"/>
        <color rgb="FF595959"/>
        <rFont val="Noto Sans CJK SC"/>
        <family val="2"/>
      </rPr>
      <t xml:space="preserve">자산총계</t>
    </r>
  </si>
  <si>
    <r>
      <rPr>
        <sz val="10"/>
        <color rgb="FF595959"/>
        <rFont val="Noto Sans CJK SC"/>
        <family val="2"/>
      </rPr>
      <t xml:space="preserve">외화자산 </t>
    </r>
    <r>
      <rPr>
        <sz val="10"/>
        <color rgb="FF595959"/>
        <rFont val="Arial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자산총계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</si>
</sst>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C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595959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/>
      <c r="C5" s="5"/>
      <c r="D5" s="5"/>
      <c r="E5" s="5"/>
    </row>
    <row r="6" customFormat="false" ht="15" hidden="false" customHeight="false" outlineLevel="0" collapsed="false">
      <c r="A6" s="6" t="s">
        <v>8</v>
      </c>
      <c r="B6" s="7" t="n">
        <v>349514</v>
      </c>
      <c r="C6" s="7" t="n">
        <v>533684</v>
      </c>
      <c r="D6" s="7" t="n">
        <v>650744</v>
      </c>
      <c r="E6" s="7" t="n">
        <v>73911</v>
      </c>
    </row>
    <row r="7" customFormat="false" ht="15" hidden="false" customHeight="false" outlineLevel="0" collapsed="false">
      <c r="A7" s="6" t="s">
        <v>9</v>
      </c>
      <c r="B7" s="7" t="n">
        <v>7754701</v>
      </c>
      <c r="C7" s="7" t="n">
        <v>16833083</v>
      </c>
      <c r="D7" s="7" t="n">
        <v>18820582</v>
      </c>
      <c r="E7" s="7" t="n">
        <v>460341</v>
      </c>
    </row>
    <row r="8" customFormat="false" ht="15" hidden="false" customHeight="false" outlineLevel="0" collapsed="false">
      <c r="A8" s="6" t="s">
        <v>10</v>
      </c>
      <c r="B8" s="7" t="n">
        <v>0</v>
      </c>
      <c r="C8" s="7" t="n">
        <v>0</v>
      </c>
      <c r="D8" s="7" t="n">
        <v>0</v>
      </c>
      <c r="E8" s="7" t="n">
        <v>0</v>
      </c>
    </row>
    <row r="9" customFormat="false" ht="15" hidden="false" customHeight="false" outlineLevel="0" collapsed="false">
      <c r="A9" s="8" t="s">
        <v>11</v>
      </c>
      <c r="B9" s="9" t="n">
        <f aca="false">B6+B7+B8</f>
        <v>8104215</v>
      </c>
      <c r="C9" s="9" t="n">
        <f aca="false">C6+C7+C8</f>
        <v>17366767</v>
      </c>
      <c r="D9" s="9" t="n">
        <f aca="false">D6+D7+D8</f>
        <v>19471326</v>
      </c>
      <c r="E9" s="9" t="n">
        <f aca="false">E6+E7+E8</f>
        <v>534252</v>
      </c>
    </row>
    <row r="10" customFormat="false" ht="15" hidden="false" customHeight="false" outlineLevel="0" collapsed="false">
      <c r="A10" s="4" t="s">
        <v>12</v>
      </c>
      <c r="B10" s="5"/>
      <c r="C10" s="5"/>
      <c r="D10" s="5"/>
      <c r="E10" s="5"/>
    </row>
    <row r="11" customFormat="false" ht="15" hidden="false" customHeight="false" outlineLevel="0" collapsed="false">
      <c r="A11" s="6" t="s">
        <v>13</v>
      </c>
      <c r="B11" s="7" t="n">
        <v>4213044</v>
      </c>
      <c r="C11" s="7" t="n">
        <v>1940973</v>
      </c>
      <c r="D11" s="7" t="n">
        <v>2224502</v>
      </c>
      <c r="E11" s="7" t="n">
        <v>59377</v>
      </c>
    </row>
    <row r="12" customFormat="false" ht="15" hidden="false" customHeight="false" outlineLevel="0" collapsed="false">
      <c r="A12" s="6" t="s">
        <v>14</v>
      </c>
      <c r="B12" s="7" t="n">
        <v>0</v>
      </c>
      <c r="C12" s="7" t="n">
        <v>0</v>
      </c>
      <c r="D12" s="7" t="n">
        <v>0</v>
      </c>
      <c r="E12" s="7" t="n">
        <v>0</v>
      </c>
    </row>
    <row r="13" customFormat="false" ht="15" hidden="false" customHeight="false" outlineLevel="0" collapsed="false">
      <c r="A13" s="6" t="s">
        <v>15</v>
      </c>
      <c r="B13" s="7" t="n">
        <v>5748494</v>
      </c>
      <c r="C13" s="7" t="n">
        <v>4465573</v>
      </c>
      <c r="D13" s="7" t="n">
        <v>10392196</v>
      </c>
      <c r="E13" s="7" t="n">
        <v>428540</v>
      </c>
    </row>
    <row r="14" customFormat="false" ht="15" hidden="false" customHeight="false" outlineLevel="0" collapsed="false">
      <c r="A14" s="6" t="s">
        <v>16</v>
      </c>
      <c r="B14" s="7" t="n">
        <v>193396</v>
      </c>
      <c r="C14" s="7" t="n">
        <v>0</v>
      </c>
      <c r="D14" s="7" t="n">
        <v>0</v>
      </c>
      <c r="E14" s="7" t="n">
        <v>0</v>
      </c>
    </row>
    <row r="15" customFormat="false" ht="15" hidden="false" customHeight="false" outlineLevel="0" collapsed="false">
      <c r="A15" s="6" t="s">
        <v>17</v>
      </c>
      <c r="B15" s="7" t="n">
        <v>3551881</v>
      </c>
      <c r="C15" s="7" t="n">
        <v>816629</v>
      </c>
      <c r="D15" s="7" t="n">
        <v>2614977</v>
      </c>
      <c r="E15" s="7" t="n">
        <v>0</v>
      </c>
    </row>
    <row r="16" customFormat="false" ht="15" hidden="false" customHeight="false" outlineLevel="0" collapsed="false">
      <c r="A16" s="6" t="s">
        <v>18</v>
      </c>
      <c r="B16" s="7" t="n">
        <v>22965</v>
      </c>
      <c r="C16" s="7" t="n">
        <v>0</v>
      </c>
      <c r="D16" s="7" t="n">
        <v>0</v>
      </c>
      <c r="E16" s="7" t="n">
        <v>0</v>
      </c>
    </row>
    <row r="17" customFormat="false" ht="15" hidden="false" customHeight="false" outlineLevel="0" collapsed="false">
      <c r="A17" s="10" t="s">
        <v>19</v>
      </c>
      <c r="B17" s="7" t="n">
        <v>3881</v>
      </c>
      <c r="C17" s="7" t="n">
        <v>476</v>
      </c>
      <c r="D17" s="7" t="n">
        <v>1214</v>
      </c>
      <c r="E17" s="7" t="n">
        <v>0</v>
      </c>
    </row>
    <row r="18" customFormat="false" ht="15" hidden="false" customHeight="false" outlineLevel="0" collapsed="false">
      <c r="A18" s="6" t="s">
        <v>20</v>
      </c>
      <c r="B18" s="7" t="n">
        <v>2671750</v>
      </c>
      <c r="C18" s="7" t="n">
        <v>2914170</v>
      </c>
      <c r="D18" s="7" t="n">
        <v>4406066</v>
      </c>
      <c r="E18" s="7" t="n">
        <v>166825</v>
      </c>
    </row>
    <row r="19" customFormat="false" ht="15" hidden="false" customHeight="false" outlineLevel="0" collapsed="false">
      <c r="A19" s="8" t="s">
        <v>21</v>
      </c>
      <c r="B19" s="9" t="n">
        <f aca="false">(B11+B12+B13+B14+B15+B16+B18)-(B17)</f>
        <v>16397649</v>
      </c>
      <c r="C19" s="9" t="n">
        <f aca="false">(C11+C12+C13+C14+C15+C16+C18)-(C17)</f>
        <v>10136869</v>
      </c>
      <c r="D19" s="9" t="n">
        <f aca="false">(D11+D12+D13+D14+D15+D16+D18)-(D17)</f>
        <v>19636527</v>
      </c>
      <c r="E19" s="9" t="n">
        <f aca="false">(E11+E12+E13+E14+E15+E16+E18)-(E17)</f>
        <v>654742</v>
      </c>
    </row>
    <row r="20" customFormat="false" ht="15" hidden="false" customHeight="false" outlineLevel="0" collapsed="false">
      <c r="A20" s="4" t="s">
        <v>22</v>
      </c>
      <c r="B20" s="5"/>
      <c r="C20" s="5"/>
      <c r="D20" s="5"/>
      <c r="E20" s="5"/>
    </row>
    <row r="21" customFormat="false" ht="15" hidden="false" customHeight="false" outlineLevel="0" collapsed="false">
      <c r="A21" s="6" t="s">
        <v>23</v>
      </c>
      <c r="B21" s="7" t="n">
        <v>16658859</v>
      </c>
      <c r="C21" s="7" t="n">
        <v>12084094</v>
      </c>
      <c r="D21" s="7" t="n">
        <v>18351612</v>
      </c>
      <c r="E21" s="7" t="n">
        <v>406376</v>
      </c>
    </row>
    <row r="22" customFormat="false" ht="15" hidden="false" customHeight="false" outlineLevel="0" collapsed="false">
      <c r="A22" s="6" t="s">
        <v>24</v>
      </c>
      <c r="B22" s="7" t="n">
        <v>759380</v>
      </c>
      <c r="C22" s="7" t="n">
        <v>2243478</v>
      </c>
      <c r="D22" s="7" t="n">
        <v>2571425</v>
      </c>
      <c r="E22" s="7" t="n">
        <v>251108</v>
      </c>
    </row>
    <row r="23" customFormat="false" ht="15" hidden="false" customHeight="false" outlineLevel="0" collapsed="false">
      <c r="A23" s="6" t="s">
        <v>25</v>
      </c>
      <c r="B23" s="7" t="n">
        <v>5883</v>
      </c>
      <c r="C23" s="7" t="n">
        <v>2263517</v>
      </c>
      <c r="D23" s="7" t="n">
        <v>0</v>
      </c>
      <c r="E23" s="7" t="n">
        <v>0</v>
      </c>
    </row>
    <row r="24" customFormat="false" ht="15" hidden="false" customHeight="false" outlineLevel="0" collapsed="false">
      <c r="A24" s="6" t="s">
        <v>26</v>
      </c>
      <c r="B24" s="7" t="n">
        <v>3576639</v>
      </c>
      <c r="C24" s="7" t="n">
        <v>2602803</v>
      </c>
      <c r="D24" s="7" t="n">
        <v>4545831</v>
      </c>
      <c r="E24" s="7" t="n">
        <v>341056</v>
      </c>
    </row>
    <row r="25" customFormat="false" ht="15" hidden="false" customHeight="false" outlineLevel="0" collapsed="false">
      <c r="A25" s="6" t="s">
        <v>27</v>
      </c>
      <c r="B25" s="7" t="n">
        <v>965881</v>
      </c>
      <c r="C25" s="7" t="n">
        <v>0</v>
      </c>
      <c r="D25" s="7" t="n">
        <v>1865</v>
      </c>
      <c r="E25" s="7" t="n">
        <v>0</v>
      </c>
    </row>
    <row r="26" customFormat="false" ht="15" hidden="false" customHeight="false" outlineLevel="0" collapsed="false">
      <c r="A26" s="6" t="s">
        <v>28</v>
      </c>
      <c r="B26" s="7" t="n">
        <v>5601279</v>
      </c>
      <c r="C26" s="7" t="n">
        <v>1238633</v>
      </c>
      <c r="D26" s="7" t="n">
        <v>2612732</v>
      </c>
      <c r="E26" s="7" t="n">
        <v>216096</v>
      </c>
    </row>
    <row r="27" customFormat="false" ht="15" hidden="false" customHeight="false" outlineLevel="0" collapsed="false">
      <c r="A27" s="6" t="s">
        <v>29</v>
      </c>
      <c r="B27" s="7" t="n">
        <v>2605577</v>
      </c>
      <c r="C27" s="7" t="n">
        <v>4331586</v>
      </c>
      <c r="D27" s="7" t="n">
        <v>4540468</v>
      </c>
      <c r="E27" s="7" t="n">
        <v>47875</v>
      </c>
    </row>
    <row r="28" customFormat="false" ht="15" hidden="false" customHeight="false" outlineLevel="0" collapsed="false">
      <c r="A28" s="6" t="s">
        <v>30</v>
      </c>
      <c r="B28" s="7" t="n">
        <v>0</v>
      </c>
      <c r="C28" s="7" t="n">
        <v>0</v>
      </c>
      <c r="D28" s="7" t="n">
        <v>0</v>
      </c>
      <c r="E28" s="7" t="n">
        <v>7127</v>
      </c>
    </row>
    <row r="29" customFormat="false" ht="15" hidden="false" customHeight="false" outlineLevel="0" collapsed="false">
      <c r="A29" s="6" t="s">
        <v>31</v>
      </c>
      <c r="B29" s="7" t="n">
        <v>0</v>
      </c>
      <c r="C29" s="7" t="n">
        <v>0</v>
      </c>
      <c r="D29" s="7" t="n">
        <v>0</v>
      </c>
      <c r="E29" s="7" t="n">
        <v>0</v>
      </c>
    </row>
    <row r="30" customFormat="false" ht="15" hidden="false" customHeight="false" outlineLevel="0" collapsed="false">
      <c r="A30" s="6" t="s">
        <v>32</v>
      </c>
      <c r="B30" s="7" t="n">
        <v>339057</v>
      </c>
      <c r="C30" s="7" t="n">
        <v>0</v>
      </c>
      <c r="D30" s="7" t="n">
        <v>1012890</v>
      </c>
      <c r="E30" s="7" t="n">
        <v>0</v>
      </c>
    </row>
    <row r="31" customFormat="false" ht="15" hidden="false" customHeight="false" outlineLevel="0" collapsed="false">
      <c r="A31" s="6" t="s">
        <v>33</v>
      </c>
      <c r="B31" s="7" t="n">
        <v>0</v>
      </c>
      <c r="C31" s="7" t="n">
        <v>0</v>
      </c>
      <c r="D31" s="7" t="n">
        <v>64217</v>
      </c>
      <c r="E31" s="7" t="n">
        <v>0</v>
      </c>
    </row>
    <row r="32" customFormat="false" ht="15" hidden="false" customHeight="false" outlineLevel="0" collapsed="false">
      <c r="A32" s="6" t="s">
        <v>34</v>
      </c>
      <c r="B32" s="7" t="n">
        <v>0</v>
      </c>
      <c r="C32" s="7" t="n">
        <v>0</v>
      </c>
      <c r="D32" s="7" t="n">
        <v>0</v>
      </c>
      <c r="E32" s="7" t="n">
        <v>0</v>
      </c>
    </row>
    <row r="33" customFormat="false" ht="15" hidden="false" customHeight="false" outlineLevel="0" collapsed="false">
      <c r="A33" s="10" t="s">
        <v>35</v>
      </c>
      <c r="B33" s="7" t="n">
        <v>185359</v>
      </c>
      <c r="C33" s="7" t="n">
        <v>233746</v>
      </c>
      <c r="D33" s="7" t="n">
        <v>82890</v>
      </c>
      <c r="E33" s="7" t="n">
        <v>10086</v>
      </c>
    </row>
    <row r="34" customFormat="false" ht="15" hidden="false" customHeight="false" outlineLevel="0" collapsed="false">
      <c r="A34" s="10" t="s">
        <v>36</v>
      </c>
      <c r="B34" s="7" t="n">
        <v>13814</v>
      </c>
      <c r="C34" s="7" t="n">
        <v>6558</v>
      </c>
      <c r="D34" s="7" t="n">
        <v>7871</v>
      </c>
      <c r="E34" s="7" t="n">
        <v>800</v>
      </c>
    </row>
    <row r="35" customFormat="false" ht="15" hidden="false" customHeight="false" outlineLevel="0" collapsed="false">
      <c r="A35" s="8" t="s">
        <v>37</v>
      </c>
      <c r="B35" s="9" t="n">
        <f aca="false">(B21+B22+B23+B24+B25+B26+B27+B28+B29+B30+B31+B32)-(B33+B34)</f>
        <v>30313382</v>
      </c>
      <c r="C35" s="9" t="n">
        <f aca="false">(C21+C22+C23+C24+C25+C26+C27+C28+C29+C30+C31+C32)-(C33+C34)</f>
        <v>24523807</v>
      </c>
      <c r="D35" s="9" t="n">
        <f aca="false">(D21+D22+D23+D24+D25+D26+D27+D28+D29+D30+D31+D32)-(D33+D34)</f>
        <v>33610279</v>
      </c>
      <c r="E35" s="9" t="n">
        <f aca="false">(E21+E22+E23+E24+E25+E26+E27+E28+E29+E30+E31+E32)-(E33+E34)</f>
        <v>1258752</v>
      </c>
    </row>
    <row r="36" customFormat="false" ht="15" hidden="false" customHeight="false" outlineLevel="0" collapsed="false">
      <c r="A36" s="4" t="s">
        <v>38</v>
      </c>
      <c r="B36" s="5"/>
      <c r="C36" s="5"/>
      <c r="D36" s="5"/>
      <c r="E36" s="5"/>
    </row>
    <row r="37" customFormat="false" ht="15" hidden="false" customHeight="false" outlineLevel="0" collapsed="false">
      <c r="A37" s="6" t="s">
        <v>39</v>
      </c>
      <c r="B37" s="7" t="n">
        <v>5738028</v>
      </c>
      <c r="C37" s="7" t="n">
        <v>5493650</v>
      </c>
      <c r="D37" s="7" t="n">
        <v>7294319</v>
      </c>
      <c r="E37" s="7" t="n">
        <v>112200</v>
      </c>
    </row>
    <row r="38" customFormat="false" ht="15" hidden="false" customHeight="false" outlineLevel="0" collapsed="false">
      <c r="A38" s="6" t="s">
        <v>40</v>
      </c>
      <c r="B38" s="7" t="n">
        <v>0</v>
      </c>
      <c r="C38" s="7" t="n">
        <v>0</v>
      </c>
      <c r="D38" s="7" t="n">
        <v>0</v>
      </c>
      <c r="E38" s="7" t="n">
        <v>0</v>
      </c>
    </row>
    <row r="39" customFormat="false" ht="15" hidden="false" customHeight="false" outlineLevel="0" collapsed="false">
      <c r="A39" s="6" t="s">
        <v>41</v>
      </c>
      <c r="B39" s="7" t="n">
        <v>0</v>
      </c>
      <c r="C39" s="7" t="n">
        <v>0</v>
      </c>
      <c r="D39" s="7" t="n">
        <v>0</v>
      </c>
      <c r="E39" s="7" t="n">
        <v>0</v>
      </c>
    </row>
    <row r="40" customFormat="false" ht="15" hidden="false" customHeight="false" outlineLevel="0" collapsed="false">
      <c r="A40" s="8" t="s">
        <v>42</v>
      </c>
      <c r="B40" s="9" t="n">
        <f aca="false">B37+B38+B39</f>
        <v>5738028</v>
      </c>
      <c r="C40" s="9" t="n">
        <f aca="false">C37+C38+C39</f>
        <v>5493650</v>
      </c>
      <c r="D40" s="9" t="n">
        <f aca="false">D37+D38+D39</f>
        <v>7294319</v>
      </c>
      <c r="E40" s="9" t="n">
        <f aca="false">E37+E38+E39</f>
        <v>112200</v>
      </c>
    </row>
    <row r="41" customFormat="false" ht="15" hidden="false" customHeight="false" outlineLevel="0" collapsed="false">
      <c r="A41" s="11" t="s">
        <v>43</v>
      </c>
      <c r="B41" s="12" t="n">
        <f aca="false">B9+B19+B35+B40</f>
        <v>60553274</v>
      </c>
      <c r="C41" s="12" t="n">
        <f aca="false">C9+C19+C35+C40</f>
        <v>57521093</v>
      </c>
      <c r="D41" s="12" t="n">
        <f aca="false">D9+D19+D35+D40</f>
        <v>80012451</v>
      </c>
      <c r="E41" s="12" t="n">
        <f aca="false">E9+E19+E35+E40</f>
        <v>2559946</v>
      </c>
    </row>
    <row r="42" customFormat="false" ht="15" hidden="false" customHeight="false" outlineLevel="0" collapsed="false">
      <c r="A42" s="13" t="s">
        <v>44</v>
      </c>
      <c r="B42" s="14" t="n">
        <v>563592553</v>
      </c>
      <c r="C42" s="14" t="n">
        <v>479448738</v>
      </c>
      <c r="D42" s="14" t="n">
        <v>528928409</v>
      </c>
      <c r="E42" s="14" t="n">
        <v>75618384</v>
      </c>
    </row>
    <row r="43" customFormat="false" ht="15" hidden="false" customHeight="false" outlineLevel="0" collapsed="false">
      <c r="A43" s="15" t="s">
        <v>45</v>
      </c>
      <c r="B43" s="16" t="n">
        <f aca="false">B41/B42</f>
        <v>0.107441579342515</v>
      </c>
      <c r="C43" s="16" t="n">
        <f aca="false">C41/C42</f>
        <v>0.119973395362238</v>
      </c>
      <c r="D43" s="16" t="n">
        <f aca="false">D41/D42</f>
        <v>0.151272742470522</v>
      </c>
      <c r="E43" s="16" t="n">
        <f aca="false">E41/E42</f>
        <v>0.033853487268387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0</v>
      </c>
      <c r="B1" s="1"/>
    </row>
    <row r="2" customFormat="false" ht="14.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7</v>
      </c>
      <c r="B5" s="5"/>
    </row>
    <row r="6" customFormat="false" ht="15" hidden="false" customHeight="false" outlineLevel="0" collapsed="false">
      <c r="A6" s="6" t="s">
        <v>8</v>
      </c>
      <c r="B6" s="7" t="n">
        <v>349514</v>
      </c>
    </row>
    <row r="7" customFormat="false" ht="15" hidden="false" customHeight="false" outlineLevel="0" collapsed="false">
      <c r="A7" s="6" t="s">
        <v>9</v>
      </c>
      <c r="B7" s="7" t="n">
        <v>7754701</v>
      </c>
    </row>
    <row r="8" customFormat="false" ht="15" hidden="false" customHeight="false" outlineLevel="0" collapsed="false">
      <c r="A8" s="6" t="s">
        <v>10</v>
      </c>
      <c r="B8" s="7" t="n">
        <v>0</v>
      </c>
    </row>
    <row r="9" customFormat="false" ht="15" hidden="false" customHeight="false" outlineLevel="0" collapsed="false">
      <c r="A9" s="8" t="s">
        <v>11</v>
      </c>
      <c r="B9" s="9" t="n">
        <f aca="false">B6+B7+B8</f>
        <v>8104215</v>
      </c>
    </row>
    <row r="10" customFormat="false" ht="15" hidden="false" customHeight="false" outlineLevel="0" collapsed="false">
      <c r="A10" s="4" t="s">
        <v>12</v>
      </c>
      <c r="B10" s="5"/>
    </row>
    <row r="11" customFormat="false" ht="15" hidden="false" customHeight="false" outlineLevel="0" collapsed="false">
      <c r="A11" s="6" t="s">
        <v>13</v>
      </c>
      <c r="B11" s="7" t="n">
        <v>4213044</v>
      </c>
    </row>
    <row r="12" customFormat="false" ht="15" hidden="false" customHeight="false" outlineLevel="0" collapsed="false">
      <c r="A12" s="6" t="s">
        <v>14</v>
      </c>
      <c r="B12" s="7" t="n">
        <v>0</v>
      </c>
    </row>
    <row r="13" customFormat="false" ht="15" hidden="false" customHeight="false" outlineLevel="0" collapsed="false">
      <c r="A13" s="6" t="s">
        <v>15</v>
      </c>
      <c r="B13" s="7" t="n">
        <v>5748494</v>
      </c>
    </row>
    <row r="14" customFormat="false" ht="15" hidden="false" customHeight="false" outlineLevel="0" collapsed="false">
      <c r="A14" s="6" t="s">
        <v>16</v>
      </c>
      <c r="B14" s="7" t="n">
        <v>193396</v>
      </c>
    </row>
    <row r="15" customFormat="false" ht="15" hidden="false" customHeight="false" outlineLevel="0" collapsed="false">
      <c r="A15" s="6" t="s">
        <v>17</v>
      </c>
      <c r="B15" s="7" t="n">
        <v>3551881</v>
      </c>
    </row>
    <row r="16" customFormat="false" ht="15" hidden="false" customHeight="false" outlineLevel="0" collapsed="false">
      <c r="A16" s="6" t="s">
        <v>18</v>
      </c>
      <c r="B16" s="7" t="n">
        <v>22965</v>
      </c>
    </row>
    <row r="17" customFormat="false" ht="15" hidden="false" customHeight="false" outlineLevel="0" collapsed="false">
      <c r="A17" s="10" t="s">
        <v>19</v>
      </c>
      <c r="B17" s="7" t="n">
        <v>3881</v>
      </c>
    </row>
    <row r="18" customFormat="false" ht="15" hidden="false" customHeight="false" outlineLevel="0" collapsed="false">
      <c r="A18" s="6" t="s">
        <v>20</v>
      </c>
      <c r="B18" s="7" t="n">
        <v>2671750</v>
      </c>
    </row>
    <row r="19" customFormat="false" ht="15" hidden="false" customHeight="false" outlineLevel="0" collapsed="false">
      <c r="A19" s="8" t="s">
        <v>21</v>
      </c>
      <c r="B19" s="9" t="n">
        <f aca="false">(B11+B12+B13+B14+B15+B16+B18)-(B17)</f>
        <v>16397649</v>
      </c>
    </row>
    <row r="20" customFormat="false" ht="15" hidden="false" customHeight="false" outlineLevel="0" collapsed="false">
      <c r="A20" s="4" t="s">
        <v>22</v>
      </c>
      <c r="B20" s="5"/>
    </row>
    <row r="21" customFormat="false" ht="15" hidden="false" customHeight="false" outlineLevel="0" collapsed="false">
      <c r="A21" s="6" t="s">
        <v>23</v>
      </c>
      <c r="B21" s="7" t="n">
        <v>16658859</v>
      </c>
    </row>
    <row r="22" customFormat="false" ht="15" hidden="false" customHeight="false" outlineLevel="0" collapsed="false">
      <c r="A22" s="6" t="s">
        <v>24</v>
      </c>
      <c r="B22" s="7" t="n">
        <v>759380</v>
      </c>
    </row>
    <row r="23" customFormat="false" ht="15" hidden="false" customHeight="false" outlineLevel="0" collapsed="false">
      <c r="A23" s="6" t="s">
        <v>25</v>
      </c>
      <c r="B23" s="7" t="n">
        <v>5883</v>
      </c>
    </row>
    <row r="24" customFormat="false" ht="15" hidden="false" customHeight="false" outlineLevel="0" collapsed="false">
      <c r="A24" s="6" t="s">
        <v>26</v>
      </c>
      <c r="B24" s="7" t="n">
        <v>3576639</v>
      </c>
    </row>
    <row r="25" customFormat="false" ht="15" hidden="false" customHeight="false" outlineLevel="0" collapsed="false">
      <c r="A25" s="6" t="s">
        <v>27</v>
      </c>
      <c r="B25" s="7" t="n">
        <v>965881</v>
      </c>
    </row>
    <row r="26" customFormat="false" ht="15" hidden="false" customHeight="false" outlineLevel="0" collapsed="false">
      <c r="A26" s="6" t="s">
        <v>28</v>
      </c>
      <c r="B26" s="7" t="n">
        <v>5601279</v>
      </c>
    </row>
    <row r="27" customFormat="false" ht="15" hidden="false" customHeight="false" outlineLevel="0" collapsed="false">
      <c r="A27" s="6" t="s">
        <v>29</v>
      </c>
      <c r="B27" s="7" t="n">
        <v>2605577</v>
      </c>
    </row>
    <row r="28" customFormat="false" ht="15" hidden="false" customHeight="false" outlineLevel="0" collapsed="false">
      <c r="A28" s="6" t="s">
        <v>30</v>
      </c>
      <c r="B28" s="7" t="n">
        <v>0</v>
      </c>
    </row>
    <row r="29" customFormat="false" ht="15" hidden="false" customHeight="false" outlineLevel="0" collapsed="false">
      <c r="A29" s="6" t="s">
        <v>31</v>
      </c>
      <c r="B29" s="7" t="n">
        <v>0</v>
      </c>
    </row>
    <row r="30" customFormat="false" ht="15" hidden="false" customHeight="false" outlineLevel="0" collapsed="false">
      <c r="A30" s="6" t="s">
        <v>32</v>
      </c>
      <c r="B30" s="7" t="n">
        <v>339057</v>
      </c>
    </row>
    <row r="31" customFormat="false" ht="15" hidden="false" customHeight="false" outlineLevel="0" collapsed="false">
      <c r="A31" s="6" t="s">
        <v>33</v>
      </c>
      <c r="B31" s="7" t="n">
        <v>0</v>
      </c>
    </row>
    <row r="32" customFormat="false" ht="15" hidden="false" customHeight="false" outlineLevel="0" collapsed="false">
      <c r="A32" s="6" t="s">
        <v>34</v>
      </c>
      <c r="B32" s="7" t="n">
        <v>0</v>
      </c>
    </row>
    <row r="33" customFormat="false" ht="15" hidden="false" customHeight="false" outlineLevel="0" collapsed="false">
      <c r="A33" s="10" t="s">
        <v>35</v>
      </c>
      <c r="B33" s="7" t="n">
        <v>185359</v>
      </c>
    </row>
    <row r="34" customFormat="false" ht="15" hidden="false" customHeight="false" outlineLevel="0" collapsed="false">
      <c r="A34" s="10" t="s">
        <v>36</v>
      </c>
      <c r="B34" s="7" t="n">
        <v>13814</v>
      </c>
    </row>
    <row r="35" customFormat="false" ht="15" hidden="false" customHeight="false" outlineLevel="0" collapsed="false">
      <c r="A35" s="8" t="s">
        <v>37</v>
      </c>
      <c r="B35" s="9" t="n">
        <f aca="false">(B21+B22+B23+B24+B25+B26+B27+B28+B29+B30+B31+B32)-(B33+B34)</f>
        <v>30313382</v>
      </c>
    </row>
    <row r="36" customFormat="false" ht="15" hidden="false" customHeight="false" outlineLevel="0" collapsed="false">
      <c r="A36" s="4" t="s">
        <v>38</v>
      </c>
      <c r="B36" s="5"/>
    </row>
    <row r="37" customFormat="false" ht="15" hidden="false" customHeight="false" outlineLevel="0" collapsed="false">
      <c r="A37" s="6" t="s">
        <v>39</v>
      </c>
      <c r="B37" s="7" t="n">
        <v>5738028</v>
      </c>
    </row>
    <row r="38" customFormat="false" ht="15" hidden="false" customHeight="false" outlineLevel="0" collapsed="false">
      <c r="A38" s="6" t="s">
        <v>40</v>
      </c>
      <c r="B38" s="7" t="n">
        <v>0</v>
      </c>
    </row>
    <row r="39" customFormat="false" ht="15" hidden="false" customHeight="false" outlineLevel="0" collapsed="false">
      <c r="A39" s="6" t="s">
        <v>41</v>
      </c>
      <c r="B39" s="7" t="n">
        <v>0</v>
      </c>
    </row>
    <row r="40" customFormat="false" ht="15" hidden="false" customHeight="false" outlineLevel="0" collapsed="false">
      <c r="A40" s="8" t="s">
        <v>42</v>
      </c>
      <c r="B40" s="9" t="n">
        <f aca="false">B37+B38+B39</f>
        <v>5738028</v>
      </c>
    </row>
    <row r="41" customFormat="false" ht="15" hidden="false" customHeight="false" outlineLevel="0" collapsed="false">
      <c r="A41" s="11" t="s">
        <v>43</v>
      </c>
      <c r="B41" s="12" t="n">
        <f aca="false">B9+B19+B35+B40</f>
        <v>60553274</v>
      </c>
    </row>
    <row r="42" customFormat="false" ht="15" hidden="false" customHeight="false" outlineLevel="0" collapsed="false">
      <c r="A42" s="13" t="s">
        <v>44</v>
      </c>
      <c r="B42" s="14" t="n">
        <v>563592553</v>
      </c>
    </row>
    <row r="43" customFormat="false" ht="15" hidden="false" customHeight="false" outlineLevel="0" collapsed="false">
      <c r="A43" s="15" t="s">
        <v>45</v>
      </c>
      <c r="B43" s="16" t="n">
        <f aca="false">B41/B42</f>
        <v>0.107441579342515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0</v>
      </c>
      <c r="B1" s="1"/>
    </row>
    <row r="2" customFormat="false" ht="14.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4</v>
      </c>
    </row>
    <row r="5" customFormat="false" ht="15" hidden="false" customHeight="false" outlineLevel="0" collapsed="false">
      <c r="A5" s="4" t="s">
        <v>7</v>
      </c>
      <c r="B5" s="5"/>
    </row>
    <row r="6" customFormat="false" ht="15" hidden="false" customHeight="false" outlineLevel="0" collapsed="false">
      <c r="A6" s="6" t="s">
        <v>8</v>
      </c>
      <c r="B6" s="7" t="n">
        <v>533684</v>
      </c>
    </row>
    <row r="7" customFormat="false" ht="15" hidden="false" customHeight="false" outlineLevel="0" collapsed="false">
      <c r="A7" s="6" t="s">
        <v>9</v>
      </c>
      <c r="B7" s="7" t="n">
        <v>16833083</v>
      </c>
    </row>
    <row r="8" customFormat="false" ht="15" hidden="false" customHeight="false" outlineLevel="0" collapsed="false">
      <c r="A8" s="6" t="s">
        <v>10</v>
      </c>
      <c r="B8" s="7" t="n">
        <v>0</v>
      </c>
    </row>
    <row r="9" customFormat="false" ht="15" hidden="false" customHeight="false" outlineLevel="0" collapsed="false">
      <c r="A9" s="8" t="s">
        <v>11</v>
      </c>
      <c r="B9" s="9" t="n">
        <f aca="false">B6+B7+B8</f>
        <v>17366767</v>
      </c>
    </row>
    <row r="10" customFormat="false" ht="15" hidden="false" customHeight="false" outlineLevel="0" collapsed="false">
      <c r="A10" s="4" t="s">
        <v>12</v>
      </c>
      <c r="B10" s="5"/>
    </row>
    <row r="11" customFormat="false" ht="15" hidden="false" customHeight="false" outlineLevel="0" collapsed="false">
      <c r="A11" s="6" t="s">
        <v>13</v>
      </c>
      <c r="B11" s="7" t="n">
        <v>1940973</v>
      </c>
    </row>
    <row r="12" customFormat="false" ht="15" hidden="false" customHeight="false" outlineLevel="0" collapsed="false">
      <c r="A12" s="6" t="s">
        <v>14</v>
      </c>
      <c r="B12" s="7" t="n">
        <v>0</v>
      </c>
    </row>
    <row r="13" customFormat="false" ht="15" hidden="false" customHeight="false" outlineLevel="0" collapsed="false">
      <c r="A13" s="6" t="s">
        <v>15</v>
      </c>
      <c r="B13" s="7" t="n">
        <v>4465573</v>
      </c>
    </row>
    <row r="14" customFormat="false" ht="15" hidden="false" customHeight="false" outlineLevel="0" collapsed="false">
      <c r="A14" s="6" t="s">
        <v>16</v>
      </c>
      <c r="B14" s="7" t="n">
        <v>0</v>
      </c>
    </row>
    <row r="15" customFormat="false" ht="15" hidden="false" customHeight="false" outlineLevel="0" collapsed="false">
      <c r="A15" s="6" t="s">
        <v>17</v>
      </c>
      <c r="B15" s="7" t="n">
        <v>816629</v>
      </c>
    </row>
    <row r="16" customFormat="false" ht="15" hidden="false" customHeight="false" outlineLevel="0" collapsed="false">
      <c r="A16" s="6" t="s">
        <v>18</v>
      </c>
      <c r="B16" s="7" t="n">
        <v>0</v>
      </c>
    </row>
    <row r="17" customFormat="false" ht="15" hidden="false" customHeight="false" outlineLevel="0" collapsed="false">
      <c r="A17" s="10" t="s">
        <v>19</v>
      </c>
      <c r="B17" s="7" t="n">
        <v>476</v>
      </c>
    </row>
    <row r="18" customFormat="false" ht="15" hidden="false" customHeight="false" outlineLevel="0" collapsed="false">
      <c r="A18" s="6" t="s">
        <v>20</v>
      </c>
      <c r="B18" s="7" t="n">
        <v>2914170</v>
      </c>
    </row>
    <row r="19" customFormat="false" ht="15" hidden="false" customHeight="false" outlineLevel="0" collapsed="false">
      <c r="A19" s="8" t="s">
        <v>21</v>
      </c>
      <c r="B19" s="9" t="n">
        <f aca="false">(B11+B12+B13+B14+B15+B16+B18)-(B17)</f>
        <v>10136869</v>
      </c>
    </row>
    <row r="20" customFormat="false" ht="15" hidden="false" customHeight="false" outlineLevel="0" collapsed="false">
      <c r="A20" s="4" t="s">
        <v>22</v>
      </c>
      <c r="B20" s="5"/>
    </row>
    <row r="21" customFormat="false" ht="15" hidden="false" customHeight="false" outlineLevel="0" collapsed="false">
      <c r="A21" s="6" t="s">
        <v>23</v>
      </c>
      <c r="B21" s="7" t="n">
        <v>12084094</v>
      </c>
    </row>
    <row r="22" customFormat="false" ht="15" hidden="false" customHeight="false" outlineLevel="0" collapsed="false">
      <c r="A22" s="6" t="s">
        <v>24</v>
      </c>
      <c r="B22" s="7" t="n">
        <v>2243478</v>
      </c>
    </row>
    <row r="23" customFormat="false" ht="15" hidden="false" customHeight="false" outlineLevel="0" collapsed="false">
      <c r="A23" s="6" t="s">
        <v>25</v>
      </c>
      <c r="B23" s="7" t="n">
        <v>2263517</v>
      </c>
    </row>
    <row r="24" customFormat="false" ht="15" hidden="false" customHeight="false" outlineLevel="0" collapsed="false">
      <c r="A24" s="6" t="s">
        <v>26</v>
      </c>
      <c r="B24" s="7" t="n">
        <v>2602803</v>
      </c>
    </row>
    <row r="25" customFormat="false" ht="15" hidden="false" customHeight="false" outlineLevel="0" collapsed="false">
      <c r="A25" s="6" t="s">
        <v>27</v>
      </c>
      <c r="B25" s="7" t="n">
        <v>0</v>
      </c>
    </row>
    <row r="26" customFormat="false" ht="15" hidden="false" customHeight="false" outlineLevel="0" collapsed="false">
      <c r="A26" s="6" t="s">
        <v>28</v>
      </c>
      <c r="B26" s="7" t="n">
        <v>1238633</v>
      </c>
    </row>
    <row r="27" customFormat="false" ht="15" hidden="false" customHeight="false" outlineLevel="0" collapsed="false">
      <c r="A27" s="6" t="s">
        <v>29</v>
      </c>
      <c r="B27" s="7" t="n">
        <v>4331586</v>
      </c>
    </row>
    <row r="28" customFormat="false" ht="15" hidden="false" customHeight="false" outlineLevel="0" collapsed="false">
      <c r="A28" s="6" t="s">
        <v>30</v>
      </c>
      <c r="B28" s="7" t="n">
        <v>0</v>
      </c>
    </row>
    <row r="29" customFormat="false" ht="15" hidden="false" customHeight="false" outlineLevel="0" collapsed="false">
      <c r="A29" s="6" t="s">
        <v>31</v>
      </c>
      <c r="B29" s="7" t="n">
        <v>0</v>
      </c>
    </row>
    <row r="30" customFormat="false" ht="15" hidden="false" customHeight="false" outlineLevel="0" collapsed="false">
      <c r="A30" s="6" t="s">
        <v>32</v>
      </c>
      <c r="B30" s="7" t="n">
        <v>0</v>
      </c>
    </row>
    <row r="31" customFormat="false" ht="15" hidden="false" customHeight="false" outlineLevel="0" collapsed="false">
      <c r="A31" s="6" t="s">
        <v>33</v>
      </c>
      <c r="B31" s="7" t="n">
        <v>0</v>
      </c>
    </row>
    <row r="32" customFormat="false" ht="15" hidden="false" customHeight="false" outlineLevel="0" collapsed="false">
      <c r="A32" s="6" t="s">
        <v>34</v>
      </c>
      <c r="B32" s="7" t="n">
        <v>0</v>
      </c>
    </row>
    <row r="33" customFormat="false" ht="15" hidden="false" customHeight="false" outlineLevel="0" collapsed="false">
      <c r="A33" s="10" t="s">
        <v>35</v>
      </c>
      <c r="B33" s="7" t="n">
        <v>233746</v>
      </c>
    </row>
    <row r="34" customFormat="false" ht="15" hidden="false" customHeight="false" outlineLevel="0" collapsed="false">
      <c r="A34" s="10" t="s">
        <v>36</v>
      </c>
      <c r="B34" s="7" t="n">
        <v>6558</v>
      </c>
    </row>
    <row r="35" customFormat="false" ht="15" hidden="false" customHeight="false" outlineLevel="0" collapsed="false">
      <c r="A35" s="8" t="s">
        <v>37</v>
      </c>
      <c r="B35" s="9" t="n">
        <f aca="false">(B21+B22+B23+B24+B25+B26+B27+B28+B29+B30+B31+B32)-(B33+B34)</f>
        <v>24523807</v>
      </c>
    </row>
    <row r="36" customFormat="false" ht="15" hidden="false" customHeight="false" outlineLevel="0" collapsed="false">
      <c r="A36" s="4" t="s">
        <v>38</v>
      </c>
      <c r="B36" s="5"/>
    </row>
    <row r="37" customFormat="false" ht="15" hidden="false" customHeight="false" outlineLevel="0" collapsed="false">
      <c r="A37" s="6" t="s">
        <v>39</v>
      </c>
      <c r="B37" s="7" t="n">
        <v>5493650</v>
      </c>
    </row>
    <row r="38" customFormat="false" ht="15" hidden="false" customHeight="false" outlineLevel="0" collapsed="false">
      <c r="A38" s="6" t="s">
        <v>40</v>
      </c>
      <c r="B38" s="7" t="n">
        <v>0</v>
      </c>
    </row>
    <row r="39" customFormat="false" ht="15" hidden="false" customHeight="false" outlineLevel="0" collapsed="false">
      <c r="A39" s="6" t="s">
        <v>41</v>
      </c>
      <c r="B39" s="7" t="n">
        <v>0</v>
      </c>
    </row>
    <row r="40" customFormat="false" ht="15" hidden="false" customHeight="false" outlineLevel="0" collapsed="false">
      <c r="A40" s="8" t="s">
        <v>42</v>
      </c>
      <c r="B40" s="9" t="n">
        <f aca="false">B37+B38+B39</f>
        <v>5493650</v>
      </c>
    </row>
    <row r="41" customFormat="false" ht="15" hidden="false" customHeight="false" outlineLevel="0" collapsed="false">
      <c r="A41" s="11" t="s">
        <v>43</v>
      </c>
      <c r="B41" s="12" t="n">
        <f aca="false">B9+B19+B35+B40</f>
        <v>57521093</v>
      </c>
    </row>
    <row r="42" customFormat="false" ht="15" hidden="false" customHeight="false" outlineLevel="0" collapsed="false">
      <c r="A42" s="13" t="s">
        <v>44</v>
      </c>
      <c r="B42" s="14" t="n">
        <v>479448738</v>
      </c>
    </row>
    <row r="43" customFormat="false" ht="15" hidden="false" customHeight="false" outlineLevel="0" collapsed="false">
      <c r="A43" s="15" t="s">
        <v>45</v>
      </c>
      <c r="B43" s="16" t="n">
        <f aca="false">B41/B42</f>
        <v>0.119973395362238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0</v>
      </c>
      <c r="B1" s="1"/>
    </row>
    <row r="2" customFormat="false" ht="14.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5</v>
      </c>
    </row>
    <row r="5" customFormat="false" ht="15" hidden="false" customHeight="false" outlineLevel="0" collapsed="false">
      <c r="A5" s="4" t="s">
        <v>7</v>
      </c>
      <c r="B5" s="5"/>
    </row>
    <row r="6" customFormat="false" ht="15" hidden="false" customHeight="false" outlineLevel="0" collapsed="false">
      <c r="A6" s="6" t="s">
        <v>8</v>
      </c>
      <c r="B6" s="7" t="n">
        <v>650744</v>
      </c>
    </row>
    <row r="7" customFormat="false" ht="15" hidden="false" customHeight="false" outlineLevel="0" collapsed="false">
      <c r="A7" s="6" t="s">
        <v>9</v>
      </c>
      <c r="B7" s="7" t="n">
        <v>18820582</v>
      </c>
    </row>
    <row r="8" customFormat="false" ht="15" hidden="false" customHeight="false" outlineLevel="0" collapsed="false">
      <c r="A8" s="6" t="s">
        <v>10</v>
      </c>
      <c r="B8" s="7" t="n">
        <v>0</v>
      </c>
    </row>
    <row r="9" customFormat="false" ht="15" hidden="false" customHeight="false" outlineLevel="0" collapsed="false">
      <c r="A9" s="8" t="s">
        <v>11</v>
      </c>
      <c r="B9" s="9" t="n">
        <f aca="false">B6+B7+B8</f>
        <v>19471326</v>
      </c>
    </row>
    <row r="10" customFormat="false" ht="15" hidden="false" customHeight="false" outlineLevel="0" collapsed="false">
      <c r="A10" s="4" t="s">
        <v>12</v>
      </c>
      <c r="B10" s="5"/>
    </row>
    <row r="11" customFormat="false" ht="15" hidden="false" customHeight="false" outlineLevel="0" collapsed="false">
      <c r="A11" s="6" t="s">
        <v>13</v>
      </c>
      <c r="B11" s="7" t="n">
        <v>2224502</v>
      </c>
    </row>
    <row r="12" customFormat="false" ht="15" hidden="false" customHeight="false" outlineLevel="0" collapsed="false">
      <c r="A12" s="6" t="s">
        <v>14</v>
      </c>
      <c r="B12" s="7" t="n">
        <v>0</v>
      </c>
    </row>
    <row r="13" customFormat="false" ht="15" hidden="false" customHeight="false" outlineLevel="0" collapsed="false">
      <c r="A13" s="6" t="s">
        <v>15</v>
      </c>
      <c r="B13" s="7" t="n">
        <v>10392196</v>
      </c>
    </row>
    <row r="14" customFormat="false" ht="15" hidden="false" customHeight="false" outlineLevel="0" collapsed="false">
      <c r="A14" s="6" t="s">
        <v>16</v>
      </c>
      <c r="B14" s="7" t="n">
        <v>0</v>
      </c>
    </row>
    <row r="15" customFormat="false" ht="15" hidden="false" customHeight="false" outlineLevel="0" collapsed="false">
      <c r="A15" s="6" t="s">
        <v>17</v>
      </c>
      <c r="B15" s="7" t="n">
        <v>2614977</v>
      </c>
    </row>
    <row r="16" customFormat="false" ht="15" hidden="false" customHeight="false" outlineLevel="0" collapsed="false">
      <c r="A16" s="6" t="s">
        <v>18</v>
      </c>
      <c r="B16" s="7" t="n">
        <v>0</v>
      </c>
    </row>
    <row r="17" customFormat="false" ht="15" hidden="false" customHeight="false" outlineLevel="0" collapsed="false">
      <c r="A17" s="10" t="s">
        <v>19</v>
      </c>
      <c r="B17" s="7" t="n">
        <v>1214</v>
      </c>
    </row>
    <row r="18" customFormat="false" ht="15" hidden="false" customHeight="false" outlineLevel="0" collapsed="false">
      <c r="A18" s="6" t="s">
        <v>20</v>
      </c>
      <c r="B18" s="7" t="n">
        <v>4406066</v>
      </c>
    </row>
    <row r="19" customFormat="false" ht="15" hidden="false" customHeight="false" outlineLevel="0" collapsed="false">
      <c r="A19" s="8" t="s">
        <v>21</v>
      </c>
      <c r="B19" s="9" t="n">
        <f aca="false">(B11+B12+B13+B14+B15+B16+B18)-(B17)</f>
        <v>19636527</v>
      </c>
    </row>
    <row r="20" customFormat="false" ht="15" hidden="false" customHeight="false" outlineLevel="0" collapsed="false">
      <c r="A20" s="4" t="s">
        <v>22</v>
      </c>
      <c r="B20" s="5"/>
    </row>
    <row r="21" customFormat="false" ht="15" hidden="false" customHeight="false" outlineLevel="0" collapsed="false">
      <c r="A21" s="6" t="s">
        <v>23</v>
      </c>
      <c r="B21" s="7" t="n">
        <v>18351612</v>
      </c>
    </row>
    <row r="22" customFormat="false" ht="15" hidden="false" customHeight="false" outlineLevel="0" collapsed="false">
      <c r="A22" s="6" t="s">
        <v>24</v>
      </c>
      <c r="B22" s="7" t="n">
        <v>2571425</v>
      </c>
    </row>
    <row r="23" customFormat="false" ht="15" hidden="false" customHeight="false" outlineLevel="0" collapsed="false">
      <c r="A23" s="6" t="s">
        <v>25</v>
      </c>
      <c r="B23" s="7" t="n">
        <v>0</v>
      </c>
    </row>
    <row r="24" customFormat="false" ht="15" hidden="false" customHeight="false" outlineLevel="0" collapsed="false">
      <c r="A24" s="6" t="s">
        <v>26</v>
      </c>
      <c r="B24" s="7" t="n">
        <v>4545831</v>
      </c>
    </row>
    <row r="25" customFormat="false" ht="15" hidden="false" customHeight="false" outlineLevel="0" collapsed="false">
      <c r="A25" s="6" t="s">
        <v>27</v>
      </c>
      <c r="B25" s="7" t="n">
        <v>1865</v>
      </c>
    </row>
    <row r="26" customFormat="false" ht="15" hidden="false" customHeight="false" outlineLevel="0" collapsed="false">
      <c r="A26" s="6" t="s">
        <v>28</v>
      </c>
      <c r="B26" s="7" t="n">
        <v>2612732</v>
      </c>
    </row>
    <row r="27" customFormat="false" ht="15" hidden="false" customHeight="false" outlineLevel="0" collapsed="false">
      <c r="A27" s="6" t="s">
        <v>29</v>
      </c>
      <c r="B27" s="7" t="n">
        <v>4540468</v>
      </c>
    </row>
    <row r="28" customFormat="false" ht="15" hidden="false" customHeight="false" outlineLevel="0" collapsed="false">
      <c r="A28" s="6" t="s">
        <v>30</v>
      </c>
      <c r="B28" s="7" t="n">
        <v>0</v>
      </c>
    </row>
    <row r="29" customFormat="false" ht="15" hidden="false" customHeight="false" outlineLevel="0" collapsed="false">
      <c r="A29" s="6" t="s">
        <v>31</v>
      </c>
      <c r="B29" s="7" t="n">
        <v>0</v>
      </c>
    </row>
    <row r="30" customFormat="false" ht="15" hidden="false" customHeight="false" outlineLevel="0" collapsed="false">
      <c r="A30" s="6" t="s">
        <v>32</v>
      </c>
      <c r="B30" s="7" t="n">
        <v>1012890</v>
      </c>
    </row>
    <row r="31" customFormat="false" ht="15" hidden="false" customHeight="false" outlineLevel="0" collapsed="false">
      <c r="A31" s="6" t="s">
        <v>33</v>
      </c>
      <c r="B31" s="7" t="n">
        <v>64217</v>
      </c>
    </row>
    <row r="32" customFormat="false" ht="15" hidden="false" customHeight="false" outlineLevel="0" collapsed="false">
      <c r="A32" s="6" t="s">
        <v>34</v>
      </c>
      <c r="B32" s="7" t="n">
        <v>0</v>
      </c>
    </row>
    <row r="33" customFormat="false" ht="15" hidden="false" customHeight="false" outlineLevel="0" collapsed="false">
      <c r="A33" s="10" t="s">
        <v>35</v>
      </c>
      <c r="B33" s="7" t="n">
        <v>82890</v>
      </c>
    </row>
    <row r="34" customFormat="false" ht="15" hidden="false" customHeight="false" outlineLevel="0" collapsed="false">
      <c r="A34" s="10" t="s">
        <v>36</v>
      </c>
      <c r="B34" s="7" t="n">
        <v>7871</v>
      </c>
    </row>
    <row r="35" customFormat="false" ht="15" hidden="false" customHeight="false" outlineLevel="0" collapsed="false">
      <c r="A35" s="8" t="s">
        <v>37</v>
      </c>
      <c r="B35" s="9" t="n">
        <f aca="false">(B21+B22+B23+B24+B25+B26+B27+B28+B29+B30+B31+B32)-(B33+B34)</f>
        <v>33610279</v>
      </c>
    </row>
    <row r="36" customFormat="false" ht="15" hidden="false" customHeight="false" outlineLevel="0" collapsed="false">
      <c r="A36" s="4" t="s">
        <v>38</v>
      </c>
      <c r="B36" s="5"/>
    </row>
    <row r="37" customFormat="false" ht="15" hidden="false" customHeight="false" outlineLevel="0" collapsed="false">
      <c r="A37" s="6" t="s">
        <v>39</v>
      </c>
      <c r="B37" s="7" t="n">
        <v>7294319</v>
      </c>
    </row>
    <row r="38" customFormat="false" ht="15" hidden="false" customHeight="false" outlineLevel="0" collapsed="false">
      <c r="A38" s="6" t="s">
        <v>40</v>
      </c>
      <c r="B38" s="7" t="n">
        <v>0</v>
      </c>
    </row>
    <row r="39" customFormat="false" ht="15" hidden="false" customHeight="false" outlineLevel="0" collapsed="false">
      <c r="A39" s="6" t="s">
        <v>41</v>
      </c>
      <c r="B39" s="7" t="n">
        <v>0</v>
      </c>
    </row>
    <row r="40" customFormat="false" ht="15" hidden="false" customHeight="false" outlineLevel="0" collapsed="false">
      <c r="A40" s="8" t="s">
        <v>42</v>
      </c>
      <c r="B40" s="9" t="n">
        <f aca="false">B37+B38+B39</f>
        <v>7294319</v>
      </c>
    </row>
    <row r="41" customFormat="false" ht="15" hidden="false" customHeight="false" outlineLevel="0" collapsed="false">
      <c r="A41" s="11" t="s">
        <v>43</v>
      </c>
      <c r="B41" s="12" t="n">
        <f aca="false">B9+B19+B35+B40</f>
        <v>80012451</v>
      </c>
    </row>
    <row r="42" customFormat="false" ht="15" hidden="false" customHeight="false" outlineLevel="0" collapsed="false">
      <c r="A42" s="13" t="s">
        <v>44</v>
      </c>
      <c r="B42" s="14" t="n">
        <v>528928409</v>
      </c>
    </row>
    <row r="43" customFormat="false" ht="15" hidden="false" customHeight="false" outlineLevel="0" collapsed="false">
      <c r="A43" s="15" t="s">
        <v>45</v>
      </c>
      <c r="B43" s="16" t="n">
        <f aca="false">B41/B42</f>
        <v>0.151272742470522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0</v>
      </c>
      <c r="B1" s="1"/>
    </row>
    <row r="2" customFormat="false" ht="14.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6</v>
      </c>
    </row>
    <row r="5" customFormat="false" ht="15" hidden="false" customHeight="false" outlineLevel="0" collapsed="false">
      <c r="A5" s="4" t="s">
        <v>7</v>
      </c>
      <c r="B5" s="5"/>
    </row>
    <row r="6" customFormat="false" ht="15" hidden="false" customHeight="false" outlineLevel="0" collapsed="false">
      <c r="A6" s="6" t="s">
        <v>8</v>
      </c>
      <c r="B6" s="7" t="n">
        <v>73911</v>
      </c>
    </row>
    <row r="7" customFormat="false" ht="15" hidden="false" customHeight="false" outlineLevel="0" collapsed="false">
      <c r="A7" s="6" t="s">
        <v>9</v>
      </c>
      <c r="B7" s="7" t="n">
        <v>460341</v>
      </c>
    </row>
    <row r="8" customFormat="false" ht="15" hidden="false" customHeight="false" outlineLevel="0" collapsed="false">
      <c r="A8" s="6" t="s">
        <v>10</v>
      </c>
      <c r="B8" s="7" t="n">
        <v>0</v>
      </c>
    </row>
    <row r="9" customFormat="false" ht="15" hidden="false" customHeight="false" outlineLevel="0" collapsed="false">
      <c r="A9" s="8" t="s">
        <v>11</v>
      </c>
      <c r="B9" s="9" t="n">
        <f aca="false">B6+B7+B8</f>
        <v>534252</v>
      </c>
    </row>
    <row r="10" customFormat="false" ht="15" hidden="false" customHeight="false" outlineLevel="0" collapsed="false">
      <c r="A10" s="4" t="s">
        <v>12</v>
      </c>
      <c r="B10" s="5"/>
    </row>
    <row r="11" customFormat="false" ht="15" hidden="false" customHeight="false" outlineLevel="0" collapsed="false">
      <c r="A11" s="6" t="s">
        <v>13</v>
      </c>
      <c r="B11" s="7" t="n">
        <v>59377</v>
      </c>
    </row>
    <row r="12" customFormat="false" ht="15" hidden="false" customHeight="false" outlineLevel="0" collapsed="false">
      <c r="A12" s="6" t="s">
        <v>14</v>
      </c>
      <c r="B12" s="7" t="n">
        <v>0</v>
      </c>
    </row>
    <row r="13" customFormat="false" ht="15" hidden="false" customHeight="false" outlineLevel="0" collapsed="false">
      <c r="A13" s="6" t="s">
        <v>15</v>
      </c>
      <c r="B13" s="7" t="n">
        <v>428540</v>
      </c>
    </row>
    <row r="14" customFormat="false" ht="15" hidden="false" customHeight="false" outlineLevel="0" collapsed="false">
      <c r="A14" s="6" t="s">
        <v>16</v>
      </c>
      <c r="B14" s="7" t="n">
        <v>0</v>
      </c>
    </row>
    <row r="15" customFormat="false" ht="15" hidden="false" customHeight="false" outlineLevel="0" collapsed="false">
      <c r="A15" s="6" t="s">
        <v>17</v>
      </c>
      <c r="B15" s="7" t="n">
        <v>0</v>
      </c>
    </row>
    <row r="16" customFormat="false" ht="15" hidden="false" customHeight="false" outlineLevel="0" collapsed="false">
      <c r="A16" s="6" t="s">
        <v>18</v>
      </c>
      <c r="B16" s="7" t="n">
        <v>0</v>
      </c>
    </row>
    <row r="17" customFormat="false" ht="15" hidden="false" customHeight="false" outlineLevel="0" collapsed="false">
      <c r="A17" s="10" t="s">
        <v>19</v>
      </c>
      <c r="B17" s="7" t="n">
        <v>0</v>
      </c>
    </row>
    <row r="18" customFormat="false" ht="15" hidden="false" customHeight="false" outlineLevel="0" collapsed="false">
      <c r="A18" s="6" t="s">
        <v>20</v>
      </c>
      <c r="B18" s="7" t="n">
        <v>166825</v>
      </c>
    </row>
    <row r="19" customFormat="false" ht="15" hidden="false" customHeight="false" outlineLevel="0" collapsed="false">
      <c r="A19" s="8" t="s">
        <v>21</v>
      </c>
      <c r="B19" s="9" t="n">
        <f aca="false">(B11+B12+B13+B14+B15+B16+B18)-(B17)</f>
        <v>654742</v>
      </c>
    </row>
    <row r="20" customFormat="false" ht="15" hidden="false" customHeight="false" outlineLevel="0" collapsed="false">
      <c r="A20" s="4" t="s">
        <v>22</v>
      </c>
      <c r="B20" s="5"/>
    </row>
    <row r="21" customFormat="false" ht="15" hidden="false" customHeight="false" outlineLevel="0" collapsed="false">
      <c r="A21" s="6" t="s">
        <v>23</v>
      </c>
      <c r="B21" s="7" t="n">
        <v>406376</v>
      </c>
    </row>
    <row r="22" customFormat="false" ht="15" hidden="false" customHeight="false" outlineLevel="0" collapsed="false">
      <c r="A22" s="6" t="s">
        <v>24</v>
      </c>
      <c r="B22" s="7" t="n">
        <v>251108</v>
      </c>
    </row>
    <row r="23" customFormat="false" ht="15" hidden="false" customHeight="false" outlineLevel="0" collapsed="false">
      <c r="A23" s="6" t="s">
        <v>25</v>
      </c>
      <c r="B23" s="7" t="n">
        <v>0</v>
      </c>
    </row>
    <row r="24" customFormat="false" ht="15" hidden="false" customHeight="false" outlineLevel="0" collapsed="false">
      <c r="A24" s="6" t="s">
        <v>26</v>
      </c>
      <c r="B24" s="7" t="n">
        <v>341056</v>
      </c>
    </row>
    <row r="25" customFormat="false" ht="15" hidden="false" customHeight="false" outlineLevel="0" collapsed="false">
      <c r="A25" s="6" t="s">
        <v>27</v>
      </c>
      <c r="B25" s="7" t="n">
        <v>0</v>
      </c>
    </row>
    <row r="26" customFormat="false" ht="15" hidden="false" customHeight="false" outlineLevel="0" collapsed="false">
      <c r="A26" s="6" t="s">
        <v>28</v>
      </c>
      <c r="B26" s="7" t="n">
        <v>216096</v>
      </c>
    </row>
    <row r="27" customFormat="false" ht="15" hidden="false" customHeight="false" outlineLevel="0" collapsed="false">
      <c r="A27" s="6" t="s">
        <v>29</v>
      </c>
      <c r="B27" s="7" t="n">
        <v>47875</v>
      </c>
    </row>
    <row r="28" customFormat="false" ht="15" hidden="false" customHeight="false" outlineLevel="0" collapsed="false">
      <c r="A28" s="6" t="s">
        <v>30</v>
      </c>
      <c r="B28" s="7" t="n">
        <v>7127</v>
      </c>
    </row>
    <row r="29" customFormat="false" ht="15" hidden="false" customHeight="false" outlineLevel="0" collapsed="false">
      <c r="A29" s="6" t="s">
        <v>31</v>
      </c>
      <c r="B29" s="7" t="n">
        <v>0</v>
      </c>
    </row>
    <row r="30" customFormat="false" ht="15" hidden="false" customHeight="false" outlineLevel="0" collapsed="false">
      <c r="A30" s="6" t="s">
        <v>32</v>
      </c>
      <c r="B30" s="7" t="n">
        <v>0</v>
      </c>
    </row>
    <row r="31" customFormat="false" ht="15" hidden="false" customHeight="false" outlineLevel="0" collapsed="false">
      <c r="A31" s="6" t="s">
        <v>33</v>
      </c>
      <c r="B31" s="7" t="n">
        <v>0</v>
      </c>
    </row>
    <row r="32" customFormat="false" ht="15" hidden="false" customHeight="false" outlineLevel="0" collapsed="false">
      <c r="A32" s="6" t="s">
        <v>34</v>
      </c>
      <c r="B32" s="7" t="n">
        <v>0</v>
      </c>
    </row>
    <row r="33" customFormat="false" ht="15" hidden="false" customHeight="false" outlineLevel="0" collapsed="false">
      <c r="A33" s="10" t="s">
        <v>35</v>
      </c>
      <c r="B33" s="7" t="n">
        <v>10086</v>
      </c>
    </row>
    <row r="34" customFormat="false" ht="15" hidden="false" customHeight="false" outlineLevel="0" collapsed="false">
      <c r="A34" s="10" t="s">
        <v>36</v>
      </c>
      <c r="B34" s="7" t="n">
        <v>800</v>
      </c>
    </row>
    <row r="35" customFormat="false" ht="15" hidden="false" customHeight="false" outlineLevel="0" collapsed="false">
      <c r="A35" s="8" t="s">
        <v>37</v>
      </c>
      <c r="B35" s="9" t="n">
        <f aca="false">(B21+B22+B23+B24+B25+B26+B27+B28+B29+B30+B31+B32)-(B33+B34)</f>
        <v>1258752</v>
      </c>
    </row>
    <row r="36" customFormat="false" ht="15" hidden="false" customHeight="false" outlineLevel="0" collapsed="false">
      <c r="A36" s="4" t="s">
        <v>38</v>
      </c>
      <c r="B36" s="5"/>
    </row>
    <row r="37" customFormat="false" ht="15" hidden="false" customHeight="false" outlineLevel="0" collapsed="false">
      <c r="A37" s="6" t="s">
        <v>39</v>
      </c>
      <c r="B37" s="7" t="n">
        <v>112200</v>
      </c>
    </row>
    <row r="38" customFormat="false" ht="15" hidden="false" customHeight="false" outlineLevel="0" collapsed="false">
      <c r="A38" s="6" t="s">
        <v>40</v>
      </c>
      <c r="B38" s="7" t="n">
        <v>0</v>
      </c>
    </row>
    <row r="39" customFormat="false" ht="15" hidden="false" customHeight="false" outlineLevel="0" collapsed="false">
      <c r="A39" s="6" t="s">
        <v>41</v>
      </c>
      <c r="B39" s="7" t="n">
        <v>0</v>
      </c>
    </row>
    <row r="40" customFormat="false" ht="15" hidden="false" customHeight="false" outlineLevel="0" collapsed="false">
      <c r="A40" s="8" t="s">
        <v>42</v>
      </c>
      <c r="B40" s="9" t="n">
        <f aca="false">B37+B38+B39</f>
        <v>112200</v>
      </c>
    </row>
    <row r="41" customFormat="false" ht="15" hidden="false" customHeight="false" outlineLevel="0" collapsed="false">
      <c r="A41" s="11" t="s">
        <v>43</v>
      </c>
      <c r="B41" s="12" t="n">
        <f aca="false">B9+B19+B35+B40</f>
        <v>2559946</v>
      </c>
    </row>
    <row r="42" customFormat="false" ht="15" hidden="false" customHeight="false" outlineLevel="0" collapsed="false">
      <c r="A42" s="13" t="s">
        <v>44</v>
      </c>
      <c r="B42" s="14" t="n">
        <v>75618384</v>
      </c>
    </row>
    <row r="43" customFormat="false" ht="15" hidden="false" customHeight="false" outlineLevel="0" collapsed="false">
      <c r="A43" s="15" t="s">
        <v>45</v>
      </c>
      <c r="B43" s="16" t="n">
        <f aca="false">B41/B42</f>
        <v>0.033853487268387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2026-06-24T04:26:18Z</dcterms:created>
  <dc:creator>openpyxl</dc:creator>
  <dc:description/>
  <dc:language>en-US</dc:language>
  <cp:lastModifiedBy/>
  <dcterms:modified xsi:type="dcterms:W3CDTF">2026-06-24T04:26:18Z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