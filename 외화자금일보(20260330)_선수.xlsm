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현재_통합_문서" hidePivotFieldList="1"/>
  <mc:AlternateContent xmlns:mc="http://schemas.openxmlformats.org/markup-compatibility/2006">
    <mc:Choice Requires="x15">
      <x15ac:absPath xmlns:x15ac="http://schemas.microsoft.com/office/spreadsheetml/2010/11/ac" url="I:\innoecm_group+\(966)자금부\외화파트\김선수\자금일보\"/>
    </mc:Choice>
  </mc:AlternateContent>
  <xr:revisionPtr revIDLastSave="0" documentId="13_ncr:1_{9AA40EBF-C606-419F-8154-1E3ADD975FD9}" xr6:coauthVersionLast="47" xr6:coauthVersionMax="47" xr10:uidLastSave="{00000000-0000-0000-0000-000000000000}"/>
  <bookViews>
    <workbookView xWindow="-120" yWindow="-120" windowWidth="29040" windowHeight="15720" xr2:uid="{00000000-000D-0000-FFFF-FFFF00000000}"/>
  </bookViews>
  <sheets>
    <sheet name="1.자금일보" sheetId="19" r:id="rId1"/>
  </sheets>
  <externalReferences>
    <externalReference r:id="rId2"/>
  </externalReferences>
  <definedNames>
    <definedName name="__KTB10">OFFSET([1]Ex!$L$5,0,0,COUNTA([1]Ex!$L$1:$L$65536)+40)</definedName>
    <definedName name="__KTB3">OFFSET([1]Ex!$M$5,0,0,COUNTA([1]Ex!$M$1:$M$65536)+40)</definedName>
    <definedName name="_256Mb_32_8_DDR400">OFFSET([1]Cmd!$D$5,0,0,COUNTA([1]Cmd!$D$1:$D$65536)+40)</definedName>
    <definedName name="_256mb_32_8_pc133_sdram">OFFSET([1]Cmd!$C$5,0,0,COUNTA([1]Cmd!$C$1:$C$65536)+40)</definedName>
    <definedName name="_xlnm._FilterDatabase" localSheetId="0" hidden="1">'1.자금일보'!$G$285:$Q$315</definedName>
    <definedName name="ABS">OFFSET([1]Cmd!$AI$5,0,0,COUNTA([1]Cmd!$AI$1:$AI$65536)+40)</definedName>
    <definedName name="Banker">OFFSET([1]Cmd!$CW$5,0,0,COUNTA([1]Cmd!$CW$1:$CW$65536)+40)</definedName>
    <definedName name="BDI">OFFSET([1]Cmd!$AG$5,0,0,COUNTA([1]Cmd!$AG$1:$AG$65536)+40)</definedName>
    <definedName name="BDITanker">OFFSET([1]Cmd!$CK$5,0,0,COUNTA([1]Cmd!$CK$1:$CK$65536)+40)</definedName>
    <definedName name="BRENT" localSheetId="0">#REF!</definedName>
    <definedName name="BRENT">#REF!</definedName>
    <definedName name="Bunker">OFFSET([1]Cmd!$CW$5,0,0,COUNTA([1]Cmd!$CW$1:$CW$65536)+40)</definedName>
    <definedName name="CD3M">OFFSET([1]Ex!$K$5,0,0,COUNTA([1]Ex!$K$1:$K$65536)+40)</definedName>
    <definedName name="CDS_5Y">OFFSET([1]Ex!$V$5,0,0,COUNTA([1]Ex!$V$1:$V$65536)+40)</definedName>
    <definedName name="CoalIndex">OFFSET([1]Cmd!$BH$5,0,0,COUNTA([1]Cmd!$BH$1:$BH$65536)+40)</definedName>
    <definedName name="Coalspotprc">OFFSET([1]Cmd!$BG$5,0,0,COUNTA([1]Cmd!$BG$1:$BG$65536)+40)</definedName>
    <definedName name="Coffee">OFFSET([1]Cmd!$DD$5,0,0,COUNTA([1]Cmd!$DD$1:$DD$65536)+40)</definedName>
    <definedName name="CRB">OFFSET([1]Cmd!$CZ$5,0,0,COUNTA([1]Cmd!$CZ$1:$CZ$65536)+40)</definedName>
    <definedName name="CRB지수" localSheetId="0">#REF!</definedName>
    <definedName name="CRB지수">#REF!</definedName>
    <definedName name="date">OFFSET([1]Cmd!$A$6,0,0,COUNTA([1]Cmd!$A$1:$A$65536)+40)</definedName>
    <definedName name="DRAM">OFFSET([1]Cmd!$D$5,0,0,COUNTA([1]Cmd!$D$1:$D$65536)+40)</definedName>
    <definedName name="DUBAI" localSheetId="0">#REF!</definedName>
    <definedName name="DUBAI">#REF!</definedName>
    <definedName name="EU열연코일">OFFSET([1]Cmd!$CX$6,0,0,COUNTA([1]Cmd!$CX$1:$CX$65536)+40)</definedName>
    <definedName name="EWY">OFFSET([1]Cmd!$AV$5,0,0,COUNTA([1]Cmd!$AV$1:$AV$65536)+40)</definedName>
    <definedName name="FTSE100">OFFSET([1]Cmd!$N$5,0,0,COUNTA([1]Cmd!$N$1:$N$65536)+40)</definedName>
    <definedName name="HDPE">OFFSET([1]Cmd!$CG$6,0,0,COUNTA([1]Cmd!$CG$1:$CG$65536)+40)</definedName>
    <definedName name="KOSDAQ">OFFSET([1]Cmd!$AJ$5,0,0,COUNTA([1]Cmd!$AJ$1:$AJ$65536)+40)</definedName>
    <definedName name="KOSPI">OFFSET([1]Cmd!$L$5,0,0,COUNTA([1]Cmd!$L$1:$L$65536)+40)</definedName>
    <definedName name="LDPE">OFFSET([1]Cmd!$Z$6,0,0,COUNTA([1]Cmd!$Z$1:$Z$65536)+40)</definedName>
    <definedName name="Lead">OFFSET([1]Cmd!$CS$5,0,0,COUNTA([1]Cmd!$CS$1:$CS$65536)+40)</definedName>
    <definedName name="LME">OFFSET([1]Cmd!$DA$5,0,0,COUNTA([1]Cmd!$DA$1:$DA$65536)+40)</definedName>
    <definedName name="MSCID">OFFSET([1]Cmd!$CE$5,0,0,COUNTA([1]Cmd!$CE$1:$CE$65536)+40)</definedName>
    <definedName name="MSCIE">OFFSET([1]Cmd!$CF$5,0,0,COUNTA([1]Cmd!$CF$1:$CF$65536)+40)</definedName>
    <definedName name="MSCIW">OFFSET([1]Cmd!$CD$5,0,0,COUNTA([1]Cmd!$CD$1:$CD$65536)+40)</definedName>
    <definedName name="NAND_2Gb_Dramex">OFFSET([1]Cmd!$E$5,0,0,COUNTA([1]Cmd!$E$1:$E$65536)+40)</definedName>
    <definedName name="NASDAQ">OFFSET([1]Cmd!$M$5,0,0,COUNTA([1]Cmd!$M$1:$M$65536)+40)</definedName>
    <definedName name="Natural_Gas">OFFSET([1]Cmd!$CQ$5,0,0,COUNTA([1]Cmd!$CQ$1:$CQ$65536)+40)</definedName>
    <definedName name="Nickel">OFFSET([1]Cmd!$BE$5,0,0,COUNTA([1]Cmd!$BE$1:$BE$65536)+40)</definedName>
    <definedName name="OLE_LINK1" localSheetId="0">'1.자금일보'!#REF!</definedName>
    <definedName name="OLE_LINK2" localSheetId="0">'1.자금일보'!$B$5</definedName>
    <definedName name="Palladium">OFFSET([1]Cmd!$DC$5,0,0,COUNTA([1]Cmd!$DC$1:$DC$65536)+40)</definedName>
    <definedName name="Panel19Mon">OFFSET([1]Cmd!$CI$5,0,0,COUNTA([1]Cmd!$CI$1:$CI$65536)+40)</definedName>
    <definedName name="Panel32">OFFSET([1]Cmd!$CJ$5,0,0,COUNTA([1]Cmd!$CJ$1:$CJ$65536)+40)</definedName>
    <definedName name="PHILA">OFFSET([1]Cmd!$BY$5,0,0,COUNTA([1]Cmd!$BY$1:$BY$65536)+40)</definedName>
    <definedName name="_xlnm.Print_Area" localSheetId="0">'1.자금일보'!$B$285:$L$315</definedName>
    <definedName name="Propylene">OFFSET([1]Cmd!$CH$6,0,0,COUNTA([1]Cmd!$CH$1:$CH$65536)+40)</definedName>
    <definedName name="Pulp_NBSK">OFFSET([1]Cmd!$AF$5,0,0,COUNTA([1]Cmd!$AF$1:$AF$65536)+40)</definedName>
    <definedName name="PVC">OFFSET([1]Cmd!$AH$5,0,0,COUNTA([1]Cmd!$AH$1:$AH$65536)+40)</definedName>
    <definedName name="Rubber">OFFSET([1]Cmd!$AZ$5,0,0,COUNTA([1]Cmd!$AZ$1:$AZ$65536)+40)</definedName>
    <definedName name="snp">OFFSET([1]Cmd!$AL$5,0,0,COUNTA([1]Cmd!$AL$1:$AL$65536)+40)</definedName>
    <definedName name="SOVX_WE_5Y">OFFSET([1]Ex!$W$5,0,0,COUNTA([1]Ex!$W$1:$W$65536)+40)</definedName>
    <definedName name="Sugar">OFFSET([1]Cmd!$DB$5,0,0,COUNTA([1]Cmd!$DB$1:$DB$65536)+40)</definedName>
    <definedName name="Uranium">OFFSET([1]Cmd!$CR$5,0,0,COUNTA([1]Cmd!$CR$1:$CR$65536)+40)</definedName>
    <definedName name="WTI" localSheetId="0">#REF!</definedName>
    <definedName name="WTI">#REF!</definedName>
    <definedName name="가솔린">OFFSET([1]Cmd!$CM$5,0,0,COUNTA([1]Cmd!$CM$1:$CM$65536)+40)</definedName>
    <definedName name="구리" localSheetId="0">#REF!</definedName>
    <definedName name="구리">#REF!</definedName>
    <definedName name="국채10년">OFFSET([1]Ex!$L$5,0,0,COUNTA([1]Ex!$L$1:$L$65536)+40)</definedName>
    <definedName name="금" localSheetId="0">#REF!</definedName>
    <definedName name="금">#REF!</definedName>
    <definedName name="나프타">OFFSET([1]Cmd!$X$6,0,0,COUNTA([1]Cmd!$X$1:$X$65536)+40)</definedName>
    <definedName name="달러_index">OFFSET([1]Ex!$B$6,0,0,COUNTA([1]Ex!$B$1:$B$65536)+40)</definedName>
    <definedName name="달러_유로">OFFSET([1]Ex!$D$5,0,0,COUNTA([1]Ex!$D$1:$D$65536)+40)</definedName>
    <definedName name="대두">OFFSET([1]Cmd!$T$5,0,0,COUNTA([1]Cmd!$T$1:$T$65536)+40)</definedName>
    <definedName name="대만">OFFSET([1]Cmd!$W$5,0,0,COUNTA([1]Cmd!$W$1:$W$65536)+40)</definedName>
    <definedName name="미10년">OFFSET([1]Ex!$I$5,0,0,COUNTA([1]Ex!$I$1:$I$65536)+40)</definedName>
    <definedName name="미5년">OFFSET([1]Ex!$U$5,0,0,COUNTA([1]Ex!$U$1:$U$65536)+40)</definedName>
    <definedName name="미국열연코일">OFFSET([1]Cmd!$Q$6,0,0,COUNTA([1]Cmd!$Q$1:$Q$65536)+40)</definedName>
    <definedName name="부타디엔">OFFSET([1]Cmd!$CU$6,0,0,COUNTA([1]Cmd!$CU$1:$CU$65536)+40)</definedName>
    <definedName name="브라질">OFFSET([1]Cmd!$AC$5,0,0,COUNTA([1]Cmd!$AC$1:$AC$65536)+40)</definedName>
    <definedName name="소맥">OFFSET([1]Cmd!$S$5,0,0,COUNTA([1]Cmd!$S$1:$S$65536)+40)</definedName>
    <definedName name="스위스_프랑">OFFSET([1]Ex!$O$5,0,0,COUNTA([1]Ex!$O$1:$O$65536)+40)</definedName>
    <definedName name="스위스_호주">OFFSET([1]Ex!$Q$5,0,0,COUNTA([1]Ex!$Q$1:$Q$65536)+40)</definedName>
    <definedName name="싱가폴Z유">OFFSET([1]Cmd!$AE$5,0,0,COUNTA([1]Cmd!$AE$1:$AE$65536)+40)</definedName>
    <definedName name="ㅇㅇ" localSheetId="0">#REF!</definedName>
    <definedName name="ㅇㅇ">#REF!</definedName>
    <definedName name="아연" localSheetId="0">#REF!</definedName>
    <definedName name="아연">#REF!</definedName>
    <definedName name="알미늄" localSheetId="0">#REF!</definedName>
    <definedName name="알미늄">#REF!</definedName>
    <definedName name="에틸렌">OFFSET([1]Cmd!$Y$6,0,0,COUNTA([1]Cmd!$Y$1:$Y$65536)+40)</definedName>
    <definedName name="엔_달러">OFFSET([1]Ex!$C$5,0,0,COUNTA([1]Ex!$B$1:$B$65536)+40)</definedName>
    <definedName name="옥수수">OFFSET([1]Cmd!$R$5,0,0,COUNTA([1]Cmd!$R$1:$R$65536)+40)</definedName>
    <definedName name="온실">OFFSET([1]Cmd!$CO$5,0,0,COUNTA([1]Cmd!$CO$1:$CO$65536)+40)</definedName>
    <definedName name="외평채">OFFSET([1]Ex!$G$5,0,0,COUNTA([1]Ex!$G$1:$G$65536)+40)</definedName>
    <definedName name="원_달러">OFFSET([1]Ex!$E$5,0,0,COUNTA([1]Ex!$E$1:$E$65536)+40)</definedName>
    <definedName name="원_엔">OFFSET([1]Ex!$F$5,0,0,COUNTA([1]Ex!$F$1:$F$65536)+40)</definedName>
    <definedName name="위안_달러">OFFSET([1]Ex!$J$5,0,0,COUNTA([1]Ex!$J$1:$J$65536)+40)</definedName>
    <definedName name="인도">OFFSET([1]Cmd!$AA$5,0,0,COUNTA([1]Cmd!$AA$1:$AA$65536)+40)</definedName>
    <definedName name="일본">OFFSET([1]Cmd!$U$5,0,0,COUNTA([1]Cmd!$U$1:$U$65536)+40)</definedName>
    <definedName name="중국">OFFSET([1]Cmd!$AP$5,0,0,COUNTA([1]Cmd!$AP$1:$AP$65536)+40)</definedName>
    <definedName name="중국열연코일">OFFSET([1]Cmd!$O$5,0,0,COUNTA([1]Cmd!$O$1:$O$65536)+40)</definedName>
    <definedName name="탄소">OFFSET([1]Cmd!$CN$5,0,0,COUNTA([1]Cmd!$CN$1:$CN$65536)+40)</definedName>
    <definedName name="호주">OFFSET([1]Cmd!$AB$5,0,0,COUNTA([1]Cmd!$AB$1:$AB$65536)+40)</definedName>
    <definedName name="호주_달러">OFFSET([1]Ex!$P$5,0,0,COUNTA([1]Ex!$P$1:$P$65536)+40)</definedName>
    <definedName name="홍콩">OFFSET([1]Cmd!$V$5,0,0,COUNTA([1]Cmd!$V$1:$V$65536)+40)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N167" i="19" l="1"/>
  <c r="G186" i="19"/>
  <c r="H186" i="19" s="1"/>
  <c r="N186" i="19"/>
  <c r="G187" i="19"/>
  <c r="H187" i="19" s="1"/>
  <c r="N187" i="19"/>
  <c r="L285" i="19" l="1"/>
  <c r="P316" i="19"/>
  <c r="N316" i="19"/>
  <c r="H316" i="19"/>
  <c r="C316" i="19"/>
  <c r="D316" i="19" s="1"/>
  <c r="P315" i="19"/>
  <c r="N315" i="19"/>
  <c r="H315" i="19"/>
  <c r="C315" i="19"/>
  <c r="D315" i="19" s="1"/>
  <c r="P314" i="19"/>
  <c r="N314" i="19"/>
  <c r="H314" i="19"/>
  <c r="D314" i="19"/>
  <c r="C314" i="19"/>
  <c r="P313" i="19"/>
  <c r="N313" i="19"/>
  <c r="H313" i="19"/>
  <c r="C313" i="19"/>
  <c r="D313" i="19" s="1"/>
  <c r="P312" i="19"/>
  <c r="N312" i="19"/>
  <c r="H312" i="19"/>
  <c r="C312" i="19"/>
  <c r="D312" i="19" s="1"/>
  <c r="P311" i="19"/>
  <c r="N311" i="19"/>
  <c r="H311" i="19"/>
  <c r="D311" i="19"/>
  <c r="C311" i="19"/>
  <c r="P310" i="19"/>
  <c r="N310" i="19"/>
  <c r="H310" i="19"/>
  <c r="C310" i="19"/>
  <c r="D310" i="19" s="1"/>
  <c r="P309" i="19"/>
  <c r="N309" i="19"/>
  <c r="H309" i="19"/>
  <c r="C309" i="19"/>
  <c r="D309" i="19" s="1"/>
  <c r="P308" i="19"/>
  <c r="N308" i="19"/>
  <c r="H308" i="19"/>
  <c r="D308" i="19"/>
  <c r="C308" i="19"/>
  <c r="P307" i="19"/>
  <c r="N307" i="19"/>
  <c r="H307" i="19"/>
  <c r="C307" i="19"/>
  <c r="D307" i="19" s="1"/>
  <c r="P306" i="19"/>
  <c r="N306" i="19"/>
  <c r="H306" i="19"/>
  <c r="C306" i="19"/>
  <c r="D306" i="19" s="1"/>
  <c r="P305" i="19"/>
  <c r="N305" i="19"/>
  <c r="H305" i="19"/>
  <c r="D305" i="19"/>
  <c r="C305" i="19"/>
  <c r="P304" i="19"/>
  <c r="N304" i="19"/>
  <c r="H304" i="19"/>
  <c r="C304" i="19"/>
  <c r="D304" i="19" s="1"/>
  <c r="P303" i="19"/>
  <c r="N303" i="19"/>
  <c r="H303" i="19"/>
  <c r="D303" i="19"/>
  <c r="C303" i="19"/>
  <c r="P302" i="19"/>
  <c r="N302" i="19"/>
  <c r="M302" i="19"/>
  <c r="H302" i="19"/>
  <c r="C302" i="19"/>
  <c r="D302" i="19" s="1"/>
  <c r="P301" i="19"/>
  <c r="N301" i="19"/>
  <c r="H301" i="19"/>
  <c r="C301" i="19"/>
  <c r="D301" i="19" s="1"/>
  <c r="P300" i="19"/>
  <c r="N300" i="19"/>
  <c r="H300" i="19"/>
  <c r="D300" i="19"/>
  <c r="C300" i="19"/>
  <c r="P299" i="19"/>
  <c r="N299" i="19"/>
  <c r="H299" i="19"/>
  <c r="C299" i="19"/>
  <c r="D299" i="19" s="1"/>
  <c r="P298" i="19"/>
  <c r="N298" i="19"/>
  <c r="H298" i="19"/>
  <c r="C298" i="19"/>
  <c r="D298" i="19" s="1"/>
  <c r="P297" i="19"/>
  <c r="N297" i="19"/>
  <c r="H297" i="19"/>
  <c r="C297" i="19"/>
  <c r="D297" i="19" s="1"/>
  <c r="P296" i="19"/>
  <c r="N296" i="19"/>
  <c r="H296" i="19"/>
  <c r="C296" i="19"/>
  <c r="D296" i="19" s="1"/>
  <c r="P295" i="19"/>
  <c r="N295" i="19"/>
  <c r="H295" i="19"/>
  <c r="C295" i="19"/>
  <c r="D295" i="19" s="1"/>
  <c r="P294" i="19"/>
  <c r="N294" i="19"/>
  <c r="H294" i="19"/>
  <c r="D294" i="19"/>
  <c r="C294" i="19"/>
  <c r="P293" i="19"/>
  <c r="N293" i="19"/>
  <c r="H293" i="19"/>
  <c r="C293" i="19"/>
  <c r="D293" i="19" s="1"/>
  <c r="P292" i="19"/>
  <c r="N292" i="19"/>
  <c r="H292" i="19"/>
  <c r="C292" i="19"/>
  <c r="D292" i="19" s="1"/>
  <c r="P291" i="19"/>
  <c r="N291" i="19"/>
  <c r="H291" i="19"/>
  <c r="C291" i="19"/>
  <c r="D291" i="19" s="1"/>
  <c r="P290" i="19"/>
  <c r="N290" i="19"/>
  <c r="M290" i="19"/>
  <c r="H290" i="19"/>
  <c r="C290" i="19"/>
  <c r="D290" i="19" s="1"/>
  <c r="P289" i="19"/>
  <c r="N289" i="19"/>
  <c r="M289" i="19"/>
  <c r="H289" i="19"/>
  <c r="C289" i="19"/>
  <c r="D289" i="19" s="1"/>
  <c r="P288" i="19"/>
  <c r="N288" i="19"/>
  <c r="H288" i="19"/>
  <c r="C288" i="19"/>
  <c r="D288" i="19" s="1"/>
  <c r="P287" i="19"/>
  <c r="N287" i="19"/>
  <c r="H287" i="19"/>
  <c r="C287" i="19"/>
  <c r="D287" i="19" s="1"/>
  <c r="H239" i="19"/>
  <c r="M239" i="19"/>
  <c r="M242" i="19" l="1"/>
  <c r="M241" i="19"/>
  <c r="M240" i="19"/>
  <c r="H227" i="19"/>
  <c r="G272" i="19" l="1"/>
  <c r="N185" i="19" l="1"/>
  <c r="G185" i="19"/>
  <c r="G271" i="19" l="1"/>
  <c r="C185" i="19" l="1"/>
  <c r="N166" i="19"/>
  <c r="N165" i="19" l="1"/>
  <c r="N164" i="19"/>
  <c r="G176" i="19" l="1"/>
  <c r="G177" i="19"/>
  <c r="G178" i="19"/>
  <c r="G179" i="19"/>
  <c r="G180" i="19"/>
  <c r="G181" i="19"/>
  <c r="G182" i="19"/>
  <c r="G183" i="19"/>
  <c r="G184" i="19"/>
  <c r="G175" i="19"/>
  <c r="G174" i="19"/>
  <c r="N184" i="19" l="1"/>
  <c r="N169" i="19" l="1"/>
  <c r="C169" i="19"/>
  <c r="N183" i="19" l="1"/>
  <c r="C186" i="19"/>
  <c r="C254" i="19" l="1"/>
  <c r="C255" i="19"/>
  <c r="C256" i="19"/>
  <c r="C257" i="19"/>
  <c r="C258" i="19"/>
  <c r="C259" i="19"/>
  <c r="C260" i="19"/>
  <c r="C261" i="19"/>
  <c r="C262" i="19"/>
  <c r="C263" i="19"/>
  <c r="C264" i="19"/>
  <c r="C265" i="19"/>
  <c r="C266" i="19"/>
  <c r="C267" i="19"/>
  <c r="C268" i="19"/>
  <c r="C269" i="19"/>
  <c r="C270" i="19"/>
  <c r="C271" i="19"/>
  <c r="C272" i="19"/>
  <c r="C273" i="19"/>
  <c r="C274" i="19"/>
  <c r="C275" i="19"/>
  <c r="C276" i="19"/>
  <c r="N271" i="19"/>
  <c r="N270" i="19" l="1"/>
  <c r="G270" i="19"/>
  <c r="N269" i="19"/>
  <c r="G269" i="19"/>
  <c r="N268" i="19"/>
  <c r="G268" i="19"/>
  <c r="N267" i="19"/>
  <c r="G267" i="19"/>
  <c r="N266" i="19"/>
  <c r="G266" i="19"/>
  <c r="N265" i="19"/>
  <c r="G265" i="19"/>
  <c r="N264" i="19"/>
  <c r="G264" i="19"/>
  <c r="N263" i="19"/>
  <c r="G263" i="19"/>
  <c r="N262" i="19"/>
  <c r="G262" i="19"/>
  <c r="N261" i="19"/>
  <c r="G261" i="19"/>
  <c r="N260" i="19"/>
  <c r="G260" i="19"/>
  <c r="N259" i="19"/>
  <c r="G259" i="19"/>
  <c r="N258" i="19"/>
  <c r="G258" i="19"/>
  <c r="N257" i="19"/>
  <c r="G257" i="19"/>
  <c r="N256" i="19"/>
  <c r="G256" i="19"/>
  <c r="N255" i="19"/>
  <c r="G255" i="19"/>
  <c r="N254" i="19"/>
  <c r="G254" i="19"/>
  <c r="N253" i="19"/>
  <c r="G253" i="19"/>
  <c r="H253" i="19" s="1"/>
  <c r="N154" i="19" l="1"/>
  <c r="C239" i="19" l="1"/>
  <c r="G468" i="19" l="1"/>
  <c r="H440" i="19" l="1"/>
  <c r="H439" i="19"/>
  <c r="H438" i="19"/>
  <c r="B227" i="19" l="1"/>
  <c r="N278" i="19"/>
  <c r="N279" i="19"/>
  <c r="N180" i="19" l="1"/>
  <c r="N181" i="19"/>
  <c r="N182" i="19"/>
  <c r="G66" i="19" l="1"/>
  <c r="G100" i="19" s="1"/>
  <c r="G110" i="19" s="1"/>
  <c r="G123" i="19" s="1"/>
  <c r="G133" i="19" s="1"/>
  <c r="N153" i="19" l="1"/>
  <c r="N151" i="19" l="1"/>
  <c r="C151" i="19"/>
  <c r="B287" i="19" l="1"/>
  <c r="K46" i="19" l="1"/>
  <c r="H437" i="19" l="1"/>
  <c r="H436" i="19"/>
  <c r="H435" i="19"/>
  <c r="H434" i="19"/>
  <c r="J463" i="19" l="1"/>
  <c r="K285" i="19" l="1"/>
  <c r="C154" i="19" l="1"/>
  <c r="C164" i="19" l="1"/>
  <c r="C165" i="19"/>
  <c r="C152" i="19" l="1"/>
  <c r="C150" i="19"/>
  <c r="C149" i="19"/>
  <c r="C148" i="19"/>
  <c r="N179" i="19" l="1"/>
  <c r="C277" i="19" l="1"/>
  <c r="C235" i="19" l="1"/>
  <c r="C234" i="19"/>
  <c r="C236" i="19" l="1"/>
  <c r="N236" i="19"/>
  <c r="N232" i="19" l="1"/>
  <c r="C175" i="19" l="1"/>
  <c r="C176" i="19"/>
  <c r="C177" i="19"/>
  <c r="C178" i="19"/>
  <c r="C179" i="19"/>
  <c r="C180" i="19"/>
  <c r="C181" i="19"/>
  <c r="C182" i="19"/>
  <c r="C183" i="19"/>
  <c r="C184" i="19"/>
  <c r="C187" i="19"/>
  <c r="C188" i="19"/>
  <c r="C189" i="19"/>
  <c r="C190" i="19"/>
  <c r="C191" i="19"/>
  <c r="C192" i="19"/>
  <c r="C232" i="19" l="1"/>
  <c r="N237" i="19"/>
  <c r="N233" i="19"/>
  <c r="N231" i="19"/>
  <c r="C231" i="19"/>
  <c r="N178" i="19" l="1"/>
  <c r="N177" i="19"/>
  <c r="N176" i="19"/>
  <c r="N175" i="19"/>
  <c r="N174" i="19"/>
  <c r="C219" i="19"/>
  <c r="H468" i="19"/>
  <c r="C278" i="19"/>
  <c r="P6" i="19"/>
  <c r="O214" i="19"/>
  <c r="I358" i="19"/>
  <c r="G358" i="19"/>
  <c r="F358" i="19"/>
  <c r="H358" i="19" s="1"/>
  <c r="E358" i="19"/>
  <c r="N240" i="19"/>
  <c r="N241" i="19"/>
  <c r="N242" i="19"/>
  <c r="N244" i="19"/>
  <c r="N245" i="19"/>
  <c r="N246" i="19"/>
  <c r="N247" i="19"/>
  <c r="N248" i="19"/>
  <c r="N249" i="19"/>
  <c r="N239" i="19"/>
  <c r="N250" i="19"/>
  <c r="N227" i="19"/>
  <c r="C279" i="19"/>
  <c r="C200" i="19"/>
  <c r="N213" i="19"/>
  <c r="C213" i="19"/>
  <c r="N212" i="19"/>
  <c r="C212" i="19"/>
  <c r="B212" i="19"/>
  <c r="N323" i="19"/>
  <c r="C323" i="19"/>
  <c r="D323" i="19" s="1"/>
  <c r="H283" i="19"/>
  <c r="B283" i="19" s="1"/>
  <c r="N283" i="19"/>
  <c r="C283" i="19"/>
  <c r="C227" i="19"/>
  <c r="C228" i="19"/>
  <c r="K32" i="19"/>
  <c r="N197" i="19" s="1"/>
  <c r="I359" i="19"/>
  <c r="G359" i="19"/>
  <c r="F359" i="19"/>
  <c r="J359" i="19" s="1"/>
  <c r="E359" i="19"/>
  <c r="B202" i="19"/>
  <c r="P4" i="19"/>
  <c r="L375" i="19"/>
  <c r="K375" i="19"/>
  <c r="I375" i="19"/>
  <c r="G375" i="19"/>
  <c r="F375" i="19"/>
  <c r="J375" i="19" s="1"/>
  <c r="E375" i="19"/>
  <c r="L372" i="19"/>
  <c r="M372" i="19" s="1"/>
  <c r="K372" i="19"/>
  <c r="I372" i="19"/>
  <c r="G372" i="19"/>
  <c r="F372" i="19"/>
  <c r="J372" i="19" s="1"/>
  <c r="E372" i="19"/>
  <c r="H432" i="19"/>
  <c r="H431" i="19"/>
  <c r="N360" i="19"/>
  <c r="M360" i="19" s="1"/>
  <c r="I360" i="19"/>
  <c r="G360" i="19"/>
  <c r="F360" i="19"/>
  <c r="J360" i="19" s="1"/>
  <c r="E360" i="19"/>
  <c r="B332" i="19"/>
  <c r="C332" i="19"/>
  <c r="D332" i="19" s="1"/>
  <c r="N332" i="19"/>
  <c r="H346" i="19"/>
  <c r="H347" i="19"/>
  <c r="C346" i="19"/>
  <c r="D346" i="19" s="1"/>
  <c r="N157" i="19"/>
  <c r="P2" i="19"/>
  <c r="P3" i="19"/>
  <c r="P5" i="19"/>
  <c r="K6" i="19"/>
  <c r="K13" i="19" s="1"/>
  <c r="K24" i="19" s="1"/>
  <c r="L24" i="19" s="1"/>
  <c r="M32" i="19"/>
  <c r="S87" i="19"/>
  <c r="S88" i="19"/>
  <c r="M99" i="19"/>
  <c r="K101" i="19"/>
  <c r="L101" i="19" s="1"/>
  <c r="K103" i="19"/>
  <c r="L103" i="19" s="1"/>
  <c r="K104" i="19"/>
  <c r="L104" i="19" s="1"/>
  <c r="K105" i="19"/>
  <c r="L105" i="19" s="1"/>
  <c r="K106" i="19"/>
  <c r="L106" i="19" s="1"/>
  <c r="K107" i="19"/>
  <c r="L107" i="19" s="1"/>
  <c r="K108" i="19"/>
  <c r="L108" i="19" s="1"/>
  <c r="K112" i="19"/>
  <c r="L112" i="19" s="1"/>
  <c r="K113" i="19"/>
  <c r="O238" i="19" s="1"/>
  <c r="K115" i="19"/>
  <c r="L115" i="19" s="1"/>
  <c r="K116" i="19"/>
  <c r="L116" i="19" s="1"/>
  <c r="K117" i="19"/>
  <c r="K118" i="19"/>
  <c r="L118" i="19" s="1"/>
  <c r="K119" i="19"/>
  <c r="L119" i="19" s="1"/>
  <c r="S119" i="19"/>
  <c r="K124" i="19"/>
  <c r="L124" i="19" s="1"/>
  <c r="K126" i="19"/>
  <c r="L126" i="19" s="1"/>
  <c r="K127" i="19"/>
  <c r="L127" i="19" s="1"/>
  <c r="K128" i="19"/>
  <c r="L128" i="19" s="1"/>
  <c r="K129" i="19"/>
  <c r="L129" i="19" s="1"/>
  <c r="K130" i="19"/>
  <c r="L130" i="19" s="1"/>
  <c r="K131" i="19"/>
  <c r="L131" i="19" s="1"/>
  <c r="K135" i="19"/>
  <c r="L135" i="19" s="1"/>
  <c r="K136" i="19"/>
  <c r="O252" i="19" s="1"/>
  <c r="K138" i="19"/>
  <c r="L138" i="19" s="1"/>
  <c r="K139" i="19"/>
  <c r="L139" i="19" s="1"/>
  <c r="K140" i="19"/>
  <c r="L140" i="19" s="1"/>
  <c r="K141" i="19"/>
  <c r="L141" i="19" s="1"/>
  <c r="K142" i="19"/>
  <c r="L142" i="19" s="1"/>
  <c r="N148" i="19"/>
  <c r="N149" i="19"/>
  <c r="N150" i="19"/>
  <c r="N152" i="19"/>
  <c r="C153" i="19"/>
  <c r="C155" i="19"/>
  <c r="N155" i="19"/>
  <c r="C156" i="19"/>
  <c r="N156" i="19"/>
  <c r="C157" i="19"/>
  <c r="C158" i="19"/>
  <c r="N158" i="19"/>
  <c r="C159" i="19"/>
  <c r="N159" i="19"/>
  <c r="C160" i="19"/>
  <c r="N160" i="19"/>
  <c r="C161" i="19"/>
  <c r="N161" i="19"/>
  <c r="C162" i="19"/>
  <c r="N162" i="19"/>
  <c r="C166" i="19"/>
  <c r="C167" i="19"/>
  <c r="C168" i="19"/>
  <c r="N168" i="19"/>
  <c r="C170" i="19"/>
  <c r="N170" i="19"/>
  <c r="C171" i="19"/>
  <c r="N171" i="19"/>
  <c r="C172" i="19"/>
  <c r="N172" i="19"/>
  <c r="C174" i="19"/>
  <c r="C193" i="19"/>
  <c r="C197" i="19"/>
  <c r="C198" i="19"/>
  <c r="C199" i="19"/>
  <c r="C202" i="19"/>
  <c r="N203" i="19"/>
  <c r="C203" i="19"/>
  <c r="N202" i="19"/>
  <c r="C204" i="19"/>
  <c r="N204" i="19"/>
  <c r="B206" i="19"/>
  <c r="C206" i="19"/>
  <c r="N206" i="19"/>
  <c r="C207" i="19"/>
  <c r="N207" i="19"/>
  <c r="C208" i="19"/>
  <c r="N208" i="19"/>
  <c r="C215" i="19"/>
  <c r="N215" i="19"/>
  <c r="C216" i="19"/>
  <c r="N216" i="19"/>
  <c r="C217" i="19"/>
  <c r="N217" i="19"/>
  <c r="C218" i="19"/>
  <c r="N218" i="19"/>
  <c r="C220" i="19"/>
  <c r="N220" i="19"/>
  <c r="O221" i="19"/>
  <c r="B222" i="19"/>
  <c r="C222" i="19"/>
  <c r="N222" i="19"/>
  <c r="C223" i="19"/>
  <c r="N223" i="19"/>
  <c r="N228" i="19"/>
  <c r="C229" i="19"/>
  <c r="N229" i="19"/>
  <c r="C230" i="19"/>
  <c r="N230" i="19"/>
  <c r="C233" i="19"/>
  <c r="C237" i="19"/>
  <c r="C240" i="19"/>
  <c r="C241" i="19"/>
  <c r="C242" i="19"/>
  <c r="C243" i="19"/>
  <c r="C244" i="19"/>
  <c r="C245" i="19"/>
  <c r="C246" i="19"/>
  <c r="C247" i="19"/>
  <c r="C248" i="19"/>
  <c r="C249" i="19"/>
  <c r="C250" i="19"/>
  <c r="C251" i="19"/>
  <c r="N251" i="19"/>
  <c r="C253" i="19"/>
  <c r="C324" i="19"/>
  <c r="D324" i="19" s="1"/>
  <c r="N324" i="19"/>
  <c r="C325" i="19"/>
  <c r="D325" i="19" s="1"/>
  <c r="N325" i="19"/>
  <c r="B327" i="19"/>
  <c r="C327" i="19"/>
  <c r="D327" i="19" s="1"/>
  <c r="N327" i="19"/>
  <c r="C328" i="19"/>
  <c r="D328" i="19" s="1"/>
  <c r="N328" i="19"/>
  <c r="C333" i="19"/>
  <c r="N333" i="19"/>
  <c r="B338" i="19"/>
  <c r="C338" i="19"/>
  <c r="N338" i="19"/>
  <c r="C339" i="19"/>
  <c r="N339" i="19"/>
  <c r="C340" i="19"/>
  <c r="N340" i="19"/>
  <c r="C341" i="19"/>
  <c r="N341" i="19"/>
  <c r="C342" i="19"/>
  <c r="N342" i="19"/>
  <c r="N346" i="19"/>
  <c r="C347" i="19"/>
  <c r="D347" i="19" s="1"/>
  <c r="N347" i="19"/>
  <c r="C349" i="19"/>
  <c r="D349" i="19" s="1"/>
  <c r="N350" i="19"/>
  <c r="C350" i="19"/>
  <c r="D350" i="19" s="1"/>
  <c r="N349" i="19"/>
  <c r="C352" i="19"/>
  <c r="D352" i="19" s="1"/>
  <c r="N352" i="19"/>
  <c r="E361" i="19"/>
  <c r="F361" i="19"/>
  <c r="H361" i="19" s="1"/>
  <c r="G361" i="19"/>
  <c r="I361" i="19"/>
  <c r="N361" i="19"/>
  <c r="M361" i="19" s="1"/>
  <c r="E362" i="19"/>
  <c r="F362" i="19"/>
  <c r="H362" i="19" s="1"/>
  <c r="G362" i="19"/>
  <c r="I362" i="19"/>
  <c r="N362" i="19"/>
  <c r="M362" i="19" s="1"/>
  <c r="E363" i="19"/>
  <c r="F363" i="19"/>
  <c r="H363" i="19" s="1"/>
  <c r="G363" i="19"/>
  <c r="I363" i="19"/>
  <c r="N363" i="19"/>
  <c r="M363" i="19" s="1"/>
  <c r="E364" i="19"/>
  <c r="F364" i="19"/>
  <c r="H364" i="19" s="1"/>
  <c r="G364" i="19"/>
  <c r="I364" i="19"/>
  <c r="N364" i="19"/>
  <c r="M364" i="19" s="1"/>
  <c r="E365" i="19"/>
  <c r="F365" i="19"/>
  <c r="H365" i="19" s="1"/>
  <c r="G365" i="19"/>
  <c r="I365" i="19"/>
  <c r="N365" i="19"/>
  <c r="M365" i="19" s="1"/>
  <c r="E366" i="19"/>
  <c r="F366" i="19"/>
  <c r="H366" i="19" s="1"/>
  <c r="G366" i="19"/>
  <c r="I366" i="19"/>
  <c r="N366" i="19"/>
  <c r="M366" i="19" s="1"/>
  <c r="E367" i="19"/>
  <c r="F367" i="19"/>
  <c r="J367" i="19" s="1"/>
  <c r="G367" i="19"/>
  <c r="I367" i="19"/>
  <c r="N367" i="19"/>
  <c r="M367" i="19" s="1"/>
  <c r="E368" i="19"/>
  <c r="F368" i="19"/>
  <c r="G368" i="19"/>
  <c r="I368" i="19"/>
  <c r="N368" i="19"/>
  <c r="M368" i="19" s="1"/>
  <c r="E376" i="19"/>
  <c r="F376" i="19"/>
  <c r="H376" i="19" s="1"/>
  <c r="G376" i="19"/>
  <c r="I376" i="19"/>
  <c r="K376" i="19"/>
  <c r="L376" i="19"/>
  <c r="M376" i="19" s="1"/>
  <c r="E378" i="19"/>
  <c r="F378" i="19"/>
  <c r="H378" i="19" s="1"/>
  <c r="G379" i="19"/>
  <c r="I379" i="19"/>
  <c r="K379" i="19"/>
  <c r="L379" i="19"/>
  <c r="E379" i="19"/>
  <c r="F379" i="19"/>
  <c r="H379" i="19" s="1"/>
  <c r="G378" i="19"/>
  <c r="I378" i="19"/>
  <c r="K378" i="19"/>
  <c r="L378" i="19"/>
  <c r="E380" i="19"/>
  <c r="F380" i="19"/>
  <c r="J380" i="19" s="1"/>
  <c r="G373" i="19"/>
  <c r="I373" i="19"/>
  <c r="K373" i="19"/>
  <c r="L373" i="19"/>
  <c r="E381" i="19"/>
  <c r="F381" i="19"/>
  <c r="H381" i="19" s="1"/>
  <c r="G380" i="19"/>
  <c r="I380" i="19"/>
  <c r="K380" i="19"/>
  <c r="L380" i="19"/>
  <c r="E382" i="19"/>
  <c r="F382" i="19"/>
  <c r="H382" i="19" s="1"/>
  <c r="G381" i="19"/>
  <c r="I381" i="19"/>
  <c r="K381" i="19"/>
  <c r="L381" i="19"/>
  <c r="G382" i="19"/>
  <c r="I382" i="19"/>
  <c r="K382" i="19"/>
  <c r="L382" i="19"/>
  <c r="E377" i="19"/>
  <c r="F377" i="19"/>
  <c r="H377" i="19" s="1"/>
  <c r="E374" i="19"/>
  <c r="F374" i="19"/>
  <c r="H374" i="19" s="1"/>
  <c r="G377" i="19"/>
  <c r="I377" i="19"/>
  <c r="K377" i="19"/>
  <c r="L377" i="19"/>
  <c r="E373" i="19"/>
  <c r="F373" i="19"/>
  <c r="H373" i="19" s="1"/>
  <c r="G374" i="19"/>
  <c r="I374" i="19"/>
  <c r="K374" i="19"/>
  <c r="L374" i="19"/>
  <c r="L396" i="19"/>
  <c r="L397" i="19"/>
  <c r="L398" i="19"/>
  <c r="L399" i="19"/>
  <c r="H406" i="19"/>
  <c r="G406" i="19" s="1"/>
  <c r="H428" i="19"/>
  <c r="H429" i="19"/>
  <c r="H430" i="19"/>
  <c r="H433" i="19"/>
  <c r="H445" i="19"/>
  <c r="H446" i="19"/>
  <c r="H447" i="19"/>
  <c r="H448" i="19"/>
  <c r="H449" i="19"/>
  <c r="H450" i="19"/>
  <c r="H451" i="19"/>
  <c r="H452" i="19"/>
  <c r="H453" i="19"/>
  <c r="H454" i="19"/>
  <c r="H455" i="19"/>
  <c r="H456" i="19"/>
  <c r="H457" i="19"/>
  <c r="H458" i="19"/>
  <c r="H459" i="19"/>
  <c r="H460" i="19"/>
  <c r="H463" i="19"/>
  <c r="N469" i="19"/>
  <c r="O469" i="19"/>
  <c r="N470" i="19"/>
  <c r="N471" i="19"/>
  <c r="N472" i="19"/>
  <c r="N473" i="19"/>
  <c r="N474" i="19"/>
  <c r="N475" i="19"/>
  <c r="N476" i="19"/>
  <c r="N477" i="19"/>
  <c r="N478" i="19"/>
  <c r="N479" i="19"/>
  <c r="N480" i="19"/>
  <c r="N482" i="19"/>
  <c r="N483" i="19"/>
  <c r="N485" i="19"/>
  <c r="N486" i="19"/>
  <c r="O486" i="19"/>
  <c r="N487" i="19"/>
  <c r="N488" i="19"/>
  <c r="N489" i="19"/>
  <c r="N490" i="19"/>
  <c r="N491" i="19"/>
  <c r="N492" i="19"/>
  <c r="N493" i="19"/>
  <c r="N494" i="19"/>
  <c r="N495" i="19"/>
  <c r="N496" i="19"/>
  <c r="O496" i="19"/>
  <c r="N498" i="19"/>
  <c r="N500" i="19"/>
  <c r="N501" i="19"/>
  <c r="O501" i="19"/>
  <c r="N502" i="19"/>
  <c r="N503" i="19"/>
  <c r="N504" i="19"/>
  <c r="N505" i="19"/>
  <c r="N506" i="19"/>
  <c r="N507" i="19"/>
  <c r="N508" i="19"/>
  <c r="N509" i="19"/>
  <c r="N510" i="19"/>
  <c r="N512" i="19"/>
  <c r="N513" i="19"/>
  <c r="O513" i="19"/>
  <c r="N514" i="19"/>
  <c r="N515" i="19"/>
  <c r="N516" i="19"/>
  <c r="N517" i="19"/>
  <c r="N518" i="19"/>
  <c r="N519" i="19"/>
  <c r="N520" i="19"/>
  <c r="N521" i="19"/>
  <c r="N522" i="19"/>
  <c r="G526" i="19"/>
  <c r="H526" i="19"/>
  <c r="H536" i="19"/>
  <c r="H543" i="19"/>
  <c r="G547" i="19"/>
  <c r="H547" i="19" s="1"/>
  <c r="H548" i="19"/>
  <c r="H549" i="19"/>
  <c r="H550" i="19"/>
  <c r="H551" i="19"/>
  <c r="H552" i="19"/>
  <c r="H553" i="19"/>
  <c r="H554" i="19"/>
  <c r="H555" i="19"/>
  <c r="M382" i="19"/>
  <c r="M373" i="19"/>
  <c r="M381" i="19"/>
  <c r="M379" i="19"/>
  <c r="M380" i="19"/>
  <c r="M377" i="19"/>
  <c r="M375" i="19"/>
  <c r="M378" i="19"/>
  <c r="M374" i="19"/>
  <c r="B323" i="19"/>
  <c r="C358" i="19"/>
  <c r="D358" i="19" s="1"/>
  <c r="B197" i="19"/>
  <c r="H272" i="19" l="1"/>
  <c r="H174" i="19"/>
  <c r="H185" i="19"/>
  <c r="H242" i="19"/>
  <c r="H240" i="19"/>
  <c r="H241" i="19"/>
  <c r="H218" i="19"/>
  <c r="H217" i="19"/>
  <c r="H216" i="19"/>
  <c r="H349" i="19"/>
  <c r="H166" i="19"/>
  <c r="H164" i="19"/>
  <c r="B164" i="19" s="1"/>
  <c r="H152" i="19"/>
  <c r="H151" i="19"/>
  <c r="H150" i="19"/>
  <c r="H149" i="19"/>
  <c r="H148" i="19"/>
  <c r="H271" i="19"/>
  <c r="H175" i="19"/>
  <c r="H183" i="19"/>
  <c r="H179" i="19"/>
  <c r="H178" i="19"/>
  <c r="H182" i="19"/>
  <c r="H177" i="19"/>
  <c r="H184" i="19"/>
  <c r="H176" i="19"/>
  <c r="H181" i="19"/>
  <c r="H180" i="19"/>
  <c r="C378" i="19"/>
  <c r="D378" i="19" s="1"/>
  <c r="J376" i="19"/>
  <c r="J377" i="19"/>
  <c r="H263" i="19"/>
  <c r="H256" i="19"/>
  <c r="H257" i="19"/>
  <c r="H261" i="19"/>
  <c r="H270" i="19"/>
  <c r="H268" i="19"/>
  <c r="H255" i="19"/>
  <c r="H264" i="19"/>
  <c r="H269" i="19"/>
  <c r="H266" i="19"/>
  <c r="H265" i="19"/>
  <c r="H260" i="19"/>
  <c r="H254" i="19"/>
  <c r="H259" i="19"/>
  <c r="H262" i="19"/>
  <c r="H258" i="19"/>
  <c r="H267" i="19"/>
  <c r="H375" i="19"/>
  <c r="J381" i="19"/>
  <c r="J373" i="19"/>
  <c r="H441" i="19"/>
  <c r="H350" i="19"/>
  <c r="C373" i="19"/>
  <c r="D373" i="19" s="1"/>
  <c r="H368" i="19"/>
  <c r="J368" i="19"/>
  <c r="C363" i="19"/>
  <c r="D363" i="19" s="1"/>
  <c r="J358" i="19"/>
  <c r="C367" i="19"/>
  <c r="D367" i="19" s="1"/>
  <c r="N359" i="19"/>
  <c r="M359" i="19" s="1"/>
  <c r="J362" i="19"/>
  <c r="J366" i="19"/>
  <c r="H409" i="19"/>
  <c r="H408" i="19"/>
  <c r="C359" i="19"/>
  <c r="D359" i="19" s="1"/>
  <c r="C368" i="19"/>
  <c r="D368" i="19" s="1"/>
  <c r="C364" i="19"/>
  <c r="D364" i="19" s="1"/>
  <c r="J363" i="19"/>
  <c r="H367" i="19"/>
  <c r="H359" i="19"/>
  <c r="H461" i="19"/>
  <c r="H360" i="19"/>
  <c r="C366" i="19"/>
  <c r="D366" i="19" s="1"/>
  <c r="C374" i="19"/>
  <c r="D374" i="19" s="1"/>
  <c r="C380" i="19"/>
  <c r="D380" i="19" s="1"/>
  <c r="K66" i="19"/>
  <c r="N199" i="19"/>
  <c r="K100" i="19"/>
  <c r="K123" i="19" s="1"/>
  <c r="K133" i="19" s="1"/>
  <c r="N198" i="19"/>
  <c r="K111" i="19"/>
  <c r="L111" i="19" s="1"/>
  <c r="L113" i="19"/>
  <c r="J364" i="19"/>
  <c r="C362" i="19"/>
  <c r="D362" i="19" s="1"/>
  <c r="C377" i="19"/>
  <c r="D377" i="19" s="1"/>
  <c r="C382" i="19"/>
  <c r="D382" i="19" s="1"/>
  <c r="B346" i="19"/>
  <c r="O17" i="19"/>
  <c r="K26" i="19"/>
  <c r="L26" i="19" s="1"/>
  <c r="J361" i="19"/>
  <c r="H556" i="19"/>
  <c r="C375" i="19"/>
  <c r="D375" i="19" s="1"/>
  <c r="H380" i="19"/>
  <c r="P221" i="19"/>
  <c r="C365" i="19"/>
  <c r="D365" i="19" s="1"/>
  <c r="C361" i="19"/>
  <c r="D361" i="19" s="1"/>
  <c r="J378" i="19"/>
  <c r="C376" i="19"/>
  <c r="D376" i="19" s="1"/>
  <c r="J382" i="19"/>
  <c r="J379" i="19"/>
  <c r="H372" i="19"/>
  <c r="J365" i="19"/>
  <c r="N358" i="19"/>
  <c r="M358" i="19" s="1"/>
  <c r="C360" i="19"/>
  <c r="D360" i="19" s="1"/>
  <c r="E285" i="19"/>
  <c r="L117" i="19"/>
  <c r="O337" i="19"/>
  <c r="P337" i="19" s="1"/>
  <c r="O163" i="19"/>
  <c r="O205" i="19"/>
  <c r="P205" i="19" s="1"/>
  <c r="O173" i="19"/>
  <c r="K114" i="19"/>
  <c r="O322" i="19" s="1"/>
  <c r="P322" i="19" s="1"/>
  <c r="K102" i="19"/>
  <c r="L102" i="19" s="1"/>
  <c r="K125" i="19"/>
  <c r="L125" i="19" s="1"/>
  <c r="K137" i="19"/>
  <c r="L137" i="19" s="1"/>
  <c r="H352" i="19"/>
  <c r="B352" i="19" s="1"/>
  <c r="K22" i="19"/>
  <c r="L22" i="19" s="1"/>
  <c r="O16" i="19"/>
  <c r="K9" i="19"/>
  <c r="L9" i="19" s="1"/>
  <c r="K19" i="19"/>
  <c r="L19" i="19" s="1"/>
  <c r="K20" i="19"/>
  <c r="L20" i="19" s="1"/>
  <c r="K29" i="19"/>
  <c r="L29" i="19" s="1"/>
  <c r="K7" i="19"/>
  <c r="L7" i="19" s="1"/>
  <c r="O14" i="19"/>
  <c r="K15" i="19"/>
  <c r="L15" i="19" s="1"/>
  <c r="K10" i="19"/>
  <c r="L10" i="19" s="1"/>
  <c r="K28" i="19"/>
  <c r="L28" i="19" s="1"/>
  <c r="K23" i="19"/>
  <c r="L23" i="19" s="1"/>
  <c r="K18" i="19"/>
  <c r="K21" i="19"/>
  <c r="L21" i="19" s="1"/>
  <c r="K8" i="19"/>
  <c r="L8" i="19" s="1"/>
  <c r="K16" i="19"/>
  <c r="L16" i="19" s="1"/>
  <c r="K27" i="19"/>
  <c r="L27" i="19" s="1"/>
  <c r="K17" i="19"/>
  <c r="L17" i="19" s="1"/>
  <c r="K25" i="19"/>
  <c r="L25" i="19" s="1"/>
  <c r="B372" i="19"/>
  <c r="C381" i="19"/>
  <c r="D381" i="19" s="1"/>
  <c r="C379" i="19"/>
  <c r="D379" i="19" s="1"/>
  <c r="C372" i="19"/>
  <c r="D372" i="19" s="1"/>
  <c r="J374" i="19"/>
  <c r="N406" i="19"/>
  <c r="K49" i="19"/>
  <c r="L49" i="19" s="1"/>
  <c r="K79" i="19"/>
  <c r="L79" i="19" s="1"/>
  <c r="K51" i="19"/>
  <c r="L51" i="19" s="1"/>
  <c r="O201" i="19"/>
  <c r="P201" i="19" s="1"/>
  <c r="L136" i="19"/>
  <c r="O211" i="19"/>
  <c r="P211" i="19" s="1"/>
  <c r="K134" i="19"/>
  <c r="H4" i="19" l="1"/>
  <c r="B349" i="19"/>
  <c r="B353" i="19" s="1"/>
  <c r="O345" i="19" s="1"/>
  <c r="B239" i="19"/>
  <c r="P238" i="19" s="1"/>
  <c r="K90" i="19"/>
  <c r="L90" i="19" s="1"/>
  <c r="K33" i="19"/>
  <c r="L33" i="19" s="1"/>
  <c r="B358" i="19"/>
  <c r="B215" i="19"/>
  <c r="P214" i="19" s="1"/>
  <c r="H410" i="19"/>
  <c r="K110" i="19"/>
  <c r="N357" i="19"/>
  <c r="N371" i="19"/>
  <c r="B148" i="19"/>
  <c r="O15" i="19"/>
  <c r="O13" i="19" s="1"/>
  <c r="K109" i="19"/>
  <c r="L109" i="19" s="1"/>
  <c r="O326" i="19"/>
  <c r="P326" i="19" s="1"/>
  <c r="P163" i="19"/>
  <c r="L114" i="19"/>
  <c r="K132" i="19"/>
  <c r="L132" i="19" s="1"/>
  <c r="K120" i="19"/>
  <c r="L120" i="19" s="1"/>
  <c r="K92" i="19"/>
  <c r="L92" i="19" s="1"/>
  <c r="K69" i="19"/>
  <c r="L69" i="19" s="1"/>
  <c r="K14" i="19"/>
  <c r="L14" i="19" s="1"/>
  <c r="K76" i="19"/>
  <c r="L76" i="19" s="1"/>
  <c r="K78" i="19"/>
  <c r="L78" i="19" s="1"/>
  <c r="K73" i="19"/>
  <c r="L73" i="19" s="1"/>
  <c r="L46" i="19"/>
  <c r="K63" i="19"/>
  <c r="L63" i="19" s="1"/>
  <c r="K64" i="19"/>
  <c r="L64" i="19" s="1"/>
  <c r="K94" i="19"/>
  <c r="L94" i="19" s="1"/>
  <c r="K39" i="19"/>
  <c r="L39" i="19" s="1"/>
  <c r="B174" i="19"/>
  <c r="P173" i="19" s="1"/>
  <c r="B253" i="19"/>
  <c r="P252" i="19" s="1"/>
  <c r="K48" i="19"/>
  <c r="L48" i="19" s="1"/>
  <c r="K59" i="19"/>
  <c r="K41" i="19"/>
  <c r="L41" i="19" s="1"/>
  <c r="K65" i="19"/>
  <c r="L65" i="19" s="1"/>
  <c r="K36" i="19"/>
  <c r="K58" i="19"/>
  <c r="K67" i="19"/>
  <c r="K34" i="19"/>
  <c r="K93" i="19"/>
  <c r="L93" i="19" s="1"/>
  <c r="K87" i="19"/>
  <c r="L87" i="19" s="1"/>
  <c r="K47" i="19"/>
  <c r="L47" i="19" s="1"/>
  <c r="K95" i="19"/>
  <c r="L95" i="19" s="1"/>
  <c r="K62" i="19"/>
  <c r="L62" i="19" s="1"/>
  <c r="K43" i="19"/>
  <c r="K37" i="19"/>
  <c r="L37" i="19" s="1"/>
  <c r="K89" i="19"/>
  <c r="K77" i="19"/>
  <c r="L77" i="19" s="1"/>
  <c r="K80" i="19"/>
  <c r="K56" i="19"/>
  <c r="O195" i="19" s="1"/>
  <c r="O196" i="19" s="1"/>
  <c r="P196" i="19" s="1"/>
  <c r="K55" i="19"/>
  <c r="L55" i="19" s="1"/>
  <c r="K70" i="19"/>
  <c r="L70" i="19" s="1"/>
  <c r="K53" i="19"/>
  <c r="L53" i="19" s="1"/>
  <c r="K44" i="19"/>
  <c r="K82" i="19"/>
  <c r="K72" i="19"/>
  <c r="L72" i="19" s="1"/>
  <c r="K84" i="19"/>
  <c r="O282" i="19" s="1"/>
  <c r="P282" i="19" s="1"/>
  <c r="K71" i="19"/>
  <c r="K38" i="19"/>
  <c r="L38" i="19" s="1"/>
  <c r="K86" i="19"/>
  <c r="L86" i="19" s="1"/>
  <c r="K75" i="19"/>
  <c r="K42" i="19"/>
  <c r="L42" i="19" s="1"/>
  <c r="K91" i="19"/>
  <c r="L91" i="19" s="1"/>
  <c r="K61" i="19"/>
  <c r="K85" i="19"/>
  <c r="L85" i="19" s="1"/>
  <c r="K81" i="19"/>
  <c r="L81" i="19" s="1"/>
  <c r="K54" i="19"/>
  <c r="L54" i="19" s="1"/>
  <c r="K57" i="19"/>
  <c r="O147" i="19" s="1"/>
  <c r="K83" i="19"/>
  <c r="L83" i="19" s="1"/>
  <c r="K50" i="19"/>
  <c r="L134" i="19"/>
  <c r="K143" i="19"/>
  <c r="L143" i="19" s="1"/>
  <c r="O406" i="19" l="1"/>
  <c r="P147" i="19"/>
  <c r="L75" i="19"/>
  <c r="L34" i="19"/>
  <c r="L67" i="19"/>
  <c r="L59" i="19"/>
  <c r="N61" i="19"/>
  <c r="L82" i="19"/>
  <c r="L80" i="19"/>
  <c r="L71" i="19"/>
  <c r="N90" i="19"/>
  <c r="L44" i="19"/>
  <c r="K52" i="19"/>
  <c r="L52" i="19" s="1"/>
  <c r="L84" i="19"/>
  <c r="L36" i="19"/>
  <c r="O225" i="19"/>
  <c r="O226" i="19" s="1"/>
  <c r="P226" i="19" s="1"/>
  <c r="L61" i="19"/>
  <c r="K96" i="19"/>
  <c r="L56" i="19"/>
  <c r="L58" i="19"/>
  <c r="O286" i="19"/>
  <c r="L43" i="19"/>
  <c r="K74" i="19"/>
  <c r="L74" i="19" s="1"/>
  <c r="K40" i="19"/>
  <c r="O331" i="19"/>
  <c r="P331" i="19" s="1"/>
  <c r="K68" i="19"/>
  <c r="L57" i="19"/>
  <c r="L89" i="19"/>
  <c r="K35" i="19"/>
  <c r="L35" i="19" s="1"/>
  <c r="L50" i="19"/>
  <c r="K45" i="19"/>
  <c r="L45" i="19" s="1"/>
  <c r="L40" i="19" l="1"/>
  <c r="P286" i="19"/>
  <c r="I4" i="19" s="1"/>
  <c r="L96" i="19"/>
  <c r="L68" i="19"/>
  <c r="K60" i="19"/>
  <c r="N33" i="19" s="1"/>
  <c r="K88" i="19"/>
  <c r="N67" i="19" s="1"/>
  <c r="L60" i="19" l="1"/>
  <c r="L88"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WIN7</author>
    <author>최은혜(2110564)</author>
    <author>Administrator</author>
    <author>MasterVD</author>
    <author>김유빈(2070415)</author>
  </authors>
  <commentList>
    <comment ref="C16" authorId="0" shapeId="0" xr:uid="{00000000-0006-0000-0300-000001000000}">
      <text>
        <r>
          <rPr>
            <u/>
            <sz val="10"/>
            <color indexed="10"/>
            <rFont val="맑은 고딕"/>
            <family val="3"/>
            <charset val="129"/>
          </rPr>
          <t>Level 1 자산 (가중치 100%)</t>
        </r>
        <r>
          <rPr>
            <sz val="10"/>
            <color indexed="81"/>
            <rFont val="돋움"/>
            <family val="3"/>
            <charset val="129"/>
          </rPr>
          <t xml:space="preserve">
▷현금</t>
        </r>
        <r>
          <rPr>
            <sz val="10"/>
            <color indexed="81"/>
            <rFont val="Tahoma"/>
            <family val="2"/>
          </rPr>
          <t>(</t>
        </r>
        <r>
          <rPr>
            <sz val="10"/>
            <color indexed="81"/>
            <rFont val="돋움"/>
            <family val="3"/>
            <charset val="129"/>
          </rPr>
          <t>주화및</t>
        </r>
        <r>
          <rPr>
            <sz val="10"/>
            <color indexed="81"/>
            <rFont val="Tahoma"/>
            <family val="2"/>
          </rPr>
          <t xml:space="preserve"> </t>
        </r>
        <r>
          <rPr>
            <sz val="10"/>
            <color indexed="81"/>
            <rFont val="돋움"/>
            <family val="3"/>
            <charset val="129"/>
          </rPr>
          <t>지폐</t>
        </r>
        <r>
          <rPr>
            <sz val="10"/>
            <color indexed="81"/>
            <rFont val="Tahoma"/>
            <family val="2"/>
          </rPr>
          <t xml:space="preserve">)
</t>
        </r>
        <r>
          <rPr>
            <sz val="10"/>
            <color indexed="81"/>
            <rFont val="돋움"/>
            <family val="3"/>
            <charset val="129"/>
          </rPr>
          <t>▷중앙은행</t>
        </r>
        <r>
          <rPr>
            <sz val="10"/>
            <color indexed="81"/>
            <rFont val="Tahoma"/>
            <family val="2"/>
          </rPr>
          <t xml:space="preserve"> </t>
        </r>
        <r>
          <rPr>
            <sz val="10"/>
            <color indexed="81"/>
            <rFont val="돋움"/>
            <family val="3"/>
            <charset val="129"/>
          </rPr>
          <t>지급준비금</t>
        </r>
        <r>
          <rPr>
            <sz val="10"/>
            <color indexed="81"/>
            <rFont val="Tahoma"/>
            <family val="2"/>
          </rPr>
          <t>(</t>
        </r>
        <r>
          <rPr>
            <sz val="10"/>
            <color indexed="81"/>
            <rFont val="돋움"/>
            <family val="3"/>
            <charset val="129"/>
          </rPr>
          <t>위기상황시</t>
        </r>
        <r>
          <rPr>
            <sz val="10"/>
            <color indexed="81"/>
            <rFont val="Tahoma"/>
            <family val="2"/>
          </rPr>
          <t xml:space="preserve"> </t>
        </r>
        <r>
          <rPr>
            <sz val="10"/>
            <color indexed="81"/>
            <rFont val="돋움"/>
            <family val="3"/>
            <charset val="129"/>
          </rPr>
          <t>인출가능금액</t>
        </r>
        <r>
          <rPr>
            <sz val="10"/>
            <color indexed="81"/>
            <rFont val="Tahoma"/>
            <family val="2"/>
          </rPr>
          <t xml:space="preserve">)
</t>
        </r>
        <r>
          <rPr>
            <sz val="10"/>
            <color indexed="81"/>
            <rFont val="돋움"/>
            <family val="3"/>
            <charset val="129"/>
          </rPr>
          <t>▷</t>
        </r>
        <r>
          <rPr>
            <sz val="10"/>
            <color indexed="81"/>
            <rFont val="Tahoma"/>
            <family val="2"/>
          </rPr>
          <t xml:space="preserve">0% </t>
        </r>
        <r>
          <rPr>
            <sz val="10"/>
            <color indexed="81"/>
            <rFont val="돋움"/>
            <family val="3"/>
            <charset val="129"/>
          </rPr>
          <t>위험가중치</t>
        </r>
        <r>
          <rPr>
            <sz val="10"/>
            <color indexed="81"/>
            <rFont val="Tahoma"/>
            <family val="2"/>
          </rPr>
          <t xml:space="preserve"> </t>
        </r>
        <r>
          <rPr>
            <sz val="10"/>
            <color indexed="81"/>
            <rFont val="돋움"/>
            <family val="3"/>
            <charset val="129"/>
          </rPr>
          <t>적용</t>
        </r>
        <r>
          <rPr>
            <sz val="10"/>
            <color indexed="81"/>
            <rFont val="Tahoma"/>
            <family val="2"/>
          </rPr>
          <t xml:space="preserve"> </t>
        </r>
        <r>
          <rPr>
            <sz val="10"/>
            <color indexed="81"/>
            <rFont val="돋움"/>
            <family val="3"/>
            <charset val="129"/>
          </rPr>
          <t xml:space="preserve">유가증권
</t>
        </r>
        <r>
          <rPr>
            <sz val="10"/>
            <color indexed="81"/>
            <rFont val="Tahoma"/>
            <family val="2"/>
          </rPr>
          <t xml:space="preserve">    - </t>
        </r>
        <r>
          <rPr>
            <sz val="10"/>
            <color indexed="81"/>
            <rFont val="돋움"/>
            <family val="3"/>
            <charset val="129"/>
          </rPr>
          <t>정부가</t>
        </r>
        <r>
          <rPr>
            <sz val="10"/>
            <color indexed="81"/>
            <rFont val="Tahoma"/>
            <family val="2"/>
          </rPr>
          <t xml:space="preserve"> </t>
        </r>
        <r>
          <rPr>
            <sz val="10"/>
            <color indexed="81"/>
            <rFont val="돋움"/>
            <family val="3"/>
            <charset val="129"/>
          </rPr>
          <t>발행한</t>
        </r>
        <r>
          <rPr>
            <sz val="10"/>
            <color indexed="81"/>
            <rFont val="Tahoma"/>
            <family val="2"/>
          </rPr>
          <t xml:space="preserve"> </t>
        </r>
        <r>
          <rPr>
            <sz val="10"/>
            <color indexed="81"/>
            <rFont val="돋움"/>
            <family val="3"/>
            <charset val="129"/>
          </rPr>
          <t xml:space="preserve">유가증권
</t>
        </r>
        <r>
          <rPr>
            <sz val="10"/>
            <color indexed="81"/>
            <rFont val="Tahoma"/>
            <family val="2"/>
          </rPr>
          <t xml:space="preserve">    - </t>
        </r>
        <r>
          <rPr>
            <sz val="10"/>
            <color indexed="81"/>
            <rFont val="돋움"/>
            <family val="3"/>
            <charset val="129"/>
          </rPr>
          <t>정부가</t>
        </r>
        <r>
          <rPr>
            <sz val="10"/>
            <color indexed="81"/>
            <rFont val="Tahoma"/>
            <family val="2"/>
          </rPr>
          <t xml:space="preserve"> </t>
        </r>
        <r>
          <rPr>
            <sz val="10"/>
            <color indexed="81"/>
            <rFont val="돋움"/>
            <family val="3"/>
            <charset val="129"/>
          </rPr>
          <t>보증한</t>
        </r>
        <r>
          <rPr>
            <sz val="10"/>
            <color indexed="81"/>
            <rFont val="Tahoma"/>
            <family val="2"/>
          </rPr>
          <t xml:space="preserve"> </t>
        </r>
        <r>
          <rPr>
            <sz val="10"/>
            <color indexed="81"/>
            <rFont val="돋움"/>
            <family val="3"/>
            <charset val="129"/>
          </rPr>
          <t xml:space="preserve">유가증권
</t>
        </r>
        <r>
          <rPr>
            <sz val="10"/>
            <color indexed="81"/>
            <rFont val="Tahoma"/>
            <family val="2"/>
          </rPr>
          <t xml:space="preserve">    - </t>
        </r>
        <r>
          <rPr>
            <sz val="10"/>
            <color indexed="81"/>
            <rFont val="돋움"/>
            <family val="3"/>
            <charset val="129"/>
          </rPr>
          <t>중앙은행이</t>
        </r>
        <r>
          <rPr>
            <sz val="10"/>
            <color indexed="81"/>
            <rFont val="Tahoma"/>
            <family val="2"/>
          </rPr>
          <t xml:space="preserve"> </t>
        </r>
        <r>
          <rPr>
            <sz val="10"/>
            <color indexed="81"/>
            <rFont val="돋움"/>
            <family val="3"/>
            <charset val="129"/>
          </rPr>
          <t>발행하거나</t>
        </r>
        <r>
          <rPr>
            <sz val="10"/>
            <color indexed="81"/>
            <rFont val="Tahoma"/>
            <family val="2"/>
          </rPr>
          <t xml:space="preserve"> </t>
        </r>
        <r>
          <rPr>
            <sz val="10"/>
            <color indexed="81"/>
            <rFont val="돋움"/>
            <family val="3"/>
            <charset val="129"/>
          </rPr>
          <t>보증한</t>
        </r>
        <r>
          <rPr>
            <sz val="10"/>
            <color indexed="81"/>
            <rFont val="Tahoma"/>
            <family val="2"/>
          </rPr>
          <t xml:space="preserve"> </t>
        </r>
        <r>
          <rPr>
            <sz val="10"/>
            <color indexed="81"/>
            <rFont val="돋움"/>
            <family val="3"/>
            <charset val="129"/>
          </rPr>
          <t xml:space="preserve">유가증권
</t>
        </r>
        <r>
          <rPr>
            <sz val="10"/>
            <color indexed="81"/>
            <rFont val="Tahoma"/>
            <family val="2"/>
          </rPr>
          <t xml:space="preserve">    - </t>
        </r>
        <r>
          <rPr>
            <sz val="10"/>
            <color indexed="81"/>
            <rFont val="돋움"/>
            <family val="3"/>
            <charset val="129"/>
          </rPr>
          <t>공공기관이</t>
        </r>
        <r>
          <rPr>
            <sz val="10"/>
            <color indexed="81"/>
            <rFont val="Tahoma"/>
            <family val="2"/>
          </rPr>
          <t xml:space="preserve"> </t>
        </r>
        <r>
          <rPr>
            <sz val="10"/>
            <color indexed="81"/>
            <rFont val="돋움"/>
            <family val="3"/>
            <charset val="129"/>
          </rPr>
          <t>발행하거나</t>
        </r>
        <r>
          <rPr>
            <sz val="10"/>
            <color indexed="81"/>
            <rFont val="Tahoma"/>
            <family val="2"/>
          </rPr>
          <t xml:space="preserve"> </t>
        </r>
        <r>
          <rPr>
            <sz val="10"/>
            <color indexed="81"/>
            <rFont val="돋움"/>
            <family val="3"/>
            <charset val="129"/>
          </rPr>
          <t>보증한</t>
        </r>
        <r>
          <rPr>
            <sz val="10"/>
            <color indexed="81"/>
            <rFont val="Tahoma"/>
            <family val="2"/>
          </rPr>
          <t xml:space="preserve"> </t>
        </r>
        <r>
          <rPr>
            <sz val="10"/>
            <color indexed="81"/>
            <rFont val="돋움"/>
            <family val="3"/>
            <charset val="129"/>
          </rPr>
          <t xml:space="preserve">유가증권
</t>
        </r>
        <r>
          <rPr>
            <sz val="10"/>
            <color indexed="81"/>
            <rFont val="Tahoma"/>
            <family val="2"/>
          </rPr>
          <t xml:space="preserve">    - BIS,IMF,ECB </t>
        </r>
        <r>
          <rPr>
            <sz val="10"/>
            <color indexed="81"/>
            <rFont val="돋움"/>
            <family val="3"/>
            <charset val="129"/>
          </rPr>
          <t>및</t>
        </r>
        <r>
          <rPr>
            <sz val="10"/>
            <color indexed="81"/>
            <rFont val="Tahoma"/>
            <family val="2"/>
          </rPr>
          <t xml:space="preserve"> EC </t>
        </r>
        <r>
          <rPr>
            <sz val="10"/>
            <color indexed="81"/>
            <rFont val="돋움"/>
            <family val="3"/>
            <charset val="129"/>
          </rPr>
          <t>또는</t>
        </r>
        <r>
          <rPr>
            <sz val="10"/>
            <color indexed="81"/>
            <rFont val="Tahoma"/>
            <family val="2"/>
          </rPr>
          <t xml:space="preserve"> </t>
        </r>
        <r>
          <rPr>
            <sz val="10"/>
            <color indexed="81"/>
            <rFont val="돋움"/>
            <family val="3"/>
            <charset val="129"/>
          </rPr>
          <t>다자개발은행이</t>
        </r>
        <r>
          <rPr>
            <sz val="10"/>
            <color indexed="81"/>
            <rFont val="Tahoma"/>
            <family val="2"/>
          </rPr>
          <t xml:space="preserve"> </t>
        </r>
        <r>
          <rPr>
            <sz val="10"/>
            <color indexed="81"/>
            <rFont val="돋움"/>
            <family val="3"/>
            <charset val="129"/>
          </rPr>
          <t>발행하거나</t>
        </r>
        <r>
          <rPr>
            <sz val="10"/>
            <color indexed="81"/>
            <rFont val="Tahoma"/>
            <family val="2"/>
          </rPr>
          <t xml:space="preserve"> </t>
        </r>
        <r>
          <rPr>
            <sz val="10"/>
            <color indexed="81"/>
            <rFont val="돋움"/>
            <family val="3"/>
            <charset val="129"/>
          </rPr>
          <t>보증한</t>
        </r>
        <r>
          <rPr>
            <sz val="10"/>
            <color indexed="81"/>
            <rFont val="Tahoma"/>
            <family val="2"/>
          </rPr>
          <t xml:space="preserve"> </t>
        </r>
        <r>
          <rPr>
            <sz val="10"/>
            <color indexed="81"/>
            <rFont val="돋움"/>
            <family val="3"/>
            <charset val="129"/>
          </rPr>
          <t>유가증권
▷</t>
        </r>
        <r>
          <rPr>
            <sz val="10"/>
            <color indexed="81"/>
            <rFont val="Tahoma"/>
            <family val="2"/>
          </rPr>
          <t>0%</t>
        </r>
        <r>
          <rPr>
            <sz val="10"/>
            <color indexed="81"/>
            <rFont val="돋움"/>
            <family val="3"/>
            <charset val="129"/>
          </rPr>
          <t>가</t>
        </r>
        <r>
          <rPr>
            <sz val="10"/>
            <color indexed="81"/>
            <rFont val="Tahoma"/>
            <family val="2"/>
          </rPr>
          <t xml:space="preserve"> </t>
        </r>
        <r>
          <rPr>
            <sz val="10"/>
            <color indexed="81"/>
            <rFont val="돋움"/>
            <family val="3"/>
            <charset val="129"/>
          </rPr>
          <t>아닌</t>
        </r>
        <r>
          <rPr>
            <sz val="10"/>
            <color indexed="81"/>
            <rFont val="Tahoma"/>
            <family val="2"/>
          </rPr>
          <t xml:space="preserve"> </t>
        </r>
        <r>
          <rPr>
            <sz val="10"/>
            <color indexed="81"/>
            <rFont val="돋움"/>
            <family val="3"/>
            <charset val="129"/>
          </rPr>
          <t>위험가중치를</t>
        </r>
        <r>
          <rPr>
            <sz val="10"/>
            <color indexed="81"/>
            <rFont val="Tahoma"/>
            <family val="2"/>
          </rPr>
          <t xml:space="preserve"> </t>
        </r>
        <r>
          <rPr>
            <sz val="10"/>
            <color indexed="81"/>
            <rFont val="돋움"/>
            <family val="3"/>
            <charset val="129"/>
          </rPr>
          <t>적용받는</t>
        </r>
        <r>
          <rPr>
            <sz val="10"/>
            <color indexed="81"/>
            <rFont val="Tahoma"/>
            <family val="2"/>
          </rPr>
          <t xml:space="preserve"> </t>
        </r>
        <r>
          <rPr>
            <sz val="10"/>
            <color indexed="81"/>
            <rFont val="돋움"/>
            <family val="3"/>
            <charset val="129"/>
          </rPr>
          <t xml:space="preserve">국가관련
</t>
        </r>
        <r>
          <rPr>
            <sz val="10"/>
            <color indexed="81"/>
            <rFont val="Tahoma"/>
            <family val="2"/>
          </rPr>
          <t xml:space="preserve">    - </t>
        </r>
        <r>
          <rPr>
            <sz val="10"/>
            <color indexed="81"/>
            <rFont val="돋움"/>
            <family val="3"/>
            <charset val="129"/>
          </rPr>
          <t>은행이</t>
        </r>
        <r>
          <rPr>
            <sz val="10"/>
            <color indexed="81"/>
            <rFont val="Tahoma"/>
            <family val="2"/>
          </rPr>
          <t xml:space="preserve"> </t>
        </r>
        <r>
          <rPr>
            <sz val="10"/>
            <color indexed="81"/>
            <rFont val="돋움"/>
            <family val="3"/>
            <charset val="129"/>
          </rPr>
          <t>지점이나</t>
        </r>
        <r>
          <rPr>
            <sz val="10"/>
            <color indexed="81"/>
            <rFont val="Tahoma"/>
            <family val="2"/>
          </rPr>
          <t xml:space="preserve"> </t>
        </r>
        <r>
          <rPr>
            <sz val="10"/>
            <color indexed="81"/>
            <rFont val="돋움"/>
            <family val="3"/>
            <charset val="129"/>
          </rPr>
          <t>자회사를</t>
        </r>
        <r>
          <rPr>
            <sz val="10"/>
            <color indexed="81"/>
            <rFont val="Tahoma"/>
            <family val="2"/>
          </rPr>
          <t xml:space="preserve"> </t>
        </r>
        <r>
          <rPr>
            <sz val="10"/>
            <color indexed="81"/>
            <rFont val="돋움"/>
            <family val="3"/>
            <charset val="129"/>
          </rPr>
          <t>운영하는</t>
        </r>
        <r>
          <rPr>
            <sz val="10"/>
            <color indexed="81"/>
            <rFont val="Tahoma"/>
            <family val="2"/>
          </rPr>
          <t xml:space="preserve"> </t>
        </r>
        <r>
          <rPr>
            <sz val="10"/>
            <color indexed="81"/>
            <rFont val="돋움"/>
            <family val="3"/>
            <charset val="129"/>
          </rPr>
          <t>진출국</t>
        </r>
        <r>
          <rPr>
            <sz val="10"/>
            <color indexed="81"/>
            <rFont val="Tahoma"/>
            <family val="2"/>
          </rPr>
          <t xml:space="preserve"> </t>
        </r>
        <r>
          <rPr>
            <sz val="10"/>
            <color indexed="81"/>
            <rFont val="돋움"/>
            <family val="3"/>
            <charset val="129"/>
          </rPr>
          <t>또는</t>
        </r>
        <r>
          <rPr>
            <sz val="10"/>
            <color indexed="81"/>
            <rFont val="Tahoma"/>
            <family val="2"/>
          </rPr>
          <t xml:space="preserve"> </t>
        </r>
        <r>
          <rPr>
            <sz val="10"/>
            <color indexed="81"/>
            <rFont val="돋움"/>
            <family val="3"/>
            <charset val="129"/>
          </rPr>
          <t>은행</t>
        </r>
        <r>
          <rPr>
            <sz val="10"/>
            <color indexed="81"/>
            <rFont val="Tahoma"/>
            <family val="2"/>
          </rPr>
          <t xml:space="preserve"> </t>
        </r>
        <r>
          <rPr>
            <sz val="10"/>
            <color indexed="81"/>
            <rFont val="돋움"/>
            <family val="3"/>
            <charset val="129"/>
          </rPr>
          <t>본점</t>
        </r>
        <r>
          <rPr>
            <sz val="10"/>
            <color indexed="81"/>
            <rFont val="Tahoma"/>
            <family val="2"/>
          </rPr>
          <t xml:space="preserve"> </t>
        </r>
        <r>
          <rPr>
            <sz val="10"/>
            <color indexed="81"/>
            <rFont val="돋움"/>
            <family val="3"/>
            <charset val="129"/>
          </rPr>
          <t>소재국의</t>
        </r>
        <r>
          <rPr>
            <sz val="10"/>
            <color indexed="81"/>
            <rFont val="Tahoma"/>
            <family val="2"/>
          </rPr>
          <t xml:space="preserve"> 
       </t>
        </r>
        <r>
          <rPr>
            <sz val="10"/>
            <color indexed="81"/>
            <rFont val="돋움"/>
            <family val="3"/>
            <charset val="129"/>
          </rPr>
          <t>정부나</t>
        </r>
        <r>
          <rPr>
            <sz val="10"/>
            <color indexed="81"/>
            <rFont val="Tahoma"/>
            <family val="2"/>
          </rPr>
          <t xml:space="preserve"> </t>
        </r>
        <r>
          <rPr>
            <sz val="10"/>
            <color indexed="81"/>
            <rFont val="돋움"/>
            <family val="3"/>
            <charset val="129"/>
          </rPr>
          <t>중앙은행이</t>
        </r>
        <r>
          <rPr>
            <sz val="10"/>
            <color indexed="81"/>
            <rFont val="Tahoma"/>
            <family val="2"/>
          </rPr>
          <t xml:space="preserve"> </t>
        </r>
        <r>
          <rPr>
            <sz val="10"/>
            <color indexed="81"/>
            <rFont val="돋움"/>
            <family val="3"/>
            <charset val="129"/>
          </rPr>
          <t>현지</t>
        </r>
        <r>
          <rPr>
            <sz val="10"/>
            <color indexed="81"/>
            <rFont val="Tahoma"/>
            <family val="2"/>
          </rPr>
          <t xml:space="preserve"> </t>
        </r>
        <r>
          <rPr>
            <sz val="10"/>
            <color indexed="81"/>
            <rFont val="돋움"/>
            <family val="3"/>
            <charset val="129"/>
          </rPr>
          <t>통화로</t>
        </r>
        <r>
          <rPr>
            <sz val="10"/>
            <color indexed="81"/>
            <rFont val="Tahoma"/>
            <family val="2"/>
          </rPr>
          <t xml:space="preserve"> </t>
        </r>
        <r>
          <rPr>
            <sz val="10"/>
            <color indexed="81"/>
            <rFont val="돋움"/>
            <family val="3"/>
            <charset val="129"/>
          </rPr>
          <t>발행한</t>
        </r>
        <r>
          <rPr>
            <sz val="10"/>
            <color indexed="81"/>
            <rFont val="Tahoma"/>
            <family val="2"/>
          </rPr>
          <t xml:space="preserve"> </t>
        </r>
        <r>
          <rPr>
            <sz val="10"/>
            <color indexed="81"/>
            <rFont val="돋움"/>
            <family val="3"/>
            <charset val="129"/>
          </rPr>
          <t>국채</t>
        </r>
        <r>
          <rPr>
            <sz val="10"/>
            <color indexed="81"/>
            <rFont val="Tahoma"/>
            <family val="2"/>
          </rPr>
          <t xml:space="preserve"> </t>
        </r>
        <r>
          <rPr>
            <sz val="10"/>
            <color indexed="81"/>
            <rFont val="돋움"/>
            <family val="3"/>
            <charset val="129"/>
          </rPr>
          <t>또는</t>
        </r>
        <r>
          <rPr>
            <sz val="10"/>
            <color indexed="81"/>
            <rFont val="Tahoma"/>
            <family val="2"/>
          </rPr>
          <t xml:space="preserve"> </t>
        </r>
        <r>
          <rPr>
            <sz val="10"/>
            <color indexed="81"/>
            <rFont val="돋움"/>
            <family val="3"/>
            <charset val="129"/>
          </rPr>
          <t>중앙은행</t>
        </r>
        <r>
          <rPr>
            <sz val="10"/>
            <color indexed="81"/>
            <rFont val="Tahoma"/>
            <family val="2"/>
          </rPr>
          <t xml:space="preserve"> </t>
        </r>
        <r>
          <rPr>
            <sz val="10"/>
            <color indexed="81"/>
            <rFont val="돋움"/>
            <family val="3"/>
            <charset val="129"/>
          </rPr>
          <t xml:space="preserve">채무증권
</t>
        </r>
        <r>
          <rPr>
            <sz val="10"/>
            <color indexed="81"/>
            <rFont val="Tahoma"/>
            <family val="2"/>
          </rPr>
          <t xml:space="preserve">    -  </t>
        </r>
        <r>
          <rPr>
            <sz val="10"/>
            <color indexed="81"/>
            <rFont val="돋움"/>
            <family val="3"/>
            <charset val="129"/>
          </rPr>
          <t>정부나</t>
        </r>
        <r>
          <rPr>
            <sz val="10"/>
            <color indexed="81"/>
            <rFont val="Tahoma"/>
            <family val="2"/>
          </rPr>
          <t xml:space="preserve"> </t>
        </r>
        <r>
          <rPr>
            <sz val="10"/>
            <color indexed="81"/>
            <rFont val="돋움"/>
            <family val="3"/>
            <charset val="129"/>
          </rPr>
          <t>중앙은행이</t>
        </r>
        <r>
          <rPr>
            <sz val="10"/>
            <color indexed="81"/>
            <rFont val="Tahoma"/>
            <family val="2"/>
          </rPr>
          <t xml:space="preserve"> </t>
        </r>
        <r>
          <rPr>
            <sz val="10"/>
            <color indexed="81"/>
            <rFont val="돋움"/>
            <family val="3"/>
            <charset val="129"/>
          </rPr>
          <t>외화로</t>
        </r>
        <r>
          <rPr>
            <sz val="10"/>
            <color indexed="81"/>
            <rFont val="Tahoma"/>
            <family val="2"/>
          </rPr>
          <t xml:space="preserve"> </t>
        </r>
        <r>
          <rPr>
            <sz val="10"/>
            <color indexed="81"/>
            <rFont val="돋움"/>
            <family val="3"/>
            <charset val="129"/>
          </rPr>
          <t>발행한</t>
        </r>
        <r>
          <rPr>
            <sz val="10"/>
            <color indexed="81"/>
            <rFont val="Tahoma"/>
            <family val="2"/>
          </rPr>
          <t xml:space="preserve"> </t>
        </r>
        <r>
          <rPr>
            <sz val="10"/>
            <color indexed="81"/>
            <rFont val="돋움"/>
            <family val="3"/>
            <charset val="129"/>
          </rPr>
          <t>채무증권</t>
        </r>
        <r>
          <rPr>
            <sz val="10"/>
            <color indexed="81"/>
            <rFont val="Tahoma"/>
            <family val="2"/>
          </rPr>
          <t xml:space="preserve"> </t>
        </r>
        <r>
          <rPr>
            <sz val="10"/>
            <color indexed="81"/>
            <rFont val="돋움"/>
            <family val="3"/>
            <charset val="129"/>
          </rPr>
          <t>중</t>
        </r>
        <r>
          <rPr>
            <sz val="10"/>
            <color indexed="81"/>
            <rFont val="Tahoma"/>
            <family val="2"/>
          </rPr>
          <t xml:space="preserve"> </t>
        </r>
        <r>
          <rPr>
            <sz val="10"/>
            <color indexed="81"/>
            <rFont val="돋움"/>
            <family val="3"/>
            <charset val="129"/>
          </rPr>
          <t>은행이</t>
        </r>
        <r>
          <rPr>
            <sz val="10"/>
            <color indexed="81"/>
            <rFont val="Tahoma"/>
            <family val="2"/>
          </rPr>
          <t xml:space="preserve"> </t>
        </r>
        <r>
          <rPr>
            <sz val="10"/>
            <color indexed="81"/>
            <rFont val="돋움"/>
            <family val="3"/>
            <charset val="129"/>
          </rPr>
          <t>지점이나</t>
        </r>
        <r>
          <rPr>
            <sz val="10"/>
            <color indexed="81"/>
            <rFont val="Tahoma"/>
            <family val="2"/>
          </rPr>
          <t xml:space="preserve"> </t>
        </r>
        <r>
          <rPr>
            <sz val="10"/>
            <color indexed="81"/>
            <rFont val="돋움"/>
            <family val="3"/>
            <charset val="129"/>
          </rPr>
          <t>자회사를</t>
        </r>
        <r>
          <rPr>
            <sz val="10"/>
            <color indexed="81"/>
            <rFont val="Tahoma"/>
            <family val="2"/>
          </rPr>
          <t xml:space="preserve"> 
       </t>
        </r>
        <r>
          <rPr>
            <sz val="10"/>
            <color indexed="81"/>
            <rFont val="돋움"/>
            <family val="3"/>
            <charset val="129"/>
          </rPr>
          <t>운영하는</t>
        </r>
        <r>
          <rPr>
            <sz val="10"/>
            <color indexed="81"/>
            <rFont val="Tahoma"/>
            <family val="2"/>
          </rPr>
          <t xml:space="preserve"> </t>
        </r>
        <r>
          <rPr>
            <sz val="10"/>
            <color indexed="81"/>
            <rFont val="돋움"/>
            <family val="3"/>
            <charset val="129"/>
          </rPr>
          <t>해당</t>
        </r>
        <r>
          <rPr>
            <sz val="10"/>
            <color indexed="81"/>
            <rFont val="Tahoma"/>
            <family val="2"/>
          </rPr>
          <t xml:space="preserve"> </t>
        </r>
        <r>
          <rPr>
            <sz val="10"/>
            <color indexed="81"/>
            <rFont val="돋움"/>
            <family val="3"/>
            <charset val="129"/>
          </rPr>
          <t>진출국</t>
        </r>
        <r>
          <rPr>
            <sz val="10"/>
            <color indexed="81"/>
            <rFont val="Tahoma"/>
            <family val="2"/>
          </rPr>
          <t xml:space="preserve"> </t>
        </r>
        <r>
          <rPr>
            <sz val="10"/>
            <color indexed="81"/>
            <rFont val="돋움"/>
            <family val="3"/>
            <charset val="129"/>
          </rPr>
          <t>내에서</t>
        </r>
        <r>
          <rPr>
            <sz val="10"/>
            <color indexed="81"/>
            <rFont val="Tahoma"/>
            <family val="2"/>
          </rPr>
          <t xml:space="preserve"> </t>
        </r>
        <r>
          <rPr>
            <sz val="10"/>
            <color indexed="81"/>
            <rFont val="돋움"/>
            <family val="3"/>
            <charset val="129"/>
          </rPr>
          <t>은행의</t>
        </r>
        <r>
          <rPr>
            <sz val="10"/>
            <color indexed="81"/>
            <rFont val="Tahoma"/>
            <family val="2"/>
          </rPr>
          <t xml:space="preserve"> </t>
        </r>
        <r>
          <rPr>
            <sz val="10"/>
            <color indexed="81"/>
            <rFont val="돋움"/>
            <family val="3"/>
            <charset val="129"/>
          </rPr>
          <t>영업활동으로</t>
        </r>
        <r>
          <rPr>
            <sz val="10"/>
            <color indexed="81"/>
            <rFont val="Tahoma"/>
            <family val="2"/>
          </rPr>
          <t xml:space="preserve"> </t>
        </r>
        <r>
          <rPr>
            <sz val="10"/>
            <color indexed="81"/>
            <rFont val="돋움"/>
            <family val="3"/>
            <charset val="129"/>
          </rPr>
          <t>발생할</t>
        </r>
        <r>
          <rPr>
            <sz val="10"/>
            <color indexed="81"/>
            <rFont val="Tahoma"/>
            <family val="2"/>
          </rPr>
          <t xml:space="preserve"> </t>
        </r>
        <r>
          <rPr>
            <sz val="10"/>
            <color indexed="81"/>
            <rFont val="돋움"/>
            <family val="3"/>
            <charset val="129"/>
          </rPr>
          <t>수</t>
        </r>
        <r>
          <rPr>
            <sz val="10"/>
            <color indexed="81"/>
            <rFont val="Tahoma"/>
            <family val="2"/>
          </rPr>
          <t xml:space="preserve"> </t>
        </r>
        <r>
          <rPr>
            <sz val="10"/>
            <color indexed="81"/>
            <rFont val="돋움"/>
            <family val="3"/>
            <charset val="129"/>
          </rPr>
          <t>있는</t>
        </r>
        <r>
          <rPr>
            <sz val="10"/>
            <color indexed="81"/>
            <rFont val="Tahoma"/>
            <family val="2"/>
          </rPr>
          <t xml:space="preserve"> </t>
        </r>
        <r>
          <rPr>
            <sz val="10"/>
            <color indexed="81"/>
            <rFont val="돋움"/>
            <family val="3"/>
            <charset val="129"/>
          </rPr>
          <t>동일</t>
        </r>
        <r>
          <rPr>
            <sz val="10"/>
            <color indexed="81"/>
            <rFont val="Tahoma"/>
            <family val="2"/>
          </rPr>
          <t xml:space="preserve"> 
       </t>
        </r>
        <r>
          <rPr>
            <sz val="10"/>
            <color indexed="81"/>
            <rFont val="돋움"/>
            <family val="3"/>
            <charset val="129"/>
          </rPr>
          <t>외화</t>
        </r>
        <r>
          <rPr>
            <sz val="10"/>
            <color indexed="81"/>
            <rFont val="Tahoma"/>
            <family val="2"/>
          </rPr>
          <t xml:space="preserve"> </t>
        </r>
        <r>
          <rPr>
            <sz val="10"/>
            <color indexed="81"/>
            <rFont val="돋움"/>
            <family val="3"/>
            <charset val="129"/>
          </rPr>
          <t>표시</t>
        </r>
        <r>
          <rPr>
            <sz val="10"/>
            <color indexed="81"/>
            <rFont val="Tahoma"/>
            <family val="2"/>
          </rPr>
          <t xml:space="preserve"> </t>
        </r>
        <r>
          <rPr>
            <sz val="10"/>
            <color indexed="81"/>
            <rFont val="돋움"/>
            <family val="3"/>
            <charset val="129"/>
          </rPr>
          <t>순현금유출액에</t>
        </r>
        <r>
          <rPr>
            <sz val="10"/>
            <color indexed="81"/>
            <rFont val="Tahoma"/>
            <family val="2"/>
          </rPr>
          <t xml:space="preserve"> </t>
        </r>
        <r>
          <rPr>
            <sz val="10"/>
            <color indexed="81"/>
            <rFont val="돋움"/>
            <family val="3"/>
            <charset val="129"/>
          </rPr>
          <t>상응하는</t>
        </r>
        <r>
          <rPr>
            <sz val="10"/>
            <color indexed="81"/>
            <rFont val="Tahoma"/>
            <family val="2"/>
          </rPr>
          <t xml:space="preserve"> </t>
        </r>
        <r>
          <rPr>
            <sz val="10"/>
            <color indexed="81"/>
            <rFont val="돋움"/>
            <family val="3"/>
            <charset val="129"/>
          </rPr>
          <t>수준의</t>
        </r>
        <r>
          <rPr>
            <sz val="10"/>
            <color indexed="81"/>
            <rFont val="Tahoma"/>
            <family val="2"/>
          </rPr>
          <t xml:space="preserve"> </t>
        </r>
        <r>
          <rPr>
            <sz val="10"/>
            <color indexed="81"/>
            <rFont val="돋움"/>
            <family val="3"/>
            <charset val="129"/>
          </rPr>
          <t>보유분</t>
        </r>
      </text>
    </comment>
    <comment ref="I16" authorId="1" shapeId="0" xr:uid="{00000000-0006-0000-0300-000002000000}">
      <text>
        <r>
          <rPr>
            <sz val="9"/>
            <color indexed="81"/>
            <rFont val="돋움"/>
            <family val="3"/>
            <charset val="129"/>
          </rPr>
          <t>한도차감액 기 반영분</t>
        </r>
        <r>
          <rPr>
            <sz val="9"/>
            <color indexed="81"/>
            <rFont val="Tahoma"/>
            <family val="2"/>
          </rPr>
          <t xml:space="preserve">
</t>
        </r>
      </text>
    </comment>
    <comment ref="J16" authorId="1" shapeId="0" xr:uid="{00000000-0006-0000-0300-000003000000}">
      <text>
        <r>
          <rPr>
            <sz val="9"/>
            <color indexed="81"/>
            <rFont val="돋움"/>
            <family val="3"/>
            <charset val="129"/>
          </rPr>
          <t>한도차감액 기 반영분</t>
        </r>
        <r>
          <rPr>
            <sz val="9"/>
            <color indexed="81"/>
            <rFont val="Tahoma"/>
            <family val="2"/>
          </rPr>
          <t xml:space="preserve">
</t>
        </r>
      </text>
    </comment>
    <comment ref="K16" authorId="1" shapeId="0" xr:uid="{00000000-0006-0000-0300-000004000000}">
      <text>
        <r>
          <rPr>
            <sz val="9"/>
            <color indexed="81"/>
            <rFont val="돋움"/>
            <family val="3"/>
            <charset val="129"/>
          </rPr>
          <t>한도차감액 기 반영분</t>
        </r>
        <r>
          <rPr>
            <sz val="9"/>
            <color indexed="81"/>
            <rFont val="Tahoma"/>
            <family val="2"/>
          </rPr>
          <t xml:space="preserve">
</t>
        </r>
      </text>
    </comment>
    <comment ref="C18" authorId="0" shapeId="0" xr:uid="{00000000-0006-0000-0300-000005000000}">
      <text>
        <r>
          <rPr>
            <b/>
            <u/>
            <sz val="11"/>
            <color indexed="10"/>
            <rFont val="맑은 고딕"/>
            <family val="3"/>
            <charset val="129"/>
          </rPr>
          <t>Level 2A 자산 (가중치 85%)</t>
        </r>
        <r>
          <rPr>
            <b/>
            <sz val="9"/>
            <color indexed="81"/>
            <rFont val="돋움"/>
            <family val="3"/>
            <charset val="129"/>
          </rPr>
          <t xml:space="preserve">
▷</t>
        </r>
        <r>
          <rPr>
            <b/>
            <sz val="9"/>
            <color indexed="81"/>
            <rFont val="맑은 고딕"/>
            <family val="3"/>
            <charset val="129"/>
          </rPr>
          <t xml:space="preserve">20% </t>
        </r>
        <r>
          <rPr>
            <b/>
            <sz val="9"/>
            <color indexed="81"/>
            <rFont val="돋움"/>
            <family val="3"/>
            <charset val="129"/>
          </rPr>
          <t>위험가중치</t>
        </r>
        <r>
          <rPr>
            <b/>
            <sz val="9"/>
            <color indexed="81"/>
            <rFont val="맑은 고딕"/>
            <family val="3"/>
            <charset val="129"/>
          </rPr>
          <t xml:space="preserve"> </t>
        </r>
        <r>
          <rPr>
            <b/>
            <sz val="9"/>
            <color indexed="81"/>
            <rFont val="돋움"/>
            <family val="3"/>
            <charset val="129"/>
          </rPr>
          <t>적용</t>
        </r>
        <r>
          <rPr>
            <b/>
            <sz val="9"/>
            <color indexed="81"/>
            <rFont val="맑은 고딕"/>
            <family val="3"/>
            <charset val="129"/>
          </rPr>
          <t xml:space="preserve"> </t>
        </r>
        <r>
          <rPr>
            <b/>
            <sz val="9"/>
            <color indexed="81"/>
            <rFont val="돋움"/>
            <family val="3"/>
            <charset val="129"/>
          </rPr>
          <t xml:space="preserve">유가증권
</t>
        </r>
        <r>
          <rPr>
            <b/>
            <sz val="9"/>
            <color indexed="81"/>
            <rFont val="맑은 고딕"/>
            <family val="3"/>
            <charset val="129"/>
          </rPr>
          <t xml:space="preserve">    - </t>
        </r>
        <r>
          <rPr>
            <b/>
            <sz val="9"/>
            <color indexed="81"/>
            <rFont val="돋움"/>
            <family val="3"/>
            <charset val="129"/>
          </rPr>
          <t>정부가</t>
        </r>
        <r>
          <rPr>
            <b/>
            <sz val="9"/>
            <color indexed="81"/>
            <rFont val="맑은 고딕"/>
            <family val="3"/>
            <charset val="129"/>
          </rPr>
          <t xml:space="preserve"> </t>
        </r>
        <r>
          <rPr>
            <b/>
            <sz val="9"/>
            <color indexed="81"/>
            <rFont val="돋움"/>
            <family val="3"/>
            <charset val="129"/>
          </rPr>
          <t>발행한</t>
        </r>
        <r>
          <rPr>
            <b/>
            <sz val="9"/>
            <color indexed="81"/>
            <rFont val="맑은 고딕"/>
            <family val="3"/>
            <charset val="129"/>
          </rPr>
          <t xml:space="preserve"> </t>
        </r>
        <r>
          <rPr>
            <b/>
            <sz val="9"/>
            <color indexed="81"/>
            <rFont val="돋움"/>
            <family val="3"/>
            <charset val="129"/>
          </rPr>
          <t xml:space="preserve">유가증권
</t>
        </r>
        <r>
          <rPr>
            <b/>
            <sz val="9"/>
            <color indexed="81"/>
            <rFont val="맑은 고딕"/>
            <family val="3"/>
            <charset val="129"/>
          </rPr>
          <t xml:space="preserve">    - </t>
        </r>
        <r>
          <rPr>
            <b/>
            <sz val="9"/>
            <color indexed="81"/>
            <rFont val="돋움"/>
            <family val="3"/>
            <charset val="129"/>
          </rPr>
          <t>정부가</t>
        </r>
        <r>
          <rPr>
            <b/>
            <sz val="9"/>
            <color indexed="81"/>
            <rFont val="맑은 고딕"/>
            <family val="3"/>
            <charset val="129"/>
          </rPr>
          <t xml:space="preserve"> </t>
        </r>
        <r>
          <rPr>
            <b/>
            <sz val="9"/>
            <color indexed="81"/>
            <rFont val="돋움"/>
            <family val="3"/>
            <charset val="129"/>
          </rPr>
          <t>보증한</t>
        </r>
        <r>
          <rPr>
            <b/>
            <sz val="9"/>
            <color indexed="81"/>
            <rFont val="맑은 고딕"/>
            <family val="3"/>
            <charset val="129"/>
          </rPr>
          <t xml:space="preserve"> </t>
        </r>
        <r>
          <rPr>
            <b/>
            <sz val="9"/>
            <color indexed="81"/>
            <rFont val="돋움"/>
            <family val="3"/>
            <charset val="129"/>
          </rPr>
          <t xml:space="preserve">유가증권
</t>
        </r>
        <r>
          <rPr>
            <b/>
            <sz val="9"/>
            <color indexed="81"/>
            <rFont val="맑은 고딕"/>
            <family val="3"/>
            <charset val="129"/>
          </rPr>
          <t xml:space="preserve">    - </t>
        </r>
        <r>
          <rPr>
            <b/>
            <sz val="9"/>
            <color indexed="81"/>
            <rFont val="돋움"/>
            <family val="3"/>
            <charset val="129"/>
          </rPr>
          <t>중앙은행이</t>
        </r>
        <r>
          <rPr>
            <b/>
            <sz val="9"/>
            <color indexed="81"/>
            <rFont val="맑은 고딕"/>
            <family val="3"/>
            <charset val="129"/>
          </rPr>
          <t xml:space="preserve"> </t>
        </r>
        <r>
          <rPr>
            <b/>
            <sz val="9"/>
            <color indexed="81"/>
            <rFont val="돋움"/>
            <family val="3"/>
            <charset val="129"/>
          </rPr>
          <t>발행하거나</t>
        </r>
        <r>
          <rPr>
            <b/>
            <sz val="9"/>
            <color indexed="81"/>
            <rFont val="맑은 고딕"/>
            <family val="3"/>
            <charset val="129"/>
          </rPr>
          <t xml:space="preserve"> </t>
        </r>
        <r>
          <rPr>
            <b/>
            <sz val="9"/>
            <color indexed="81"/>
            <rFont val="돋움"/>
            <family val="3"/>
            <charset val="129"/>
          </rPr>
          <t>보증한</t>
        </r>
        <r>
          <rPr>
            <b/>
            <sz val="9"/>
            <color indexed="81"/>
            <rFont val="맑은 고딕"/>
            <family val="3"/>
            <charset val="129"/>
          </rPr>
          <t xml:space="preserve"> </t>
        </r>
        <r>
          <rPr>
            <b/>
            <sz val="9"/>
            <color indexed="81"/>
            <rFont val="돋움"/>
            <family val="3"/>
            <charset val="129"/>
          </rPr>
          <t xml:space="preserve">유가증권
</t>
        </r>
        <r>
          <rPr>
            <b/>
            <sz val="9"/>
            <color indexed="81"/>
            <rFont val="맑은 고딕"/>
            <family val="3"/>
            <charset val="129"/>
          </rPr>
          <t xml:space="preserve">    - </t>
        </r>
        <r>
          <rPr>
            <b/>
            <sz val="9"/>
            <color indexed="81"/>
            <rFont val="돋움"/>
            <family val="3"/>
            <charset val="129"/>
          </rPr>
          <t>공공기관이</t>
        </r>
        <r>
          <rPr>
            <b/>
            <sz val="9"/>
            <color indexed="81"/>
            <rFont val="맑은 고딕"/>
            <family val="3"/>
            <charset val="129"/>
          </rPr>
          <t xml:space="preserve"> </t>
        </r>
        <r>
          <rPr>
            <b/>
            <sz val="9"/>
            <color indexed="81"/>
            <rFont val="돋움"/>
            <family val="3"/>
            <charset val="129"/>
          </rPr>
          <t>발행하거나</t>
        </r>
        <r>
          <rPr>
            <b/>
            <sz val="9"/>
            <color indexed="81"/>
            <rFont val="맑은 고딕"/>
            <family val="3"/>
            <charset val="129"/>
          </rPr>
          <t xml:space="preserve"> </t>
        </r>
        <r>
          <rPr>
            <b/>
            <sz val="9"/>
            <color indexed="81"/>
            <rFont val="돋움"/>
            <family val="3"/>
            <charset val="129"/>
          </rPr>
          <t>보증한</t>
        </r>
        <r>
          <rPr>
            <b/>
            <sz val="9"/>
            <color indexed="81"/>
            <rFont val="맑은 고딕"/>
            <family val="3"/>
            <charset val="129"/>
          </rPr>
          <t xml:space="preserve"> </t>
        </r>
        <r>
          <rPr>
            <b/>
            <sz val="9"/>
            <color indexed="81"/>
            <rFont val="돋움"/>
            <family val="3"/>
            <charset val="129"/>
          </rPr>
          <t xml:space="preserve">유가증권
</t>
        </r>
        <r>
          <rPr>
            <b/>
            <sz val="9"/>
            <color indexed="81"/>
            <rFont val="맑은 고딕"/>
            <family val="3"/>
            <charset val="129"/>
          </rPr>
          <t xml:space="preserve">    - BIS,IMF,ECB </t>
        </r>
        <r>
          <rPr>
            <b/>
            <sz val="9"/>
            <color indexed="81"/>
            <rFont val="돋움"/>
            <family val="3"/>
            <charset val="129"/>
          </rPr>
          <t>및</t>
        </r>
        <r>
          <rPr>
            <b/>
            <sz val="9"/>
            <color indexed="81"/>
            <rFont val="맑은 고딕"/>
            <family val="3"/>
            <charset val="129"/>
          </rPr>
          <t xml:space="preserve"> EC </t>
        </r>
        <r>
          <rPr>
            <b/>
            <sz val="9"/>
            <color indexed="81"/>
            <rFont val="돋움"/>
            <family val="3"/>
            <charset val="129"/>
          </rPr>
          <t>또는</t>
        </r>
        <r>
          <rPr>
            <b/>
            <sz val="9"/>
            <color indexed="81"/>
            <rFont val="맑은 고딕"/>
            <family val="3"/>
            <charset val="129"/>
          </rPr>
          <t xml:space="preserve"> </t>
        </r>
        <r>
          <rPr>
            <b/>
            <sz val="9"/>
            <color indexed="81"/>
            <rFont val="돋움"/>
            <family val="3"/>
            <charset val="129"/>
          </rPr>
          <t>다자개발은행이</t>
        </r>
        <r>
          <rPr>
            <b/>
            <sz val="9"/>
            <color indexed="81"/>
            <rFont val="맑은 고딕"/>
            <family val="3"/>
            <charset val="129"/>
          </rPr>
          <t xml:space="preserve"> </t>
        </r>
        <r>
          <rPr>
            <b/>
            <sz val="9"/>
            <color indexed="81"/>
            <rFont val="돋움"/>
            <family val="3"/>
            <charset val="129"/>
          </rPr>
          <t>발행하거나</t>
        </r>
        <r>
          <rPr>
            <b/>
            <sz val="9"/>
            <color indexed="81"/>
            <rFont val="맑은 고딕"/>
            <family val="3"/>
            <charset val="129"/>
          </rPr>
          <t xml:space="preserve"> </t>
        </r>
        <r>
          <rPr>
            <b/>
            <sz val="9"/>
            <color indexed="81"/>
            <rFont val="돋움"/>
            <family val="3"/>
            <charset val="129"/>
          </rPr>
          <t>보증한</t>
        </r>
        <r>
          <rPr>
            <b/>
            <sz val="9"/>
            <color indexed="81"/>
            <rFont val="맑은 고딕"/>
            <family val="3"/>
            <charset val="129"/>
          </rPr>
          <t xml:space="preserve"> </t>
        </r>
        <r>
          <rPr>
            <b/>
            <sz val="9"/>
            <color indexed="81"/>
            <rFont val="돋움"/>
            <family val="3"/>
            <charset val="129"/>
          </rPr>
          <t>유가증권</t>
        </r>
        <r>
          <rPr>
            <b/>
            <sz val="9"/>
            <color indexed="81"/>
            <rFont val="Tahoma"/>
            <family val="2"/>
          </rPr>
          <t xml:space="preserve">
</t>
        </r>
        <r>
          <rPr>
            <b/>
            <sz val="9"/>
            <color indexed="81"/>
            <rFont val="돋움"/>
            <family val="3"/>
            <charset val="129"/>
          </rPr>
          <t>▷신용등급</t>
        </r>
        <r>
          <rPr>
            <b/>
            <sz val="9"/>
            <color indexed="81"/>
            <rFont val="맑은 고딕"/>
            <family val="3"/>
            <charset val="129"/>
          </rPr>
          <t xml:space="preserve"> AA- 이상의 비금융기업 채무증권</t>
        </r>
        <r>
          <rPr>
            <b/>
            <sz val="9"/>
            <color indexed="81"/>
            <rFont val="Tahoma"/>
            <family val="2"/>
          </rPr>
          <t xml:space="preserve">
</t>
        </r>
        <r>
          <rPr>
            <b/>
            <sz val="9"/>
            <color indexed="81"/>
            <rFont val="돋움"/>
            <family val="3"/>
            <charset val="129"/>
          </rPr>
          <t>▷해당은행이</t>
        </r>
        <r>
          <rPr>
            <b/>
            <sz val="9"/>
            <color indexed="81"/>
            <rFont val="맑은 고딕"/>
            <family val="3"/>
            <charset val="129"/>
          </rPr>
          <t xml:space="preserve"> 발행하지 않은 신용등급 AA- 이상의 커버드 본드</t>
        </r>
        <r>
          <rPr>
            <b/>
            <sz val="9"/>
            <color indexed="81"/>
            <rFont val="돋움"/>
            <family val="3"/>
            <charset val="129"/>
          </rPr>
          <t xml:space="preserve">
</t>
        </r>
      </text>
    </comment>
    <comment ref="C20" authorId="0" shapeId="0" xr:uid="{00000000-0006-0000-0300-000006000000}">
      <text>
        <r>
          <rPr>
            <b/>
            <u/>
            <sz val="11"/>
            <color indexed="10"/>
            <rFont val="맑은 고딕"/>
            <family val="3"/>
            <charset val="129"/>
          </rPr>
          <t>Level 2B 자산 (가중치 50~75%)</t>
        </r>
        <r>
          <rPr>
            <b/>
            <sz val="9"/>
            <color indexed="81"/>
            <rFont val="돋움"/>
            <family val="3"/>
            <charset val="129"/>
          </rPr>
          <t xml:space="preserve">
▷</t>
        </r>
        <r>
          <rPr>
            <b/>
            <sz val="9"/>
            <color indexed="81"/>
            <rFont val="맑은 고딕"/>
            <family val="3"/>
            <charset val="129"/>
          </rPr>
          <t xml:space="preserve">75% </t>
        </r>
        <r>
          <rPr>
            <b/>
            <sz val="9"/>
            <color indexed="81"/>
            <rFont val="돋움"/>
            <family val="3"/>
            <charset val="129"/>
          </rPr>
          <t>신용등급</t>
        </r>
        <r>
          <rPr>
            <b/>
            <sz val="9"/>
            <color indexed="81"/>
            <rFont val="맑은 고딕"/>
            <family val="3"/>
            <charset val="129"/>
          </rPr>
          <t xml:space="preserve"> AA이상의 RMBS
</t>
        </r>
        <r>
          <rPr>
            <b/>
            <sz val="9"/>
            <color indexed="81"/>
            <rFont val="Tahoma"/>
            <family val="2"/>
          </rPr>
          <t xml:space="preserve">
</t>
        </r>
        <r>
          <rPr>
            <b/>
            <sz val="9"/>
            <color indexed="81"/>
            <rFont val="돋움"/>
            <family val="3"/>
            <charset val="129"/>
          </rPr>
          <t>▷</t>
        </r>
        <r>
          <rPr>
            <b/>
            <sz val="9"/>
            <color indexed="81"/>
            <rFont val="맑은 고딕"/>
            <family val="3"/>
            <charset val="129"/>
          </rPr>
          <t xml:space="preserve">50% </t>
        </r>
        <r>
          <rPr>
            <b/>
            <sz val="9"/>
            <color indexed="81"/>
            <rFont val="돋움"/>
            <family val="3"/>
            <charset val="129"/>
          </rPr>
          <t>신용등급</t>
        </r>
        <r>
          <rPr>
            <b/>
            <sz val="9"/>
            <color indexed="81"/>
            <rFont val="맑은 고딕"/>
            <family val="3"/>
            <charset val="129"/>
          </rPr>
          <t xml:space="preserve"> BBB-부터 A+의 비금융기업 채무증권
</t>
        </r>
        <r>
          <rPr>
            <b/>
            <sz val="9"/>
            <color indexed="81"/>
            <rFont val="Tahoma"/>
            <family val="2"/>
          </rPr>
          <t xml:space="preserve">
</t>
        </r>
        <r>
          <rPr>
            <b/>
            <sz val="9"/>
            <color indexed="81"/>
            <rFont val="돋움"/>
            <family val="3"/>
            <charset val="129"/>
          </rPr>
          <t>▷</t>
        </r>
        <r>
          <rPr>
            <b/>
            <sz val="9"/>
            <color indexed="81"/>
            <rFont val="맑은 고딕"/>
            <family val="3"/>
            <charset val="129"/>
          </rPr>
          <t xml:space="preserve">50% </t>
        </r>
        <r>
          <rPr>
            <b/>
            <sz val="9"/>
            <color indexed="81"/>
            <rFont val="돋움"/>
            <family val="3"/>
            <charset val="129"/>
          </rPr>
          <t>비금융기업의</t>
        </r>
        <r>
          <rPr>
            <b/>
            <sz val="9"/>
            <color indexed="81"/>
            <rFont val="맑은 고딕"/>
            <family val="3"/>
            <charset val="129"/>
          </rPr>
          <t xml:space="preserve"> 보통주</t>
        </r>
        <r>
          <rPr>
            <b/>
            <sz val="9"/>
            <color indexed="81"/>
            <rFont val="돋움"/>
            <family val="3"/>
            <charset val="129"/>
          </rPr>
          <t xml:space="preserve">
▷</t>
        </r>
        <r>
          <rPr>
            <b/>
            <sz val="9"/>
            <color indexed="81"/>
            <rFont val="맑은 고딕"/>
            <family val="3"/>
            <charset val="129"/>
          </rPr>
          <t xml:space="preserve">50% </t>
        </r>
        <r>
          <rPr>
            <b/>
            <sz val="9"/>
            <color indexed="81"/>
            <rFont val="돋움"/>
            <family val="3"/>
            <charset val="129"/>
          </rPr>
          <t>신용등급</t>
        </r>
        <r>
          <rPr>
            <b/>
            <sz val="9"/>
            <color indexed="81"/>
            <rFont val="맑은 고딕"/>
            <family val="3"/>
            <charset val="129"/>
          </rPr>
          <t xml:space="preserve"> BBB-</t>
        </r>
        <r>
          <rPr>
            <b/>
            <sz val="9"/>
            <color indexed="81"/>
            <rFont val="돋움"/>
            <family val="3"/>
            <charset val="129"/>
          </rPr>
          <t>부터</t>
        </r>
        <r>
          <rPr>
            <b/>
            <sz val="9"/>
            <color indexed="81"/>
            <rFont val="맑은 고딕"/>
            <family val="3"/>
            <charset val="129"/>
          </rPr>
          <t xml:space="preserve"> BBB+</t>
        </r>
        <r>
          <rPr>
            <b/>
            <sz val="9"/>
            <color indexed="81"/>
            <rFont val="돋움"/>
            <family val="3"/>
            <charset val="129"/>
          </rPr>
          <t>인</t>
        </r>
        <r>
          <rPr>
            <b/>
            <sz val="9"/>
            <color indexed="81"/>
            <rFont val="맑은 고딕"/>
            <family val="3"/>
            <charset val="129"/>
          </rPr>
          <t xml:space="preserve"> </t>
        </r>
        <r>
          <rPr>
            <b/>
            <sz val="9"/>
            <color indexed="81"/>
            <rFont val="돋움"/>
            <family val="3"/>
            <charset val="129"/>
          </rPr>
          <t>국가의</t>
        </r>
        <r>
          <rPr>
            <b/>
            <sz val="9"/>
            <color indexed="81"/>
            <rFont val="맑은 고딕"/>
            <family val="3"/>
            <charset val="129"/>
          </rPr>
          <t xml:space="preserve"> </t>
        </r>
        <r>
          <rPr>
            <b/>
            <sz val="9"/>
            <color indexed="81"/>
            <rFont val="돋움"/>
            <family val="3"/>
            <charset val="129"/>
          </rPr>
          <t>정부나</t>
        </r>
        <r>
          <rPr>
            <b/>
            <sz val="9"/>
            <color indexed="81"/>
            <rFont val="맑은 고딕"/>
            <family val="3"/>
            <charset val="129"/>
          </rPr>
          <t xml:space="preserve"> </t>
        </r>
        <r>
          <rPr>
            <b/>
            <sz val="9"/>
            <color indexed="81"/>
            <rFont val="돋움"/>
            <family val="3"/>
            <charset val="129"/>
          </rPr>
          <t>중앙은행</t>
        </r>
        <r>
          <rPr>
            <b/>
            <sz val="9"/>
            <color indexed="81"/>
            <rFont val="맑은 고딕"/>
            <family val="3"/>
            <charset val="129"/>
          </rPr>
          <t xml:space="preserve"> </t>
        </r>
        <r>
          <rPr>
            <b/>
            <sz val="9"/>
            <color indexed="81"/>
            <rFont val="돋움"/>
            <family val="3"/>
            <charset val="129"/>
          </rPr>
          <t>등이</t>
        </r>
        <r>
          <rPr>
            <b/>
            <sz val="9"/>
            <color indexed="81"/>
            <rFont val="맑은 고딕"/>
            <family val="3"/>
            <charset val="129"/>
          </rPr>
          <t xml:space="preserve"> </t>
        </r>
        <r>
          <rPr>
            <b/>
            <sz val="9"/>
            <color indexed="81"/>
            <rFont val="돋움"/>
            <family val="3"/>
            <charset val="129"/>
          </rPr>
          <t>발행한</t>
        </r>
        <r>
          <rPr>
            <b/>
            <sz val="9"/>
            <color indexed="81"/>
            <rFont val="맑은 고딕"/>
            <family val="3"/>
            <charset val="129"/>
          </rPr>
          <t xml:space="preserve"> 
         </t>
        </r>
        <r>
          <rPr>
            <b/>
            <sz val="9"/>
            <color indexed="81"/>
            <rFont val="돋움"/>
            <family val="3"/>
            <charset val="129"/>
          </rPr>
          <t>유가증권</t>
        </r>
        <r>
          <rPr>
            <b/>
            <sz val="9"/>
            <color indexed="81"/>
            <rFont val="맑은 고딕"/>
            <family val="3"/>
            <charset val="129"/>
          </rPr>
          <t xml:space="preserve">(Level 1 </t>
        </r>
        <r>
          <rPr>
            <b/>
            <sz val="9"/>
            <color indexed="81"/>
            <rFont val="돋움"/>
            <family val="3"/>
            <charset val="129"/>
          </rPr>
          <t>및</t>
        </r>
        <r>
          <rPr>
            <b/>
            <sz val="9"/>
            <color indexed="81"/>
            <rFont val="맑은 고딕"/>
            <family val="3"/>
            <charset val="129"/>
          </rPr>
          <t xml:space="preserve"> Level 2A </t>
        </r>
        <r>
          <rPr>
            <b/>
            <sz val="9"/>
            <color indexed="81"/>
            <rFont val="돋움"/>
            <family val="3"/>
            <charset val="129"/>
          </rPr>
          <t>자산</t>
        </r>
        <r>
          <rPr>
            <b/>
            <sz val="9"/>
            <color indexed="81"/>
            <rFont val="맑은 고딕"/>
            <family val="3"/>
            <charset val="129"/>
          </rPr>
          <t xml:space="preserve"> </t>
        </r>
        <r>
          <rPr>
            <b/>
            <sz val="9"/>
            <color indexed="81"/>
            <rFont val="돋움"/>
            <family val="3"/>
            <charset val="129"/>
          </rPr>
          <t>미포함
▷</t>
        </r>
        <r>
          <rPr>
            <b/>
            <sz val="9"/>
            <color indexed="81"/>
            <rFont val="맑은 고딕"/>
            <family val="3"/>
            <charset val="129"/>
          </rPr>
          <t xml:space="preserve">75% </t>
        </r>
        <r>
          <rPr>
            <b/>
            <sz val="9"/>
            <color indexed="81"/>
            <rFont val="돋움"/>
            <family val="3"/>
            <charset val="129"/>
          </rPr>
          <t>조정된</t>
        </r>
        <r>
          <rPr>
            <b/>
            <sz val="9"/>
            <color indexed="81"/>
            <rFont val="맑은 고딕"/>
            <family val="3"/>
            <charset val="129"/>
          </rPr>
          <t xml:space="preserve"> Level 2B RMBS자산
▷50% 조정된 Level 2B Non-RMBS자산
</t>
        </r>
        <r>
          <rPr>
            <b/>
            <sz val="9"/>
            <color indexed="81"/>
            <rFont val="돋움"/>
            <family val="3"/>
            <charset val="129"/>
          </rPr>
          <t xml:space="preserve">
</t>
        </r>
      </text>
    </comment>
    <comment ref="C23" authorId="0" shapeId="0" xr:uid="{00000000-0006-0000-0300-000007000000}">
      <text>
        <r>
          <rPr>
            <b/>
            <sz val="9"/>
            <color indexed="81"/>
            <rFont val="돋움"/>
            <family val="3"/>
            <charset val="129"/>
          </rPr>
          <t xml:space="preserve">    가. 소매예금 이탈금액  75,922    6,466   51,657    4,350 
        1) 부보대상 예수금  35,457    2,422   25,508    1,738 
            거래계좌 금액  -    -   -    - 
                본국 (home jurisdiction) 감독당국 기준 0 0.05 0 0 0.05 0
                진출국 (host jurisdiction) 감독당국 기준 0 0.05 0 0 0.05 0
            거래계좌는 아니나 예금주가 해당은행과 긴밀한 관계를 유지하는 고객 계좌의 금액  22,473    1,124   16,264    813 
                본국 (home jurisdiction) 감독당국 기준 22,473 0.05 1,124 16,264 0.05 813
                진출국 (host jurisdiction) 감독당국 기준 0 0.05 0 0 0.05 0
            거래계좌가 아니고, 긴밀한 관계를 유지하는 고객 계좌가 아닌 계좌의 금액 12,985 0.10 1,298 9,244 0.10 924
        2) 비부보대상 예수금 40,439 0.10 4,044 26,124 0.10 2,612
        3)만기 1개월 초과 확정 기간부 소매예금 25 0.00 0 25 0.00 0</t>
        </r>
      </text>
    </comment>
    <comment ref="C24" authorId="0" shapeId="0" xr:uid="{00000000-0006-0000-0300-000008000000}">
      <text>
        <r>
          <rPr>
            <b/>
            <sz val="9"/>
            <color indexed="81"/>
            <rFont val="돋움"/>
            <family val="3"/>
            <charset val="129"/>
          </rPr>
          <t xml:space="preserve">    나. 무담보부 도매자금조달 이탈금액  240,370    94,873   170,614    71,684 
        1) 중소기업으로부터의 자금조달  40,792    3,733   34,589    3,154 
            부보대상 예수금  8,733    528   7,627    458 
                거래계좌 금액  -    -   -    - 
                    본국 (home jurisdiction) 감독당국 기준 0 0.05 0 0 0.05 0
                    진출국 (host jurisdiction) 감독당국 기준 0 0.05 0 0 0.05 0
                거래계좌는 아니나 예금주가 해당은행과 긴밀한 관계를 유지하는 고객 계좌의 금액  6,916    346   6,088    304 
                    본국 (home jurisdiction) 감독당국 기준 6,916 0.05 346 6,088 0.05 304
                    진출국 (host jurisdiction) 감독당국 기준 0 0.05 0 0 0.05 0
                거래계좌가 아니고, 긴밀한 관계를 유지하는 고객 계좌가 아닌 계좌의 금액 1,817 0.10 182 1,538 0.10 154
            비부보대상 예수금 32,059 0.10 3,206 26,962 0.10 2,696
            만기 1개월 초과 확정 기간부 소매예금 0 0.00 0 0 0.00 0
        2) 무담보부 도매자금 조달중 총 영업적 예금  109,696    26,157   68,872    16,222 
            비금융기업으로부터 조달  84,584    19,879   68,870    16,221 
                부보대상 6,335 0.05 317 4,981 0.05 249
                비부보대상 78,250 0.25 19,562 63,889 0.25 15,972
            국가, 중앙은행, 공공기관, 다자개발은행으로부터 조달  25,107    6,277   -    - 
                부보대상 0 0.05 0 0 0.05 0
                비부보대상 25,107 0.25 6,277 0 0.25 0
            은행으로부터 조달  1    0   -    - 
                부보대상 0 0.05 0 0 0.05 0
                비부보대상 1 0.25 0 0 0.25 0
            기타 금융기관 및 기타 법인으로부터 조달  4    1   2    1 
                부보대상 0 0.05 0 0 0.05 0
                비부보대상 4 0.25 1 2 0.25 1
        3) 무담보부 도매자금 조달중 총 비영업적 예금  89,882    64,983   67,154    52,307 
            비금융기업으로부터 조달  33,629    13,452   24,744    9,898 
                전액 부보되는 조달금액 0 0.20 0 0 0.20 0
                전액 부보되지 않는 조달금액 33,629 0.40 13,452 24,744 0.40 9,898
            국가, 중앙은행, 공공기관, 다자개발은행으로부터 조달  7,869    3,148   -    - 
                전액 부보되는 조달금액 0 0.20 0 0 0.20 0
                전액 부보되지 않는 조달금액 7,869 0.40 3,148 0 0.40 0
            네트워크형 협력은행으로부터 조달 0 0.25 0 0 0.25 0
            여타 은행으로부터 조달 48,381 0.25 48,381 42,408 0.25 42,408
            기타 금융기관 및 기타 법인으로부터 조달 3 1.00 3 2 1.00 2
        4) 무담보부 기타 채무증권 0 1.00 0 0 1.00 0
        5) 추가 적립의무 중앙은행 지준예치금 0 1.00 0 0 1.00 0
        상기 비영업적 예금중 영업적 예금으로 볼 수 있으나 다음과 같은 사유에 따라 제외되는 금액  -     -   
            코레스뱅킹 0   0  
            프라임 브로커리지 0   0  
            인출이 가능하고 영업목적을 달성하기 위해 필요한 수준을 초과한 예금잔액 0   0  </t>
        </r>
      </text>
    </comment>
    <comment ref="C25" authorId="0" shapeId="0" xr:uid="{00000000-0006-0000-0300-000009000000}">
      <text>
        <r>
          <rPr>
            <b/>
            <sz val="9"/>
            <color indexed="81"/>
            <rFont val="돋움"/>
            <family val="3"/>
            <charset val="129"/>
          </rPr>
          <t xml:space="preserve">    다. 담보부 자금조달 이탈금액  -    -   -    - 
        1) 거래상대방이 자국 중앙은행인 경우  -    -   -    - 
            Level 1 자산을 담보로 제공하여 조달 0 0.00 0 0 0.00 0
                적격 유동성자산 거래 관련  0   0  
            Level 2A 자산을 담보로 제공하여 조달 0 0.00 0 0 0.00 0
                적격 유동성자산 거래 관련  0   0  
            Level 2B RMBS 자산을 담보로 제공하여 조달 0 0.00 0 0 0.00 0
                적격 유동성자산 거래 관련  0   0  
            Level 2B Non-RMBS 자산을 담보로 제공하여 조달 0 0.00 0 0 0.00 0
                적격 유동성자산 거래 관련  0   0  
            기타 자산을 담보로 제공하여 조달 0 0.00 0 0 0.00 0
        2) 거래상대방이 자국 중앙은행이 아니며, Level 1 자산을 담보로 제공하여 조달 0 0.00 0 0 0.00 0
            적격 유동성자산 거래 관련  0   0  
        3) 거래상대방이 자국 중앙은행이 아니며, Level 2A 자산을 담보로 제공하여 조달 0 0.15 0 0 0.15 0
            적격 유동성자산 거래 관련  0   0  
        4) 거래상대방이 자국 중앙은행이 아니며, Level 2B RMBS 자산을 담보로 제공하여 조달 0 0.25 0 0 0.25 0
            적격 유동성자산 거래 관련  0   0  
        5) 거래상대방이 자국 중앙은행이 아니며, Level 2B Non-RMBS 자산을 담보로 제공하여 조달  -    -   -    - 
            거래상대방이 자국 정부, 다자개발은행, 20% 이하의 위험가중치 적용 자국 공공기관인 경우 0 0.25 0 0 0.25 0
                적격 유동성자산 거래 관련  0   0  
            거래상대방이 자국 정부, 다자개발은행, 20% 이하의 위험가중치 적용 자국 공공기관이 아닌 경우 0 0.50 0 0 0.50 0
                적격 유동성자산 거래 관련  0   0  
        6) 거래상대방이 자국 중앙은행이 아니며, 기타(Non-HQLA) 자산을 담보로 제공하여 조달  -    -   -    - 
            거래상대방이 자국 정부, 다자개발은행, 20% 이하의 위험가중치 적용 자국 공공기관인 경우 0 0.25 0 0 0.25 0
            거래상대방이 자국 정부, 다자개발은행, 20% 이하의 위험가중치 적용 자국 공공기관이 아닌 경우 0 1.00 0 0 1.00 0
   </t>
        </r>
      </text>
    </comment>
    <comment ref="C26" authorId="0" shapeId="0" xr:uid="{00000000-0006-0000-0300-00000A000000}">
      <text>
        <r>
          <rPr>
            <b/>
            <sz val="9"/>
            <color indexed="81"/>
            <rFont val="돋움"/>
            <family val="3"/>
            <charset val="129"/>
          </rPr>
          <t xml:space="preserve">       라. 추가 요건으로 인한 현금유출 추가필요액  47,834    6,430   52,288    10,884 
        1) 파생상품거래 관련 현금유출액 947 1.00 947 5,876 1.00 5,876
        2) 파생 및 기타 금융거래 계약에 내재된 "신용등급 하향조정시 트리거 조항" 관련 추가 유동성 필요 740 1.00 740 740 1.00 740
        3) 파생 및 기타 계약을 보증하는 담보자산의 가치변화에 따른 유동성 필요  41,404    -   41,404    - 
            현금 및 Level 1 자산 담보 41,404 0.00 0 41,404 0.00 0
            기타 자산 담보(즉, 모든 非 Level 1 자산 담보) 0 0.20 0 0 0.20 0
        4) 필요액 이상의 담보수취로 인해 파생상품 거래상대방의 요청에 따라 언제든지 회수될 수 있는 담보금액 0 1.00 0 0 1.00 0
        5) 거래상대방이 아직 요청하진 않았으나 계약상 보전해야 할 담보금액 0 1.00 0 0 1.00 0
        6) 담보로 제공된 고유동성자산을 은행의 동의 없이 계약상 非고유동성자산으로 대체가 가능한 경우 해당 금액 0 1.00 0 0 1.00 0
        7) 파생 또는 기타 계약의 시장가치 변화와 관련된 추가적 유동성 필요액 4,742 1.00 4,742 4,268 1.00 4,268
        8) ABS, 기타 구조화증권을 통한 자금조달원 상실 0 1.00 0 0 1.00 0
        9) ABCP, conduits, 증권투자기구, 기타 자금조달수단으로부터의 자금조달원 상실  -    -   -    - 
            부채만기 1개월 이내의 경우 0 1.00 0 0 1.00 0
            내재옵션이 존재하는 경우 0 1.00 0 0 1.00 0
            기타 잠재적인 손실 0 1.00 0 0 1.00 0
        10) 커버드본드로부터의 자금조달원 상실 0 1.00 0 0 1.00 0
        11) 소매 및 중소기업 고객에 제공한 미사용 신용 및 유동성 공여 약정 0 0.05 0 0 0.05 0
        12) 아래 고객에 제공한 미사용 신용 공여 약정  -    -   -    - 
            비금융기업 0 0.10 0 0 0.10 0
            국가, 중앙은행, 공공기관 및 다자개발은행 0 0.10 0 0 0.10 0
        13) 아래 고객에 제공한 미사용 유동성 공여 약정  -    -   -    - 
            비금융기업 0 0.30 0 0 0.30 0
            국가, 중앙은행, 공공기관 및 다자개발은행 0 0.30 0 0 0.30 0
        14) 은행에 제공한 미사용 신용 및 유동성 공여 약정 0 0.40 0 0 0.40 0
        15) 기타 금융기관에 제공한 미사용 신용 공여 약정 0 0.40 0 0 0.40 0
        16) 기타 금융기관에 제공한 미사용 유동성 공여 약정 0 1.00 0 0 1.00 0
        17) 기타 법인에 제공한 미사용 신용 및 유동성 공여 약정 0 1.00 0 0 1.00 0
        18) 아래 고객에 대한 기타 계약상 채무(50% 차환 가정을 초과하여 자금이 유출될 계약상 채무 총액)  -    -   -    - 
            금융기관 0 1.00 0 0 1.00 0
            소매 고객 0   0  
            중소기업 고객 0   0  
            비금융기업 고객 0   0  
            기타 고객 0   0  
            소매, 중소기업, 비금융기업, 기타 고객 전체  -  1.00  -   -  1.00  - 
   </t>
        </r>
      </text>
    </comment>
    <comment ref="C27" authorId="0" shapeId="0" xr:uid="{00000000-0006-0000-0300-00000B000000}">
      <text>
        <r>
          <rPr>
            <b/>
            <sz val="9"/>
            <color indexed="81"/>
            <rFont val="돋움"/>
            <family val="3"/>
            <charset val="129"/>
          </rPr>
          <t xml:space="preserve">    마. 기타 우발성 자금제공 채무에서의 총 자금유출  259,381    27,319   197,538    18,878 
        1) 연결기준에 포함되지 않는 합작투자(Joint ventures) 또는 소수주주지분(minority investments)에 대해 은행이 주요 유동성 공급원인 경우 비계약상 우발성 자금제공 채무 0 1.00 0 0 1.00 0
        2) 무조건적으로 취소가능한 구속력 없는 신용 및 유동성 공여 약정 0 0.00 0 0 0.00 0
        3) 보증 및 신용장을 포함한 무역금융 관련 채무 174,121 0.03 5,224 131,476 0.03 3,944
        4) 무역금융과 관련 없는 보증 및 신용장 66,488 0.05 3,324 53,819 0.05 2,691
        5) 비계약상 채무  -    -   -    - 
            Debt-buy back requests (incl related conduits) 0 0.10 0 0 0.10 0
            구조화상품 0 0.10 0 0 0.10 0
            Managed funds 0 0.10 0 0 0.10 0
            기타 비계약상 채무 0 0.10 0 0 0.10 0
        6) 잔존만기 1개월 초과 채무증권의 잔액 0 0.05 0 0 0.05 0
        7) 고객이 예치한 담보자산을 다른 고객의 매도포지션을 커버하는데 사용한 경우 비계약상 우발성 채무 0 0.50 0 0 0.50 0
        8) 은행의 매도포지션이 담보부 증권금융거래로 커버된 경우 0 0.00 0 0 0.00 0
        9) 기타 계약상 현금유출 (무담보부 증권 차입 관련 비용, 커버되지 않은 매도포지션, 배당금 또는 계약상 이자 지급액) 18,771 1.00 18,771 12,242 1.00 12,242</t>
        </r>
      </text>
    </comment>
    <comment ref="B28" authorId="0" shapeId="0" xr:uid="{00000000-0006-0000-0300-00000C000000}">
      <text>
        <r>
          <rPr>
            <b/>
            <sz val="9"/>
            <color indexed="81"/>
            <rFont val="Tahoma"/>
            <family val="2"/>
          </rPr>
          <t xml:space="preserve">       </t>
        </r>
        <r>
          <rPr>
            <b/>
            <sz val="9"/>
            <color indexed="81"/>
            <rFont val="Tahoma"/>
            <family val="2"/>
          </rPr>
          <t xml:space="preserve">
2. </t>
        </r>
        <r>
          <rPr>
            <b/>
            <sz val="9"/>
            <color indexed="81"/>
            <rFont val="돋움"/>
            <family val="3"/>
            <charset val="129"/>
          </rPr>
          <t>현금유입액</t>
        </r>
        <r>
          <rPr>
            <b/>
            <sz val="9"/>
            <color indexed="81"/>
            <rFont val="Tahoma"/>
            <family val="2"/>
          </rPr>
          <t xml:space="preserve">    101,317     79,346 
    </t>
        </r>
        <r>
          <rPr>
            <b/>
            <sz val="9"/>
            <color indexed="81"/>
            <rFont val="돋움"/>
            <family val="3"/>
            <charset val="129"/>
          </rPr>
          <t>가</t>
        </r>
        <r>
          <rPr>
            <b/>
            <sz val="9"/>
            <color indexed="81"/>
            <rFont val="Tahoma"/>
            <family val="2"/>
          </rPr>
          <t>. 1</t>
        </r>
        <r>
          <rPr>
            <b/>
            <sz val="9"/>
            <color indexed="81"/>
            <rFont val="돋움"/>
            <family val="3"/>
            <charset val="129"/>
          </rPr>
          <t>개월</t>
        </r>
        <r>
          <rPr>
            <b/>
            <sz val="9"/>
            <color indexed="81"/>
            <rFont val="Tahoma"/>
            <family val="2"/>
          </rPr>
          <t xml:space="preserve"> </t>
        </r>
        <r>
          <rPr>
            <b/>
            <sz val="9"/>
            <color indexed="81"/>
            <rFont val="돋움"/>
            <family val="3"/>
            <charset val="129"/>
          </rPr>
          <t>이내에</t>
        </r>
        <r>
          <rPr>
            <b/>
            <sz val="9"/>
            <color indexed="81"/>
            <rFont val="Tahoma"/>
            <family val="2"/>
          </rPr>
          <t xml:space="preserve"> </t>
        </r>
        <r>
          <rPr>
            <b/>
            <sz val="9"/>
            <color indexed="81"/>
            <rFont val="돋움"/>
            <family val="3"/>
            <charset val="129"/>
          </rPr>
          <t>거래가</t>
        </r>
        <r>
          <rPr>
            <b/>
            <sz val="9"/>
            <color indexed="81"/>
            <rFont val="Tahoma"/>
            <family val="2"/>
          </rPr>
          <t xml:space="preserve"> </t>
        </r>
        <r>
          <rPr>
            <b/>
            <sz val="9"/>
            <color indexed="81"/>
            <rFont val="돋움"/>
            <family val="3"/>
            <charset val="129"/>
          </rPr>
          <t>종료되는</t>
        </r>
        <r>
          <rPr>
            <b/>
            <sz val="9"/>
            <color indexed="81"/>
            <rFont val="Tahoma"/>
            <family val="2"/>
          </rPr>
          <t xml:space="preserve"> RP </t>
        </r>
        <r>
          <rPr>
            <b/>
            <sz val="9"/>
            <color indexed="81"/>
            <rFont val="돋움"/>
            <family val="3"/>
            <charset val="129"/>
          </rPr>
          <t>매수</t>
        </r>
        <r>
          <rPr>
            <b/>
            <sz val="9"/>
            <color indexed="81"/>
            <rFont val="Tahoma"/>
            <family val="2"/>
          </rPr>
          <t xml:space="preserve"> </t>
        </r>
        <r>
          <rPr>
            <b/>
            <sz val="9"/>
            <color indexed="81"/>
            <rFont val="돋움"/>
            <family val="3"/>
            <charset val="129"/>
          </rPr>
          <t>및</t>
        </r>
        <r>
          <rPr>
            <b/>
            <sz val="9"/>
            <color indexed="81"/>
            <rFont val="Tahoma"/>
            <family val="2"/>
          </rPr>
          <t xml:space="preserve"> </t>
        </r>
        <r>
          <rPr>
            <b/>
            <sz val="9"/>
            <color indexed="81"/>
            <rFont val="돋움"/>
            <family val="3"/>
            <charset val="129"/>
          </rPr>
          <t>증권대차</t>
        </r>
        <r>
          <rPr>
            <b/>
            <sz val="9"/>
            <color indexed="81"/>
            <rFont val="Tahoma"/>
            <family val="2"/>
          </rPr>
          <t xml:space="preserve"> </t>
        </r>
        <r>
          <rPr>
            <b/>
            <sz val="9"/>
            <color indexed="81"/>
            <rFont val="돋움"/>
            <family val="3"/>
            <charset val="129"/>
          </rPr>
          <t>거래</t>
        </r>
        <r>
          <rPr>
            <b/>
            <sz val="9"/>
            <color indexed="81"/>
            <rFont val="Tahoma"/>
            <family val="2"/>
          </rPr>
          <t>(securities borrowing)</t>
        </r>
        <r>
          <rPr>
            <b/>
            <sz val="9"/>
            <color indexed="81"/>
            <rFont val="돋움"/>
            <family val="3"/>
            <charset val="129"/>
          </rPr>
          <t>를</t>
        </r>
        <r>
          <rPr>
            <b/>
            <sz val="9"/>
            <color indexed="81"/>
            <rFont val="Tahoma"/>
            <family val="2"/>
          </rPr>
          <t xml:space="preserve"> </t>
        </r>
        <r>
          <rPr>
            <b/>
            <sz val="9"/>
            <color indexed="81"/>
            <rFont val="돋움"/>
            <family val="3"/>
            <charset val="129"/>
          </rPr>
          <t>포함한</t>
        </r>
        <r>
          <rPr>
            <b/>
            <sz val="9"/>
            <color indexed="81"/>
            <rFont val="Tahoma"/>
            <family val="2"/>
          </rPr>
          <t xml:space="preserve"> </t>
        </r>
        <r>
          <rPr>
            <b/>
            <sz val="9"/>
            <color indexed="81"/>
            <rFont val="돋움"/>
            <family val="3"/>
            <charset val="129"/>
          </rPr>
          <t>담보부</t>
        </r>
        <r>
          <rPr>
            <b/>
            <sz val="9"/>
            <color indexed="81"/>
            <rFont val="Tahoma"/>
            <family val="2"/>
          </rPr>
          <t xml:space="preserve"> </t>
        </r>
        <r>
          <rPr>
            <b/>
            <sz val="9"/>
            <color indexed="81"/>
            <rFont val="돋움"/>
            <family val="3"/>
            <charset val="129"/>
          </rPr>
          <t>자금대출</t>
        </r>
        <r>
          <rPr>
            <b/>
            <sz val="9"/>
            <color indexed="81"/>
            <rFont val="Tahoma"/>
            <family val="2"/>
          </rPr>
          <t xml:space="preserve">  -    -   -    - 
        1) </t>
        </r>
        <r>
          <rPr>
            <b/>
            <sz val="9"/>
            <color indexed="81"/>
            <rFont val="돋움"/>
            <family val="3"/>
            <charset val="129"/>
          </rPr>
          <t>제공받은</t>
        </r>
        <r>
          <rPr>
            <b/>
            <sz val="9"/>
            <color indexed="81"/>
            <rFont val="Tahoma"/>
            <family val="2"/>
          </rPr>
          <t xml:space="preserve"> </t>
        </r>
        <r>
          <rPr>
            <b/>
            <sz val="9"/>
            <color indexed="81"/>
            <rFont val="돋움"/>
            <family val="3"/>
            <charset val="129"/>
          </rPr>
          <t>담보자산을</t>
        </r>
        <r>
          <rPr>
            <b/>
            <sz val="9"/>
            <color indexed="81"/>
            <rFont val="Tahoma"/>
            <family val="2"/>
          </rPr>
          <t xml:space="preserve"> </t>
        </r>
        <r>
          <rPr>
            <b/>
            <sz val="9"/>
            <color indexed="81"/>
            <rFont val="돋움"/>
            <family val="3"/>
            <charset val="129"/>
          </rPr>
          <t>매도포지션</t>
        </r>
        <r>
          <rPr>
            <b/>
            <sz val="9"/>
            <color indexed="81"/>
            <rFont val="Tahoma"/>
            <family val="2"/>
          </rPr>
          <t xml:space="preserve"> </t>
        </r>
        <r>
          <rPr>
            <b/>
            <sz val="9"/>
            <color indexed="81"/>
            <rFont val="돋움"/>
            <family val="3"/>
            <charset val="129"/>
          </rPr>
          <t>커버를</t>
        </r>
        <r>
          <rPr>
            <b/>
            <sz val="9"/>
            <color indexed="81"/>
            <rFont val="Tahoma"/>
            <family val="2"/>
          </rPr>
          <t xml:space="preserve"> </t>
        </r>
        <r>
          <rPr>
            <b/>
            <sz val="9"/>
            <color indexed="81"/>
            <rFont val="돋움"/>
            <family val="3"/>
            <charset val="129"/>
          </rPr>
          <t>위해</t>
        </r>
        <r>
          <rPr>
            <b/>
            <sz val="9"/>
            <color indexed="81"/>
            <rFont val="Tahoma"/>
            <family val="2"/>
          </rPr>
          <t xml:space="preserve"> </t>
        </r>
        <r>
          <rPr>
            <b/>
            <sz val="9"/>
            <color indexed="81"/>
            <rFont val="돋움"/>
            <family val="3"/>
            <charset val="129"/>
          </rPr>
          <t>재사용하지</t>
        </r>
        <r>
          <rPr>
            <b/>
            <sz val="9"/>
            <color indexed="81"/>
            <rFont val="Tahoma"/>
            <family val="2"/>
          </rPr>
          <t xml:space="preserve"> </t>
        </r>
        <r>
          <rPr>
            <b/>
            <sz val="9"/>
            <color indexed="81"/>
            <rFont val="돋움"/>
            <family val="3"/>
            <charset val="129"/>
          </rPr>
          <t>않는</t>
        </r>
        <r>
          <rPr>
            <b/>
            <sz val="9"/>
            <color indexed="81"/>
            <rFont val="Tahoma"/>
            <family val="2"/>
          </rPr>
          <t xml:space="preserve"> </t>
        </r>
        <r>
          <rPr>
            <b/>
            <sz val="9"/>
            <color indexed="81"/>
            <rFont val="돋움"/>
            <family val="3"/>
            <charset val="129"/>
          </rPr>
          <t>경우</t>
        </r>
        <r>
          <rPr>
            <b/>
            <sz val="9"/>
            <color indexed="81"/>
            <rFont val="Tahoma"/>
            <family val="2"/>
          </rPr>
          <t xml:space="preserve">  -    -   -    - 
            Level 1 </t>
        </r>
        <r>
          <rPr>
            <b/>
            <sz val="9"/>
            <color indexed="81"/>
            <rFont val="돋움"/>
            <family val="3"/>
            <charset val="129"/>
          </rPr>
          <t>자산을</t>
        </r>
        <r>
          <rPr>
            <b/>
            <sz val="9"/>
            <color indexed="81"/>
            <rFont val="Tahoma"/>
            <family val="2"/>
          </rPr>
          <t xml:space="preserve"> </t>
        </r>
        <r>
          <rPr>
            <b/>
            <sz val="9"/>
            <color indexed="81"/>
            <rFont val="돋움"/>
            <family val="3"/>
            <charset val="129"/>
          </rPr>
          <t>담보로</t>
        </r>
        <r>
          <rPr>
            <b/>
            <sz val="9"/>
            <color indexed="81"/>
            <rFont val="Tahoma"/>
            <family val="2"/>
          </rPr>
          <t xml:space="preserve"> </t>
        </r>
        <r>
          <rPr>
            <b/>
            <sz val="9"/>
            <color indexed="81"/>
            <rFont val="돋움"/>
            <family val="3"/>
            <charset val="129"/>
          </rPr>
          <t>수취한</t>
        </r>
        <r>
          <rPr>
            <b/>
            <sz val="9"/>
            <color indexed="81"/>
            <rFont val="Tahoma"/>
            <family val="2"/>
          </rPr>
          <t xml:space="preserve"> </t>
        </r>
        <r>
          <rPr>
            <b/>
            <sz val="9"/>
            <color indexed="81"/>
            <rFont val="돋움"/>
            <family val="3"/>
            <charset val="129"/>
          </rPr>
          <t>거래</t>
        </r>
        <r>
          <rPr>
            <b/>
            <sz val="9"/>
            <color indexed="81"/>
            <rFont val="Tahoma"/>
            <family val="2"/>
          </rPr>
          <t xml:space="preserve"> 0 0.00 0 0 0.00 0
                </t>
        </r>
        <r>
          <rPr>
            <b/>
            <sz val="9"/>
            <color indexed="81"/>
            <rFont val="돋움"/>
            <family val="3"/>
            <charset val="129"/>
          </rPr>
          <t>적격</t>
        </r>
        <r>
          <rPr>
            <b/>
            <sz val="9"/>
            <color indexed="81"/>
            <rFont val="Tahoma"/>
            <family val="2"/>
          </rPr>
          <t xml:space="preserve"> </t>
        </r>
        <r>
          <rPr>
            <b/>
            <sz val="9"/>
            <color indexed="81"/>
            <rFont val="돋움"/>
            <family val="3"/>
            <charset val="129"/>
          </rPr>
          <t>유동성자산</t>
        </r>
        <r>
          <rPr>
            <b/>
            <sz val="9"/>
            <color indexed="81"/>
            <rFont val="Tahoma"/>
            <family val="2"/>
          </rPr>
          <t xml:space="preserve"> </t>
        </r>
        <r>
          <rPr>
            <b/>
            <sz val="9"/>
            <color indexed="81"/>
            <rFont val="돋움"/>
            <family val="3"/>
            <charset val="129"/>
          </rPr>
          <t>거래</t>
        </r>
        <r>
          <rPr>
            <b/>
            <sz val="9"/>
            <color indexed="81"/>
            <rFont val="Tahoma"/>
            <family val="2"/>
          </rPr>
          <t xml:space="preserve"> </t>
        </r>
        <r>
          <rPr>
            <b/>
            <sz val="9"/>
            <color indexed="81"/>
            <rFont val="돋움"/>
            <family val="3"/>
            <charset val="129"/>
          </rPr>
          <t>관련</t>
        </r>
        <r>
          <rPr>
            <b/>
            <sz val="9"/>
            <color indexed="81"/>
            <rFont val="Tahoma"/>
            <family val="2"/>
          </rPr>
          <t xml:space="preserve">  0   0  
            Level 2A </t>
        </r>
        <r>
          <rPr>
            <b/>
            <sz val="9"/>
            <color indexed="81"/>
            <rFont val="돋움"/>
            <family val="3"/>
            <charset val="129"/>
          </rPr>
          <t>자산을</t>
        </r>
        <r>
          <rPr>
            <b/>
            <sz val="9"/>
            <color indexed="81"/>
            <rFont val="Tahoma"/>
            <family val="2"/>
          </rPr>
          <t xml:space="preserve"> </t>
        </r>
        <r>
          <rPr>
            <b/>
            <sz val="9"/>
            <color indexed="81"/>
            <rFont val="돋움"/>
            <family val="3"/>
            <charset val="129"/>
          </rPr>
          <t>담보로</t>
        </r>
        <r>
          <rPr>
            <b/>
            <sz val="9"/>
            <color indexed="81"/>
            <rFont val="Tahoma"/>
            <family val="2"/>
          </rPr>
          <t xml:space="preserve"> </t>
        </r>
        <r>
          <rPr>
            <b/>
            <sz val="9"/>
            <color indexed="81"/>
            <rFont val="돋움"/>
            <family val="3"/>
            <charset val="129"/>
          </rPr>
          <t>수취한</t>
        </r>
        <r>
          <rPr>
            <b/>
            <sz val="9"/>
            <color indexed="81"/>
            <rFont val="Tahoma"/>
            <family val="2"/>
          </rPr>
          <t xml:space="preserve"> </t>
        </r>
        <r>
          <rPr>
            <b/>
            <sz val="9"/>
            <color indexed="81"/>
            <rFont val="돋움"/>
            <family val="3"/>
            <charset val="129"/>
          </rPr>
          <t>거래</t>
        </r>
        <r>
          <rPr>
            <b/>
            <sz val="9"/>
            <color indexed="81"/>
            <rFont val="Tahoma"/>
            <family val="2"/>
          </rPr>
          <t xml:space="preserve"> 0 0.15 0 0 0.15 0
                </t>
        </r>
        <r>
          <rPr>
            <b/>
            <sz val="9"/>
            <color indexed="81"/>
            <rFont val="돋움"/>
            <family val="3"/>
            <charset val="129"/>
          </rPr>
          <t>적격</t>
        </r>
        <r>
          <rPr>
            <b/>
            <sz val="9"/>
            <color indexed="81"/>
            <rFont val="Tahoma"/>
            <family val="2"/>
          </rPr>
          <t xml:space="preserve"> </t>
        </r>
        <r>
          <rPr>
            <b/>
            <sz val="9"/>
            <color indexed="81"/>
            <rFont val="돋움"/>
            <family val="3"/>
            <charset val="129"/>
          </rPr>
          <t>유동성자산</t>
        </r>
        <r>
          <rPr>
            <b/>
            <sz val="9"/>
            <color indexed="81"/>
            <rFont val="Tahoma"/>
            <family val="2"/>
          </rPr>
          <t xml:space="preserve"> </t>
        </r>
        <r>
          <rPr>
            <b/>
            <sz val="9"/>
            <color indexed="81"/>
            <rFont val="돋움"/>
            <family val="3"/>
            <charset val="129"/>
          </rPr>
          <t>거래</t>
        </r>
        <r>
          <rPr>
            <b/>
            <sz val="9"/>
            <color indexed="81"/>
            <rFont val="Tahoma"/>
            <family val="2"/>
          </rPr>
          <t xml:space="preserve"> </t>
        </r>
        <r>
          <rPr>
            <b/>
            <sz val="9"/>
            <color indexed="81"/>
            <rFont val="돋움"/>
            <family val="3"/>
            <charset val="129"/>
          </rPr>
          <t>관련</t>
        </r>
        <r>
          <rPr>
            <b/>
            <sz val="9"/>
            <color indexed="81"/>
            <rFont val="Tahoma"/>
            <family val="2"/>
          </rPr>
          <t xml:space="preserve">  0   0  
            Level 2B RMBS </t>
        </r>
        <r>
          <rPr>
            <b/>
            <sz val="9"/>
            <color indexed="81"/>
            <rFont val="돋움"/>
            <family val="3"/>
            <charset val="129"/>
          </rPr>
          <t>자산을</t>
        </r>
        <r>
          <rPr>
            <b/>
            <sz val="9"/>
            <color indexed="81"/>
            <rFont val="Tahoma"/>
            <family val="2"/>
          </rPr>
          <t xml:space="preserve"> </t>
        </r>
        <r>
          <rPr>
            <b/>
            <sz val="9"/>
            <color indexed="81"/>
            <rFont val="돋움"/>
            <family val="3"/>
            <charset val="129"/>
          </rPr>
          <t>담보로</t>
        </r>
        <r>
          <rPr>
            <b/>
            <sz val="9"/>
            <color indexed="81"/>
            <rFont val="Tahoma"/>
            <family val="2"/>
          </rPr>
          <t xml:space="preserve"> </t>
        </r>
        <r>
          <rPr>
            <b/>
            <sz val="9"/>
            <color indexed="81"/>
            <rFont val="돋움"/>
            <family val="3"/>
            <charset val="129"/>
          </rPr>
          <t>수취한</t>
        </r>
        <r>
          <rPr>
            <b/>
            <sz val="9"/>
            <color indexed="81"/>
            <rFont val="Tahoma"/>
            <family val="2"/>
          </rPr>
          <t xml:space="preserve"> </t>
        </r>
        <r>
          <rPr>
            <b/>
            <sz val="9"/>
            <color indexed="81"/>
            <rFont val="돋움"/>
            <family val="3"/>
            <charset val="129"/>
          </rPr>
          <t>거래</t>
        </r>
        <r>
          <rPr>
            <b/>
            <sz val="9"/>
            <color indexed="81"/>
            <rFont val="Tahoma"/>
            <family val="2"/>
          </rPr>
          <t xml:space="preserve"> 0 0.25 0 0 0.25 0
                </t>
        </r>
        <r>
          <rPr>
            <b/>
            <sz val="9"/>
            <color indexed="81"/>
            <rFont val="돋움"/>
            <family val="3"/>
            <charset val="129"/>
          </rPr>
          <t>적격</t>
        </r>
        <r>
          <rPr>
            <b/>
            <sz val="9"/>
            <color indexed="81"/>
            <rFont val="Tahoma"/>
            <family val="2"/>
          </rPr>
          <t xml:space="preserve"> </t>
        </r>
        <r>
          <rPr>
            <b/>
            <sz val="9"/>
            <color indexed="81"/>
            <rFont val="돋움"/>
            <family val="3"/>
            <charset val="129"/>
          </rPr>
          <t>유동성자산</t>
        </r>
        <r>
          <rPr>
            <b/>
            <sz val="9"/>
            <color indexed="81"/>
            <rFont val="Tahoma"/>
            <family val="2"/>
          </rPr>
          <t xml:space="preserve"> </t>
        </r>
        <r>
          <rPr>
            <b/>
            <sz val="9"/>
            <color indexed="81"/>
            <rFont val="돋움"/>
            <family val="3"/>
            <charset val="129"/>
          </rPr>
          <t>거래</t>
        </r>
        <r>
          <rPr>
            <b/>
            <sz val="9"/>
            <color indexed="81"/>
            <rFont val="Tahoma"/>
            <family val="2"/>
          </rPr>
          <t xml:space="preserve"> </t>
        </r>
        <r>
          <rPr>
            <b/>
            <sz val="9"/>
            <color indexed="81"/>
            <rFont val="돋움"/>
            <family val="3"/>
            <charset val="129"/>
          </rPr>
          <t>관련</t>
        </r>
        <r>
          <rPr>
            <b/>
            <sz val="9"/>
            <color indexed="81"/>
            <rFont val="Tahoma"/>
            <family val="2"/>
          </rPr>
          <t xml:space="preserve">  0   0  
            Level 2B Non-RMBS </t>
        </r>
        <r>
          <rPr>
            <b/>
            <sz val="9"/>
            <color indexed="81"/>
            <rFont val="돋움"/>
            <family val="3"/>
            <charset val="129"/>
          </rPr>
          <t>자산을</t>
        </r>
        <r>
          <rPr>
            <b/>
            <sz val="9"/>
            <color indexed="81"/>
            <rFont val="Tahoma"/>
            <family val="2"/>
          </rPr>
          <t xml:space="preserve"> </t>
        </r>
        <r>
          <rPr>
            <b/>
            <sz val="9"/>
            <color indexed="81"/>
            <rFont val="돋움"/>
            <family val="3"/>
            <charset val="129"/>
          </rPr>
          <t>담보로</t>
        </r>
        <r>
          <rPr>
            <b/>
            <sz val="9"/>
            <color indexed="81"/>
            <rFont val="Tahoma"/>
            <family val="2"/>
          </rPr>
          <t xml:space="preserve"> </t>
        </r>
        <r>
          <rPr>
            <b/>
            <sz val="9"/>
            <color indexed="81"/>
            <rFont val="돋움"/>
            <family val="3"/>
            <charset val="129"/>
          </rPr>
          <t>수취한</t>
        </r>
        <r>
          <rPr>
            <b/>
            <sz val="9"/>
            <color indexed="81"/>
            <rFont val="Tahoma"/>
            <family val="2"/>
          </rPr>
          <t xml:space="preserve"> </t>
        </r>
        <r>
          <rPr>
            <b/>
            <sz val="9"/>
            <color indexed="81"/>
            <rFont val="돋움"/>
            <family val="3"/>
            <charset val="129"/>
          </rPr>
          <t>거래</t>
        </r>
        <r>
          <rPr>
            <b/>
            <sz val="9"/>
            <color indexed="81"/>
            <rFont val="Tahoma"/>
            <family val="2"/>
          </rPr>
          <t xml:space="preserve"> 0 0.50 0 0 0.50 0
                </t>
        </r>
        <r>
          <rPr>
            <b/>
            <sz val="9"/>
            <color indexed="81"/>
            <rFont val="돋움"/>
            <family val="3"/>
            <charset val="129"/>
          </rPr>
          <t>적격</t>
        </r>
        <r>
          <rPr>
            <b/>
            <sz val="9"/>
            <color indexed="81"/>
            <rFont val="Tahoma"/>
            <family val="2"/>
          </rPr>
          <t xml:space="preserve"> </t>
        </r>
        <r>
          <rPr>
            <b/>
            <sz val="9"/>
            <color indexed="81"/>
            <rFont val="돋움"/>
            <family val="3"/>
            <charset val="129"/>
          </rPr>
          <t>유동성자산</t>
        </r>
        <r>
          <rPr>
            <b/>
            <sz val="9"/>
            <color indexed="81"/>
            <rFont val="Tahoma"/>
            <family val="2"/>
          </rPr>
          <t xml:space="preserve"> </t>
        </r>
        <r>
          <rPr>
            <b/>
            <sz val="9"/>
            <color indexed="81"/>
            <rFont val="돋움"/>
            <family val="3"/>
            <charset val="129"/>
          </rPr>
          <t>거래</t>
        </r>
        <r>
          <rPr>
            <b/>
            <sz val="9"/>
            <color indexed="81"/>
            <rFont val="Tahoma"/>
            <family val="2"/>
          </rPr>
          <t xml:space="preserve"> </t>
        </r>
        <r>
          <rPr>
            <b/>
            <sz val="9"/>
            <color indexed="81"/>
            <rFont val="돋움"/>
            <family val="3"/>
            <charset val="129"/>
          </rPr>
          <t>관련</t>
        </r>
        <r>
          <rPr>
            <b/>
            <sz val="9"/>
            <color indexed="81"/>
            <rFont val="Tahoma"/>
            <family val="2"/>
          </rPr>
          <t xml:space="preserve">  0   0  
            Level 1 </t>
        </r>
        <r>
          <rPr>
            <b/>
            <sz val="9"/>
            <color indexed="81"/>
            <rFont val="돋움"/>
            <family val="3"/>
            <charset val="129"/>
          </rPr>
          <t>또는</t>
        </r>
        <r>
          <rPr>
            <b/>
            <sz val="9"/>
            <color indexed="81"/>
            <rFont val="Tahoma"/>
            <family val="2"/>
          </rPr>
          <t xml:space="preserve"> Level 2</t>
        </r>
        <r>
          <rPr>
            <b/>
            <sz val="9"/>
            <color indexed="81"/>
            <rFont val="돋움"/>
            <family val="3"/>
            <charset val="129"/>
          </rPr>
          <t>가</t>
        </r>
        <r>
          <rPr>
            <b/>
            <sz val="9"/>
            <color indexed="81"/>
            <rFont val="Tahoma"/>
            <family val="2"/>
          </rPr>
          <t xml:space="preserve"> </t>
        </r>
        <r>
          <rPr>
            <b/>
            <sz val="9"/>
            <color indexed="81"/>
            <rFont val="돋움"/>
            <family val="3"/>
            <charset val="129"/>
          </rPr>
          <t>아닌</t>
        </r>
        <r>
          <rPr>
            <b/>
            <sz val="9"/>
            <color indexed="81"/>
            <rFont val="Tahoma"/>
            <family val="2"/>
          </rPr>
          <t xml:space="preserve"> </t>
        </r>
        <r>
          <rPr>
            <b/>
            <sz val="9"/>
            <color indexed="81"/>
            <rFont val="돋움"/>
            <family val="3"/>
            <charset val="129"/>
          </rPr>
          <t>자산을</t>
        </r>
        <r>
          <rPr>
            <b/>
            <sz val="9"/>
            <color indexed="81"/>
            <rFont val="Tahoma"/>
            <family val="2"/>
          </rPr>
          <t xml:space="preserve"> </t>
        </r>
        <r>
          <rPr>
            <b/>
            <sz val="9"/>
            <color indexed="81"/>
            <rFont val="돋움"/>
            <family val="3"/>
            <charset val="129"/>
          </rPr>
          <t>담보로</t>
        </r>
        <r>
          <rPr>
            <b/>
            <sz val="9"/>
            <color indexed="81"/>
            <rFont val="Tahoma"/>
            <family val="2"/>
          </rPr>
          <t xml:space="preserve"> </t>
        </r>
        <r>
          <rPr>
            <b/>
            <sz val="9"/>
            <color indexed="81"/>
            <rFont val="돋움"/>
            <family val="3"/>
            <charset val="129"/>
          </rPr>
          <t>수취한</t>
        </r>
        <r>
          <rPr>
            <b/>
            <sz val="9"/>
            <color indexed="81"/>
            <rFont val="Tahoma"/>
            <family val="2"/>
          </rPr>
          <t xml:space="preserve"> </t>
        </r>
        <r>
          <rPr>
            <b/>
            <sz val="9"/>
            <color indexed="81"/>
            <rFont val="돋움"/>
            <family val="3"/>
            <charset val="129"/>
          </rPr>
          <t>마진론</t>
        </r>
        <r>
          <rPr>
            <b/>
            <sz val="9"/>
            <color indexed="81"/>
            <rFont val="Tahoma"/>
            <family val="2"/>
          </rPr>
          <t xml:space="preserve">(Margin Lending) 0 0.50 0 0 0.50 0
            </t>
        </r>
        <r>
          <rPr>
            <b/>
            <sz val="9"/>
            <color indexed="81"/>
            <rFont val="돋움"/>
            <family val="3"/>
            <charset val="129"/>
          </rPr>
          <t>기타</t>
        </r>
        <r>
          <rPr>
            <b/>
            <sz val="9"/>
            <color indexed="81"/>
            <rFont val="Tahoma"/>
            <family val="2"/>
          </rPr>
          <t xml:space="preserve"> </t>
        </r>
        <r>
          <rPr>
            <b/>
            <sz val="9"/>
            <color indexed="81"/>
            <rFont val="돋움"/>
            <family val="3"/>
            <charset val="129"/>
          </rPr>
          <t>자산을</t>
        </r>
        <r>
          <rPr>
            <b/>
            <sz val="9"/>
            <color indexed="81"/>
            <rFont val="Tahoma"/>
            <family val="2"/>
          </rPr>
          <t xml:space="preserve"> </t>
        </r>
        <r>
          <rPr>
            <b/>
            <sz val="9"/>
            <color indexed="81"/>
            <rFont val="돋움"/>
            <family val="3"/>
            <charset val="129"/>
          </rPr>
          <t>담보로</t>
        </r>
        <r>
          <rPr>
            <b/>
            <sz val="9"/>
            <color indexed="81"/>
            <rFont val="Tahoma"/>
            <family val="2"/>
          </rPr>
          <t xml:space="preserve"> </t>
        </r>
        <r>
          <rPr>
            <b/>
            <sz val="9"/>
            <color indexed="81"/>
            <rFont val="돋움"/>
            <family val="3"/>
            <charset val="129"/>
          </rPr>
          <t>수취한</t>
        </r>
        <r>
          <rPr>
            <b/>
            <sz val="9"/>
            <color indexed="81"/>
            <rFont val="Tahoma"/>
            <family val="2"/>
          </rPr>
          <t xml:space="preserve"> </t>
        </r>
        <r>
          <rPr>
            <b/>
            <sz val="9"/>
            <color indexed="81"/>
            <rFont val="돋움"/>
            <family val="3"/>
            <charset val="129"/>
          </rPr>
          <t>거래</t>
        </r>
        <r>
          <rPr>
            <b/>
            <sz val="9"/>
            <color indexed="81"/>
            <rFont val="Tahoma"/>
            <family val="2"/>
          </rPr>
          <t xml:space="preserve"> 0 1.00 0 0 1.00 0
        2) </t>
        </r>
        <r>
          <rPr>
            <b/>
            <sz val="9"/>
            <color indexed="81"/>
            <rFont val="돋움"/>
            <family val="3"/>
            <charset val="129"/>
          </rPr>
          <t>제공받은</t>
        </r>
        <r>
          <rPr>
            <b/>
            <sz val="9"/>
            <color indexed="81"/>
            <rFont val="Tahoma"/>
            <family val="2"/>
          </rPr>
          <t xml:space="preserve"> </t>
        </r>
        <r>
          <rPr>
            <b/>
            <sz val="9"/>
            <color indexed="81"/>
            <rFont val="돋움"/>
            <family val="3"/>
            <charset val="129"/>
          </rPr>
          <t>담보자산을</t>
        </r>
        <r>
          <rPr>
            <b/>
            <sz val="9"/>
            <color indexed="81"/>
            <rFont val="Tahoma"/>
            <family val="2"/>
          </rPr>
          <t xml:space="preserve"> </t>
        </r>
        <r>
          <rPr>
            <b/>
            <sz val="9"/>
            <color indexed="81"/>
            <rFont val="돋움"/>
            <family val="3"/>
            <charset val="129"/>
          </rPr>
          <t>매도포지션</t>
        </r>
        <r>
          <rPr>
            <b/>
            <sz val="9"/>
            <color indexed="81"/>
            <rFont val="Tahoma"/>
            <family val="2"/>
          </rPr>
          <t xml:space="preserve"> </t>
        </r>
        <r>
          <rPr>
            <b/>
            <sz val="9"/>
            <color indexed="81"/>
            <rFont val="돋움"/>
            <family val="3"/>
            <charset val="129"/>
          </rPr>
          <t>커버를</t>
        </r>
        <r>
          <rPr>
            <b/>
            <sz val="9"/>
            <color indexed="81"/>
            <rFont val="Tahoma"/>
            <family val="2"/>
          </rPr>
          <t xml:space="preserve"> </t>
        </r>
        <r>
          <rPr>
            <b/>
            <sz val="9"/>
            <color indexed="81"/>
            <rFont val="돋움"/>
            <family val="3"/>
            <charset val="129"/>
          </rPr>
          <t>위해</t>
        </r>
        <r>
          <rPr>
            <b/>
            <sz val="9"/>
            <color indexed="81"/>
            <rFont val="Tahoma"/>
            <family val="2"/>
          </rPr>
          <t xml:space="preserve"> </t>
        </r>
        <r>
          <rPr>
            <b/>
            <sz val="9"/>
            <color indexed="81"/>
            <rFont val="돋움"/>
            <family val="3"/>
            <charset val="129"/>
          </rPr>
          <t>재사용하는</t>
        </r>
        <r>
          <rPr>
            <b/>
            <sz val="9"/>
            <color indexed="81"/>
            <rFont val="Tahoma"/>
            <family val="2"/>
          </rPr>
          <t xml:space="preserve"> </t>
        </r>
        <r>
          <rPr>
            <b/>
            <sz val="9"/>
            <color indexed="81"/>
            <rFont val="돋움"/>
            <family val="3"/>
            <charset val="129"/>
          </rPr>
          <t>경우</t>
        </r>
        <r>
          <rPr>
            <b/>
            <sz val="9"/>
            <color indexed="81"/>
            <rFont val="Tahoma"/>
            <family val="2"/>
          </rPr>
          <t xml:space="preserve">  -    -   -    - 
            Level 1 </t>
        </r>
        <r>
          <rPr>
            <b/>
            <sz val="9"/>
            <color indexed="81"/>
            <rFont val="돋움"/>
            <family val="3"/>
            <charset val="129"/>
          </rPr>
          <t>자산을</t>
        </r>
        <r>
          <rPr>
            <b/>
            <sz val="9"/>
            <color indexed="81"/>
            <rFont val="Tahoma"/>
            <family val="2"/>
          </rPr>
          <t xml:space="preserve"> </t>
        </r>
        <r>
          <rPr>
            <b/>
            <sz val="9"/>
            <color indexed="81"/>
            <rFont val="돋움"/>
            <family val="3"/>
            <charset val="129"/>
          </rPr>
          <t>담보로</t>
        </r>
        <r>
          <rPr>
            <b/>
            <sz val="9"/>
            <color indexed="81"/>
            <rFont val="Tahoma"/>
            <family val="2"/>
          </rPr>
          <t xml:space="preserve"> </t>
        </r>
        <r>
          <rPr>
            <b/>
            <sz val="9"/>
            <color indexed="81"/>
            <rFont val="돋움"/>
            <family val="3"/>
            <charset val="129"/>
          </rPr>
          <t>수취한</t>
        </r>
        <r>
          <rPr>
            <b/>
            <sz val="9"/>
            <color indexed="81"/>
            <rFont val="Tahoma"/>
            <family val="2"/>
          </rPr>
          <t xml:space="preserve"> </t>
        </r>
        <r>
          <rPr>
            <b/>
            <sz val="9"/>
            <color indexed="81"/>
            <rFont val="돋움"/>
            <family val="3"/>
            <charset val="129"/>
          </rPr>
          <t>거래</t>
        </r>
        <r>
          <rPr>
            <b/>
            <sz val="9"/>
            <color indexed="81"/>
            <rFont val="Tahoma"/>
            <family val="2"/>
          </rPr>
          <t xml:space="preserve"> 0 0.00 0 0 0.00 0
            Level 2A </t>
        </r>
        <r>
          <rPr>
            <b/>
            <sz val="9"/>
            <color indexed="81"/>
            <rFont val="돋움"/>
            <family val="3"/>
            <charset val="129"/>
          </rPr>
          <t>자산을</t>
        </r>
        <r>
          <rPr>
            <b/>
            <sz val="9"/>
            <color indexed="81"/>
            <rFont val="Tahoma"/>
            <family val="2"/>
          </rPr>
          <t xml:space="preserve"> </t>
        </r>
        <r>
          <rPr>
            <b/>
            <sz val="9"/>
            <color indexed="81"/>
            <rFont val="돋움"/>
            <family val="3"/>
            <charset val="129"/>
          </rPr>
          <t>담보로</t>
        </r>
        <r>
          <rPr>
            <b/>
            <sz val="9"/>
            <color indexed="81"/>
            <rFont val="Tahoma"/>
            <family val="2"/>
          </rPr>
          <t xml:space="preserve"> </t>
        </r>
        <r>
          <rPr>
            <b/>
            <sz val="9"/>
            <color indexed="81"/>
            <rFont val="돋움"/>
            <family val="3"/>
            <charset val="129"/>
          </rPr>
          <t>수취한</t>
        </r>
        <r>
          <rPr>
            <b/>
            <sz val="9"/>
            <color indexed="81"/>
            <rFont val="Tahoma"/>
            <family val="2"/>
          </rPr>
          <t xml:space="preserve"> </t>
        </r>
        <r>
          <rPr>
            <b/>
            <sz val="9"/>
            <color indexed="81"/>
            <rFont val="돋움"/>
            <family val="3"/>
            <charset val="129"/>
          </rPr>
          <t>거래</t>
        </r>
        <r>
          <rPr>
            <b/>
            <sz val="9"/>
            <color indexed="81"/>
            <rFont val="Tahoma"/>
            <family val="2"/>
          </rPr>
          <t xml:space="preserve"> 0 0.00 0 0 0.00 0
            Level 2B RMBS </t>
        </r>
        <r>
          <rPr>
            <b/>
            <sz val="9"/>
            <color indexed="81"/>
            <rFont val="돋움"/>
            <family val="3"/>
            <charset val="129"/>
          </rPr>
          <t>자산을</t>
        </r>
        <r>
          <rPr>
            <b/>
            <sz val="9"/>
            <color indexed="81"/>
            <rFont val="Tahoma"/>
            <family val="2"/>
          </rPr>
          <t xml:space="preserve"> </t>
        </r>
        <r>
          <rPr>
            <b/>
            <sz val="9"/>
            <color indexed="81"/>
            <rFont val="돋움"/>
            <family val="3"/>
            <charset val="129"/>
          </rPr>
          <t>담보로</t>
        </r>
        <r>
          <rPr>
            <b/>
            <sz val="9"/>
            <color indexed="81"/>
            <rFont val="Tahoma"/>
            <family val="2"/>
          </rPr>
          <t xml:space="preserve"> </t>
        </r>
        <r>
          <rPr>
            <b/>
            <sz val="9"/>
            <color indexed="81"/>
            <rFont val="돋움"/>
            <family val="3"/>
            <charset val="129"/>
          </rPr>
          <t>수취한</t>
        </r>
        <r>
          <rPr>
            <b/>
            <sz val="9"/>
            <color indexed="81"/>
            <rFont val="Tahoma"/>
            <family val="2"/>
          </rPr>
          <t xml:space="preserve"> </t>
        </r>
        <r>
          <rPr>
            <b/>
            <sz val="9"/>
            <color indexed="81"/>
            <rFont val="돋움"/>
            <family val="3"/>
            <charset val="129"/>
          </rPr>
          <t>거래</t>
        </r>
        <r>
          <rPr>
            <b/>
            <sz val="9"/>
            <color indexed="81"/>
            <rFont val="Tahoma"/>
            <family val="2"/>
          </rPr>
          <t xml:space="preserve"> 0 0.00 0 0 0.00 0
            Level 2B Non-RMBS </t>
        </r>
        <r>
          <rPr>
            <b/>
            <sz val="9"/>
            <color indexed="81"/>
            <rFont val="돋움"/>
            <family val="3"/>
            <charset val="129"/>
          </rPr>
          <t>자산을</t>
        </r>
        <r>
          <rPr>
            <b/>
            <sz val="9"/>
            <color indexed="81"/>
            <rFont val="Tahoma"/>
            <family val="2"/>
          </rPr>
          <t xml:space="preserve"> </t>
        </r>
        <r>
          <rPr>
            <b/>
            <sz val="9"/>
            <color indexed="81"/>
            <rFont val="돋움"/>
            <family val="3"/>
            <charset val="129"/>
          </rPr>
          <t>담보로</t>
        </r>
        <r>
          <rPr>
            <b/>
            <sz val="9"/>
            <color indexed="81"/>
            <rFont val="Tahoma"/>
            <family val="2"/>
          </rPr>
          <t xml:space="preserve"> </t>
        </r>
        <r>
          <rPr>
            <b/>
            <sz val="9"/>
            <color indexed="81"/>
            <rFont val="돋움"/>
            <family val="3"/>
            <charset val="129"/>
          </rPr>
          <t>수취한</t>
        </r>
        <r>
          <rPr>
            <b/>
            <sz val="9"/>
            <color indexed="81"/>
            <rFont val="Tahoma"/>
            <family val="2"/>
          </rPr>
          <t xml:space="preserve"> </t>
        </r>
        <r>
          <rPr>
            <b/>
            <sz val="9"/>
            <color indexed="81"/>
            <rFont val="돋움"/>
            <family val="3"/>
            <charset val="129"/>
          </rPr>
          <t>거래</t>
        </r>
        <r>
          <rPr>
            <b/>
            <sz val="9"/>
            <color indexed="81"/>
            <rFont val="Tahoma"/>
            <family val="2"/>
          </rPr>
          <t xml:space="preserve"> 0 0.00 0 0 0.00 0
            Level 1 </t>
        </r>
        <r>
          <rPr>
            <b/>
            <sz val="9"/>
            <color indexed="81"/>
            <rFont val="돋움"/>
            <family val="3"/>
            <charset val="129"/>
          </rPr>
          <t>또는</t>
        </r>
        <r>
          <rPr>
            <b/>
            <sz val="9"/>
            <color indexed="81"/>
            <rFont val="Tahoma"/>
            <family val="2"/>
          </rPr>
          <t xml:space="preserve"> Level 2</t>
        </r>
        <r>
          <rPr>
            <b/>
            <sz val="9"/>
            <color indexed="81"/>
            <rFont val="돋움"/>
            <family val="3"/>
            <charset val="129"/>
          </rPr>
          <t>가</t>
        </r>
        <r>
          <rPr>
            <b/>
            <sz val="9"/>
            <color indexed="81"/>
            <rFont val="Tahoma"/>
            <family val="2"/>
          </rPr>
          <t xml:space="preserve"> </t>
        </r>
        <r>
          <rPr>
            <b/>
            <sz val="9"/>
            <color indexed="81"/>
            <rFont val="돋움"/>
            <family val="3"/>
            <charset val="129"/>
          </rPr>
          <t>아닌</t>
        </r>
        <r>
          <rPr>
            <b/>
            <sz val="9"/>
            <color indexed="81"/>
            <rFont val="Tahoma"/>
            <family val="2"/>
          </rPr>
          <t xml:space="preserve"> </t>
        </r>
        <r>
          <rPr>
            <b/>
            <sz val="9"/>
            <color indexed="81"/>
            <rFont val="돋움"/>
            <family val="3"/>
            <charset val="129"/>
          </rPr>
          <t>자산을</t>
        </r>
        <r>
          <rPr>
            <b/>
            <sz val="9"/>
            <color indexed="81"/>
            <rFont val="Tahoma"/>
            <family val="2"/>
          </rPr>
          <t xml:space="preserve"> </t>
        </r>
        <r>
          <rPr>
            <b/>
            <sz val="9"/>
            <color indexed="81"/>
            <rFont val="돋움"/>
            <family val="3"/>
            <charset val="129"/>
          </rPr>
          <t>담보로</t>
        </r>
        <r>
          <rPr>
            <b/>
            <sz val="9"/>
            <color indexed="81"/>
            <rFont val="Tahoma"/>
            <family val="2"/>
          </rPr>
          <t xml:space="preserve"> </t>
        </r>
        <r>
          <rPr>
            <b/>
            <sz val="9"/>
            <color indexed="81"/>
            <rFont val="돋움"/>
            <family val="3"/>
            <charset val="129"/>
          </rPr>
          <t>수취한</t>
        </r>
        <r>
          <rPr>
            <b/>
            <sz val="9"/>
            <color indexed="81"/>
            <rFont val="Tahoma"/>
            <family val="2"/>
          </rPr>
          <t xml:space="preserve"> </t>
        </r>
        <r>
          <rPr>
            <b/>
            <sz val="9"/>
            <color indexed="81"/>
            <rFont val="돋움"/>
            <family val="3"/>
            <charset val="129"/>
          </rPr>
          <t>마진론</t>
        </r>
        <r>
          <rPr>
            <b/>
            <sz val="9"/>
            <color indexed="81"/>
            <rFont val="Tahoma"/>
            <family val="2"/>
          </rPr>
          <t xml:space="preserve">(Margin Lending) 0 0.00 0 0 0.00 0
            </t>
        </r>
        <r>
          <rPr>
            <b/>
            <sz val="9"/>
            <color indexed="81"/>
            <rFont val="돋움"/>
            <family val="3"/>
            <charset val="129"/>
          </rPr>
          <t>기타</t>
        </r>
        <r>
          <rPr>
            <b/>
            <sz val="9"/>
            <color indexed="81"/>
            <rFont val="Tahoma"/>
            <family val="2"/>
          </rPr>
          <t xml:space="preserve"> </t>
        </r>
        <r>
          <rPr>
            <b/>
            <sz val="9"/>
            <color indexed="81"/>
            <rFont val="돋움"/>
            <family val="3"/>
            <charset val="129"/>
          </rPr>
          <t>자산을</t>
        </r>
        <r>
          <rPr>
            <b/>
            <sz val="9"/>
            <color indexed="81"/>
            <rFont val="Tahoma"/>
            <family val="2"/>
          </rPr>
          <t xml:space="preserve"> </t>
        </r>
        <r>
          <rPr>
            <b/>
            <sz val="9"/>
            <color indexed="81"/>
            <rFont val="돋움"/>
            <family val="3"/>
            <charset val="129"/>
          </rPr>
          <t>담보로</t>
        </r>
        <r>
          <rPr>
            <b/>
            <sz val="9"/>
            <color indexed="81"/>
            <rFont val="Tahoma"/>
            <family val="2"/>
          </rPr>
          <t xml:space="preserve"> </t>
        </r>
        <r>
          <rPr>
            <b/>
            <sz val="9"/>
            <color indexed="81"/>
            <rFont val="돋움"/>
            <family val="3"/>
            <charset val="129"/>
          </rPr>
          <t>수취한</t>
        </r>
        <r>
          <rPr>
            <b/>
            <sz val="9"/>
            <color indexed="81"/>
            <rFont val="Tahoma"/>
            <family val="2"/>
          </rPr>
          <t xml:space="preserve"> </t>
        </r>
        <r>
          <rPr>
            <b/>
            <sz val="9"/>
            <color indexed="81"/>
            <rFont val="돋움"/>
            <family val="3"/>
            <charset val="129"/>
          </rPr>
          <t>거래</t>
        </r>
        <r>
          <rPr>
            <b/>
            <sz val="9"/>
            <color indexed="81"/>
            <rFont val="Tahoma"/>
            <family val="2"/>
          </rPr>
          <t xml:space="preserve"> 0 0.00 0 0 0.00 0
    </t>
        </r>
        <r>
          <rPr>
            <b/>
            <sz val="9"/>
            <color indexed="81"/>
            <rFont val="돋움"/>
            <family val="3"/>
            <charset val="129"/>
          </rPr>
          <t>나</t>
        </r>
        <r>
          <rPr>
            <b/>
            <sz val="9"/>
            <color indexed="81"/>
            <rFont val="Tahoma"/>
            <family val="2"/>
          </rPr>
          <t xml:space="preserve">. </t>
        </r>
        <r>
          <rPr>
            <b/>
            <sz val="9"/>
            <color indexed="81"/>
            <rFont val="돋움"/>
            <family val="3"/>
            <charset val="129"/>
          </rPr>
          <t>기타</t>
        </r>
        <r>
          <rPr>
            <b/>
            <sz val="9"/>
            <color indexed="81"/>
            <rFont val="Tahoma"/>
            <family val="2"/>
          </rPr>
          <t xml:space="preserve"> </t>
        </r>
        <r>
          <rPr>
            <b/>
            <sz val="9"/>
            <color indexed="81"/>
            <rFont val="돋움"/>
            <family val="3"/>
            <charset val="129"/>
          </rPr>
          <t>거래상대방별</t>
        </r>
        <r>
          <rPr>
            <b/>
            <sz val="9"/>
            <color indexed="81"/>
            <rFont val="Tahoma"/>
            <family val="2"/>
          </rPr>
          <t xml:space="preserve"> </t>
        </r>
        <r>
          <rPr>
            <b/>
            <sz val="9"/>
            <color indexed="81"/>
            <rFont val="돋움"/>
            <family val="3"/>
            <charset val="129"/>
          </rPr>
          <t>현금유입</t>
        </r>
        <r>
          <rPr>
            <b/>
            <sz val="9"/>
            <color indexed="81"/>
            <rFont val="Tahoma"/>
            <family val="2"/>
          </rPr>
          <t>(</t>
        </r>
        <r>
          <rPr>
            <b/>
            <sz val="9"/>
            <color indexed="81"/>
            <rFont val="돋움"/>
            <family val="3"/>
            <charset val="129"/>
          </rPr>
          <t>잔존만기</t>
        </r>
        <r>
          <rPr>
            <b/>
            <sz val="9"/>
            <color indexed="81"/>
            <rFont val="Tahoma"/>
            <family val="2"/>
          </rPr>
          <t xml:space="preserve"> 1</t>
        </r>
        <r>
          <rPr>
            <b/>
            <sz val="9"/>
            <color indexed="81"/>
            <rFont val="돋움"/>
            <family val="3"/>
            <charset val="129"/>
          </rPr>
          <t>개월</t>
        </r>
        <r>
          <rPr>
            <b/>
            <sz val="9"/>
            <color indexed="81"/>
            <rFont val="Tahoma"/>
            <family val="2"/>
          </rPr>
          <t xml:space="preserve"> </t>
        </r>
        <r>
          <rPr>
            <b/>
            <sz val="9"/>
            <color indexed="81"/>
            <rFont val="돋움"/>
            <family val="3"/>
            <charset val="129"/>
          </rPr>
          <t>이내의</t>
        </r>
        <r>
          <rPr>
            <b/>
            <sz val="9"/>
            <color indexed="81"/>
            <rFont val="Tahoma"/>
            <family val="2"/>
          </rPr>
          <t xml:space="preserve"> </t>
        </r>
        <r>
          <rPr>
            <b/>
            <sz val="9"/>
            <color indexed="81"/>
            <rFont val="돋움"/>
            <family val="3"/>
            <charset val="129"/>
          </rPr>
          <t>정상여신으로부터의</t>
        </r>
        <r>
          <rPr>
            <b/>
            <sz val="9"/>
            <color indexed="81"/>
            <rFont val="Tahoma"/>
            <family val="2"/>
          </rPr>
          <t xml:space="preserve"> </t>
        </r>
        <r>
          <rPr>
            <b/>
            <sz val="9"/>
            <color indexed="81"/>
            <rFont val="돋움"/>
            <family val="3"/>
            <charset val="129"/>
          </rPr>
          <t>계약상</t>
        </r>
        <r>
          <rPr>
            <b/>
            <sz val="9"/>
            <color indexed="81"/>
            <rFont val="Tahoma"/>
            <family val="2"/>
          </rPr>
          <t xml:space="preserve"> </t>
        </r>
        <r>
          <rPr>
            <b/>
            <sz val="9"/>
            <color indexed="81"/>
            <rFont val="돋움"/>
            <family val="3"/>
            <charset val="129"/>
          </rPr>
          <t>현금유입</t>
        </r>
        <r>
          <rPr>
            <b/>
            <sz val="9"/>
            <color indexed="81"/>
            <rFont val="Tahoma"/>
            <family val="2"/>
          </rPr>
          <t xml:space="preserve">)  327,831    133,125   285,722    124,869 
        1) </t>
        </r>
        <r>
          <rPr>
            <b/>
            <sz val="9"/>
            <color indexed="81"/>
            <rFont val="돋움"/>
            <family val="3"/>
            <charset val="129"/>
          </rPr>
          <t>소매</t>
        </r>
        <r>
          <rPr>
            <b/>
            <sz val="9"/>
            <color indexed="81"/>
            <rFont val="Tahoma"/>
            <family val="2"/>
          </rPr>
          <t xml:space="preserve"> </t>
        </r>
        <r>
          <rPr>
            <b/>
            <sz val="9"/>
            <color indexed="81"/>
            <rFont val="돋움"/>
            <family val="3"/>
            <charset val="129"/>
          </rPr>
          <t>고객</t>
        </r>
        <r>
          <rPr>
            <b/>
            <sz val="9"/>
            <color indexed="81"/>
            <rFont val="Tahoma"/>
            <family val="2"/>
          </rPr>
          <t xml:space="preserve"> 36 0.50 18 36 0.50 18
        2) </t>
        </r>
        <r>
          <rPr>
            <b/>
            <sz val="9"/>
            <color indexed="81"/>
            <rFont val="돋움"/>
            <family val="3"/>
            <charset val="129"/>
          </rPr>
          <t>중소기업</t>
        </r>
        <r>
          <rPr>
            <b/>
            <sz val="9"/>
            <color indexed="81"/>
            <rFont val="Tahoma"/>
            <family val="2"/>
          </rPr>
          <t xml:space="preserve"> </t>
        </r>
        <r>
          <rPr>
            <b/>
            <sz val="9"/>
            <color indexed="81"/>
            <rFont val="돋움"/>
            <family val="3"/>
            <charset val="129"/>
          </rPr>
          <t>고객</t>
        </r>
        <r>
          <rPr>
            <b/>
            <sz val="9"/>
            <color indexed="81"/>
            <rFont val="Tahoma"/>
            <family val="2"/>
          </rPr>
          <t xml:space="preserve"> 11,692 0.50 5,846 5,466 0.50 2,733
        3) </t>
        </r>
        <r>
          <rPr>
            <b/>
            <sz val="9"/>
            <color indexed="81"/>
            <rFont val="돋움"/>
            <family val="3"/>
            <charset val="129"/>
          </rPr>
          <t>비금융기업</t>
        </r>
        <r>
          <rPr>
            <b/>
            <sz val="9"/>
            <color indexed="81"/>
            <rFont val="Tahoma"/>
            <family val="2"/>
          </rPr>
          <t xml:space="preserve"> 91,901 0.50 45,950 84,135 0.50 42,068
        4) </t>
        </r>
        <r>
          <rPr>
            <b/>
            <sz val="9"/>
            <color indexed="81"/>
            <rFont val="돋움"/>
            <family val="3"/>
            <charset val="129"/>
          </rPr>
          <t>중앙은행</t>
        </r>
        <r>
          <rPr>
            <b/>
            <sz val="9"/>
            <color indexed="81"/>
            <rFont val="Tahoma"/>
            <family val="2"/>
          </rPr>
          <t xml:space="preserve"> 0 1.00 0 0 1.00 0
        5) </t>
        </r>
        <r>
          <rPr>
            <b/>
            <sz val="9"/>
            <color indexed="81"/>
            <rFont val="돋움"/>
            <family val="3"/>
            <charset val="129"/>
          </rPr>
          <t>금융회사</t>
        </r>
        <r>
          <rPr>
            <b/>
            <sz val="9"/>
            <color indexed="81"/>
            <rFont val="Tahoma"/>
            <family val="2"/>
          </rPr>
          <t xml:space="preserve">  224,203    81,311   196,086    80,051 
            </t>
        </r>
        <r>
          <rPr>
            <b/>
            <sz val="9"/>
            <color indexed="81"/>
            <rFont val="돋움"/>
            <family val="3"/>
            <charset val="129"/>
          </rPr>
          <t>영업적</t>
        </r>
        <r>
          <rPr>
            <b/>
            <sz val="9"/>
            <color indexed="81"/>
            <rFont val="Tahoma"/>
            <family val="2"/>
          </rPr>
          <t xml:space="preserve"> </t>
        </r>
        <r>
          <rPr>
            <b/>
            <sz val="9"/>
            <color indexed="81"/>
            <rFont val="돋움"/>
            <family val="3"/>
            <charset val="129"/>
          </rPr>
          <t>예금</t>
        </r>
        <r>
          <rPr>
            <b/>
            <sz val="9"/>
            <color indexed="81"/>
            <rFont val="Tahoma"/>
            <family val="2"/>
          </rPr>
          <t xml:space="preserve"> 142,892 0.00 0 116,035 0.00 0
            </t>
        </r>
        <r>
          <rPr>
            <b/>
            <sz val="9"/>
            <color indexed="81"/>
            <rFont val="돋움"/>
            <family val="3"/>
            <charset val="129"/>
          </rPr>
          <t>네트워크형</t>
        </r>
        <r>
          <rPr>
            <b/>
            <sz val="9"/>
            <color indexed="81"/>
            <rFont val="Tahoma"/>
            <family val="2"/>
          </rPr>
          <t xml:space="preserve"> </t>
        </r>
        <r>
          <rPr>
            <b/>
            <sz val="9"/>
            <color indexed="81"/>
            <rFont val="돋움"/>
            <family val="3"/>
            <charset val="129"/>
          </rPr>
          <t>협력은행이</t>
        </r>
        <r>
          <rPr>
            <b/>
            <sz val="9"/>
            <color indexed="81"/>
            <rFont val="Tahoma"/>
            <family val="2"/>
          </rPr>
          <t xml:space="preserve"> </t>
        </r>
        <r>
          <rPr>
            <b/>
            <sz val="9"/>
            <color indexed="81"/>
            <rFont val="돋움"/>
            <family val="3"/>
            <charset val="129"/>
          </rPr>
          <t>중앙기관에</t>
        </r>
        <r>
          <rPr>
            <b/>
            <sz val="9"/>
            <color indexed="81"/>
            <rFont val="Tahoma"/>
            <family val="2"/>
          </rPr>
          <t xml:space="preserve"> </t>
        </r>
        <r>
          <rPr>
            <b/>
            <sz val="9"/>
            <color indexed="81"/>
            <rFont val="돋움"/>
            <family val="3"/>
            <charset val="129"/>
          </rPr>
          <t>예치한</t>
        </r>
        <r>
          <rPr>
            <b/>
            <sz val="9"/>
            <color indexed="81"/>
            <rFont val="Tahoma"/>
            <family val="2"/>
          </rPr>
          <t xml:space="preserve"> </t>
        </r>
        <r>
          <rPr>
            <b/>
            <sz val="9"/>
            <color indexed="81"/>
            <rFont val="돋움"/>
            <family val="3"/>
            <charset val="129"/>
          </rPr>
          <t>예금</t>
        </r>
        <r>
          <rPr>
            <b/>
            <sz val="9"/>
            <color indexed="81"/>
            <rFont val="Tahoma"/>
            <family val="2"/>
          </rPr>
          <t xml:space="preserve"> 0 0.00 0 0 0.00 0
            1</t>
        </r>
        <r>
          <rPr>
            <b/>
            <sz val="9"/>
            <color indexed="81"/>
            <rFont val="돋움"/>
            <family val="3"/>
            <charset val="129"/>
          </rPr>
          <t>개월</t>
        </r>
        <r>
          <rPr>
            <b/>
            <sz val="9"/>
            <color indexed="81"/>
            <rFont val="Tahoma"/>
            <family val="2"/>
          </rPr>
          <t xml:space="preserve"> </t>
        </r>
        <r>
          <rPr>
            <b/>
            <sz val="9"/>
            <color indexed="81"/>
            <rFont val="돋움"/>
            <family val="3"/>
            <charset val="129"/>
          </rPr>
          <t>이내에</t>
        </r>
        <r>
          <rPr>
            <b/>
            <sz val="9"/>
            <color indexed="81"/>
            <rFont val="Tahoma"/>
            <family val="2"/>
          </rPr>
          <t xml:space="preserve"> </t>
        </r>
        <r>
          <rPr>
            <b/>
            <sz val="9"/>
            <color indexed="81"/>
            <rFont val="돋움"/>
            <family val="3"/>
            <charset val="129"/>
          </rPr>
          <t>만기가</t>
        </r>
        <r>
          <rPr>
            <b/>
            <sz val="9"/>
            <color indexed="81"/>
            <rFont val="Tahoma"/>
            <family val="2"/>
          </rPr>
          <t xml:space="preserve"> </t>
        </r>
        <r>
          <rPr>
            <b/>
            <sz val="9"/>
            <color indexed="81"/>
            <rFont val="돋움"/>
            <family val="3"/>
            <charset val="129"/>
          </rPr>
          <t>도래하는</t>
        </r>
        <r>
          <rPr>
            <b/>
            <sz val="9"/>
            <color indexed="81"/>
            <rFont val="Tahoma"/>
            <family val="2"/>
          </rPr>
          <t xml:space="preserve"> </t>
        </r>
        <r>
          <rPr>
            <b/>
            <sz val="9"/>
            <color indexed="81"/>
            <rFont val="돋움"/>
            <family val="3"/>
            <charset val="129"/>
          </rPr>
          <t>기타</t>
        </r>
        <r>
          <rPr>
            <b/>
            <sz val="9"/>
            <color indexed="81"/>
            <rFont val="Tahoma"/>
            <family val="2"/>
          </rPr>
          <t xml:space="preserve"> </t>
        </r>
        <r>
          <rPr>
            <b/>
            <sz val="9"/>
            <color indexed="81"/>
            <rFont val="돋움"/>
            <family val="3"/>
            <charset val="129"/>
          </rPr>
          <t>대출</t>
        </r>
        <r>
          <rPr>
            <b/>
            <sz val="9"/>
            <color indexed="81"/>
            <rFont val="Tahoma"/>
            <family val="2"/>
          </rPr>
          <t xml:space="preserve"> </t>
        </r>
        <r>
          <rPr>
            <b/>
            <sz val="9"/>
            <color indexed="81"/>
            <rFont val="돋움"/>
            <family val="3"/>
            <charset val="129"/>
          </rPr>
          <t>또는</t>
        </r>
        <r>
          <rPr>
            <b/>
            <sz val="9"/>
            <color indexed="81"/>
            <rFont val="Tahoma"/>
            <family val="2"/>
          </rPr>
          <t xml:space="preserve"> </t>
        </r>
        <r>
          <rPr>
            <b/>
            <sz val="9"/>
            <color indexed="81"/>
            <rFont val="돋움"/>
            <family val="3"/>
            <charset val="129"/>
          </rPr>
          <t>예치금</t>
        </r>
        <r>
          <rPr>
            <b/>
            <sz val="9"/>
            <color indexed="81"/>
            <rFont val="Tahoma"/>
            <family val="2"/>
          </rPr>
          <t xml:space="preserve"> 81,311 1.00 81,311 80,051 1.00 80,051
        6) </t>
        </r>
        <r>
          <rPr>
            <b/>
            <sz val="9"/>
            <color indexed="81"/>
            <rFont val="돋움"/>
            <family val="3"/>
            <charset val="129"/>
          </rPr>
          <t>기타</t>
        </r>
        <r>
          <rPr>
            <b/>
            <sz val="9"/>
            <color indexed="81"/>
            <rFont val="Tahoma"/>
            <family val="2"/>
          </rPr>
          <t xml:space="preserve"> </t>
        </r>
        <r>
          <rPr>
            <b/>
            <sz val="9"/>
            <color indexed="81"/>
            <rFont val="돋움"/>
            <family val="3"/>
            <charset val="129"/>
          </rPr>
          <t>법인</t>
        </r>
        <r>
          <rPr>
            <b/>
            <sz val="9"/>
            <color indexed="81"/>
            <rFont val="Tahoma"/>
            <family val="2"/>
          </rPr>
          <t xml:space="preserve"> 0 0.50 0 0 0.50 0
    </t>
        </r>
        <r>
          <rPr>
            <b/>
            <sz val="9"/>
            <color indexed="81"/>
            <rFont val="돋움"/>
            <family val="3"/>
            <charset val="129"/>
          </rPr>
          <t>다</t>
        </r>
        <r>
          <rPr>
            <b/>
            <sz val="9"/>
            <color indexed="81"/>
            <rFont val="Tahoma"/>
            <family val="2"/>
          </rPr>
          <t xml:space="preserve">. </t>
        </r>
        <r>
          <rPr>
            <b/>
            <sz val="9"/>
            <color indexed="81"/>
            <rFont val="돋움"/>
            <family val="3"/>
            <charset val="129"/>
          </rPr>
          <t>기타</t>
        </r>
        <r>
          <rPr>
            <b/>
            <sz val="9"/>
            <color indexed="81"/>
            <rFont val="Tahoma"/>
            <family val="2"/>
          </rPr>
          <t xml:space="preserve"> </t>
        </r>
        <r>
          <rPr>
            <b/>
            <sz val="9"/>
            <color indexed="81"/>
            <rFont val="돋움"/>
            <family val="3"/>
            <charset val="129"/>
          </rPr>
          <t>현금</t>
        </r>
        <r>
          <rPr>
            <b/>
            <sz val="9"/>
            <color indexed="81"/>
            <rFont val="Tahoma"/>
            <family val="2"/>
          </rPr>
          <t xml:space="preserve"> </t>
        </r>
        <r>
          <rPr>
            <b/>
            <sz val="9"/>
            <color indexed="81"/>
            <rFont val="돋움"/>
            <family val="3"/>
            <charset val="129"/>
          </rPr>
          <t>유입</t>
        </r>
        <r>
          <rPr>
            <b/>
            <sz val="9"/>
            <color indexed="81"/>
            <rFont val="Tahoma"/>
            <family val="2"/>
          </rPr>
          <t xml:space="preserve">  859    859   5,573    5,573 
        1) </t>
        </r>
        <r>
          <rPr>
            <b/>
            <sz val="9"/>
            <color indexed="81"/>
            <rFont val="돋움"/>
            <family val="3"/>
            <charset val="129"/>
          </rPr>
          <t>파생상품거래</t>
        </r>
        <r>
          <rPr>
            <b/>
            <sz val="9"/>
            <color indexed="81"/>
            <rFont val="Tahoma"/>
            <family val="2"/>
          </rPr>
          <t xml:space="preserve"> </t>
        </r>
        <r>
          <rPr>
            <b/>
            <sz val="9"/>
            <color indexed="81"/>
            <rFont val="돋움"/>
            <family val="3"/>
            <charset val="129"/>
          </rPr>
          <t>관련</t>
        </r>
        <r>
          <rPr>
            <b/>
            <sz val="9"/>
            <color indexed="81"/>
            <rFont val="Tahoma"/>
            <family val="2"/>
          </rPr>
          <t xml:space="preserve"> </t>
        </r>
        <r>
          <rPr>
            <b/>
            <sz val="9"/>
            <color indexed="81"/>
            <rFont val="돋움"/>
            <family val="3"/>
            <charset val="129"/>
          </rPr>
          <t>현금유입액</t>
        </r>
        <r>
          <rPr>
            <b/>
            <sz val="9"/>
            <color indexed="81"/>
            <rFont val="Tahoma"/>
            <family val="2"/>
          </rPr>
          <t xml:space="preserve"> 629 1.00 629 5,344 1.00 5,344
        2) 1</t>
        </r>
        <r>
          <rPr>
            <b/>
            <sz val="9"/>
            <color indexed="81"/>
            <rFont val="돋움"/>
            <family val="3"/>
            <charset val="129"/>
          </rPr>
          <t>개월</t>
        </r>
        <r>
          <rPr>
            <b/>
            <sz val="9"/>
            <color indexed="81"/>
            <rFont val="Tahoma"/>
            <family val="2"/>
          </rPr>
          <t xml:space="preserve"> </t>
        </r>
        <r>
          <rPr>
            <b/>
            <sz val="9"/>
            <color indexed="81"/>
            <rFont val="돋움"/>
            <family val="3"/>
            <charset val="129"/>
          </rPr>
          <t>이내에</t>
        </r>
        <r>
          <rPr>
            <b/>
            <sz val="9"/>
            <color indexed="81"/>
            <rFont val="Tahoma"/>
            <family val="2"/>
          </rPr>
          <t xml:space="preserve"> </t>
        </r>
        <r>
          <rPr>
            <b/>
            <sz val="9"/>
            <color indexed="81"/>
            <rFont val="돋움"/>
            <family val="3"/>
            <charset val="129"/>
          </rPr>
          <t>만기가</t>
        </r>
        <r>
          <rPr>
            <b/>
            <sz val="9"/>
            <color indexed="81"/>
            <rFont val="Tahoma"/>
            <family val="2"/>
          </rPr>
          <t xml:space="preserve"> </t>
        </r>
        <r>
          <rPr>
            <b/>
            <sz val="9"/>
            <color indexed="81"/>
            <rFont val="돋움"/>
            <family val="3"/>
            <charset val="129"/>
          </rPr>
          <t>도래하는</t>
        </r>
        <r>
          <rPr>
            <b/>
            <sz val="9"/>
            <color indexed="81"/>
            <rFont val="Tahoma"/>
            <family val="2"/>
          </rPr>
          <t xml:space="preserve"> </t>
        </r>
        <r>
          <rPr>
            <b/>
            <sz val="9"/>
            <color indexed="81"/>
            <rFont val="돋움"/>
            <family val="3"/>
            <charset val="129"/>
          </rPr>
          <t>기타</t>
        </r>
        <r>
          <rPr>
            <b/>
            <sz val="9"/>
            <color indexed="81"/>
            <rFont val="Tahoma"/>
            <family val="2"/>
          </rPr>
          <t xml:space="preserve"> </t>
        </r>
        <r>
          <rPr>
            <b/>
            <sz val="9"/>
            <color indexed="81"/>
            <rFont val="돋움"/>
            <family val="3"/>
            <charset val="129"/>
          </rPr>
          <t>증권으로부터의</t>
        </r>
        <r>
          <rPr>
            <b/>
            <sz val="9"/>
            <color indexed="81"/>
            <rFont val="Tahoma"/>
            <family val="2"/>
          </rPr>
          <t xml:space="preserve"> </t>
        </r>
        <r>
          <rPr>
            <b/>
            <sz val="9"/>
            <color indexed="81"/>
            <rFont val="돋움"/>
            <family val="3"/>
            <charset val="129"/>
          </rPr>
          <t>현금</t>
        </r>
        <r>
          <rPr>
            <b/>
            <sz val="9"/>
            <color indexed="81"/>
            <rFont val="Tahoma"/>
            <family val="2"/>
          </rPr>
          <t xml:space="preserve"> </t>
        </r>
        <r>
          <rPr>
            <b/>
            <sz val="9"/>
            <color indexed="81"/>
            <rFont val="돋움"/>
            <family val="3"/>
            <charset val="129"/>
          </rPr>
          <t>유입</t>
        </r>
        <r>
          <rPr>
            <b/>
            <sz val="9"/>
            <color indexed="81"/>
            <rFont val="Tahoma"/>
            <family val="2"/>
          </rPr>
          <t xml:space="preserve"> 0 1.00 0 0 1.00 0
        3) </t>
        </r>
        <r>
          <rPr>
            <b/>
            <sz val="9"/>
            <color indexed="81"/>
            <rFont val="돋움"/>
            <family val="3"/>
            <charset val="129"/>
          </rPr>
          <t>기타</t>
        </r>
        <r>
          <rPr>
            <b/>
            <sz val="9"/>
            <color indexed="81"/>
            <rFont val="Tahoma"/>
            <family val="2"/>
          </rPr>
          <t xml:space="preserve"> </t>
        </r>
        <r>
          <rPr>
            <b/>
            <sz val="9"/>
            <color indexed="81"/>
            <rFont val="돋움"/>
            <family val="3"/>
            <charset val="129"/>
          </rPr>
          <t>계약상</t>
        </r>
        <r>
          <rPr>
            <b/>
            <sz val="9"/>
            <color indexed="81"/>
            <rFont val="Tahoma"/>
            <family val="2"/>
          </rPr>
          <t xml:space="preserve"> </t>
        </r>
        <r>
          <rPr>
            <b/>
            <sz val="9"/>
            <color indexed="81"/>
            <rFont val="돋움"/>
            <family val="3"/>
            <charset val="129"/>
          </rPr>
          <t>현금</t>
        </r>
        <r>
          <rPr>
            <b/>
            <sz val="9"/>
            <color indexed="81"/>
            <rFont val="Tahoma"/>
            <family val="2"/>
          </rPr>
          <t xml:space="preserve"> </t>
        </r>
        <r>
          <rPr>
            <b/>
            <sz val="9"/>
            <color indexed="81"/>
            <rFont val="돋움"/>
            <family val="3"/>
            <charset val="129"/>
          </rPr>
          <t>유입</t>
        </r>
        <r>
          <rPr>
            <b/>
            <sz val="9"/>
            <color indexed="81"/>
            <rFont val="Tahoma"/>
            <family val="2"/>
          </rPr>
          <t xml:space="preserve"> 229 1.00 229 229 1.00 229
    </t>
        </r>
        <r>
          <rPr>
            <b/>
            <sz val="9"/>
            <color indexed="81"/>
            <rFont val="돋움"/>
            <family val="3"/>
            <charset val="129"/>
          </rPr>
          <t>라</t>
        </r>
        <r>
          <rPr>
            <b/>
            <sz val="9"/>
            <color indexed="81"/>
            <rFont val="Tahoma"/>
            <family val="2"/>
          </rPr>
          <t xml:space="preserve">. </t>
        </r>
        <r>
          <rPr>
            <b/>
            <sz val="9"/>
            <color indexed="81"/>
            <rFont val="돋움"/>
            <family val="3"/>
            <charset val="129"/>
          </rPr>
          <t>한도</t>
        </r>
        <r>
          <rPr>
            <b/>
            <sz val="9"/>
            <color indexed="81"/>
            <rFont val="Tahoma"/>
            <family val="2"/>
          </rPr>
          <t xml:space="preserve"> </t>
        </r>
        <r>
          <rPr>
            <b/>
            <sz val="9"/>
            <color indexed="81"/>
            <rFont val="돋움"/>
            <family val="3"/>
            <charset val="129"/>
          </rPr>
          <t>적용</t>
        </r>
        <r>
          <rPr>
            <b/>
            <sz val="9"/>
            <color indexed="81"/>
            <rFont val="Tahoma"/>
            <family val="2"/>
          </rPr>
          <t xml:space="preserve"> </t>
        </r>
        <r>
          <rPr>
            <b/>
            <sz val="9"/>
            <color indexed="81"/>
            <rFont val="돋움"/>
            <family val="3"/>
            <charset val="129"/>
          </rPr>
          <t>이후</t>
        </r>
        <r>
          <rPr>
            <b/>
            <sz val="9"/>
            <color indexed="81"/>
            <rFont val="Tahoma"/>
            <family val="2"/>
          </rPr>
          <t xml:space="preserve"> </t>
        </r>
        <r>
          <rPr>
            <b/>
            <sz val="9"/>
            <color indexed="81"/>
            <rFont val="돋움"/>
            <family val="3"/>
            <charset val="129"/>
          </rPr>
          <t>총</t>
        </r>
        <r>
          <rPr>
            <b/>
            <sz val="9"/>
            <color indexed="81"/>
            <rFont val="Tahoma"/>
            <family val="2"/>
          </rPr>
          <t xml:space="preserve"> </t>
        </r>
        <r>
          <rPr>
            <b/>
            <sz val="9"/>
            <color indexed="81"/>
            <rFont val="돋움"/>
            <family val="3"/>
            <charset val="129"/>
          </rPr>
          <t>현금유입액</t>
        </r>
        <r>
          <rPr>
            <b/>
            <sz val="9"/>
            <color indexed="81"/>
            <rFont val="Tahoma"/>
            <family val="2"/>
          </rPr>
          <t xml:space="preserve">    101,317     79,346 
        1) </t>
        </r>
        <r>
          <rPr>
            <b/>
            <sz val="9"/>
            <color indexed="81"/>
            <rFont val="돋움"/>
            <family val="3"/>
            <charset val="129"/>
          </rPr>
          <t>한도</t>
        </r>
        <r>
          <rPr>
            <b/>
            <sz val="9"/>
            <color indexed="81"/>
            <rFont val="Tahoma"/>
            <family val="2"/>
          </rPr>
          <t xml:space="preserve"> </t>
        </r>
        <r>
          <rPr>
            <b/>
            <sz val="9"/>
            <color indexed="81"/>
            <rFont val="돋움"/>
            <family val="3"/>
            <charset val="129"/>
          </rPr>
          <t>적용</t>
        </r>
        <r>
          <rPr>
            <b/>
            <sz val="9"/>
            <color indexed="81"/>
            <rFont val="Tahoma"/>
            <family val="2"/>
          </rPr>
          <t xml:space="preserve"> </t>
        </r>
        <r>
          <rPr>
            <b/>
            <sz val="9"/>
            <color indexed="81"/>
            <rFont val="돋움"/>
            <family val="3"/>
            <charset val="129"/>
          </rPr>
          <t>이전</t>
        </r>
        <r>
          <rPr>
            <b/>
            <sz val="9"/>
            <color indexed="81"/>
            <rFont val="Tahoma"/>
            <family val="2"/>
          </rPr>
          <t xml:space="preserve"> </t>
        </r>
        <r>
          <rPr>
            <b/>
            <sz val="9"/>
            <color indexed="81"/>
            <rFont val="돋움"/>
            <family val="3"/>
            <charset val="129"/>
          </rPr>
          <t>총</t>
        </r>
        <r>
          <rPr>
            <b/>
            <sz val="9"/>
            <color indexed="81"/>
            <rFont val="Tahoma"/>
            <family val="2"/>
          </rPr>
          <t xml:space="preserve"> </t>
        </r>
        <r>
          <rPr>
            <b/>
            <sz val="9"/>
            <color indexed="81"/>
            <rFont val="돋움"/>
            <family val="3"/>
            <charset val="129"/>
          </rPr>
          <t>현금유입액</t>
        </r>
        <r>
          <rPr>
            <b/>
            <sz val="9"/>
            <color indexed="81"/>
            <rFont val="Tahoma"/>
            <family val="2"/>
          </rPr>
          <t xml:space="preserve">  328,689    133,983   291,296    130,442 
        2) </t>
        </r>
        <r>
          <rPr>
            <b/>
            <sz val="9"/>
            <color indexed="81"/>
            <rFont val="돋움"/>
            <family val="3"/>
            <charset val="129"/>
          </rPr>
          <t>현금유입액</t>
        </r>
        <r>
          <rPr>
            <b/>
            <sz val="9"/>
            <color indexed="81"/>
            <rFont val="Tahoma"/>
            <family val="2"/>
          </rPr>
          <t xml:space="preserve"> </t>
        </r>
        <r>
          <rPr>
            <b/>
            <sz val="9"/>
            <color indexed="81"/>
            <rFont val="돋움"/>
            <family val="3"/>
            <charset val="129"/>
          </rPr>
          <t>한도</t>
        </r>
        <r>
          <rPr>
            <b/>
            <sz val="9"/>
            <color indexed="81"/>
            <rFont val="Tahoma"/>
            <family val="2"/>
          </rPr>
          <t xml:space="preserve">  135,089  0.75  101,317   105,795  0.75  79,346 </t>
        </r>
      </text>
    </comment>
    <comment ref="M196" authorId="1" shapeId="0" xr:uid="{00000000-0006-0000-0300-00000D000000}">
      <text>
        <r>
          <rPr>
            <b/>
            <sz val="9"/>
            <color indexed="81"/>
            <rFont val="돋움"/>
            <family val="3"/>
            <charset val="129"/>
          </rPr>
          <t>작년</t>
        </r>
        <r>
          <rPr>
            <b/>
            <sz val="9"/>
            <color indexed="81"/>
            <rFont val="Tahoma"/>
            <family val="2"/>
          </rPr>
          <t xml:space="preserve"> </t>
        </r>
        <r>
          <rPr>
            <b/>
            <sz val="9"/>
            <color indexed="81"/>
            <rFont val="돋움"/>
            <family val="3"/>
            <charset val="129"/>
          </rPr>
          <t>말</t>
        </r>
        <r>
          <rPr>
            <b/>
            <sz val="9"/>
            <color indexed="81"/>
            <rFont val="Tahoma"/>
            <family val="2"/>
          </rPr>
          <t xml:space="preserve"> </t>
        </r>
        <r>
          <rPr>
            <b/>
            <sz val="9"/>
            <color indexed="81"/>
            <rFont val="돋움"/>
            <family val="3"/>
            <charset val="129"/>
          </rPr>
          <t>기준</t>
        </r>
        <r>
          <rPr>
            <b/>
            <sz val="9"/>
            <color indexed="81"/>
            <rFont val="Tahoma"/>
            <family val="2"/>
          </rPr>
          <t xml:space="preserve"> </t>
        </r>
        <r>
          <rPr>
            <b/>
            <sz val="9"/>
            <color indexed="81"/>
            <rFont val="돋움"/>
            <family val="3"/>
            <charset val="129"/>
          </rPr>
          <t>자본총계
블룸버그</t>
        </r>
        <r>
          <rPr>
            <b/>
            <sz val="9"/>
            <color indexed="81"/>
            <rFont val="Tahoma"/>
            <family val="2"/>
          </rPr>
          <t xml:space="preserve"> FA B/S - (</t>
        </r>
        <r>
          <rPr>
            <b/>
            <sz val="9"/>
            <color indexed="81"/>
            <rFont val="돋움"/>
            <family val="3"/>
            <charset val="129"/>
          </rPr>
          <t>보통주자본금</t>
        </r>
        <r>
          <rPr>
            <b/>
            <sz val="9"/>
            <color indexed="81"/>
            <rFont val="Tahoma"/>
            <family val="2"/>
          </rPr>
          <t xml:space="preserve"> </t>
        </r>
        <r>
          <rPr>
            <b/>
            <sz val="9"/>
            <color indexed="81"/>
            <rFont val="돋움"/>
            <family val="3"/>
            <charset val="129"/>
          </rPr>
          <t>및</t>
        </r>
        <r>
          <rPr>
            <b/>
            <sz val="9"/>
            <color indexed="81"/>
            <rFont val="Tahoma"/>
            <family val="2"/>
          </rPr>
          <t xml:space="preserve"> </t>
        </r>
        <r>
          <rPr>
            <b/>
            <sz val="9"/>
            <color indexed="81"/>
            <rFont val="돋움"/>
            <family val="3"/>
            <charset val="129"/>
          </rPr>
          <t>주식발행초과금</t>
        </r>
        <r>
          <rPr>
            <b/>
            <sz val="9"/>
            <color indexed="81"/>
            <rFont val="Tahoma"/>
            <family val="2"/>
          </rPr>
          <t xml:space="preserve">  - </t>
        </r>
        <r>
          <rPr>
            <b/>
            <sz val="9"/>
            <color indexed="81"/>
            <rFont val="돋움"/>
            <family val="3"/>
            <charset val="129"/>
          </rPr>
          <t>자기주식</t>
        </r>
        <r>
          <rPr>
            <b/>
            <sz val="9"/>
            <color indexed="81"/>
            <rFont val="Tahoma"/>
            <family val="2"/>
          </rPr>
          <t xml:space="preserve"> + </t>
        </r>
        <r>
          <rPr>
            <b/>
            <sz val="9"/>
            <color indexed="81"/>
            <rFont val="돋움"/>
            <family val="3"/>
            <charset val="129"/>
          </rPr>
          <t>이익잉여금</t>
        </r>
        <r>
          <rPr>
            <b/>
            <sz val="9"/>
            <color indexed="81"/>
            <rFont val="Tahoma"/>
            <family val="2"/>
          </rPr>
          <t xml:space="preserve">) * 20%(USD </t>
        </r>
        <r>
          <rPr>
            <b/>
            <sz val="9"/>
            <color indexed="81"/>
            <rFont val="돋움"/>
            <family val="3"/>
            <charset val="129"/>
          </rPr>
          <t>기준</t>
        </r>
        <r>
          <rPr>
            <b/>
            <sz val="9"/>
            <color indexed="81"/>
            <rFont val="Tahoma"/>
            <family val="2"/>
          </rPr>
          <t xml:space="preserve">)
Common stock + Additional Paid-in capital - Treasury stock + Retained Earnings) * 20% </t>
        </r>
      </text>
    </comment>
    <comment ref="G197" authorId="2" shapeId="0" xr:uid="{A3F5D138-0DA8-4EFE-904A-C004293DCA97}">
      <text>
        <r>
          <rPr>
            <b/>
            <sz val="10"/>
            <color indexed="81"/>
            <rFont val="Tahoma"/>
            <family val="2"/>
          </rPr>
          <t>3</t>
        </r>
        <r>
          <rPr>
            <b/>
            <sz val="10"/>
            <color indexed="81"/>
            <rFont val="돋움"/>
            <family val="3"/>
            <charset val="129"/>
          </rPr>
          <t>천만불</t>
        </r>
        <r>
          <rPr>
            <b/>
            <sz val="10"/>
            <color indexed="81"/>
            <rFont val="Tahoma"/>
            <family val="2"/>
          </rPr>
          <t xml:space="preserve"> </t>
        </r>
        <r>
          <rPr>
            <b/>
            <sz val="10"/>
            <color indexed="81"/>
            <rFont val="돋움"/>
            <family val="3"/>
            <charset val="129"/>
          </rPr>
          <t>이자까지</t>
        </r>
        <r>
          <rPr>
            <b/>
            <sz val="10"/>
            <color indexed="81"/>
            <rFont val="Tahoma"/>
            <family val="2"/>
          </rPr>
          <t xml:space="preserve"> </t>
        </r>
        <r>
          <rPr>
            <b/>
            <sz val="10"/>
            <color indexed="81"/>
            <rFont val="돋움"/>
            <family val="3"/>
            <charset val="129"/>
          </rPr>
          <t>해서</t>
        </r>
        <r>
          <rPr>
            <b/>
            <sz val="10"/>
            <color indexed="81"/>
            <rFont val="Tahoma"/>
            <family val="2"/>
          </rPr>
          <t xml:space="preserve"> </t>
        </r>
        <r>
          <rPr>
            <b/>
            <sz val="10"/>
            <color indexed="81"/>
            <rFont val="돋움"/>
            <family val="3"/>
            <charset val="129"/>
          </rPr>
          <t>받고</t>
        </r>
        <r>
          <rPr>
            <b/>
            <sz val="10"/>
            <color indexed="81"/>
            <rFont val="Tahoma"/>
            <family val="2"/>
          </rPr>
          <t>, 2</t>
        </r>
        <r>
          <rPr>
            <b/>
            <sz val="10"/>
            <color indexed="81"/>
            <rFont val="돋움"/>
            <family val="3"/>
            <charset val="129"/>
          </rPr>
          <t>천만불</t>
        </r>
        <r>
          <rPr>
            <b/>
            <sz val="10"/>
            <color indexed="81"/>
            <rFont val="Tahoma"/>
            <family val="2"/>
          </rPr>
          <t xml:space="preserve"> </t>
        </r>
        <r>
          <rPr>
            <b/>
            <sz val="10"/>
            <color indexed="81"/>
            <rFont val="돋움"/>
            <family val="3"/>
            <charset val="129"/>
          </rPr>
          <t>나간다</t>
        </r>
        <r>
          <rPr>
            <b/>
            <sz val="10"/>
            <color indexed="81"/>
            <rFont val="Tahoma"/>
            <family val="2"/>
          </rPr>
          <t>.
2</t>
        </r>
        <r>
          <rPr>
            <b/>
            <sz val="10"/>
            <color indexed="81"/>
            <rFont val="돋움"/>
            <family val="3"/>
            <charset val="129"/>
          </rPr>
          <t>천만불</t>
        </r>
        <r>
          <rPr>
            <b/>
            <sz val="10"/>
            <color indexed="81"/>
            <rFont val="Tahoma"/>
            <family val="2"/>
          </rPr>
          <t xml:space="preserve"> </t>
        </r>
        <r>
          <rPr>
            <b/>
            <sz val="10"/>
            <color indexed="81"/>
            <rFont val="돋움"/>
            <family val="3"/>
            <charset val="129"/>
          </rPr>
          <t>대여금</t>
        </r>
        <r>
          <rPr>
            <b/>
            <sz val="10"/>
            <color indexed="81"/>
            <rFont val="Tahoma"/>
            <family val="2"/>
          </rPr>
          <t xml:space="preserve"> </t>
        </r>
        <r>
          <rPr>
            <b/>
            <sz val="10"/>
            <color indexed="81"/>
            <rFont val="돋움"/>
            <family val="3"/>
            <charset val="129"/>
          </rPr>
          <t>시작</t>
        </r>
        <r>
          <rPr>
            <sz val="9"/>
            <color indexed="81"/>
            <rFont val="Tahoma"/>
            <family val="2"/>
          </rPr>
          <t xml:space="preserve">
</t>
        </r>
      </text>
    </comment>
    <comment ref="K199" authorId="2" shapeId="0" xr:uid="{00000000-0006-0000-0300-00000E000000}">
      <text>
        <r>
          <rPr>
            <b/>
            <sz val="9"/>
            <color indexed="81"/>
            <rFont val="Tahoma"/>
            <family val="2"/>
          </rPr>
          <t>1) 3.856%
2) 4.81%    (2019.06.17~)
3) 4.92%
(2020.05.18~)
4) 3.63%
(2021.05.17~
2022.05.17)
5) 2.87%
6) 5.68%
(2023.05.17~2024.05.16)</t>
        </r>
      </text>
    </comment>
    <comment ref="M211" authorId="1" shapeId="0" xr:uid="{00000000-0006-0000-0300-00000F000000}">
      <text>
        <r>
          <rPr>
            <b/>
            <sz val="9"/>
            <color indexed="81"/>
            <rFont val="Tahoma"/>
            <family val="2"/>
          </rPr>
          <t>2019</t>
        </r>
        <r>
          <rPr>
            <b/>
            <sz val="9"/>
            <color indexed="81"/>
            <rFont val="돋움"/>
            <family val="3"/>
            <charset val="129"/>
          </rPr>
          <t>년</t>
        </r>
        <r>
          <rPr>
            <b/>
            <sz val="9"/>
            <color indexed="81"/>
            <rFont val="Tahoma"/>
            <family val="2"/>
          </rPr>
          <t xml:space="preserve"> </t>
        </r>
        <r>
          <rPr>
            <b/>
            <sz val="9"/>
            <color indexed="81"/>
            <rFont val="돋움"/>
            <family val="3"/>
            <charset val="129"/>
          </rPr>
          <t>기준
대구은행</t>
        </r>
        <r>
          <rPr>
            <b/>
            <sz val="9"/>
            <color indexed="81"/>
            <rFont val="Tahoma"/>
            <family val="2"/>
          </rPr>
          <t xml:space="preserve"> 44,710</t>
        </r>
        <r>
          <rPr>
            <b/>
            <sz val="9"/>
            <color indexed="81"/>
            <rFont val="돋움"/>
            <family val="3"/>
            <charset val="129"/>
          </rPr>
          <t xml:space="preserve">벡만
</t>
        </r>
        <r>
          <rPr>
            <b/>
            <sz val="9"/>
            <color indexed="81"/>
            <rFont val="Tahoma"/>
            <family val="2"/>
          </rPr>
          <t xml:space="preserve">=&gt; 8,942 </t>
        </r>
        <r>
          <rPr>
            <b/>
            <sz val="9"/>
            <color indexed="81"/>
            <rFont val="돋움"/>
            <family val="3"/>
            <charset val="129"/>
          </rPr>
          <t>백만</t>
        </r>
      </text>
    </comment>
    <comment ref="M214" authorId="1" shapeId="0" xr:uid="{00000000-0006-0000-0300-000010000000}">
      <text>
        <r>
          <rPr>
            <b/>
            <sz val="9"/>
            <color indexed="81"/>
            <rFont val="Tahoma"/>
            <family val="2"/>
          </rPr>
          <t>2019</t>
        </r>
        <r>
          <rPr>
            <b/>
            <sz val="9"/>
            <color indexed="81"/>
            <rFont val="돋움"/>
            <family val="3"/>
            <charset val="129"/>
          </rPr>
          <t>년</t>
        </r>
        <r>
          <rPr>
            <b/>
            <sz val="9"/>
            <color indexed="81"/>
            <rFont val="Tahoma"/>
            <family val="2"/>
          </rPr>
          <t xml:space="preserve"> </t>
        </r>
        <r>
          <rPr>
            <b/>
            <sz val="9"/>
            <color indexed="81"/>
            <rFont val="돋움"/>
            <family val="3"/>
            <charset val="129"/>
          </rPr>
          <t>기준
대구은행</t>
        </r>
        <r>
          <rPr>
            <b/>
            <sz val="9"/>
            <color indexed="81"/>
            <rFont val="Tahoma"/>
            <family val="2"/>
          </rPr>
          <t xml:space="preserve"> 44,710</t>
        </r>
        <r>
          <rPr>
            <b/>
            <sz val="9"/>
            <color indexed="81"/>
            <rFont val="돋움"/>
            <family val="3"/>
            <charset val="129"/>
          </rPr>
          <t xml:space="preserve">벡만
</t>
        </r>
        <r>
          <rPr>
            <b/>
            <sz val="9"/>
            <color indexed="81"/>
            <rFont val="Tahoma"/>
            <family val="2"/>
          </rPr>
          <t xml:space="preserve">=&gt; 8,942 </t>
        </r>
        <r>
          <rPr>
            <b/>
            <sz val="9"/>
            <color indexed="81"/>
            <rFont val="돋움"/>
            <family val="3"/>
            <charset val="129"/>
          </rPr>
          <t>백만</t>
        </r>
      </text>
    </comment>
    <comment ref="Q214" authorId="1" shapeId="0" xr:uid="{00000000-0006-0000-0300-000011000000}">
      <text>
        <r>
          <rPr>
            <sz val="9"/>
            <color indexed="81"/>
            <rFont val="Tahoma"/>
            <family val="2"/>
          </rPr>
          <t xml:space="preserve">1. </t>
        </r>
        <r>
          <rPr>
            <sz val="9"/>
            <color indexed="81"/>
            <rFont val="돋움"/>
            <family val="3"/>
            <charset val="129"/>
          </rPr>
          <t>외화콜론</t>
        </r>
        <r>
          <rPr>
            <sz val="9"/>
            <color indexed="81"/>
            <rFont val="Tahoma"/>
            <family val="2"/>
          </rPr>
          <t>(</t>
        </r>
        <r>
          <rPr>
            <sz val="9"/>
            <color indexed="81"/>
            <rFont val="돋움"/>
            <family val="3"/>
            <charset val="129"/>
          </rPr>
          <t>건당</t>
        </r>
        <r>
          <rPr>
            <sz val="9"/>
            <color indexed="81"/>
            <rFont val="Tahoma"/>
            <family val="2"/>
          </rPr>
          <t>) : 30</t>
        </r>
        <r>
          <rPr>
            <sz val="9"/>
            <color indexed="81"/>
            <rFont val="돋움"/>
            <family val="3"/>
            <charset val="129"/>
          </rPr>
          <t>백만불</t>
        </r>
        <r>
          <rPr>
            <sz val="9"/>
            <color indexed="81"/>
            <rFont val="Tahoma"/>
            <family val="2"/>
          </rPr>
          <t xml:space="preserve"> </t>
        </r>
        <r>
          <rPr>
            <sz val="9"/>
            <color indexed="81"/>
            <rFont val="돋움"/>
            <family val="3"/>
            <charset val="129"/>
          </rPr>
          <t>지점장</t>
        </r>
        <r>
          <rPr>
            <sz val="9"/>
            <color indexed="81"/>
            <rFont val="Tahoma"/>
            <family val="2"/>
          </rPr>
          <t xml:space="preserve"> </t>
        </r>
        <r>
          <rPr>
            <sz val="9"/>
            <color indexed="81"/>
            <rFont val="돋움"/>
            <family val="3"/>
            <charset val="129"/>
          </rPr>
          <t xml:space="preserve">전결
</t>
        </r>
        <r>
          <rPr>
            <sz val="9"/>
            <color indexed="81"/>
            <rFont val="Tahoma"/>
            <family val="2"/>
          </rPr>
          <t xml:space="preserve">2. </t>
        </r>
        <r>
          <rPr>
            <sz val="9"/>
            <color indexed="81"/>
            <rFont val="돋움"/>
            <family val="3"/>
            <charset val="129"/>
          </rPr>
          <t>콜머니</t>
        </r>
        <r>
          <rPr>
            <sz val="9"/>
            <color indexed="81"/>
            <rFont val="Tahoma"/>
            <family val="2"/>
          </rPr>
          <t>(</t>
        </r>
        <r>
          <rPr>
            <sz val="9"/>
            <color indexed="81"/>
            <rFont val="돋움"/>
            <family val="3"/>
            <charset val="129"/>
          </rPr>
          <t>건당</t>
        </r>
        <r>
          <rPr>
            <sz val="9"/>
            <color indexed="81"/>
            <rFont val="Tahoma"/>
            <family val="2"/>
          </rPr>
          <t>) 30</t>
        </r>
        <r>
          <rPr>
            <sz val="9"/>
            <color indexed="81"/>
            <rFont val="돋움"/>
            <family val="3"/>
            <charset val="129"/>
          </rPr>
          <t>백만불</t>
        </r>
        <r>
          <rPr>
            <sz val="9"/>
            <color indexed="81"/>
            <rFont val="Tahoma"/>
            <family val="2"/>
          </rPr>
          <t xml:space="preserve"> </t>
        </r>
        <r>
          <rPr>
            <sz val="9"/>
            <color indexed="81"/>
            <rFont val="돋움"/>
            <family val="3"/>
            <charset val="129"/>
          </rPr>
          <t>지점장</t>
        </r>
        <r>
          <rPr>
            <sz val="9"/>
            <color indexed="81"/>
            <rFont val="Tahoma"/>
            <family val="2"/>
          </rPr>
          <t xml:space="preserve"> </t>
        </r>
        <r>
          <rPr>
            <sz val="9"/>
            <color indexed="81"/>
            <rFont val="돋움"/>
            <family val="3"/>
            <charset val="129"/>
          </rPr>
          <t xml:space="preserve">전결
</t>
        </r>
        <r>
          <rPr>
            <sz val="9"/>
            <color indexed="81"/>
            <rFont val="Tahoma"/>
            <family val="2"/>
          </rPr>
          <t xml:space="preserve">3. </t>
        </r>
        <r>
          <rPr>
            <sz val="9"/>
            <color indexed="81"/>
            <rFont val="돋움"/>
            <family val="3"/>
            <charset val="129"/>
          </rPr>
          <t>외화예치금</t>
        </r>
        <r>
          <rPr>
            <sz val="9"/>
            <color indexed="81"/>
            <rFont val="Tahoma"/>
            <family val="2"/>
          </rPr>
          <t>(</t>
        </r>
        <r>
          <rPr>
            <sz val="9"/>
            <color indexed="81"/>
            <rFont val="돋움"/>
            <family val="3"/>
            <charset val="129"/>
          </rPr>
          <t>건당</t>
        </r>
        <r>
          <rPr>
            <sz val="9"/>
            <color indexed="81"/>
            <rFont val="Tahoma"/>
            <family val="2"/>
          </rPr>
          <t xml:space="preserve">)
</t>
        </r>
        <r>
          <rPr>
            <sz val="9"/>
            <color indexed="81"/>
            <rFont val="돋움"/>
            <family val="3"/>
            <charset val="129"/>
          </rPr>
          <t>가</t>
        </r>
        <r>
          <rPr>
            <sz val="9"/>
            <color indexed="81"/>
            <rFont val="Tahoma"/>
            <family val="2"/>
          </rPr>
          <t>. 1</t>
        </r>
        <r>
          <rPr>
            <sz val="9"/>
            <color indexed="81"/>
            <rFont val="돋움"/>
            <family val="3"/>
            <charset val="129"/>
          </rPr>
          <t>년이하</t>
        </r>
        <r>
          <rPr>
            <sz val="9"/>
            <color indexed="81"/>
            <rFont val="Tahoma"/>
            <family val="2"/>
          </rPr>
          <t xml:space="preserve"> </t>
        </r>
        <r>
          <rPr>
            <sz val="9"/>
            <color indexed="81"/>
            <rFont val="돋움"/>
            <family val="3"/>
            <charset val="129"/>
          </rPr>
          <t>외화정기예치금</t>
        </r>
        <r>
          <rPr>
            <sz val="9"/>
            <color indexed="81"/>
            <rFont val="Tahoma"/>
            <family val="2"/>
          </rPr>
          <t xml:space="preserve"> </t>
        </r>
        <r>
          <rPr>
            <sz val="9"/>
            <color indexed="81"/>
            <rFont val="돋움"/>
            <family val="3"/>
            <charset val="129"/>
          </rPr>
          <t>및</t>
        </r>
        <r>
          <rPr>
            <sz val="9"/>
            <color indexed="81"/>
            <rFont val="Tahoma"/>
            <family val="2"/>
          </rPr>
          <t xml:space="preserve"> </t>
        </r>
        <r>
          <rPr>
            <sz val="9"/>
            <color indexed="81"/>
            <rFont val="돋움"/>
            <family val="3"/>
            <charset val="129"/>
          </rPr>
          <t>은행간</t>
        </r>
        <r>
          <rPr>
            <sz val="9"/>
            <color indexed="81"/>
            <rFont val="Tahoma"/>
            <family val="2"/>
          </rPr>
          <t xml:space="preserve"> </t>
        </r>
        <r>
          <rPr>
            <sz val="9"/>
            <color indexed="81"/>
            <rFont val="돋움"/>
            <family val="3"/>
            <charset val="129"/>
          </rPr>
          <t>대여금</t>
        </r>
        <r>
          <rPr>
            <sz val="9"/>
            <color indexed="81"/>
            <rFont val="Tahoma"/>
            <family val="2"/>
          </rPr>
          <t xml:space="preserve"> : 5</t>
        </r>
        <r>
          <rPr>
            <sz val="9"/>
            <color indexed="81"/>
            <rFont val="돋움"/>
            <family val="3"/>
            <charset val="129"/>
          </rPr>
          <t>백만불</t>
        </r>
        <r>
          <rPr>
            <sz val="9"/>
            <color indexed="81"/>
            <rFont val="Tahoma"/>
            <family val="2"/>
          </rPr>
          <t xml:space="preserve"> </t>
        </r>
        <r>
          <rPr>
            <sz val="9"/>
            <color indexed="81"/>
            <rFont val="돋움"/>
            <family val="3"/>
            <charset val="129"/>
          </rPr>
          <t>지점장</t>
        </r>
        <r>
          <rPr>
            <sz val="9"/>
            <color indexed="81"/>
            <rFont val="Tahoma"/>
            <family val="2"/>
          </rPr>
          <t xml:space="preserve"> </t>
        </r>
        <r>
          <rPr>
            <sz val="9"/>
            <color indexed="81"/>
            <rFont val="돋움"/>
            <family val="3"/>
            <charset val="129"/>
          </rPr>
          <t>전결
나</t>
        </r>
        <r>
          <rPr>
            <sz val="9"/>
            <color indexed="81"/>
            <rFont val="Tahoma"/>
            <family val="2"/>
          </rPr>
          <t xml:space="preserve">. </t>
        </r>
        <r>
          <rPr>
            <sz val="9"/>
            <color indexed="81"/>
            <rFont val="돋움"/>
            <family val="3"/>
            <charset val="129"/>
          </rPr>
          <t>외타예치금</t>
        </r>
        <r>
          <rPr>
            <sz val="9"/>
            <color indexed="81"/>
            <rFont val="Tahoma"/>
            <family val="2"/>
          </rPr>
          <t xml:space="preserve">, </t>
        </r>
        <r>
          <rPr>
            <sz val="9"/>
            <color indexed="81"/>
            <rFont val="돋움"/>
            <family val="3"/>
            <charset val="129"/>
          </rPr>
          <t>기타</t>
        </r>
        <r>
          <rPr>
            <sz val="9"/>
            <color indexed="81"/>
            <rFont val="Tahoma"/>
            <family val="2"/>
          </rPr>
          <t xml:space="preserve"> </t>
        </r>
        <r>
          <rPr>
            <sz val="9"/>
            <color indexed="81"/>
            <rFont val="돋움"/>
            <family val="3"/>
            <charset val="129"/>
          </rPr>
          <t>예치금</t>
        </r>
        <r>
          <rPr>
            <sz val="9"/>
            <color indexed="81"/>
            <rFont val="Tahoma"/>
            <family val="2"/>
          </rPr>
          <t xml:space="preserve"> </t>
        </r>
        <r>
          <rPr>
            <sz val="9"/>
            <color indexed="81"/>
            <rFont val="돋움"/>
            <family val="3"/>
            <charset val="129"/>
          </rPr>
          <t>지점장</t>
        </r>
        <r>
          <rPr>
            <sz val="9"/>
            <color indexed="81"/>
            <rFont val="Tahoma"/>
            <family val="2"/>
          </rPr>
          <t xml:space="preserve"> </t>
        </r>
        <r>
          <rPr>
            <sz val="9"/>
            <color indexed="81"/>
            <rFont val="돋움"/>
            <family val="3"/>
            <charset val="129"/>
          </rPr>
          <t xml:space="preserve">전결
</t>
        </r>
        <r>
          <rPr>
            <sz val="9"/>
            <color indexed="81"/>
            <rFont val="Tahoma"/>
            <family val="2"/>
          </rPr>
          <t xml:space="preserve">4. </t>
        </r>
        <r>
          <rPr>
            <sz val="9"/>
            <color indexed="81"/>
            <rFont val="돋움"/>
            <family val="3"/>
            <charset val="129"/>
          </rPr>
          <t>외화차입금</t>
        </r>
        <r>
          <rPr>
            <sz val="9"/>
            <color indexed="81"/>
            <rFont val="Tahoma"/>
            <family val="2"/>
          </rPr>
          <t>(</t>
        </r>
        <r>
          <rPr>
            <sz val="9"/>
            <color indexed="81"/>
            <rFont val="돋움"/>
            <family val="3"/>
            <charset val="129"/>
          </rPr>
          <t>건당</t>
        </r>
        <r>
          <rPr>
            <sz val="9"/>
            <color indexed="81"/>
            <rFont val="Tahoma"/>
            <family val="2"/>
          </rPr>
          <t xml:space="preserve">)
</t>
        </r>
        <r>
          <rPr>
            <sz val="9"/>
            <color indexed="81"/>
            <rFont val="돋움"/>
            <family val="3"/>
            <charset val="129"/>
          </rPr>
          <t>가</t>
        </r>
        <r>
          <rPr>
            <sz val="9"/>
            <color indexed="81"/>
            <rFont val="Tahoma"/>
            <family val="2"/>
          </rPr>
          <t>. 1</t>
        </r>
        <r>
          <rPr>
            <sz val="9"/>
            <color indexed="81"/>
            <rFont val="돋움"/>
            <family val="3"/>
            <charset val="129"/>
          </rPr>
          <t>년</t>
        </r>
        <r>
          <rPr>
            <sz val="9"/>
            <color indexed="81"/>
            <rFont val="Tahoma"/>
            <family val="2"/>
          </rPr>
          <t xml:space="preserve"> </t>
        </r>
        <r>
          <rPr>
            <sz val="9"/>
            <color indexed="81"/>
            <rFont val="돋움"/>
            <family val="3"/>
            <charset val="129"/>
          </rPr>
          <t>이하</t>
        </r>
        <r>
          <rPr>
            <sz val="9"/>
            <color indexed="81"/>
            <rFont val="Tahoma"/>
            <family val="2"/>
          </rPr>
          <t xml:space="preserve"> : 10</t>
        </r>
        <r>
          <rPr>
            <sz val="9"/>
            <color indexed="81"/>
            <rFont val="돋움"/>
            <family val="3"/>
            <charset val="129"/>
          </rPr>
          <t>백만불</t>
        </r>
        <r>
          <rPr>
            <sz val="9"/>
            <color indexed="81"/>
            <rFont val="Tahoma"/>
            <family val="2"/>
          </rPr>
          <t xml:space="preserve"> </t>
        </r>
        <r>
          <rPr>
            <sz val="9"/>
            <color indexed="81"/>
            <rFont val="돋움"/>
            <family val="3"/>
            <charset val="129"/>
          </rPr>
          <t>지점장</t>
        </r>
        <r>
          <rPr>
            <sz val="9"/>
            <color indexed="81"/>
            <rFont val="Tahoma"/>
            <family val="2"/>
          </rPr>
          <t xml:space="preserve"> </t>
        </r>
        <r>
          <rPr>
            <sz val="9"/>
            <color indexed="81"/>
            <rFont val="돋움"/>
            <family val="3"/>
            <charset val="129"/>
          </rPr>
          <t>전결
나</t>
        </r>
        <r>
          <rPr>
            <sz val="9"/>
            <color indexed="81"/>
            <rFont val="Tahoma"/>
            <family val="2"/>
          </rPr>
          <t>. 1</t>
        </r>
        <r>
          <rPr>
            <sz val="9"/>
            <color indexed="81"/>
            <rFont val="돋움"/>
            <family val="3"/>
            <charset val="129"/>
          </rPr>
          <t>년</t>
        </r>
        <r>
          <rPr>
            <sz val="9"/>
            <color indexed="81"/>
            <rFont val="Tahoma"/>
            <family val="2"/>
          </rPr>
          <t xml:space="preserve"> </t>
        </r>
        <r>
          <rPr>
            <sz val="9"/>
            <color indexed="81"/>
            <rFont val="돋움"/>
            <family val="3"/>
            <charset val="129"/>
          </rPr>
          <t>초과</t>
        </r>
        <r>
          <rPr>
            <sz val="9"/>
            <color indexed="81"/>
            <rFont val="Tahoma"/>
            <family val="2"/>
          </rPr>
          <t xml:space="preserve"> : 10</t>
        </r>
        <r>
          <rPr>
            <sz val="9"/>
            <color indexed="81"/>
            <rFont val="돋움"/>
            <family val="3"/>
            <charset val="129"/>
          </rPr>
          <t>백만불</t>
        </r>
        <r>
          <rPr>
            <sz val="9"/>
            <color indexed="81"/>
            <rFont val="Tahoma"/>
            <family val="2"/>
          </rPr>
          <t xml:space="preserve"> </t>
        </r>
        <r>
          <rPr>
            <sz val="9"/>
            <color indexed="81"/>
            <rFont val="돋움"/>
            <family val="3"/>
            <charset val="129"/>
          </rPr>
          <t>지점장</t>
        </r>
        <r>
          <rPr>
            <sz val="9"/>
            <color indexed="81"/>
            <rFont val="Tahoma"/>
            <family val="2"/>
          </rPr>
          <t xml:space="preserve"> </t>
        </r>
        <r>
          <rPr>
            <sz val="9"/>
            <color indexed="81"/>
            <rFont val="돋움"/>
            <family val="3"/>
            <charset val="129"/>
          </rPr>
          <t>전결</t>
        </r>
      </text>
    </comment>
    <comment ref="M221" authorId="1" shapeId="0" xr:uid="{00000000-0006-0000-0300-000012000000}">
      <text>
        <r>
          <rPr>
            <b/>
            <sz val="9"/>
            <color indexed="81"/>
            <rFont val="Tahoma"/>
            <family val="2"/>
          </rPr>
          <t>2019</t>
        </r>
        <r>
          <rPr>
            <b/>
            <sz val="9"/>
            <color indexed="81"/>
            <rFont val="돋움"/>
            <family val="3"/>
            <charset val="129"/>
          </rPr>
          <t>년</t>
        </r>
        <r>
          <rPr>
            <b/>
            <sz val="9"/>
            <color indexed="81"/>
            <rFont val="Tahoma"/>
            <family val="2"/>
          </rPr>
          <t xml:space="preserve"> </t>
        </r>
        <r>
          <rPr>
            <b/>
            <sz val="9"/>
            <color indexed="81"/>
            <rFont val="돋움"/>
            <family val="3"/>
            <charset val="129"/>
          </rPr>
          <t>기준
대구은행</t>
        </r>
        <r>
          <rPr>
            <b/>
            <sz val="9"/>
            <color indexed="81"/>
            <rFont val="Tahoma"/>
            <family val="2"/>
          </rPr>
          <t xml:space="preserve"> 44,710</t>
        </r>
        <r>
          <rPr>
            <b/>
            <sz val="9"/>
            <color indexed="81"/>
            <rFont val="돋움"/>
            <family val="3"/>
            <charset val="129"/>
          </rPr>
          <t xml:space="preserve">벡만
</t>
        </r>
        <r>
          <rPr>
            <b/>
            <sz val="9"/>
            <color indexed="81"/>
            <rFont val="Tahoma"/>
            <family val="2"/>
          </rPr>
          <t xml:space="preserve">=&gt; 8,942 </t>
        </r>
        <r>
          <rPr>
            <b/>
            <sz val="9"/>
            <color indexed="81"/>
            <rFont val="돋움"/>
            <family val="3"/>
            <charset val="129"/>
          </rPr>
          <t>백만</t>
        </r>
      </text>
    </comment>
    <comment ref="B285" authorId="1" shapeId="0" xr:uid="{00000000-0006-0000-0300-000013000000}">
      <text>
        <r>
          <rPr>
            <b/>
            <sz val="9"/>
            <color indexed="81"/>
            <rFont val="돋움"/>
            <family val="3"/>
            <charset val="129"/>
          </rPr>
          <t xml:space="preserve">외국환거래규정 제2-5조(외화자금차입 및 증권발행)
(1)외국환은행이 비거주자로부터 미화 5천만불 초과의 외화자금을 상환기간(거치기간을 포함하며, 이하 같다) 1년 초과의 조건으로 차입(외화증권발행 포함) 하고자 하는 경우에는 기획재정부장관에게 신고하여야 한다.
(2)제1항의 경우를 제외하고 외국환은행이 외화자금을 차입(외화증권발행 포함)하는 경우에는 신고를 요하지 아니한다.
</t>
        </r>
      </text>
    </comment>
    <comment ref="L285" authorId="3" shapeId="0" xr:uid="{00000000-0006-0000-0300-000014000000}">
      <text>
        <r>
          <rPr>
            <b/>
            <sz val="9"/>
            <color indexed="81"/>
            <rFont val="돋움"/>
            <family val="3"/>
            <charset val="129"/>
          </rPr>
          <t>비고란에</t>
        </r>
        <r>
          <rPr>
            <b/>
            <sz val="9"/>
            <color indexed="81"/>
            <rFont val="Tahoma"/>
            <family val="2"/>
          </rPr>
          <t xml:space="preserve"> SOFR </t>
        </r>
        <r>
          <rPr>
            <b/>
            <sz val="9"/>
            <color indexed="81"/>
            <rFont val="돋움"/>
            <family val="3"/>
            <charset val="129"/>
          </rPr>
          <t>금리</t>
        </r>
        <r>
          <rPr>
            <b/>
            <sz val="9"/>
            <color indexed="81"/>
            <rFont val="Tahoma"/>
            <family val="2"/>
          </rPr>
          <t xml:space="preserve"> </t>
        </r>
        <r>
          <rPr>
            <b/>
            <sz val="9"/>
            <color indexed="81"/>
            <rFont val="돋움"/>
            <family val="3"/>
            <charset val="129"/>
          </rPr>
          <t>넣기</t>
        </r>
      </text>
    </comment>
    <comment ref="L289" authorId="3" shapeId="0" xr:uid="{3C30F583-0A30-4253-88A3-7956BDD19FCC}">
      <text>
        <r>
          <rPr>
            <b/>
            <sz val="9"/>
            <color indexed="81"/>
            <rFont val="Tahoma"/>
            <family val="2"/>
          </rPr>
          <t>IPS</t>
        </r>
      </text>
    </comment>
    <comment ref="L290" authorId="3" shapeId="0" xr:uid="{A0E541D3-C17D-48DE-98D7-9A05072C3D08}">
      <text>
        <r>
          <rPr>
            <b/>
            <sz val="9"/>
            <color indexed="81"/>
            <rFont val="Tahoma"/>
            <family val="2"/>
          </rPr>
          <t>BGC</t>
        </r>
      </text>
    </comment>
    <comment ref="M291" authorId="3" shapeId="0" xr:uid="{68BAF1C3-90B9-4D53-B2D4-4384630BA4F4}">
      <text>
        <r>
          <rPr>
            <b/>
            <sz val="10"/>
            <color indexed="81"/>
            <rFont val="돋움"/>
            <family val="3"/>
            <charset val="129"/>
          </rPr>
          <t>★이자전문에</t>
        </r>
        <r>
          <rPr>
            <b/>
            <sz val="10"/>
            <color indexed="81"/>
            <rFont val="Tahoma"/>
            <family val="2"/>
          </rPr>
          <t xml:space="preserve"> 21Field </t>
        </r>
        <r>
          <rPr>
            <b/>
            <sz val="10"/>
            <color indexed="81"/>
            <rFont val="돋움"/>
            <family val="3"/>
            <charset val="129"/>
          </rPr>
          <t>필수★</t>
        </r>
        <r>
          <rPr>
            <b/>
            <sz val="10"/>
            <color indexed="81"/>
            <rFont val="Tahoma"/>
            <family val="2"/>
          </rPr>
          <t>SGSTFSRMB0012978</t>
        </r>
      </text>
    </comment>
    <comment ref="M292" authorId="3" shapeId="0" xr:uid="{1F5324EB-DDF3-40DA-8EAB-F2C4405069DC}">
      <text>
        <r>
          <rPr>
            <b/>
            <sz val="10"/>
            <color indexed="81"/>
            <rFont val="돋움"/>
            <family val="3"/>
            <charset val="129"/>
          </rPr>
          <t>★이자전문에 21Field 필수★</t>
        </r>
      </text>
    </comment>
    <comment ref="M294" authorId="3" shapeId="0" xr:uid="{69550F14-F699-4362-99AC-A9EE4FAC311A}">
      <text>
        <r>
          <rPr>
            <b/>
            <sz val="10"/>
            <color indexed="81"/>
            <rFont val="돋움"/>
            <family val="3"/>
            <charset val="129"/>
          </rPr>
          <t>★이자전문에</t>
        </r>
        <r>
          <rPr>
            <b/>
            <sz val="10"/>
            <color indexed="81"/>
            <rFont val="Tahoma"/>
            <family val="2"/>
          </rPr>
          <t xml:space="preserve"> 21Field </t>
        </r>
        <r>
          <rPr>
            <b/>
            <sz val="10"/>
            <color indexed="81"/>
            <rFont val="돋움"/>
            <family val="3"/>
            <charset val="129"/>
          </rPr>
          <t>필수★</t>
        </r>
        <r>
          <rPr>
            <sz val="9"/>
            <color indexed="81"/>
            <rFont val="Tahoma"/>
            <family val="2"/>
          </rPr>
          <t xml:space="preserve">
</t>
        </r>
      </text>
    </comment>
    <comment ref="M296" authorId="3" shapeId="0" xr:uid="{5C71A47C-6A65-4BAC-B3DB-B6804EF5C20D}">
      <text>
        <r>
          <rPr>
            <b/>
            <sz val="10"/>
            <color indexed="81"/>
            <rFont val="돋움"/>
            <family val="3"/>
            <charset val="129"/>
          </rPr>
          <t>★이자전문에</t>
        </r>
        <r>
          <rPr>
            <b/>
            <sz val="10"/>
            <color indexed="81"/>
            <rFont val="Tahoma"/>
            <family val="2"/>
          </rPr>
          <t xml:space="preserve"> 21Field </t>
        </r>
        <r>
          <rPr>
            <b/>
            <sz val="10"/>
            <color indexed="81"/>
            <rFont val="돋움"/>
            <family val="3"/>
            <charset val="129"/>
          </rPr>
          <t xml:space="preserve">필수★
</t>
        </r>
        <r>
          <rPr>
            <sz val="10"/>
            <color indexed="81"/>
            <rFont val="Tahoma"/>
            <family val="2"/>
          </rPr>
          <t xml:space="preserve">21 Field : GENOMK01941CA </t>
        </r>
        <r>
          <rPr>
            <sz val="10"/>
            <color indexed="81"/>
            <rFont val="돋움"/>
            <family val="3"/>
            <charset val="129"/>
          </rPr>
          <t>추가</t>
        </r>
      </text>
    </comment>
    <comment ref="M300" authorId="3" shapeId="0" xr:uid="{1027E6A0-4BC5-4DCD-B739-62729EB7E358}">
      <text>
        <r>
          <rPr>
            <b/>
            <sz val="9"/>
            <color indexed="81"/>
            <rFont val="돋움"/>
            <family val="3"/>
            <charset val="129"/>
          </rPr>
          <t>★이자전문</t>
        </r>
        <r>
          <rPr>
            <b/>
            <sz val="9"/>
            <color indexed="81"/>
            <rFont val="Tahoma"/>
            <family val="2"/>
          </rPr>
          <t xml:space="preserve"> </t>
        </r>
        <r>
          <rPr>
            <b/>
            <sz val="9"/>
            <color indexed="81"/>
            <rFont val="돋움"/>
            <family val="3"/>
            <charset val="129"/>
          </rPr>
          <t xml:space="preserve">수기작성★
</t>
        </r>
        <r>
          <rPr>
            <b/>
            <sz val="9"/>
            <color indexed="81"/>
            <rFont val="Tahoma"/>
            <family val="2"/>
          </rPr>
          <t xml:space="preserve">21field: 6060608993-6049
58field: 00767474050720ROANOKE LOAN CENTER GFI </t>
        </r>
      </text>
    </comment>
    <comment ref="M301" authorId="3" shapeId="0" xr:uid="{3AE6D6A7-3A36-4C9E-89B7-A7144FF8B15F}">
      <text>
        <r>
          <rPr>
            <b/>
            <sz val="9"/>
            <color indexed="81"/>
            <rFont val="돋움"/>
            <family val="3"/>
            <charset val="129"/>
          </rPr>
          <t>★이자전문에</t>
        </r>
        <r>
          <rPr>
            <b/>
            <sz val="9"/>
            <color indexed="81"/>
            <rFont val="Tahoma"/>
            <family val="2"/>
          </rPr>
          <t xml:space="preserve"> 21Field </t>
        </r>
        <r>
          <rPr>
            <b/>
            <sz val="9"/>
            <color indexed="81"/>
            <rFont val="돋움"/>
            <family val="3"/>
            <charset val="129"/>
          </rPr>
          <t>필수★</t>
        </r>
        <r>
          <rPr>
            <sz val="9"/>
            <color indexed="81"/>
            <rFont val="Tahoma"/>
            <family val="2"/>
          </rPr>
          <t xml:space="preserve">
FIQAM1106819 (SWIFT FIELD 21) </t>
        </r>
      </text>
    </comment>
    <comment ref="O331" authorId="3" shapeId="0" xr:uid="{00000000-0006-0000-0300-00001F000000}">
      <text>
        <r>
          <rPr>
            <b/>
            <sz val="9"/>
            <color indexed="81"/>
            <rFont val="Tahoma"/>
            <family val="2"/>
          </rPr>
          <t>MasterVD:</t>
        </r>
        <r>
          <rPr>
            <sz val="9"/>
            <color indexed="81"/>
            <rFont val="Tahoma"/>
            <family val="2"/>
          </rPr>
          <t xml:space="preserve">
BS </t>
        </r>
        <r>
          <rPr>
            <sz val="9"/>
            <color indexed="81"/>
            <rFont val="돋움"/>
            <family val="3"/>
            <charset val="129"/>
          </rPr>
          <t>현재값</t>
        </r>
        <r>
          <rPr>
            <sz val="9"/>
            <color indexed="81"/>
            <rFont val="Tahoma"/>
            <family val="2"/>
          </rPr>
          <t xml:space="preserve"> (</t>
        </r>
        <r>
          <rPr>
            <sz val="9"/>
            <color indexed="81"/>
            <rFont val="돋움"/>
            <family val="3"/>
            <charset val="129"/>
          </rPr>
          <t>할인채권금액</t>
        </r>
        <r>
          <rPr>
            <sz val="9"/>
            <color indexed="81"/>
            <rFont val="Tahoma"/>
            <family val="2"/>
          </rPr>
          <t xml:space="preserve"> </t>
        </r>
        <r>
          <rPr>
            <sz val="9"/>
            <color indexed="81"/>
            <rFont val="돋움"/>
            <family val="3"/>
            <charset val="129"/>
          </rPr>
          <t>별도</t>
        </r>
        <r>
          <rPr>
            <sz val="9"/>
            <color indexed="81"/>
            <rFont val="Tahoma"/>
            <family val="2"/>
          </rPr>
          <t xml:space="preserve"> </t>
        </r>
        <r>
          <rPr>
            <sz val="9"/>
            <color indexed="81"/>
            <rFont val="돋움"/>
            <family val="3"/>
            <charset val="129"/>
          </rPr>
          <t>기표</t>
        </r>
        <r>
          <rPr>
            <sz val="9"/>
            <color indexed="81"/>
            <rFont val="Tahoma"/>
            <family val="2"/>
          </rPr>
          <t>)</t>
        </r>
      </text>
    </comment>
    <comment ref="K332" authorId="1" shapeId="0" xr:uid="{00000000-0006-0000-0300-000020000000}">
      <text>
        <r>
          <rPr>
            <b/>
            <sz val="9"/>
            <color indexed="81"/>
            <rFont val="돋움"/>
            <family val="3"/>
            <charset val="129"/>
          </rPr>
          <t>발행금리</t>
        </r>
        <r>
          <rPr>
            <b/>
            <sz val="9"/>
            <color indexed="81"/>
            <rFont val="Tahoma"/>
            <family val="2"/>
          </rPr>
          <t>: 3.85604 (</t>
        </r>
        <r>
          <rPr>
            <b/>
            <sz val="9"/>
            <color indexed="81"/>
            <rFont val="돋움"/>
            <family val="3"/>
            <charset val="129"/>
          </rPr>
          <t>쿠폰금리</t>
        </r>
        <r>
          <rPr>
            <b/>
            <sz val="9"/>
            <color indexed="81"/>
            <rFont val="Tahoma"/>
            <family val="2"/>
          </rPr>
          <t>: 3.75)</t>
        </r>
      </text>
    </comment>
    <comment ref="M332" authorId="1" shapeId="0" xr:uid="{00000000-0006-0000-0300-000021000000}">
      <text>
        <r>
          <rPr>
            <b/>
            <sz val="9"/>
            <color indexed="81"/>
            <rFont val="Tahoma"/>
            <family val="2"/>
          </rPr>
          <t xml:space="preserve">book: BOND_TR01
</t>
        </r>
        <r>
          <rPr>
            <b/>
            <sz val="9"/>
            <color indexed="81"/>
            <rFont val="돋움"/>
            <family val="3"/>
            <charset val="129"/>
          </rPr>
          <t>매</t>
        </r>
        <r>
          <rPr>
            <b/>
            <sz val="9"/>
            <color indexed="81"/>
            <rFont val="Tahoma"/>
            <family val="2"/>
          </rPr>
          <t xml:space="preserve"> 8</t>
        </r>
        <r>
          <rPr>
            <b/>
            <sz val="9"/>
            <color indexed="81"/>
            <rFont val="돋움"/>
            <family val="3"/>
            <charset val="129"/>
          </rPr>
          <t>월</t>
        </r>
        <r>
          <rPr>
            <b/>
            <sz val="9"/>
            <color indexed="81"/>
            <rFont val="Tahoma"/>
            <family val="2"/>
          </rPr>
          <t>, 2</t>
        </r>
        <r>
          <rPr>
            <b/>
            <sz val="9"/>
            <color indexed="81"/>
            <rFont val="돋움"/>
            <family val="3"/>
            <charset val="129"/>
          </rPr>
          <t>월</t>
        </r>
        <r>
          <rPr>
            <b/>
            <sz val="9"/>
            <color indexed="81"/>
            <rFont val="Tahoma"/>
            <family val="2"/>
          </rPr>
          <t xml:space="preserve"> 13</t>
        </r>
        <r>
          <rPr>
            <b/>
            <sz val="9"/>
            <color indexed="81"/>
            <rFont val="돋움"/>
            <family val="3"/>
            <charset val="129"/>
          </rPr>
          <t>일</t>
        </r>
        <r>
          <rPr>
            <b/>
            <sz val="9"/>
            <color indexed="81"/>
            <rFont val="Tahoma"/>
            <family val="2"/>
          </rPr>
          <t xml:space="preserve"> </t>
        </r>
        <r>
          <rPr>
            <b/>
            <sz val="9"/>
            <color indexed="81"/>
            <rFont val="돋움"/>
            <family val="3"/>
            <charset val="129"/>
          </rPr>
          <t>채권이자</t>
        </r>
        <r>
          <rPr>
            <b/>
            <sz val="9"/>
            <color indexed="81"/>
            <rFont val="Tahoma"/>
            <family val="2"/>
          </rPr>
          <t xml:space="preserve"> (external TRADE ID: BD180200001)</t>
        </r>
      </text>
    </comment>
    <comment ref="P332" authorId="1" shapeId="0" xr:uid="{00000000-0006-0000-0300-000022000000}">
      <text>
        <r>
          <rPr>
            <b/>
            <sz val="9"/>
            <color indexed="81"/>
            <rFont val="맑은 고딕"/>
            <family val="3"/>
            <charset val="129"/>
            <scheme val="major"/>
          </rPr>
          <t>2013년 발행채권
2013.04.29 3억불     5년
5Y UST+155
발행금리: 2.253%
표면금리, 쿠폰금리:2.25%
가격: 99.986%</t>
        </r>
      </text>
    </comment>
    <comment ref="K333" authorId="1" shapeId="0" xr:uid="{00000000-0006-0000-0300-000023000000}">
      <text>
        <r>
          <rPr>
            <b/>
            <sz val="9"/>
            <color indexed="81"/>
            <rFont val="Tahoma"/>
            <family val="2"/>
          </rPr>
          <t>3.75%</t>
        </r>
      </text>
    </comment>
    <comment ref="B344" authorId="1" shapeId="0" xr:uid="{00000000-0006-0000-0300-000024000000}">
      <text>
        <r>
          <rPr>
            <b/>
            <sz val="9"/>
            <color indexed="81"/>
            <rFont val="Tahoma"/>
            <family val="2"/>
          </rPr>
          <t>uncommitted line
credit agricole 1</t>
        </r>
        <r>
          <rPr>
            <b/>
            <sz val="9"/>
            <color indexed="81"/>
            <rFont val="돋움"/>
            <family val="3"/>
            <charset val="129"/>
          </rPr>
          <t>억불</t>
        </r>
        <r>
          <rPr>
            <b/>
            <sz val="9"/>
            <color indexed="81"/>
            <rFont val="Tahoma"/>
            <family val="2"/>
          </rPr>
          <t xml:space="preserve"> (</t>
        </r>
        <r>
          <rPr>
            <b/>
            <sz val="9"/>
            <color indexed="81"/>
            <rFont val="돋움"/>
            <family val="3"/>
            <charset val="129"/>
          </rPr>
          <t>외화</t>
        </r>
        <r>
          <rPr>
            <b/>
            <sz val="9"/>
            <color indexed="81"/>
            <rFont val="Tahoma"/>
            <family val="2"/>
          </rPr>
          <t>1</t>
        </r>
        <r>
          <rPr>
            <b/>
            <sz val="9"/>
            <color indexed="81"/>
            <rFont val="돋움"/>
            <family val="3"/>
            <charset val="129"/>
          </rPr>
          <t>개월</t>
        </r>
        <r>
          <rPr>
            <b/>
            <sz val="9"/>
            <color indexed="81"/>
            <rFont val="Tahoma"/>
            <family val="2"/>
          </rPr>
          <t xml:space="preserve"> MM)
3/28~9/28 (6</t>
        </r>
        <r>
          <rPr>
            <b/>
            <sz val="9"/>
            <color indexed="81"/>
            <rFont val="돋움"/>
            <family val="3"/>
            <charset val="129"/>
          </rPr>
          <t>개월간</t>
        </r>
        <r>
          <rPr>
            <b/>
            <sz val="9"/>
            <color indexed="81"/>
            <rFont val="Tahoma"/>
            <family val="2"/>
          </rPr>
          <t>)</t>
        </r>
      </text>
    </comment>
    <comment ref="I349" authorId="1" shapeId="0" xr:uid="{00000000-0006-0000-0300-000025000000}">
      <text>
        <r>
          <rPr>
            <b/>
            <sz val="9"/>
            <color indexed="81"/>
            <rFont val="돋움"/>
            <family val="3"/>
            <charset val="129"/>
          </rPr>
          <t>계약일</t>
        </r>
        <r>
          <rPr>
            <b/>
            <sz val="9"/>
            <color indexed="81"/>
            <rFont val="Tahoma"/>
            <family val="2"/>
          </rPr>
          <t xml:space="preserve"> 2018.04.30
</t>
        </r>
        <r>
          <rPr>
            <b/>
            <sz val="9"/>
            <color indexed="81"/>
            <rFont val="돋움"/>
            <family val="3"/>
            <charset val="129"/>
          </rPr>
          <t>계약시작일</t>
        </r>
        <r>
          <rPr>
            <b/>
            <sz val="9"/>
            <color indexed="81"/>
            <rFont val="Tahoma"/>
            <family val="2"/>
          </rPr>
          <t xml:space="preserve"> 2018.05.14 (</t>
        </r>
        <r>
          <rPr>
            <b/>
            <sz val="9"/>
            <color indexed="81"/>
            <rFont val="돋움"/>
            <family val="3"/>
            <charset val="129"/>
          </rPr>
          <t>전산</t>
        </r>
        <r>
          <rPr>
            <b/>
            <sz val="9"/>
            <color indexed="81"/>
            <rFont val="Tahoma"/>
            <family val="2"/>
          </rPr>
          <t>)</t>
        </r>
      </text>
    </comment>
    <comment ref="J349" authorId="1" shapeId="0" xr:uid="{00000000-0006-0000-0300-000026000000}">
      <text>
        <r>
          <rPr>
            <b/>
            <sz val="9"/>
            <color indexed="81"/>
            <rFont val="Tahoma"/>
            <family val="2"/>
          </rPr>
          <t>1</t>
        </r>
        <r>
          <rPr>
            <b/>
            <sz val="9"/>
            <color indexed="81"/>
            <rFont val="돋움"/>
            <family val="3"/>
            <charset val="129"/>
          </rPr>
          <t>년</t>
        </r>
        <r>
          <rPr>
            <b/>
            <sz val="9"/>
            <color indexed="81"/>
            <rFont val="Tahoma"/>
            <family val="2"/>
          </rPr>
          <t xml:space="preserve"> </t>
        </r>
        <r>
          <rPr>
            <b/>
            <sz val="9"/>
            <color indexed="81"/>
            <rFont val="돋움"/>
            <family val="3"/>
            <charset val="129"/>
          </rPr>
          <t>자동연장가능</t>
        </r>
      </text>
    </comment>
    <comment ref="M386" authorId="0" shapeId="0" xr:uid="{00000000-0006-0000-0300-000027000000}">
      <text>
        <r>
          <rPr>
            <b/>
            <sz val="9"/>
            <color indexed="81"/>
            <rFont val="돋움"/>
            <family val="3"/>
            <charset val="129"/>
          </rPr>
          <t>외화대출기준금리</t>
        </r>
        <r>
          <rPr>
            <b/>
            <sz val="9"/>
            <color indexed="81"/>
            <rFont val="Tahoma"/>
            <family val="2"/>
          </rPr>
          <t xml:space="preserve"> </t>
        </r>
        <r>
          <rPr>
            <b/>
            <sz val="9"/>
            <color indexed="81"/>
            <rFont val="돋움"/>
            <family val="3"/>
            <charset val="129"/>
          </rPr>
          <t>공문</t>
        </r>
        <r>
          <rPr>
            <b/>
            <sz val="9"/>
            <color indexed="81"/>
            <rFont val="Tahoma"/>
            <family val="2"/>
          </rPr>
          <t xml:space="preserve"> </t>
        </r>
        <r>
          <rPr>
            <b/>
            <sz val="9"/>
            <color indexed="81"/>
            <rFont val="돋움"/>
            <family val="3"/>
            <charset val="129"/>
          </rPr>
          <t>참조</t>
        </r>
      </text>
    </comment>
    <comment ref="A400" authorId="3" shapeId="0" xr:uid="{00000000-0006-0000-0300-000028000000}">
      <text>
        <r>
          <rPr>
            <sz val="9"/>
            <color indexed="81"/>
            <rFont val="돋움"/>
            <family val="3"/>
            <charset val="129"/>
          </rPr>
          <t>숨김</t>
        </r>
        <r>
          <rPr>
            <sz val="9"/>
            <color indexed="81"/>
            <rFont val="Tahoma"/>
            <family val="2"/>
          </rPr>
          <t xml:space="preserve"> 
</t>
        </r>
        <r>
          <rPr>
            <sz val="9"/>
            <color indexed="81"/>
            <rFont val="돋움"/>
            <family val="3"/>
            <charset val="129"/>
          </rPr>
          <t>외화대출</t>
        </r>
        <r>
          <rPr>
            <sz val="9"/>
            <color indexed="81"/>
            <rFont val="Tahoma"/>
            <family val="2"/>
          </rPr>
          <t xml:space="preserve"> </t>
        </r>
        <r>
          <rPr>
            <sz val="9"/>
            <color indexed="81"/>
            <rFont val="돋움"/>
            <family val="3"/>
            <charset val="129"/>
          </rPr>
          <t>기준금리
외화유동성</t>
        </r>
        <r>
          <rPr>
            <sz val="9"/>
            <color indexed="81"/>
            <rFont val="Tahoma"/>
            <family val="2"/>
          </rPr>
          <t xml:space="preserve"> ST
</t>
        </r>
        <r>
          <rPr>
            <sz val="9"/>
            <color indexed="81"/>
            <rFont val="돋움"/>
            <family val="3"/>
            <charset val="129"/>
          </rPr>
          <t>상해지점</t>
        </r>
        <r>
          <rPr>
            <sz val="9"/>
            <color indexed="81"/>
            <rFont val="Tahoma"/>
            <family val="2"/>
          </rPr>
          <t xml:space="preserve"> </t>
        </r>
        <r>
          <rPr>
            <sz val="9"/>
            <color indexed="81"/>
            <rFont val="돋움"/>
            <family val="3"/>
            <charset val="129"/>
          </rPr>
          <t>유동성관리</t>
        </r>
        <r>
          <rPr>
            <sz val="9"/>
            <color indexed="81"/>
            <rFont val="Tahoma"/>
            <family val="2"/>
          </rPr>
          <t xml:space="preserve">
</t>
        </r>
      </text>
    </comment>
    <comment ref="H404" authorId="1" shapeId="0" xr:uid="{00000000-0006-0000-0300-000029000000}">
      <text>
        <r>
          <rPr>
            <b/>
            <sz val="9"/>
            <color indexed="81"/>
            <rFont val="Tahoma"/>
            <family val="2"/>
          </rPr>
          <t xml:space="preserve">31,641,564.36
(-0.64 </t>
        </r>
        <r>
          <rPr>
            <b/>
            <sz val="9"/>
            <color indexed="81"/>
            <rFont val="돋움"/>
            <family val="3"/>
            <charset val="129"/>
          </rPr>
          <t>조정</t>
        </r>
        <r>
          <rPr>
            <b/>
            <sz val="9"/>
            <color indexed="81"/>
            <rFont val="Tahoma"/>
            <family val="2"/>
          </rPr>
          <t xml:space="preserve"> </t>
        </r>
        <r>
          <rPr>
            <b/>
            <sz val="9"/>
            <color indexed="81"/>
            <rFont val="돋움"/>
            <family val="3"/>
            <charset val="129"/>
          </rPr>
          <t>있었음</t>
        </r>
        <r>
          <rPr>
            <b/>
            <sz val="9"/>
            <color indexed="81"/>
            <rFont val="Tahoma"/>
            <family val="2"/>
          </rPr>
          <t>)</t>
        </r>
      </text>
    </comment>
    <comment ref="H405" authorId="1" shapeId="0" xr:uid="{00000000-0006-0000-0300-00002A000000}">
      <text>
        <r>
          <rPr>
            <b/>
            <sz val="9"/>
            <color indexed="81"/>
            <rFont val="Tahoma"/>
            <family val="2"/>
          </rPr>
          <t xml:space="preserve">USD 29,111,657.76 </t>
        </r>
        <r>
          <rPr>
            <b/>
            <sz val="9"/>
            <color indexed="81"/>
            <rFont val="돋움"/>
            <family val="3"/>
            <charset val="129"/>
          </rPr>
          <t>회수</t>
        </r>
      </text>
    </comment>
    <comment ref="M405" authorId="1" shapeId="0" xr:uid="{00000000-0006-0000-0300-00002B000000}">
      <text>
        <r>
          <rPr>
            <b/>
            <sz val="9"/>
            <color indexed="81"/>
            <rFont val="돋움"/>
            <family val="3"/>
            <charset val="129"/>
          </rPr>
          <t>가수금기표</t>
        </r>
        <r>
          <rPr>
            <b/>
            <sz val="9"/>
            <color indexed="81"/>
            <rFont val="Tahoma"/>
            <family val="2"/>
          </rPr>
          <t xml:space="preserve"> </t>
        </r>
        <r>
          <rPr>
            <b/>
            <sz val="9"/>
            <color indexed="81"/>
            <rFont val="돋움"/>
            <family val="3"/>
            <charset val="129"/>
          </rPr>
          <t>후</t>
        </r>
        <r>
          <rPr>
            <b/>
            <sz val="9"/>
            <color indexed="81"/>
            <rFont val="Tahoma"/>
            <family val="2"/>
          </rPr>
          <t xml:space="preserve"> 7/2 </t>
        </r>
        <r>
          <rPr>
            <b/>
            <sz val="9"/>
            <color indexed="81"/>
            <rFont val="돋움"/>
            <family val="3"/>
            <charset val="129"/>
          </rPr>
          <t>국외갑계정</t>
        </r>
        <r>
          <rPr>
            <b/>
            <sz val="9"/>
            <color indexed="81"/>
            <rFont val="Tahoma"/>
            <family val="2"/>
          </rPr>
          <t xml:space="preserve"> </t>
        </r>
        <r>
          <rPr>
            <b/>
            <sz val="9"/>
            <color indexed="81"/>
            <rFont val="돋움"/>
            <family val="3"/>
            <charset val="129"/>
          </rPr>
          <t xml:space="preserve">기표처리
</t>
        </r>
        <r>
          <rPr>
            <b/>
            <sz val="9"/>
            <color indexed="81"/>
            <rFont val="Tahoma"/>
            <family val="2"/>
          </rPr>
          <t>SB19-</t>
        </r>
        <r>
          <rPr>
            <b/>
            <sz val="9"/>
            <color indexed="81"/>
            <rFont val="돋움"/>
            <family val="3"/>
            <charset val="129"/>
          </rPr>
          <t>전략기획부</t>
        </r>
        <r>
          <rPr>
            <b/>
            <sz val="9"/>
            <color indexed="81"/>
            <rFont val="Tahoma"/>
            <family val="2"/>
          </rPr>
          <t>-3757 (CNY60</t>
        </r>
        <r>
          <rPr>
            <b/>
            <sz val="9"/>
            <color indexed="81"/>
            <rFont val="돋움"/>
            <family val="3"/>
            <charset val="129"/>
          </rPr>
          <t>백만</t>
        </r>
        <r>
          <rPr>
            <b/>
            <sz val="9"/>
            <color indexed="81"/>
            <rFont val="Tahoma"/>
            <family val="2"/>
          </rPr>
          <t xml:space="preserve"> </t>
        </r>
        <r>
          <rPr>
            <b/>
            <sz val="9"/>
            <color indexed="81"/>
            <rFont val="돋움"/>
            <family val="3"/>
            <charset val="129"/>
          </rPr>
          <t>의무예치금</t>
        </r>
        <r>
          <rPr>
            <b/>
            <sz val="9"/>
            <color indexed="81"/>
            <rFont val="Tahoma"/>
            <family val="2"/>
          </rPr>
          <t xml:space="preserve"> </t>
        </r>
        <r>
          <rPr>
            <b/>
            <sz val="9"/>
            <color indexed="81"/>
            <rFont val="돋움"/>
            <family val="3"/>
            <charset val="129"/>
          </rPr>
          <t>승인일과</t>
        </r>
        <r>
          <rPr>
            <b/>
            <sz val="9"/>
            <color indexed="81"/>
            <rFont val="Tahoma"/>
            <family val="2"/>
          </rPr>
          <t xml:space="preserve"> </t>
        </r>
        <r>
          <rPr>
            <b/>
            <sz val="9"/>
            <color indexed="81"/>
            <rFont val="돋움"/>
            <family val="3"/>
            <charset val="129"/>
          </rPr>
          <t>동일</t>
        </r>
        <r>
          <rPr>
            <b/>
            <sz val="9"/>
            <color indexed="81"/>
            <rFont val="Tahoma"/>
            <family val="2"/>
          </rPr>
          <t xml:space="preserve">)
</t>
        </r>
        <r>
          <rPr>
            <b/>
            <sz val="9"/>
            <color indexed="81"/>
            <rFont val="돋움"/>
            <family val="3"/>
            <charset val="129"/>
          </rPr>
          <t>기존</t>
        </r>
        <r>
          <rPr>
            <b/>
            <sz val="9"/>
            <color indexed="81"/>
            <rFont val="Tahoma"/>
            <family val="2"/>
          </rPr>
          <t xml:space="preserve"> </t>
        </r>
        <r>
          <rPr>
            <b/>
            <sz val="9"/>
            <color indexed="81"/>
            <rFont val="돋움"/>
            <family val="3"/>
            <charset val="129"/>
          </rPr>
          <t>자본금</t>
        </r>
        <r>
          <rPr>
            <b/>
            <sz val="9"/>
            <color indexed="81"/>
            <rFont val="Tahoma"/>
            <family val="2"/>
          </rPr>
          <t xml:space="preserve"> USD </t>
        </r>
        <r>
          <rPr>
            <b/>
            <sz val="9"/>
            <color indexed="81"/>
            <rFont val="돋움"/>
            <family val="3"/>
            <charset val="129"/>
          </rPr>
          <t>회수</t>
        </r>
        <r>
          <rPr>
            <b/>
            <sz val="9"/>
            <color indexed="81"/>
            <rFont val="Tahoma"/>
            <family val="2"/>
          </rPr>
          <t xml:space="preserve"> -&gt; 2</t>
        </r>
        <r>
          <rPr>
            <b/>
            <sz val="9"/>
            <color indexed="81"/>
            <rFont val="돋움"/>
            <family val="3"/>
            <charset val="129"/>
          </rPr>
          <t>억</t>
        </r>
        <r>
          <rPr>
            <b/>
            <sz val="9"/>
            <color indexed="81"/>
            <rFont val="Tahoma"/>
            <family val="2"/>
          </rPr>
          <t xml:space="preserve"> </t>
        </r>
        <r>
          <rPr>
            <b/>
            <sz val="9"/>
            <color indexed="81"/>
            <rFont val="돋움"/>
            <family val="3"/>
            <charset val="129"/>
          </rPr>
          <t>위안</t>
        </r>
        <r>
          <rPr>
            <b/>
            <sz val="9"/>
            <color indexed="81"/>
            <rFont val="Tahoma"/>
            <family val="2"/>
          </rPr>
          <t xml:space="preserve"> </t>
        </r>
        <r>
          <rPr>
            <b/>
            <sz val="9"/>
            <color indexed="81"/>
            <rFont val="돋움"/>
            <family val="3"/>
            <charset val="129"/>
          </rPr>
          <t>상당의</t>
        </r>
        <r>
          <rPr>
            <b/>
            <sz val="9"/>
            <color indexed="81"/>
            <rFont val="Tahoma"/>
            <family val="2"/>
          </rPr>
          <t xml:space="preserve"> CNY </t>
        </r>
        <r>
          <rPr>
            <b/>
            <sz val="9"/>
            <color indexed="81"/>
            <rFont val="돋움"/>
            <family val="3"/>
            <charset val="129"/>
          </rPr>
          <t>지원</t>
        </r>
        <r>
          <rPr>
            <b/>
            <sz val="9"/>
            <color indexed="81"/>
            <rFont val="Tahoma"/>
            <family val="2"/>
          </rPr>
          <t>. (19.06.26</t>
        </r>
        <r>
          <rPr>
            <b/>
            <sz val="9"/>
            <color indexed="81"/>
            <rFont val="돋움"/>
            <family val="3"/>
            <charset val="129"/>
          </rPr>
          <t>기준</t>
        </r>
        <r>
          <rPr>
            <b/>
            <sz val="9"/>
            <color indexed="81"/>
            <rFont val="Tahoma"/>
            <family val="2"/>
          </rPr>
          <t xml:space="preserve"> </t>
        </r>
        <r>
          <rPr>
            <b/>
            <sz val="9"/>
            <color indexed="81"/>
            <rFont val="돋움"/>
            <family val="3"/>
            <charset val="129"/>
          </rPr>
          <t>위안화</t>
        </r>
        <r>
          <rPr>
            <b/>
            <sz val="9"/>
            <color indexed="81"/>
            <rFont val="Tahoma"/>
            <family val="2"/>
          </rPr>
          <t xml:space="preserve"> </t>
        </r>
        <r>
          <rPr>
            <b/>
            <sz val="9"/>
            <color indexed="81"/>
            <rFont val="돋움"/>
            <family val="3"/>
            <charset val="129"/>
          </rPr>
          <t>환율로</t>
        </r>
        <r>
          <rPr>
            <b/>
            <sz val="9"/>
            <color indexed="81"/>
            <rFont val="Tahoma"/>
            <family val="2"/>
          </rPr>
          <t xml:space="preserve"> </t>
        </r>
        <r>
          <rPr>
            <b/>
            <sz val="9"/>
            <color indexed="81"/>
            <rFont val="돋움"/>
            <family val="3"/>
            <charset val="129"/>
          </rPr>
          <t>계산한</t>
        </r>
        <r>
          <rPr>
            <b/>
            <sz val="9"/>
            <color indexed="81"/>
            <rFont val="Tahoma"/>
            <family val="2"/>
          </rPr>
          <t xml:space="preserve"> 2</t>
        </r>
        <r>
          <rPr>
            <b/>
            <sz val="9"/>
            <color indexed="81"/>
            <rFont val="돋움"/>
            <family val="3"/>
            <charset val="129"/>
          </rPr>
          <t>억위안에</t>
        </r>
        <r>
          <rPr>
            <b/>
            <sz val="9"/>
            <color indexed="81"/>
            <rFont val="Tahoma"/>
            <family val="2"/>
          </rPr>
          <t xml:space="preserve"> </t>
        </r>
        <r>
          <rPr>
            <b/>
            <sz val="9"/>
            <color indexed="81"/>
            <rFont val="돋움"/>
            <family val="3"/>
            <charset val="129"/>
          </rPr>
          <t>해당하는</t>
        </r>
        <r>
          <rPr>
            <b/>
            <sz val="9"/>
            <color indexed="81"/>
            <rFont val="Tahoma"/>
            <family val="2"/>
          </rPr>
          <t xml:space="preserve"> </t>
        </r>
        <r>
          <rPr>
            <b/>
            <sz val="9"/>
            <color indexed="81"/>
            <rFont val="돋움"/>
            <family val="3"/>
            <charset val="129"/>
          </rPr>
          <t>달러</t>
        </r>
        <r>
          <rPr>
            <b/>
            <sz val="9"/>
            <color indexed="81"/>
            <rFont val="Tahoma"/>
            <family val="2"/>
          </rPr>
          <t xml:space="preserve"> </t>
        </r>
        <r>
          <rPr>
            <b/>
            <sz val="9"/>
            <color indexed="81"/>
            <rFont val="돋움"/>
            <family val="3"/>
            <charset val="129"/>
          </rPr>
          <t>금액</t>
        </r>
        <r>
          <rPr>
            <b/>
            <sz val="9"/>
            <color indexed="81"/>
            <rFont val="Tahoma"/>
            <family val="2"/>
          </rPr>
          <t xml:space="preserve"> </t>
        </r>
        <r>
          <rPr>
            <b/>
            <sz val="9"/>
            <color indexed="81"/>
            <rFont val="돋움"/>
            <family val="3"/>
            <charset val="129"/>
          </rPr>
          <t>먼저</t>
        </r>
        <r>
          <rPr>
            <b/>
            <sz val="9"/>
            <color indexed="81"/>
            <rFont val="Tahoma"/>
            <family val="2"/>
          </rPr>
          <t xml:space="preserve"> </t>
        </r>
        <r>
          <rPr>
            <b/>
            <sz val="9"/>
            <color indexed="81"/>
            <rFont val="돋움"/>
            <family val="3"/>
            <charset val="129"/>
          </rPr>
          <t>회수</t>
        </r>
        <r>
          <rPr>
            <b/>
            <sz val="9"/>
            <color indexed="81"/>
            <rFont val="Tahoma"/>
            <family val="2"/>
          </rPr>
          <t xml:space="preserve">. </t>
        </r>
        <r>
          <rPr>
            <b/>
            <sz val="9"/>
            <color indexed="81"/>
            <rFont val="돋움"/>
            <family val="3"/>
            <charset val="129"/>
          </rPr>
          <t>나머지</t>
        </r>
        <r>
          <rPr>
            <b/>
            <sz val="9"/>
            <color indexed="81"/>
            <rFont val="Tahoma"/>
            <family val="2"/>
          </rPr>
          <t xml:space="preserve"> </t>
        </r>
        <r>
          <rPr>
            <b/>
            <sz val="9"/>
            <color indexed="81"/>
            <rFont val="돋움"/>
            <family val="3"/>
            <charset val="129"/>
          </rPr>
          <t>차액은</t>
        </r>
        <r>
          <rPr>
            <b/>
            <sz val="9"/>
            <color indexed="81"/>
            <rFont val="Tahoma"/>
            <family val="2"/>
          </rPr>
          <t xml:space="preserve"> </t>
        </r>
        <r>
          <rPr>
            <b/>
            <sz val="9"/>
            <color indexed="81"/>
            <rFont val="돋움"/>
            <family val="3"/>
            <charset val="129"/>
          </rPr>
          <t>추후</t>
        </r>
        <r>
          <rPr>
            <b/>
            <sz val="9"/>
            <color indexed="81"/>
            <rFont val="Tahoma"/>
            <family val="2"/>
          </rPr>
          <t xml:space="preserve"> </t>
        </r>
        <r>
          <rPr>
            <b/>
            <sz val="9"/>
            <color indexed="81"/>
            <rFont val="돋움"/>
            <family val="3"/>
            <charset val="129"/>
          </rPr>
          <t>논의하여</t>
        </r>
        <r>
          <rPr>
            <b/>
            <sz val="9"/>
            <color indexed="81"/>
            <rFont val="Tahoma"/>
            <family val="2"/>
          </rPr>
          <t xml:space="preserve"> </t>
        </r>
        <r>
          <rPr>
            <b/>
            <sz val="9"/>
            <color indexed="81"/>
            <rFont val="돋움"/>
            <family val="3"/>
            <charset val="129"/>
          </rPr>
          <t>회수키로</t>
        </r>
        <r>
          <rPr>
            <b/>
            <sz val="9"/>
            <color indexed="81"/>
            <rFont val="Tahoma"/>
            <family val="2"/>
          </rPr>
          <t xml:space="preserve"> </t>
        </r>
        <r>
          <rPr>
            <b/>
            <sz val="9"/>
            <color indexed="81"/>
            <rFont val="돋움"/>
            <family val="3"/>
            <charset val="129"/>
          </rPr>
          <t>함</t>
        </r>
        <r>
          <rPr>
            <b/>
            <sz val="9"/>
            <color indexed="81"/>
            <rFont val="Tahoma"/>
            <family val="2"/>
          </rPr>
          <t>.</t>
        </r>
      </text>
    </comment>
    <comment ref="H406" authorId="1" shapeId="0" xr:uid="{00000000-0006-0000-0300-00002C000000}">
      <text>
        <r>
          <rPr>
            <b/>
            <sz val="9"/>
            <color indexed="81"/>
            <rFont val="Tahoma"/>
            <family val="2"/>
          </rPr>
          <t>2,529,906.60</t>
        </r>
      </text>
    </comment>
    <comment ref="H407" authorId="1" shapeId="0" xr:uid="{00000000-0006-0000-0300-00002D000000}">
      <text>
        <r>
          <rPr>
            <b/>
            <sz val="9"/>
            <color indexed="81"/>
            <rFont val="Tahoma"/>
            <family val="2"/>
          </rPr>
          <t xml:space="preserve">32,491,267.98
+0.01 </t>
        </r>
        <r>
          <rPr>
            <b/>
            <sz val="9"/>
            <color indexed="81"/>
            <rFont val="돋움"/>
            <family val="3"/>
            <charset val="129"/>
          </rPr>
          <t>조정</t>
        </r>
      </text>
    </comment>
    <comment ref="M408" authorId="0" shapeId="0" xr:uid="{00000000-0006-0000-0300-00002E000000}">
      <text>
        <r>
          <rPr>
            <sz val="10"/>
            <color indexed="81"/>
            <rFont val="돋움"/>
            <family val="3"/>
            <charset val="129"/>
          </rPr>
          <t>원화대가</t>
        </r>
        <r>
          <rPr>
            <sz val="10"/>
            <color indexed="81"/>
            <rFont val="Tahoma"/>
            <family val="2"/>
          </rPr>
          <t xml:space="preserve"> CNY SPOT </t>
        </r>
        <r>
          <rPr>
            <sz val="10"/>
            <color indexed="81"/>
            <rFont val="돋움"/>
            <family val="3"/>
            <charset val="129"/>
          </rPr>
          <t>매입</t>
        </r>
        <r>
          <rPr>
            <sz val="10"/>
            <color indexed="81"/>
            <rFont val="Tahoma"/>
            <family val="2"/>
          </rPr>
          <t xml:space="preserve"> </t>
        </r>
        <r>
          <rPr>
            <sz val="10"/>
            <color indexed="81"/>
            <rFont val="돋움"/>
            <family val="3"/>
            <charset val="129"/>
          </rPr>
          <t>후</t>
        </r>
        <r>
          <rPr>
            <sz val="10"/>
            <color indexed="81"/>
            <rFont val="Tahoma"/>
            <family val="2"/>
          </rPr>
          <t xml:space="preserve"> </t>
        </r>
        <r>
          <rPr>
            <sz val="10"/>
            <color indexed="81"/>
            <rFont val="돋움"/>
            <family val="3"/>
            <charset val="129"/>
          </rPr>
          <t xml:space="preserve">지급
</t>
        </r>
        <r>
          <rPr>
            <sz val="10"/>
            <color indexed="81"/>
            <rFont val="Tahoma"/>
            <family val="2"/>
          </rPr>
          <t xml:space="preserve">2. </t>
        </r>
        <r>
          <rPr>
            <sz val="10"/>
            <color indexed="81"/>
            <rFont val="돋움"/>
            <family val="3"/>
            <charset val="129"/>
          </rPr>
          <t>금리</t>
        </r>
        <r>
          <rPr>
            <sz val="10"/>
            <color indexed="81"/>
            <rFont val="Tahoma"/>
            <family val="2"/>
          </rPr>
          <t xml:space="preserve"> : </t>
        </r>
        <r>
          <rPr>
            <sz val="10"/>
            <color indexed="81"/>
            <rFont val="돋움"/>
            <family val="3"/>
            <charset val="129"/>
          </rPr>
          <t>이자비용</t>
        </r>
        <r>
          <rPr>
            <sz val="10"/>
            <color indexed="81"/>
            <rFont val="Tahoma"/>
            <family val="2"/>
          </rPr>
          <t xml:space="preserve"> 2.8</t>
        </r>
        <r>
          <rPr>
            <sz val="10"/>
            <color indexed="81"/>
            <rFont val="돋움"/>
            <family val="3"/>
            <charset val="129"/>
          </rPr>
          <t>억</t>
        </r>
        <r>
          <rPr>
            <sz val="10"/>
            <color indexed="81"/>
            <rFont val="Tahoma"/>
            <family val="2"/>
          </rPr>
          <t xml:space="preserve">/Y (1.591% - </t>
        </r>
        <r>
          <rPr>
            <sz val="10"/>
            <color indexed="81"/>
            <rFont val="돋움"/>
            <family val="3"/>
            <charset val="129"/>
          </rPr>
          <t>원화</t>
        </r>
        <r>
          <rPr>
            <sz val="10"/>
            <color indexed="81"/>
            <rFont val="Tahoma"/>
            <family val="2"/>
          </rPr>
          <t xml:space="preserve"> </t>
        </r>
        <r>
          <rPr>
            <sz val="10"/>
            <color indexed="81"/>
            <rFont val="돋움"/>
            <family val="3"/>
            <charset val="129"/>
          </rPr>
          <t>은행채발행</t>
        </r>
        <r>
          <rPr>
            <sz val="10"/>
            <color indexed="81"/>
            <rFont val="Tahoma"/>
            <family val="2"/>
          </rPr>
          <t xml:space="preserve">)
3. </t>
        </r>
        <r>
          <rPr>
            <sz val="10"/>
            <color indexed="81"/>
            <rFont val="돋움"/>
            <family val="3"/>
            <charset val="129"/>
          </rPr>
          <t>리스크</t>
        </r>
        <r>
          <rPr>
            <sz val="10"/>
            <color indexed="81"/>
            <rFont val="Tahoma"/>
            <family val="2"/>
          </rPr>
          <t xml:space="preserve"> : CNY/KRW </t>
        </r>
        <r>
          <rPr>
            <sz val="10"/>
            <color indexed="81"/>
            <rFont val="돋움"/>
            <family val="3"/>
            <charset val="129"/>
          </rPr>
          <t>환리스크</t>
        </r>
        <r>
          <rPr>
            <sz val="10"/>
            <color indexed="81"/>
            <rFont val="Tahoma"/>
            <family val="2"/>
          </rPr>
          <t xml:space="preserve"> OPEN - MMTR01
4. </t>
        </r>
        <r>
          <rPr>
            <sz val="10"/>
            <color indexed="81"/>
            <rFont val="돋움"/>
            <family val="3"/>
            <charset val="129"/>
          </rPr>
          <t>환차손익변동</t>
        </r>
        <r>
          <rPr>
            <sz val="10"/>
            <color indexed="81"/>
            <rFont val="Tahoma"/>
            <family val="2"/>
          </rPr>
          <t xml:space="preserve"> 
     </t>
        </r>
        <r>
          <rPr>
            <sz val="10"/>
            <color indexed="81"/>
            <rFont val="돋움"/>
            <family val="3"/>
            <charset val="129"/>
          </rPr>
          <t>가</t>
        </r>
        <r>
          <rPr>
            <sz val="10"/>
            <color indexed="81"/>
            <rFont val="Tahoma"/>
            <family val="2"/>
          </rPr>
          <t xml:space="preserve">. </t>
        </r>
        <r>
          <rPr>
            <sz val="10"/>
            <color indexed="81"/>
            <rFont val="돋움"/>
            <family val="3"/>
            <charset val="129"/>
          </rPr>
          <t>본점</t>
        </r>
        <r>
          <rPr>
            <sz val="10"/>
            <color indexed="81"/>
            <rFont val="Tahoma"/>
            <family val="2"/>
          </rPr>
          <t xml:space="preserve"> </t>
        </r>
        <r>
          <rPr>
            <sz val="10"/>
            <color indexed="81"/>
            <rFont val="돋움"/>
            <family val="3"/>
            <charset val="129"/>
          </rPr>
          <t>손익변동</t>
        </r>
        <r>
          <rPr>
            <sz val="10"/>
            <color indexed="81"/>
            <rFont val="Tahoma"/>
            <family val="2"/>
          </rPr>
          <t xml:space="preserve"> </t>
        </r>
        <r>
          <rPr>
            <sz val="10"/>
            <color indexed="81"/>
            <rFont val="돋움"/>
            <family val="3"/>
            <charset val="129"/>
          </rPr>
          <t>없음</t>
        </r>
        <r>
          <rPr>
            <sz val="10"/>
            <color indexed="81"/>
            <rFont val="Tahoma"/>
            <family val="2"/>
          </rPr>
          <t xml:space="preserve"> (</t>
        </r>
        <r>
          <rPr>
            <sz val="10"/>
            <color indexed="81"/>
            <rFont val="돋움"/>
            <family val="3"/>
            <charset val="129"/>
          </rPr>
          <t>차변</t>
        </r>
        <r>
          <rPr>
            <sz val="10"/>
            <color indexed="81"/>
            <rFont val="Tahoma"/>
            <family val="2"/>
          </rPr>
          <t xml:space="preserve"> - </t>
        </r>
        <r>
          <rPr>
            <sz val="10"/>
            <color indexed="81"/>
            <rFont val="돋움"/>
            <family val="3"/>
            <charset val="129"/>
          </rPr>
          <t>갑기금환율고정</t>
        </r>
        <r>
          <rPr>
            <sz val="10"/>
            <color indexed="81"/>
            <rFont val="Tahoma"/>
            <family val="2"/>
          </rPr>
          <t xml:space="preserve"> / </t>
        </r>
        <r>
          <rPr>
            <sz val="10"/>
            <color indexed="81"/>
            <rFont val="돋움"/>
            <family val="3"/>
            <charset val="129"/>
          </rPr>
          <t>대변</t>
        </r>
        <r>
          <rPr>
            <sz val="10"/>
            <color indexed="81"/>
            <rFont val="Tahoma"/>
            <family val="2"/>
          </rPr>
          <t xml:space="preserve"> </t>
        </r>
        <r>
          <rPr>
            <sz val="10"/>
            <color indexed="81"/>
            <rFont val="돋움"/>
            <family val="3"/>
            <charset val="129"/>
          </rPr>
          <t>포지션환율고정</t>
        </r>
        <r>
          <rPr>
            <sz val="10"/>
            <color indexed="81"/>
            <rFont val="Tahoma"/>
            <family val="2"/>
          </rPr>
          <t xml:space="preserve">)
     </t>
        </r>
        <r>
          <rPr>
            <sz val="10"/>
            <color indexed="81"/>
            <rFont val="돋움"/>
            <family val="3"/>
            <charset val="129"/>
          </rPr>
          <t>나</t>
        </r>
        <r>
          <rPr>
            <sz val="10"/>
            <color indexed="81"/>
            <rFont val="Tahoma"/>
            <family val="2"/>
          </rPr>
          <t xml:space="preserve">. </t>
        </r>
        <r>
          <rPr>
            <sz val="10"/>
            <color indexed="81"/>
            <rFont val="돋움"/>
            <family val="3"/>
            <charset val="129"/>
          </rPr>
          <t>기타포괄손익</t>
        </r>
        <r>
          <rPr>
            <sz val="10"/>
            <color indexed="81"/>
            <rFont val="Tahoma"/>
            <family val="2"/>
          </rPr>
          <t>(</t>
        </r>
        <r>
          <rPr>
            <sz val="10"/>
            <color indexed="81"/>
            <rFont val="돋움"/>
            <family val="3"/>
            <charset val="129"/>
          </rPr>
          <t>자본조정</t>
        </r>
        <r>
          <rPr>
            <sz val="10"/>
            <color indexed="81"/>
            <rFont val="Tahoma"/>
            <family val="2"/>
          </rPr>
          <t xml:space="preserve">) </t>
        </r>
        <r>
          <rPr>
            <sz val="10"/>
            <color indexed="81"/>
            <rFont val="돋움"/>
            <family val="3"/>
            <charset val="129"/>
          </rPr>
          <t>발생</t>
        </r>
        <r>
          <rPr>
            <sz val="10"/>
            <color indexed="81"/>
            <rFont val="Tahoma"/>
            <family val="2"/>
          </rPr>
          <t xml:space="preserve"> - </t>
        </r>
        <r>
          <rPr>
            <sz val="10"/>
            <color indexed="81"/>
            <rFont val="돋움"/>
            <family val="3"/>
            <charset val="129"/>
          </rPr>
          <t>상해폐점</t>
        </r>
        <r>
          <rPr>
            <sz val="10"/>
            <color indexed="81"/>
            <rFont val="Tahoma"/>
            <family val="2"/>
          </rPr>
          <t xml:space="preserve"> </t>
        </r>
        <r>
          <rPr>
            <sz val="10"/>
            <color indexed="81"/>
            <rFont val="돋움"/>
            <family val="3"/>
            <charset val="129"/>
          </rPr>
          <t>시</t>
        </r>
        <r>
          <rPr>
            <sz val="10"/>
            <color indexed="81"/>
            <rFont val="Tahoma"/>
            <family val="2"/>
          </rPr>
          <t xml:space="preserve"> </t>
        </r>
        <r>
          <rPr>
            <sz val="10"/>
            <color indexed="81"/>
            <rFont val="돋움"/>
            <family val="3"/>
            <charset val="129"/>
          </rPr>
          <t>당기손익으로</t>
        </r>
        <r>
          <rPr>
            <sz val="10"/>
            <color indexed="81"/>
            <rFont val="Tahoma"/>
            <family val="2"/>
          </rPr>
          <t xml:space="preserve"> </t>
        </r>
        <r>
          <rPr>
            <sz val="10"/>
            <color indexed="81"/>
            <rFont val="돋움"/>
            <family val="3"/>
            <charset val="129"/>
          </rPr>
          <t>인식</t>
        </r>
        <r>
          <rPr>
            <sz val="10"/>
            <color indexed="81"/>
            <rFont val="Tahoma"/>
            <family val="2"/>
          </rPr>
          <t xml:space="preserve">
            CNY </t>
        </r>
        <r>
          <rPr>
            <sz val="10"/>
            <color indexed="81"/>
            <rFont val="돋움"/>
            <family val="3"/>
            <charset val="129"/>
          </rPr>
          <t>재무재표에서</t>
        </r>
        <r>
          <rPr>
            <sz val="10"/>
            <color indexed="81"/>
            <rFont val="Tahoma"/>
            <family val="2"/>
          </rPr>
          <t xml:space="preserve"> USD </t>
        </r>
        <r>
          <rPr>
            <sz val="10"/>
            <color indexed="81"/>
            <rFont val="돋움"/>
            <family val="3"/>
            <charset val="129"/>
          </rPr>
          <t>재무재표로</t>
        </r>
        <r>
          <rPr>
            <sz val="10"/>
            <color indexed="81"/>
            <rFont val="Tahoma"/>
            <family val="2"/>
          </rPr>
          <t xml:space="preserve"> </t>
        </r>
        <r>
          <rPr>
            <sz val="10"/>
            <color indexed="81"/>
            <rFont val="돋움"/>
            <family val="3"/>
            <charset val="129"/>
          </rPr>
          <t>전환</t>
        </r>
        <r>
          <rPr>
            <sz val="10"/>
            <color indexed="81"/>
            <rFont val="Tahoma"/>
            <family val="2"/>
          </rPr>
          <t xml:space="preserve"> </t>
        </r>
        <r>
          <rPr>
            <sz val="10"/>
            <color indexed="81"/>
            <rFont val="돋움"/>
            <family val="3"/>
            <charset val="129"/>
          </rPr>
          <t>시</t>
        </r>
        <r>
          <rPr>
            <sz val="10"/>
            <color indexed="81"/>
            <rFont val="Tahoma"/>
            <family val="2"/>
          </rPr>
          <t xml:space="preserve"> USD/CNY </t>
        </r>
        <r>
          <rPr>
            <sz val="10"/>
            <color indexed="81"/>
            <rFont val="돋움"/>
            <family val="3"/>
            <charset val="129"/>
          </rPr>
          <t>환차로</t>
        </r>
        <r>
          <rPr>
            <sz val="10"/>
            <color indexed="81"/>
            <rFont val="Tahoma"/>
            <family val="2"/>
          </rPr>
          <t xml:space="preserve"> </t>
        </r>
        <r>
          <rPr>
            <sz val="10"/>
            <color indexed="81"/>
            <rFont val="돋움"/>
            <family val="3"/>
            <charset val="129"/>
          </rPr>
          <t>인해</t>
        </r>
        <r>
          <rPr>
            <sz val="10"/>
            <color indexed="81"/>
            <rFont val="Tahoma"/>
            <family val="2"/>
          </rPr>
          <t xml:space="preserve"> </t>
        </r>
        <r>
          <rPr>
            <sz val="10"/>
            <color indexed="81"/>
            <rFont val="돋움"/>
            <family val="3"/>
            <charset val="129"/>
          </rPr>
          <t>회계처리상</t>
        </r>
        <r>
          <rPr>
            <sz val="10"/>
            <color indexed="81"/>
            <rFont val="Tahoma"/>
            <family val="2"/>
          </rPr>
          <t xml:space="preserve"> </t>
        </r>
        <r>
          <rPr>
            <sz val="10"/>
            <color indexed="81"/>
            <rFont val="돋움"/>
            <family val="3"/>
            <charset val="129"/>
          </rPr>
          <t>당기손익</t>
        </r>
        <r>
          <rPr>
            <sz val="10"/>
            <color indexed="81"/>
            <rFont val="Tahoma"/>
            <family val="2"/>
          </rPr>
          <t xml:space="preserve"> </t>
        </r>
        <r>
          <rPr>
            <sz val="10"/>
            <color indexed="81"/>
            <rFont val="돋움"/>
            <family val="3"/>
            <charset val="129"/>
          </rPr>
          <t>발생</t>
        </r>
        <r>
          <rPr>
            <sz val="10"/>
            <color indexed="81"/>
            <rFont val="Tahoma"/>
            <family val="2"/>
          </rPr>
          <t xml:space="preserve">
            </t>
        </r>
        <r>
          <rPr>
            <sz val="10"/>
            <color indexed="81"/>
            <rFont val="돋움"/>
            <family val="3"/>
            <charset val="129"/>
          </rPr>
          <t>차변</t>
        </r>
        <r>
          <rPr>
            <sz val="10"/>
            <color indexed="81"/>
            <rFont val="Tahoma"/>
            <family val="2"/>
          </rPr>
          <t xml:space="preserve"> - </t>
        </r>
        <r>
          <rPr>
            <sz val="10"/>
            <color indexed="81"/>
            <rFont val="돋움"/>
            <family val="3"/>
            <charset val="129"/>
          </rPr>
          <t>외화대출</t>
        </r>
        <r>
          <rPr>
            <sz val="10"/>
            <color indexed="81"/>
            <rFont val="Tahoma"/>
            <family val="2"/>
          </rPr>
          <t>(</t>
        </r>
        <r>
          <rPr>
            <sz val="10"/>
            <color indexed="81"/>
            <rFont val="돋움"/>
            <family val="3"/>
            <charset val="129"/>
          </rPr>
          <t>환율변동</t>
        </r>
        <r>
          <rPr>
            <sz val="10"/>
            <color indexed="81"/>
            <rFont val="Tahoma"/>
            <family val="2"/>
          </rPr>
          <t xml:space="preserve"> CNY) / </t>
        </r>
        <r>
          <rPr>
            <sz val="10"/>
            <color indexed="81"/>
            <rFont val="돋움"/>
            <family val="3"/>
            <charset val="129"/>
          </rPr>
          <t>대변</t>
        </r>
        <r>
          <rPr>
            <sz val="10"/>
            <color indexed="81"/>
            <rFont val="Tahoma"/>
            <family val="2"/>
          </rPr>
          <t xml:space="preserve"> - </t>
        </r>
        <r>
          <rPr>
            <sz val="10"/>
            <color indexed="81"/>
            <rFont val="돋움"/>
            <family val="3"/>
            <charset val="129"/>
          </rPr>
          <t>갑기금</t>
        </r>
        <r>
          <rPr>
            <sz val="10"/>
            <color indexed="81"/>
            <rFont val="Tahoma"/>
            <family val="2"/>
          </rPr>
          <t>(</t>
        </r>
        <r>
          <rPr>
            <sz val="10"/>
            <color indexed="81"/>
            <rFont val="돋움"/>
            <family val="3"/>
            <charset val="129"/>
          </rPr>
          <t>환율고정</t>
        </r>
        <r>
          <rPr>
            <sz val="10"/>
            <color indexed="81"/>
            <rFont val="Tahoma"/>
            <family val="2"/>
          </rPr>
          <t xml:space="preserve">CNY)
5. </t>
        </r>
        <r>
          <rPr>
            <sz val="10"/>
            <color indexed="81"/>
            <rFont val="돋움"/>
            <family val="3"/>
            <charset val="129"/>
          </rPr>
          <t>손익변동시나리오</t>
        </r>
        <r>
          <rPr>
            <sz val="10"/>
            <color indexed="81"/>
            <rFont val="Tahoma"/>
            <family val="2"/>
          </rPr>
          <t xml:space="preserve"> : CNY/KRW 5% </t>
        </r>
        <r>
          <rPr>
            <sz val="10"/>
            <color indexed="81"/>
            <rFont val="돋움"/>
            <family val="3"/>
            <charset val="129"/>
          </rPr>
          <t>상승</t>
        </r>
        <r>
          <rPr>
            <sz val="10"/>
            <color indexed="81"/>
            <rFont val="Tahoma"/>
            <family val="2"/>
          </rPr>
          <t>(CNY</t>
        </r>
        <r>
          <rPr>
            <sz val="10"/>
            <color indexed="81"/>
            <rFont val="돋움"/>
            <family val="3"/>
            <charset val="129"/>
          </rPr>
          <t>평가절상</t>
        </r>
        <r>
          <rPr>
            <sz val="10"/>
            <color indexed="81"/>
            <rFont val="Tahoma"/>
            <family val="2"/>
          </rPr>
          <t xml:space="preserve">) 
    </t>
        </r>
        <r>
          <rPr>
            <sz val="10"/>
            <color indexed="81"/>
            <rFont val="돋움"/>
            <family val="3"/>
            <charset val="129"/>
          </rPr>
          <t>가</t>
        </r>
        <r>
          <rPr>
            <sz val="10"/>
            <color indexed="81"/>
            <rFont val="Tahoma"/>
            <family val="2"/>
          </rPr>
          <t xml:space="preserve">. </t>
        </r>
        <r>
          <rPr>
            <sz val="10"/>
            <color indexed="81"/>
            <rFont val="돋움"/>
            <family val="3"/>
            <charset val="129"/>
          </rPr>
          <t>국내본점</t>
        </r>
        <r>
          <rPr>
            <sz val="10"/>
            <color indexed="81"/>
            <rFont val="Tahoma"/>
            <family val="2"/>
          </rPr>
          <t xml:space="preserve"> - </t>
        </r>
        <r>
          <rPr>
            <sz val="10"/>
            <color indexed="81"/>
            <rFont val="돋움"/>
            <family val="3"/>
            <charset val="129"/>
          </rPr>
          <t xml:space="preserve">손익변동없음
</t>
        </r>
        <r>
          <rPr>
            <sz val="10"/>
            <color indexed="81"/>
            <rFont val="Tahoma"/>
            <family val="2"/>
          </rPr>
          <t xml:space="preserve">    </t>
        </r>
        <r>
          <rPr>
            <sz val="10"/>
            <color indexed="81"/>
            <rFont val="돋움"/>
            <family val="3"/>
            <charset val="129"/>
          </rPr>
          <t>나</t>
        </r>
        <r>
          <rPr>
            <sz val="10"/>
            <color indexed="81"/>
            <rFont val="Tahoma"/>
            <family val="2"/>
          </rPr>
          <t xml:space="preserve">. </t>
        </r>
        <r>
          <rPr>
            <sz val="10"/>
            <color indexed="81"/>
            <rFont val="돋움"/>
            <family val="3"/>
            <charset val="129"/>
          </rPr>
          <t>상해지점</t>
        </r>
        <r>
          <rPr>
            <sz val="10"/>
            <color indexed="81"/>
            <rFont val="Tahoma"/>
            <family val="2"/>
          </rPr>
          <t xml:space="preserve"> - </t>
        </r>
        <r>
          <rPr>
            <sz val="10"/>
            <color indexed="81"/>
            <rFont val="돋움"/>
            <family val="3"/>
            <charset val="129"/>
          </rPr>
          <t>당기손익</t>
        </r>
        <r>
          <rPr>
            <sz val="10"/>
            <color indexed="81"/>
            <rFont val="Tahoma"/>
            <family val="2"/>
          </rPr>
          <t xml:space="preserve"> -3.8</t>
        </r>
        <r>
          <rPr>
            <sz val="10"/>
            <color indexed="81"/>
            <rFont val="돋움"/>
            <family val="3"/>
            <charset val="129"/>
          </rPr>
          <t>억원</t>
        </r>
        <r>
          <rPr>
            <sz val="10"/>
            <color indexed="81"/>
            <rFont val="Tahoma"/>
            <family val="2"/>
          </rPr>
          <t xml:space="preserve">, </t>
        </r>
        <r>
          <rPr>
            <sz val="10"/>
            <color indexed="81"/>
            <rFont val="돋움"/>
            <family val="3"/>
            <charset val="129"/>
          </rPr>
          <t>자본조정</t>
        </r>
        <r>
          <rPr>
            <sz val="10"/>
            <color indexed="81"/>
            <rFont val="Tahoma"/>
            <family val="2"/>
          </rPr>
          <t xml:space="preserve"> +12.8</t>
        </r>
        <r>
          <rPr>
            <sz val="10"/>
            <color indexed="81"/>
            <rFont val="돋움"/>
            <family val="3"/>
            <charset val="129"/>
          </rPr>
          <t xml:space="preserve">억원
</t>
        </r>
        <r>
          <rPr>
            <sz val="10"/>
            <color indexed="81"/>
            <rFont val="Tahoma"/>
            <family val="2"/>
          </rPr>
          <t xml:space="preserve">    </t>
        </r>
        <r>
          <rPr>
            <sz val="10"/>
            <color indexed="81"/>
            <rFont val="돋움"/>
            <family val="3"/>
            <charset val="129"/>
          </rPr>
          <t>다</t>
        </r>
        <r>
          <rPr>
            <sz val="10"/>
            <color indexed="81"/>
            <rFont val="Tahoma"/>
            <family val="2"/>
          </rPr>
          <t>. NET(</t>
        </r>
        <r>
          <rPr>
            <sz val="10"/>
            <color indexed="81"/>
            <rFont val="돋움"/>
            <family val="3"/>
            <charset val="129"/>
          </rPr>
          <t>전행</t>
        </r>
        <r>
          <rPr>
            <sz val="10"/>
            <color indexed="81"/>
            <rFont val="Tahoma"/>
            <family val="2"/>
          </rPr>
          <t xml:space="preserve">) - </t>
        </r>
        <r>
          <rPr>
            <sz val="10"/>
            <color indexed="81"/>
            <rFont val="돋움"/>
            <family val="3"/>
            <charset val="129"/>
          </rPr>
          <t>당기손익</t>
        </r>
        <r>
          <rPr>
            <sz val="10"/>
            <color indexed="81"/>
            <rFont val="Tahoma"/>
            <family val="2"/>
          </rPr>
          <t xml:space="preserve"> </t>
        </r>
        <r>
          <rPr>
            <sz val="10"/>
            <color indexed="81"/>
            <rFont val="돋움"/>
            <family val="3"/>
            <charset val="129"/>
          </rPr>
          <t>계</t>
        </r>
        <r>
          <rPr>
            <sz val="10"/>
            <color indexed="81"/>
            <rFont val="Tahoma"/>
            <family val="2"/>
          </rPr>
          <t xml:space="preserve"> -3.8</t>
        </r>
        <r>
          <rPr>
            <sz val="10"/>
            <color indexed="81"/>
            <rFont val="돋움"/>
            <family val="3"/>
            <charset val="129"/>
          </rPr>
          <t>억원</t>
        </r>
        <r>
          <rPr>
            <sz val="10"/>
            <color indexed="81"/>
            <rFont val="Tahoma"/>
            <family val="2"/>
          </rPr>
          <t xml:space="preserve">, </t>
        </r>
        <r>
          <rPr>
            <sz val="10"/>
            <color indexed="81"/>
            <rFont val="돋움"/>
            <family val="3"/>
            <charset val="129"/>
          </rPr>
          <t>자본조정</t>
        </r>
        <r>
          <rPr>
            <sz val="10"/>
            <color indexed="81"/>
            <rFont val="Tahoma"/>
            <family val="2"/>
          </rPr>
          <t xml:space="preserve"> </t>
        </r>
        <r>
          <rPr>
            <sz val="10"/>
            <color indexed="81"/>
            <rFont val="돋움"/>
            <family val="3"/>
            <charset val="129"/>
          </rPr>
          <t>계</t>
        </r>
        <r>
          <rPr>
            <sz val="10"/>
            <color indexed="81"/>
            <rFont val="Tahoma"/>
            <family val="2"/>
          </rPr>
          <t xml:space="preserve"> +12.8</t>
        </r>
        <r>
          <rPr>
            <sz val="10"/>
            <color indexed="81"/>
            <rFont val="돋움"/>
            <family val="3"/>
            <charset val="129"/>
          </rPr>
          <t xml:space="preserve">억원
</t>
        </r>
        <r>
          <rPr>
            <sz val="10"/>
            <color indexed="81"/>
            <rFont val="Tahoma"/>
            <family val="2"/>
          </rPr>
          <t xml:space="preserve">6. </t>
        </r>
        <r>
          <rPr>
            <sz val="10"/>
            <color indexed="81"/>
            <rFont val="돋움"/>
            <family val="3"/>
            <charset val="129"/>
          </rPr>
          <t>참조</t>
        </r>
        <r>
          <rPr>
            <sz val="10"/>
            <color indexed="81"/>
            <rFont val="Tahoma"/>
            <family val="2"/>
          </rPr>
          <t xml:space="preserve"> 
     </t>
        </r>
        <r>
          <rPr>
            <sz val="10"/>
            <color indexed="81"/>
            <rFont val="돋움"/>
            <family val="3"/>
            <charset val="129"/>
          </rPr>
          <t>가</t>
        </r>
        <r>
          <rPr>
            <sz val="10"/>
            <color indexed="81"/>
            <rFont val="Tahoma"/>
            <family val="2"/>
          </rPr>
          <t xml:space="preserve">. </t>
        </r>
        <r>
          <rPr>
            <sz val="10"/>
            <color indexed="81"/>
            <rFont val="돋움"/>
            <family val="3"/>
            <charset val="129"/>
          </rPr>
          <t>자본금</t>
        </r>
        <r>
          <rPr>
            <sz val="10"/>
            <color indexed="81"/>
            <rFont val="Tahoma"/>
            <family val="2"/>
          </rPr>
          <t>(</t>
        </r>
        <r>
          <rPr>
            <sz val="10"/>
            <color indexed="81"/>
            <rFont val="돋움"/>
            <family val="3"/>
            <charset val="129"/>
          </rPr>
          <t>갑계정</t>
        </r>
        <r>
          <rPr>
            <sz val="10"/>
            <color indexed="81"/>
            <rFont val="Tahoma"/>
            <family val="2"/>
          </rPr>
          <t>)</t>
        </r>
        <r>
          <rPr>
            <sz val="10"/>
            <color indexed="81"/>
            <rFont val="돋움"/>
            <family val="3"/>
            <charset val="129"/>
          </rPr>
          <t>은</t>
        </r>
        <r>
          <rPr>
            <sz val="10"/>
            <color indexed="81"/>
            <rFont val="Tahoma"/>
            <family val="2"/>
          </rPr>
          <t xml:space="preserve"> </t>
        </r>
        <r>
          <rPr>
            <sz val="10"/>
            <color indexed="81"/>
            <rFont val="돋움"/>
            <family val="3"/>
            <charset val="129"/>
          </rPr>
          <t>역사적환율</t>
        </r>
        <r>
          <rPr>
            <sz val="10"/>
            <color indexed="81"/>
            <rFont val="Tahoma"/>
            <family val="2"/>
          </rPr>
          <t>(</t>
        </r>
        <r>
          <rPr>
            <sz val="10"/>
            <color indexed="81"/>
            <rFont val="돋움"/>
            <family val="3"/>
            <charset val="129"/>
          </rPr>
          <t>최초</t>
        </r>
        <r>
          <rPr>
            <sz val="10"/>
            <color indexed="81"/>
            <rFont val="Tahoma"/>
            <family val="2"/>
          </rPr>
          <t xml:space="preserve"> </t>
        </r>
        <r>
          <rPr>
            <sz val="10"/>
            <color indexed="81"/>
            <rFont val="돋움"/>
            <family val="3"/>
            <charset val="129"/>
          </rPr>
          <t>납입환율</t>
        </r>
        <r>
          <rPr>
            <sz val="10"/>
            <color indexed="81"/>
            <rFont val="Tahoma"/>
            <family val="2"/>
          </rPr>
          <t>)</t>
        </r>
        <r>
          <rPr>
            <sz val="10"/>
            <color indexed="81"/>
            <rFont val="돋움"/>
            <family val="3"/>
            <charset val="129"/>
          </rPr>
          <t>로</t>
        </r>
        <r>
          <rPr>
            <sz val="10"/>
            <color indexed="81"/>
            <rFont val="Tahoma"/>
            <family val="2"/>
          </rPr>
          <t xml:space="preserve"> </t>
        </r>
        <r>
          <rPr>
            <sz val="10"/>
            <color indexed="81"/>
            <rFont val="돋움"/>
            <family val="3"/>
            <charset val="129"/>
          </rPr>
          <t>평가됨</t>
        </r>
        <r>
          <rPr>
            <sz val="10"/>
            <color indexed="81"/>
            <rFont val="Tahoma"/>
            <family val="2"/>
          </rPr>
          <t xml:space="preserve">.
     </t>
        </r>
        <r>
          <rPr>
            <sz val="10"/>
            <color indexed="81"/>
            <rFont val="돋움"/>
            <family val="3"/>
            <charset val="129"/>
          </rPr>
          <t>나</t>
        </r>
        <r>
          <rPr>
            <sz val="10"/>
            <color indexed="81"/>
            <rFont val="Tahoma"/>
            <family val="2"/>
          </rPr>
          <t xml:space="preserve">. </t>
        </r>
        <r>
          <rPr>
            <sz val="10"/>
            <color indexed="81"/>
            <rFont val="돋움"/>
            <family val="3"/>
            <charset val="129"/>
          </rPr>
          <t>갑계정</t>
        </r>
        <r>
          <rPr>
            <sz val="10"/>
            <color indexed="81"/>
            <rFont val="Tahoma"/>
            <family val="2"/>
          </rPr>
          <t>(</t>
        </r>
        <r>
          <rPr>
            <sz val="10"/>
            <color indexed="81"/>
            <rFont val="돋움"/>
            <family val="3"/>
            <charset val="129"/>
          </rPr>
          <t>본점</t>
        </r>
        <r>
          <rPr>
            <sz val="10"/>
            <color indexed="81"/>
            <rFont val="Tahoma"/>
            <family val="2"/>
          </rPr>
          <t xml:space="preserve"> </t>
        </r>
        <r>
          <rPr>
            <sz val="10"/>
            <color indexed="81"/>
            <rFont val="돋움"/>
            <family val="3"/>
            <charset val="129"/>
          </rPr>
          <t>자산</t>
        </r>
        <r>
          <rPr>
            <sz val="10"/>
            <color indexed="81"/>
            <rFont val="Tahoma"/>
            <family val="2"/>
          </rPr>
          <t xml:space="preserve">, </t>
        </r>
        <r>
          <rPr>
            <sz val="10"/>
            <color indexed="81"/>
            <rFont val="돋움"/>
            <family val="3"/>
            <charset val="129"/>
          </rPr>
          <t>상해</t>
        </r>
        <r>
          <rPr>
            <sz val="10"/>
            <color indexed="81"/>
            <rFont val="Tahoma"/>
            <family val="2"/>
          </rPr>
          <t xml:space="preserve"> </t>
        </r>
        <r>
          <rPr>
            <sz val="10"/>
            <color indexed="81"/>
            <rFont val="돋움"/>
            <family val="3"/>
            <charset val="129"/>
          </rPr>
          <t>부채</t>
        </r>
        <r>
          <rPr>
            <sz val="10"/>
            <color indexed="81"/>
            <rFont val="Tahoma"/>
            <family val="2"/>
          </rPr>
          <t>)</t>
        </r>
        <r>
          <rPr>
            <sz val="10"/>
            <color indexed="81"/>
            <rFont val="돋움"/>
            <family val="3"/>
            <charset val="129"/>
          </rPr>
          <t>에</t>
        </r>
        <r>
          <rPr>
            <sz val="10"/>
            <color indexed="81"/>
            <rFont val="Tahoma"/>
            <family val="2"/>
          </rPr>
          <t xml:space="preserve"> </t>
        </r>
        <r>
          <rPr>
            <sz val="10"/>
            <color indexed="81"/>
            <rFont val="돋움"/>
            <family val="3"/>
            <charset val="129"/>
          </rPr>
          <t>대한</t>
        </r>
        <r>
          <rPr>
            <sz val="10"/>
            <color indexed="81"/>
            <rFont val="Tahoma"/>
            <family val="2"/>
          </rPr>
          <t xml:space="preserve"> </t>
        </r>
        <r>
          <rPr>
            <sz val="10"/>
            <color indexed="81"/>
            <rFont val="돋움"/>
            <family val="3"/>
            <charset val="129"/>
          </rPr>
          <t>평가는</t>
        </r>
        <r>
          <rPr>
            <sz val="10"/>
            <color indexed="81"/>
            <rFont val="Tahoma"/>
            <family val="2"/>
          </rPr>
          <t xml:space="preserve"> </t>
        </r>
        <r>
          <rPr>
            <sz val="10"/>
            <color indexed="81"/>
            <rFont val="돋움"/>
            <family val="3"/>
            <charset val="129"/>
          </rPr>
          <t>본점은</t>
        </r>
        <r>
          <rPr>
            <sz val="10"/>
            <color indexed="81"/>
            <rFont val="Tahoma"/>
            <family val="2"/>
          </rPr>
          <t xml:space="preserve"> </t>
        </r>
        <r>
          <rPr>
            <sz val="10"/>
            <color indexed="81"/>
            <rFont val="돋움"/>
            <family val="3"/>
            <charset val="129"/>
          </rPr>
          <t>당기손익</t>
        </r>
        <r>
          <rPr>
            <sz val="10"/>
            <color indexed="81"/>
            <rFont val="Tahoma"/>
            <family val="2"/>
          </rPr>
          <t xml:space="preserve"> </t>
        </r>
        <r>
          <rPr>
            <sz val="10"/>
            <color indexed="81"/>
            <rFont val="돋움"/>
            <family val="3"/>
            <charset val="129"/>
          </rPr>
          <t>인식</t>
        </r>
        <r>
          <rPr>
            <sz val="10"/>
            <color indexed="81"/>
            <rFont val="Tahoma"/>
            <family val="2"/>
          </rPr>
          <t xml:space="preserve">, </t>
        </r>
        <r>
          <rPr>
            <sz val="10"/>
            <color indexed="81"/>
            <rFont val="돋움"/>
            <family val="3"/>
            <charset val="129"/>
          </rPr>
          <t>상해는</t>
        </r>
        <r>
          <rPr>
            <sz val="10"/>
            <color indexed="81"/>
            <rFont val="Tahoma"/>
            <family val="2"/>
          </rPr>
          <t xml:space="preserve"> </t>
        </r>
        <r>
          <rPr>
            <sz val="10"/>
            <color indexed="81"/>
            <rFont val="돋움"/>
            <family val="3"/>
            <charset val="129"/>
          </rPr>
          <t xml:space="preserve">기타포괄손익
</t>
        </r>
        <r>
          <rPr>
            <sz val="10"/>
            <color indexed="81"/>
            <rFont val="Tahoma"/>
            <family val="2"/>
          </rPr>
          <t xml:space="preserve">           (</t>
        </r>
        <r>
          <rPr>
            <sz val="10"/>
            <color indexed="81"/>
            <rFont val="돋움"/>
            <family val="3"/>
            <charset val="129"/>
          </rPr>
          <t>자본조정</t>
        </r>
        <r>
          <rPr>
            <sz val="10"/>
            <color indexed="81"/>
            <rFont val="Tahoma"/>
            <family val="2"/>
          </rPr>
          <t>)</t>
        </r>
        <r>
          <rPr>
            <sz val="10"/>
            <color indexed="81"/>
            <rFont val="돋움"/>
            <family val="3"/>
            <charset val="129"/>
          </rPr>
          <t>으로</t>
        </r>
        <r>
          <rPr>
            <sz val="10"/>
            <color indexed="81"/>
            <rFont val="Tahoma"/>
            <family val="2"/>
          </rPr>
          <t xml:space="preserve"> </t>
        </r>
        <r>
          <rPr>
            <sz val="10"/>
            <color indexed="81"/>
            <rFont val="돋움"/>
            <family val="3"/>
            <charset val="129"/>
          </rPr>
          <t>인식</t>
        </r>
        <r>
          <rPr>
            <sz val="10"/>
            <color indexed="81"/>
            <rFont val="Tahoma"/>
            <family val="2"/>
          </rPr>
          <t xml:space="preserve">
     </t>
        </r>
        <r>
          <rPr>
            <sz val="10"/>
            <color indexed="81"/>
            <rFont val="돋움"/>
            <family val="3"/>
            <charset val="129"/>
          </rPr>
          <t>다</t>
        </r>
        <r>
          <rPr>
            <sz val="10"/>
            <color indexed="81"/>
            <rFont val="Tahoma"/>
            <family val="2"/>
          </rPr>
          <t xml:space="preserve">. </t>
        </r>
        <r>
          <rPr>
            <sz val="10"/>
            <color indexed="81"/>
            <rFont val="돋움"/>
            <family val="3"/>
            <charset val="129"/>
          </rPr>
          <t>상해지점</t>
        </r>
        <r>
          <rPr>
            <sz val="10"/>
            <color indexed="81"/>
            <rFont val="Tahoma"/>
            <family val="2"/>
          </rPr>
          <t xml:space="preserve"> </t>
        </r>
        <r>
          <rPr>
            <sz val="10"/>
            <color indexed="81"/>
            <rFont val="돋움"/>
            <family val="3"/>
            <charset val="129"/>
          </rPr>
          <t>기능통화는</t>
        </r>
        <r>
          <rPr>
            <sz val="10"/>
            <color indexed="81"/>
            <rFont val="Tahoma"/>
            <family val="2"/>
          </rPr>
          <t xml:space="preserve"> USD</t>
        </r>
        <r>
          <rPr>
            <sz val="10"/>
            <color indexed="81"/>
            <rFont val="돋움"/>
            <family val="3"/>
            <charset val="129"/>
          </rPr>
          <t>로</t>
        </r>
        <r>
          <rPr>
            <sz val="10"/>
            <color indexed="81"/>
            <rFont val="Tahoma"/>
            <family val="2"/>
          </rPr>
          <t xml:space="preserve"> </t>
        </r>
        <r>
          <rPr>
            <sz val="10"/>
            <color indexed="81"/>
            <rFont val="돋움"/>
            <family val="3"/>
            <charset val="129"/>
          </rPr>
          <t>지정되어</t>
        </r>
        <r>
          <rPr>
            <sz val="10"/>
            <color indexed="81"/>
            <rFont val="Tahoma"/>
            <family val="2"/>
          </rPr>
          <t xml:space="preserve"> </t>
        </r>
        <r>
          <rPr>
            <sz val="10"/>
            <color indexed="81"/>
            <rFont val="돋움"/>
            <family val="3"/>
            <charset val="129"/>
          </rPr>
          <t>있으므로</t>
        </r>
        <r>
          <rPr>
            <sz val="10"/>
            <color indexed="81"/>
            <rFont val="Tahoma"/>
            <family val="2"/>
          </rPr>
          <t>, CNY</t>
        </r>
        <r>
          <rPr>
            <sz val="10"/>
            <color indexed="81"/>
            <rFont val="돋움"/>
            <family val="3"/>
            <charset val="129"/>
          </rPr>
          <t>에</t>
        </r>
        <r>
          <rPr>
            <sz val="10"/>
            <color indexed="81"/>
            <rFont val="Tahoma"/>
            <family val="2"/>
          </rPr>
          <t xml:space="preserve"> </t>
        </r>
        <r>
          <rPr>
            <sz val="10"/>
            <color indexed="81"/>
            <rFont val="돋움"/>
            <family val="3"/>
            <charset val="129"/>
          </rPr>
          <t>대해서는</t>
        </r>
        <r>
          <rPr>
            <sz val="10"/>
            <color indexed="81"/>
            <rFont val="Tahoma"/>
            <family val="2"/>
          </rPr>
          <t xml:space="preserve"> </t>
        </r>
        <r>
          <rPr>
            <sz val="10"/>
            <color indexed="81"/>
            <rFont val="돋움"/>
            <family val="3"/>
            <charset val="129"/>
          </rPr>
          <t>해외영업점</t>
        </r>
        <r>
          <rPr>
            <sz val="10"/>
            <color indexed="81"/>
            <rFont val="Tahoma"/>
            <family val="2"/>
          </rPr>
          <t xml:space="preserve"> </t>
        </r>
        <r>
          <rPr>
            <sz val="10"/>
            <color indexed="81"/>
            <rFont val="돋움"/>
            <family val="3"/>
            <charset val="129"/>
          </rPr>
          <t>헤지회계</t>
        </r>
        <r>
          <rPr>
            <sz val="10"/>
            <color indexed="81"/>
            <rFont val="Tahoma"/>
            <family val="2"/>
          </rPr>
          <t xml:space="preserve"> </t>
        </r>
        <r>
          <rPr>
            <sz val="10"/>
            <color indexed="81"/>
            <rFont val="돋움"/>
            <family val="3"/>
            <charset val="129"/>
          </rPr>
          <t>대상안됨
□</t>
        </r>
        <r>
          <rPr>
            <sz val="10"/>
            <color indexed="81"/>
            <rFont val="Tahoma"/>
            <family val="2"/>
          </rPr>
          <t xml:space="preserve"> </t>
        </r>
        <r>
          <rPr>
            <sz val="10"/>
            <color indexed="81"/>
            <rFont val="돋움"/>
            <family val="3"/>
            <charset val="129"/>
          </rPr>
          <t xml:space="preserve">검토배경
</t>
        </r>
        <r>
          <rPr>
            <sz val="10"/>
            <color indexed="81"/>
            <rFont val="Tahoma"/>
            <family val="2"/>
          </rPr>
          <t xml:space="preserve">    </t>
        </r>
        <r>
          <rPr>
            <sz val="10"/>
            <color indexed="81"/>
            <rFont val="돋움"/>
            <family val="3"/>
            <charset val="129"/>
          </rPr>
          <t>가</t>
        </r>
        <r>
          <rPr>
            <sz val="10"/>
            <color indexed="81"/>
            <rFont val="Tahoma"/>
            <family val="2"/>
          </rPr>
          <t xml:space="preserve">. </t>
        </r>
        <r>
          <rPr>
            <sz val="10"/>
            <color indexed="81"/>
            <rFont val="돋움"/>
            <family val="3"/>
            <charset val="129"/>
          </rPr>
          <t>상해지점</t>
        </r>
        <r>
          <rPr>
            <sz val="10"/>
            <color indexed="81"/>
            <rFont val="Tahoma"/>
            <family val="2"/>
          </rPr>
          <t xml:space="preserve"> </t>
        </r>
        <r>
          <rPr>
            <sz val="10"/>
            <color indexed="81"/>
            <rFont val="돋움"/>
            <family val="3"/>
            <charset val="129"/>
          </rPr>
          <t>인민폐</t>
        </r>
        <r>
          <rPr>
            <sz val="10"/>
            <color indexed="81"/>
            <rFont val="Tahoma"/>
            <family val="2"/>
          </rPr>
          <t xml:space="preserve"> </t>
        </r>
        <r>
          <rPr>
            <sz val="10"/>
            <color indexed="81"/>
            <rFont val="돋움"/>
            <family val="3"/>
            <charset val="129"/>
          </rPr>
          <t>영업관련</t>
        </r>
        <r>
          <rPr>
            <sz val="10"/>
            <color indexed="81"/>
            <rFont val="Tahoma"/>
            <family val="2"/>
          </rPr>
          <t xml:space="preserve"> </t>
        </r>
        <r>
          <rPr>
            <sz val="10"/>
            <color indexed="81"/>
            <rFont val="돋움"/>
            <family val="3"/>
            <charset val="129"/>
          </rPr>
          <t>자본금</t>
        </r>
        <r>
          <rPr>
            <sz val="10"/>
            <color indexed="81"/>
            <rFont val="Tahoma"/>
            <family val="2"/>
          </rPr>
          <t xml:space="preserve"> </t>
        </r>
        <r>
          <rPr>
            <sz val="10"/>
            <color indexed="81"/>
            <rFont val="돋움"/>
            <family val="3"/>
            <charset val="129"/>
          </rPr>
          <t>전입방법</t>
        </r>
        <r>
          <rPr>
            <sz val="10"/>
            <color indexed="81"/>
            <rFont val="Tahoma"/>
            <family val="2"/>
          </rPr>
          <t xml:space="preserve"> </t>
        </r>
        <r>
          <rPr>
            <sz val="10"/>
            <color indexed="81"/>
            <rFont val="돋움"/>
            <family val="3"/>
            <charset val="129"/>
          </rPr>
          <t>신청</t>
        </r>
        <r>
          <rPr>
            <sz val="10"/>
            <color indexed="81"/>
            <rFont val="Tahoma"/>
            <family val="2"/>
          </rPr>
          <t xml:space="preserve">(2015.05.28 A4245434) 
    </t>
        </r>
        <r>
          <rPr>
            <sz val="10"/>
            <color indexed="81"/>
            <rFont val="돋움"/>
            <family val="3"/>
            <charset val="129"/>
          </rPr>
          <t>나</t>
        </r>
        <r>
          <rPr>
            <sz val="10"/>
            <color indexed="81"/>
            <rFont val="Tahoma"/>
            <family val="2"/>
          </rPr>
          <t xml:space="preserve">. </t>
        </r>
        <r>
          <rPr>
            <sz val="10"/>
            <color indexed="81"/>
            <rFont val="돋움"/>
            <family val="3"/>
            <charset val="129"/>
          </rPr>
          <t>국제금융부</t>
        </r>
        <r>
          <rPr>
            <sz val="10"/>
            <color indexed="81"/>
            <rFont val="Tahoma"/>
            <family val="2"/>
          </rPr>
          <t xml:space="preserve"> </t>
        </r>
        <r>
          <rPr>
            <sz val="10"/>
            <color indexed="81"/>
            <rFont val="돋움"/>
            <family val="3"/>
            <charset val="129"/>
          </rPr>
          <t>인민폐</t>
        </r>
        <r>
          <rPr>
            <sz val="10"/>
            <color indexed="81"/>
            <rFont val="Tahoma"/>
            <family val="2"/>
          </rPr>
          <t xml:space="preserve"> </t>
        </r>
        <r>
          <rPr>
            <sz val="10"/>
            <color indexed="81"/>
            <rFont val="돋움"/>
            <family val="3"/>
            <charset val="129"/>
          </rPr>
          <t>영업관련</t>
        </r>
        <r>
          <rPr>
            <sz val="10"/>
            <color indexed="81"/>
            <rFont val="Tahoma"/>
            <family val="2"/>
          </rPr>
          <t xml:space="preserve"> </t>
        </r>
        <r>
          <rPr>
            <sz val="10"/>
            <color indexed="81"/>
            <rFont val="돋움"/>
            <family val="3"/>
            <charset val="129"/>
          </rPr>
          <t>자본금</t>
        </r>
        <r>
          <rPr>
            <sz val="10"/>
            <color indexed="81"/>
            <rFont val="Tahoma"/>
            <family val="2"/>
          </rPr>
          <t xml:space="preserve"> </t>
        </r>
        <r>
          <rPr>
            <sz val="10"/>
            <color indexed="81"/>
            <rFont val="돋움"/>
            <family val="3"/>
            <charset val="129"/>
          </rPr>
          <t>전입방법</t>
        </r>
        <r>
          <rPr>
            <sz val="10"/>
            <color indexed="81"/>
            <rFont val="Tahoma"/>
            <family val="2"/>
          </rPr>
          <t xml:space="preserve"> </t>
        </r>
        <r>
          <rPr>
            <sz val="10"/>
            <color indexed="81"/>
            <rFont val="돋움"/>
            <family val="3"/>
            <charset val="129"/>
          </rPr>
          <t>통지</t>
        </r>
        <r>
          <rPr>
            <sz val="10"/>
            <color indexed="81"/>
            <rFont val="Tahoma"/>
            <family val="2"/>
          </rPr>
          <t xml:space="preserve"> </t>
        </r>
        <r>
          <rPr>
            <sz val="10"/>
            <color indexed="81"/>
            <rFont val="돋움"/>
            <family val="3"/>
            <charset val="129"/>
          </rPr>
          <t>→</t>
        </r>
        <r>
          <rPr>
            <sz val="10"/>
            <color indexed="81"/>
            <rFont val="Tahoma"/>
            <family val="2"/>
          </rPr>
          <t xml:space="preserve"> CNY</t>
        </r>
        <r>
          <rPr>
            <sz val="10"/>
            <color indexed="81"/>
            <rFont val="돋움"/>
            <family val="3"/>
            <charset val="129"/>
          </rPr>
          <t>차입으로</t>
        </r>
        <r>
          <rPr>
            <sz val="10"/>
            <color indexed="81"/>
            <rFont val="Tahoma"/>
            <family val="2"/>
          </rPr>
          <t xml:space="preserve"> </t>
        </r>
        <r>
          <rPr>
            <sz val="10"/>
            <color indexed="81"/>
            <rFont val="돋움"/>
            <family val="3"/>
            <charset val="129"/>
          </rPr>
          <t>조달</t>
        </r>
        <r>
          <rPr>
            <sz val="10"/>
            <color indexed="81"/>
            <rFont val="Tahoma"/>
            <family val="2"/>
          </rPr>
          <t xml:space="preserve"> </t>
        </r>
        <r>
          <rPr>
            <sz val="10"/>
            <color indexed="81"/>
            <rFont val="돋움"/>
            <family val="3"/>
            <charset val="129"/>
          </rPr>
          <t xml:space="preserve">안
</t>
        </r>
        <r>
          <rPr>
            <sz val="10"/>
            <color indexed="81"/>
            <rFont val="Tahoma"/>
            <family val="2"/>
          </rPr>
          <t xml:space="preserve">    </t>
        </r>
        <r>
          <rPr>
            <sz val="10"/>
            <color indexed="81"/>
            <rFont val="돋움"/>
            <family val="3"/>
            <charset val="129"/>
          </rPr>
          <t>다</t>
        </r>
        <r>
          <rPr>
            <sz val="10"/>
            <color indexed="81"/>
            <rFont val="Tahoma"/>
            <family val="2"/>
          </rPr>
          <t xml:space="preserve">. </t>
        </r>
        <r>
          <rPr>
            <sz val="10"/>
            <color indexed="81"/>
            <rFont val="돋움"/>
            <family val="3"/>
            <charset val="129"/>
          </rPr>
          <t>인민폐</t>
        </r>
        <r>
          <rPr>
            <sz val="10"/>
            <color indexed="81"/>
            <rFont val="Tahoma"/>
            <family val="2"/>
          </rPr>
          <t xml:space="preserve"> </t>
        </r>
        <r>
          <rPr>
            <sz val="10"/>
            <color indexed="81"/>
            <rFont val="돋움"/>
            <family val="3"/>
            <charset val="129"/>
          </rPr>
          <t>영업허가</t>
        </r>
        <r>
          <rPr>
            <sz val="10"/>
            <color indexed="81"/>
            <rFont val="Tahoma"/>
            <family val="2"/>
          </rPr>
          <t xml:space="preserve"> </t>
        </r>
        <r>
          <rPr>
            <sz val="10"/>
            <color indexed="81"/>
            <rFont val="돋움"/>
            <family val="3"/>
            <charset val="129"/>
          </rPr>
          <t>검수과정</t>
        </r>
        <r>
          <rPr>
            <sz val="10"/>
            <color indexed="81"/>
            <rFont val="Tahoma"/>
            <family val="2"/>
          </rPr>
          <t xml:space="preserve"> </t>
        </r>
        <r>
          <rPr>
            <sz val="10"/>
            <color indexed="81"/>
            <rFont val="돋움"/>
            <family val="3"/>
            <charset val="129"/>
          </rPr>
          <t>중</t>
        </r>
        <r>
          <rPr>
            <sz val="10"/>
            <color indexed="81"/>
            <rFont val="Tahoma"/>
            <family val="2"/>
          </rPr>
          <t xml:space="preserve"> </t>
        </r>
        <r>
          <rPr>
            <sz val="10"/>
            <color indexed="81"/>
            <rFont val="돋움"/>
            <family val="3"/>
            <charset val="129"/>
          </rPr>
          <t>상해</t>
        </r>
        <r>
          <rPr>
            <sz val="10"/>
            <color indexed="81"/>
            <rFont val="Tahoma"/>
            <family val="2"/>
          </rPr>
          <t xml:space="preserve"> </t>
        </r>
        <r>
          <rPr>
            <sz val="10"/>
            <color indexed="81"/>
            <rFont val="돋움"/>
            <family val="3"/>
            <charset val="129"/>
          </rPr>
          <t>은감국에서</t>
        </r>
        <r>
          <rPr>
            <sz val="10"/>
            <color indexed="81"/>
            <rFont val="Tahoma"/>
            <family val="2"/>
          </rPr>
          <t xml:space="preserve"> </t>
        </r>
        <r>
          <rPr>
            <sz val="10"/>
            <color indexed="81"/>
            <rFont val="돋움"/>
            <family val="3"/>
            <charset val="129"/>
          </rPr>
          <t>위안화</t>
        </r>
        <r>
          <rPr>
            <sz val="10"/>
            <color indexed="81"/>
            <rFont val="Tahoma"/>
            <family val="2"/>
          </rPr>
          <t xml:space="preserve"> </t>
        </r>
        <r>
          <rPr>
            <sz val="10"/>
            <color indexed="81"/>
            <rFont val="돋움"/>
            <family val="3"/>
            <charset val="129"/>
          </rPr>
          <t>자본금을</t>
        </r>
        <r>
          <rPr>
            <sz val="10"/>
            <color indexed="81"/>
            <rFont val="Tahoma"/>
            <family val="2"/>
          </rPr>
          <t xml:space="preserve"> </t>
        </r>
        <r>
          <rPr>
            <sz val="10"/>
            <color indexed="81"/>
            <rFont val="돋움"/>
            <family val="3"/>
            <charset val="129"/>
          </rPr>
          <t>환매수로</t>
        </r>
        <r>
          <rPr>
            <sz val="10"/>
            <color indexed="81"/>
            <rFont val="Tahoma"/>
            <family val="2"/>
          </rPr>
          <t xml:space="preserve"> </t>
        </r>
        <r>
          <rPr>
            <sz val="10"/>
            <color indexed="81"/>
            <rFont val="돋움"/>
            <family val="3"/>
            <charset val="129"/>
          </rPr>
          <t>조달</t>
        </r>
        <r>
          <rPr>
            <sz val="10"/>
            <color indexed="81"/>
            <rFont val="Tahoma"/>
            <family val="2"/>
          </rPr>
          <t xml:space="preserve"> </t>
        </r>
        <r>
          <rPr>
            <sz val="10"/>
            <color indexed="81"/>
            <rFont val="돋움"/>
            <family val="3"/>
            <charset val="129"/>
          </rPr>
          <t xml:space="preserve">권고
</t>
        </r>
        <r>
          <rPr>
            <sz val="10"/>
            <color indexed="81"/>
            <rFont val="Tahoma"/>
            <family val="2"/>
          </rPr>
          <t xml:space="preserve">    </t>
        </r>
        <r>
          <rPr>
            <sz val="10"/>
            <color indexed="81"/>
            <rFont val="돋움"/>
            <family val="3"/>
            <charset val="129"/>
          </rPr>
          <t>라</t>
        </r>
        <r>
          <rPr>
            <sz val="10"/>
            <color indexed="81"/>
            <rFont val="Tahoma"/>
            <family val="2"/>
          </rPr>
          <t xml:space="preserve">. </t>
        </r>
        <r>
          <rPr>
            <sz val="10"/>
            <color indexed="81"/>
            <rFont val="돋움"/>
            <family val="3"/>
            <charset val="129"/>
          </rPr>
          <t>중국</t>
        </r>
        <r>
          <rPr>
            <sz val="10"/>
            <color indexed="81"/>
            <rFont val="Tahoma"/>
            <family val="2"/>
          </rPr>
          <t xml:space="preserve"> </t>
        </r>
        <r>
          <rPr>
            <sz val="10"/>
            <color indexed="81"/>
            <rFont val="돋움"/>
            <family val="3"/>
            <charset val="129"/>
          </rPr>
          <t>경내</t>
        </r>
        <r>
          <rPr>
            <sz val="10"/>
            <color indexed="81"/>
            <rFont val="Tahoma"/>
            <family val="2"/>
          </rPr>
          <t>.</t>
        </r>
        <r>
          <rPr>
            <sz val="10"/>
            <color indexed="81"/>
            <rFont val="돋움"/>
            <family val="3"/>
            <charset val="129"/>
          </rPr>
          <t>경외</t>
        </r>
        <r>
          <rPr>
            <sz val="10"/>
            <color indexed="81"/>
            <rFont val="Tahoma"/>
            <family val="2"/>
          </rPr>
          <t xml:space="preserve"> </t>
        </r>
        <r>
          <rPr>
            <sz val="10"/>
            <color indexed="81"/>
            <rFont val="돋움"/>
            <family val="3"/>
            <charset val="129"/>
          </rPr>
          <t>위안화</t>
        </r>
        <r>
          <rPr>
            <sz val="10"/>
            <color indexed="81"/>
            <rFont val="Tahoma"/>
            <family val="2"/>
          </rPr>
          <t xml:space="preserve"> </t>
        </r>
        <r>
          <rPr>
            <sz val="10"/>
            <color indexed="81"/>
            <rFont val="돋움"/>
            <family val="3"/>
            <charset val="129"/>
          </rPr>
          <t>금리차</t>
        </r>
        <r>
          <rPr>
            <sz val="10"/>
            <color indexed="81"/>
            <rFont val="Tahoma"/>
            <family val="2"/>
          </rPr>
          <t xml:space="preserve"> </t>
        </r>
        <r>
          <rPr>
            <sz val="10"/>
            <color indexed="81"/>
            <rFont val="돋움"/>
            <family val="3"/>
            <charset val="129"/>
          </rPr>
          <t>역전</t>
        </r>
        <r>
          <rPr>
            <sz val="10"/>
            <color indexed="81"/>
            <rFont val="Tahoma"/>
            <family val="2"/>
          </rPr>
          <t>(</t>
        </r>
        <r>
          <rPr>
            <sz val="10"/>
            <color indexed="81"/>
            <rFont val="돋움"/>
            <family val="3"/>
            <charset val="129"/>
          </rPr>
          <t>경외</t>
        </r>
        <r>
          <rPr>
            <sz val="10"/>
            <color indexed="81"/>
            <rFont val="Tahoma"/>
            <family val="2"/>
          </rPr>
          <t>&gt;</t>
        </r>
        <r>
          <rPr>
            <sz val="10"/>
            <color indexed="81"/>
            <rFont val="돋움"/>
            <family val="3"/>
            <charset val="129"/>
          </rPr>
          <t>경내</t>
        </r>
        <r>
          <rPr>
            <sz val="10"/>
            <color indexed="81"/>
            <rFont val="Tahoma"/>
            <family val="2"/>
          </rPr>
          <t xml:space="preserve">) </t>
        </r>
        <r>
          <rPr>
            <sz val="10"/>
            <color indexed="81"/>
            <rFont val="돋움"/>
            <family val="3"/>
            <charset val="129"/>
          </rPr>
          <t>및</t>
        </r>
        <r>
          <rPr>
            <sz val="10"/>
            <color indexed="81"/>
            <rFont val="Tahoma"/>
            <family val="2"/>
          </rPr>
          <t xml:space="preserve"> </t>
        </r>
        <r>
          <rPr>
            <sz val="10"/>
            <color indexed="81"/>
            <rFont val="돋움"/>
            <family val="3"/>
            <charset val="129"/>
          </rPr>
          <t>변동성</t>
        </r>
        <r>
          <rPr>
            <sz val="10"/>
            <color indexed="81"/>
            <rFont val="Tahoma"/>
            <family val="2"/>
          </rPr>
          <t xml:space="preserve"> </t>
        </r>
        <r>
          <rPr>
            <sz val="10"/>
            <color indexed="81"/>
            <rFont val="돋움"/>
            <family val="3"/>
            <charset val="129"/>
          </rPr>
          <t>확대로</t>
        </r>
        <r>
          <rPr>
            <sz val="10"/>
            <color indexed="81"/>
            <rFont val="Tahoma"/>
            <family val="2"/>
          </rPr>
          <t xml:space="preserve"> </t>
        </r>
        <r>
          <rPr>
            <sz val="10"/>
            <color indexed="81"/>
            <rFont val="돋움"/>
            <family val="3"/>
            <charset val="129"/>
          </rPr>
          <t>매수조달</t>
        </r>
        <r>
          <rPr>
            <sz val="10"/>
            <color indexed="81"/>
            <rFont val="Tahoma"/>
            <family val="2"/>
          </rPr>
          <t xml:space="preserve"> </t>
        </r>
        <r>
          <rPr>
            <sz val="10"/>
            <color indexed="81"/>
            <rFont val="돋움"/>
            <family val="3"/>
            <charset val="129"/>
          </rPr>
          <t xml:space="preserve">검토
</t>
        </r>
        <r>
          <rPr>
            <sz val="10"/>
            <color indexed="81"/>
            <rFont val="Tahoma"/>
            <family val="2"/>
          </rPr>
          <t xml:space="preserve">    </t>
        </r>
        <r>
          <rPr>
            <sz val="10"/>
            <color indexed="81"/>
            <rFont val="돋움"/>
            <family val="3"/>
            <charset val="129"/>
          </rPr>
          <t>마</t>
        </r>
        <r>
          <rPr>
            <sz val="10"/>
            <color indexed="81"/>
            <rFont val="Tahoma"/>
            <family val="2"/>
          </rPr>
          <t xml:space="preserve">. </t>
        </r>
        <r>
          <rPr>
            <sz val="10"/>
            <color indexed="81"/>
            <rFont val="돋움"/>
            <family val="3"/>
            <charset val="129"/>
          </rPr>
          <t>상해지점</t>
        </r>
        <r>
          <rPr>
            <sz val="10"/>
            <color indexed="81"/>
            <rFont val="Tahoma"/>
            <family val="2"/>
          </rPr>
          <t xml:space="preserve"> </t>
        </r>
        <r>
          <rPr>
            <sz val="10"/>
            <color indexed="81"/>
            <rFont val="돋움"/>
            <family val="3"/>
            <charset val="129"/>
          </rPr>
          <t>인민폐</t>
        </r>
        <r>
          <rPr>
            <sz val="10"/>
            <color indexed="81"/>
            <rFont val="Tahoma"/>
            <family val="2"/>
          </rPr>
          <t xml:space="preserve"> </t>
        </r>
        <r>
          <rPr>
            <sz val="10"/>
            <color indexed="81"/>
            <rFont val="돋움"/>
            <family val="3"/>
            <charset val="129"/>
          </rPr>
          <t>영업허가</t>
        </r>
        <r>
          <rPr>
            <sz val="10"/>
            <color indexed="81"/>
            <rFont val="Tahoma"/>
            <family val="2"/>
          </rPr>
          <t xml:space="preserve"> </t>
        </r>
        <r>
          <rPr>
            <sz val="10"/>
            <color indexed="81"/>
            <rFont val="돋움"/>
            <family val="3"/>
            <charset val="129"/>
          </rPr>
          <t>후</t>
        </r>
        <r>
          <rPr>
            <sz val="10"/>
            <color indexed="81"/>
            <rFont val="Tahoma"/>
            <family val="2"/>
          </rPr>
          <t xml:space="preserve"> </t>
        </r>
        <r>
          <rPr>
            <sz val="10"/>
            <color indexed="81"/>
            <rFont val="돋움"/>
            <family val="3"/>
            <charset val="129"/>
          </rPr>
          <t>자본금</t>
        </r>
        <r>
          <rPr>
            <sz val="10"/>
            <color indexed="81"/>
            <rFont val="Tahoma"/>
            <family val="2"/>
          </rPr>
          <t>(</t>
        </r>
        <r>
          <rPr>
            <sz val="10"/>
            <color indexed="81"/>
            <rFont val="돋움"/>
            <family val="3"/>
            <charset val="129"/>
          </rPr>
          <t>갑기금</t>
        </r>
        <r>
          <rPr>
            <sz val="10"/>
            <color indexed="81"/>
            <rFont val="Tahoma"/>
            <family val="2"/>
          </rPr>
          <t xml:space="preserve">) </t>
        </r>
        <r>
          <rPr>
            <sz val="10"/>
            <color indexed="81"/>
            <rFont val="돋움"/>
            <family val="3"/>
            <charset val="129"/>
          </rPr>
          <t>전환신청</t>
        </r>
        <r>
          <rPr>
            <sz val="10"/>
            <color indexed="81"/>
            <rFont val="Tahoma"/>
            <family val="2"/>
          </rPr>
          <t>(2016.03.31, SB16-</t>
        </r>
        <r>
          <rPr>
            <sz val="10"/>
            <color indexed="81"/>
            <rFont val="돋움"/>
            <family val="3"/>
            <charset val="129"/>
          </rPr>
          <t>상해지점</t>
        </r>
        <r>
          <rPr>
            <sz val="10"/>
            <color indexed="81"/>
            <rFont val="Tahoma"/>
            <family val="2"/>
          </rPr>
          <t xml:space="preserve">-1993)
</t>
        </r>
        <r>
          <rPr>
            <sz val="10"/>
            <color indexed="81"/>
            <rFont val="돋움"/>
            <family val="3"/>
            <charset val="129"/>
          </rPr>
          <t>□</t>
        </r>
        <r>
          <rPr>
            <sz val="10"/>
            <color indexed="81"/>
            <rFont val="Tahoma"/>
            <family val="2"/>
          </rPr>
          <t xml:space="preserve"> </t>
        </r>
        <r>
          <rPr>
            <sz val="10"/>
            <color indexed="81"/>
            <rFont val="돋움"/>
            <family val="3"/>
            <charset val="129"/>
          </rPr>
          <t xml:space="preserve">검토의견
</t>
        </r>
        <r>
          <rPr>
            <sz val="10"/>
            <color indexed="81"/>
            <rFont val="Tahoma"/>
            <family val="2"/>
          </rPr>
          <t xml:space="preserve">- </t>
        </r>
        <r>
          <rPr>
            <sz val="10"/>
            <color indexed="81"/>
            <rFont val="돋움"/>
            <family val="3"/>
            <charset val="129"/>
          </rPr>
          <t>원</t>
        </r>
        <r>
          <rPr>
            <sz val="10"/>
            <color indexed="81"/>
            <rFont val="Tahoma"/>
            <family val="2"/>
          </rPr>
          <t>/</t>
        </r>
        <r>
          <rPr>
            <sz val="10"/>
            <color indexed="81"/>
            <rFont val="돋움"/>
            <family val="3"/>
            <charset val="129"/>
          </rPr>
          <t>위안</t>
        </r>
        <r>
          <rPr>
            <sz val="10"/>
            <color indexed="81"/>
            <rFont val="Tahoma"/>
            <family val="2"/>
          </rPr>
          <t xml:space="preserve"> </t>
        </r>
        <r>
          <rPr>
            <sz val="10"/>
            <color indexed="81"/>
            <rFont val="돋움"/>
            <family val="3"/>
            <charset val="129"/>
          </rPr>
          <t>매수거래로</t>
        </r>
        <r>
          <rPr>
            <sz val="10"/>
            <color indexed="81"/>
            <rFont val="Tahoma"/>
            <family val="2"/>
          </rPr>
          <t xml:space="preserve"> </t>
        </r>
        <r>
          <rPr>
            <sz val="10"/>
            <color indexed="81"/>
            <rFont val="돋움"/>
            <family val="3"/>
            <charset val="129"/>
          </rPr>
          <t>자본금</t>
        </r>
        <r>
          <rPr>
            <sz val="10"/>
            <color indexed="81"/>
            <rFont val="Tahoma"/>
            <family val="2"/>
          </rPr>
          <t xml:space="preserve"> </t>
        </r>
        <r>
          <rPr>
            <sz val="10"/>
            <color indexed="81"/>
            <rFont val="돋움"/>
            <family val="3"/>
            <charset val="129"/>
          </rPr>
          <t>조달</t>
        </r>
        <r>
          <rPr>
            <sz val="10"/>
            <color indexed="81"/>
            <rFont val="Tahoma"/>
            <family val="2"/>
          </rPr>
          <t xml:space="preserve"> </t>
        </r>
        <r>
          <rPr>
            <sz val="10"/>
            <color indexed="81"/>
            <rFont val="돋움"/>
            <family val="3"/>
            <charset val="129"/>
          </rPr>
          <t>시</t>
        </r>
        <r>
          <rPr>
            <sz val="10"/>
            <color indexed="81"/>
            <rFont val="Tahoma"/>
            <family val="2"/>
          </rPr>
          <t xml:space="preserve"> </t>
        </r>
        <r>
          <rPr>
            <sz val="10"/>
            <color indexed="81"/>
            <rFont val="돋움"/>
            <family val="3"/>
            <charset val="129"/>
          </rPr>
          <t>환리스크로</t>
        </r>
        <r>
          <rPr>
            <sz val="10"/>
            <color indexed="81"/>
            <rFont val="Tahoma"/>
            <family val="2"/>
          </rPr>
          <t xml:space="preserve"> </t>
        </r>
        <r>
          <rPr>
            <sz val="10"/>
            <color indexed="81"/>
            <rFont val="돋움"/>
            <family val="3"/>
            <charset val="129"/>
          </rPr>
          <t>인한</t>
        </r>
        <r>
          <rPr>
            <sz val="10"/>
            <color indexed="81"/>
            <rFont val="Tahoma"/>
            <family val="2"/>
          </rPr>
          <t xml:space="preserve"> </t>
        </r>
        <r>
          <rPr>
            <sz val="10"/>
            <color indexed="81"/>
            <rFont val="돋움"/>
            <family val="3"/>
            <charset val="129"/>
          </rPr>
          <t>환차손실</t>
        </r>
        <r>
          <rPr>
            <sz val="10"/>
            <color indexed="81"/>
            <rFont val="Tahoma"/>
            <family val="2"/>
          </rPr>
          <t xml:space="preserve"> </t>
        </r>
        <r>
          <rPr>
            <sz val="10"/>
            <color indexed="81"/>
            <rFont val="돋움"/>
            <family val="3"/>
            <charset val="129"/>
          </rPr>
          <t>우려되나</t>
        </r>
        <r>
          <rPr>
            <sz val="10"/>
            <color indexed="81"/>
            <rFont val="Tahoma"/>
            <family val="2"/>
          </rPr>
          <t xml:space="preserve">, </t>
        </r>
        <r>
          <rPr>
            <sz val="10"/>
            <color indexed="81"/>
            <rFont val="돋움"/>
            <family val="3"/>
            <charset val="129"/>
          </rPr>
          <t>참고</t>
        </r>
        <r>
          <rPr>
            <sz val="10"/>
            <color indexed="81"/>
            <rFont val="Tahoma"/>
            <family val="2"/>
          </rPr>
          <t xml:space="preserve">1)
    </t>
        </r>
        <r>
          <rPr>
            <sz val="10"/>
            <color indexed="81"/>
            <rFont val="돋움"/>
            <family val="3"/>
            <charset val="129"/>
          </rPr>
          <t>①</t>
        </r>
        <r>
          <rPr>
            <sz val="10"/>
            <color indexed="81"/>
            <rFont val="Tahoma"/>
            <family val="2"/>
          </rPr>
          <t xml:space="preserve"> </t>
        </r>
        <r>
          <rPr>
            <sz val="10"/>
            <color indexed="81"/>
            <rFont val="돋움"/>
            <family val="3"/>
            <charset val="129"/>
          </rPr>
          <t>상해지점</t>
        </r>
        <r>
          <rPr>
            <sz val="10"/>
            <color indexed="81"/>
            <rFont val="Tahoma"/>
            <family val="2"/>
          </rPr>
          <t xml:space="preserve"> </t>
        </r>
        <r>
          <rPr>
            <sz val="10"/>
            <color indexed="81"/>
            <rFont val="돋움"/>
            <family val="3"/>
            <charset val="129"/>
          </rPr>
          <t>자본금은</t>
        </r>
        <r>
          <rPr>
            <sz val="10"/>
            <color indexed="81"/>
            <rFont val="Tahoma"/>
            <family val="2"/>
          </rPr>
          <t xml:space="preserve"> </t>
        </r>
        <r>
          <rPr>
            <sz val="10"/>
            <color indexed="81"/>
            <rFont val="돋움"/>
            <family val="3"/>
            <charset val="129"/>
          </rPr>
          <t>정해진</t>
        </r>
        <r>
          <rPr>
            <sz val="10"/>
            <color indexed="81"/>
            <rFont val="Tahoma"/>
            <family val="2"/>
          </rPr>
          <t xml:space="preserve"> </t>
        </r>
        <r>
          <rPr>
            <sz val="10"/>
            <color indexed="81"/>
            <rFont val="돋움"/>
            <family val="3"/>
            <charset val="129"/>
          </rPr>
          <t>만기가</t>
        </r>
        <r>
          <rPr>
            <sz val="10"/>
            <color indexed="81"/>
            <rFont val="Tahoma"/>
            <family val="2"/>
          </rPr>
          <t xml:space="preserve"> </t>
        </r>
        <r>
          <rPr>
            <sz val="10"/>
            <color indexed="81"/>
            <rFont val="돋움"/>
            <family val="3"/>
            <charset val="129"/>
          </rPr>
          <t>없으며</t>
        </r>
        <r>
          <rPr>
            <sz val="10"/>
            <color indexed="81"/>
            <rFont val="Tahoma"/>
            <family val="2"/>
          </rPr>
          <t>(</t>
        </r>
        <r>
          <rPr>
            <sz val="10"/>
            <color indexed="81"/>
            <rFont val="돋움"/>
            <family val="3"/>
            <charset val="129"/>
          </rPr>
          <t>상해지점</t>
        </r>
        <r>
          <rPr>
            <sz val="10"/>
            <color indexed="81"/>
            <rFont val="Tahoma"/>
            <family val="2"/>
          </rPr>
          <t xml:space="preserve"> </t>
        </r>
        <r>
          <rPr>
            <sz val="10"/>
            <color indexed="81"/>
            <rFont val="돋움"/>
            <family val="3"/>
            <charset val="129"/>
          </rPr>
          <t>폐점</t>
        </r>
        <r>
          <rPr>
            <sz val="10"/>
            <color indexed="81"/>
            <rFont val="Tahoma"/>
            <family val="2"/>
          </rPr>
          <t xml:space="preserve"> </t>
        </r>
        <r>
          <rPr>
            <sz val="10"/>
            <color indexed="81"/>
            <rFont val="돋움"/>
            <family val="3"/>
            <charset val="129"/>
          </rPr>
          <t>시</t>
        </r>
        <r>
          <rPr>
            <sz val="10"/>
            <color indexed="81"/>
            <rFont val="Tahoma"/>
            <family val="2"/>
          </rPr>
          <t xml:space="preserve"> </t>
        </r>
        <r>
          <rPr>
            <sz val="10"/>
            <color indexed="81"/>
            <rFont val="돋움"/>
            <family val="3"/>
            <charset val="129"/>
          </rPr>
          <t>환차손익</t>
        </r>
        <r>
          <rPr>
            <sz val="10"/>
            <color indexed="81"/>
            <rFont val="Tahoma"/>
            <family val="2"/>
          </rPr>
          <t xml:space="preserve"> </t>
        </r>
        <r>
          <rPr>
            <sz val="10"/>
            <color indexed="81"/>
            <rFont val="돋움"/>
            <family val="3"/>
            <charset val="129"/>
          </rPr>
          <t>실현</t>
        </r>
        <r>
          <rPr>
            <sz val="10"/>
            <color indexed="81"/>
            <rFont val="Tahoma"/>
            <family val="2"/>
          </rPr>
          <t xml:space="preserve">)
    </t>
        </r>
        <r>
          <rPr>
            <sz val="10"/>
            <color indexed="81"/>
            <rFont val="돋움"/>
            <family val="3"/>
            <charset val="129"/>
          </rPr>
          <t>②</t>
        </r>
        <r>
          <rPr>
            <sz val="10"/>
            <color indexed="81"/>
            <rFont val="Tahoma"/>
            <family val="2"/>
          </rPr>
          <t xml:space="preserve"> </t>
        </r>
        <r>
          <rPr>
            <sz val="10"/>
            <color indexed="81"/>
            <rFont val="돋움"/>
            <family val="3"/>
            <charset val="129"/>
          </rPr>
          <t>원화와</t>
        </r>
        <r>
          <rPr>
            <sz val="10"/>
            <color indexed="81"/>
            <rFont val="Tahoma"/>
            <family val="2"/>
          </rPr>
          <t xml:space="preserve"> </t>
        </r>
        <r>
          <rPr>
            <sz val="10"/>
            <color indexed="81"/>
            <rFont val="돋움"/>
            <family val="3"/>
            <charset val="129"/>
          </rPr>
          <t>위안화</t>
        </r>
        <r>
          <rPr>
            <sz val="10"/>
            <color indexed="81"/>
            <rFont val="Tahoma"/>
            <family val="2"/>
          </rPr>
          <t xml:space="preserve"> </t>
        </r>
        <r>
          <rPr>
            <sz val="10"/>
            <color indexed="81"/>
            <rFont val="돋움"/>
            <family val="3"/>
            <charset val="129"/>
          </rPr>
          <t>금리차로</t>
        </r>
        <r>
          <rPr>
            <sz val="10"/>
            <color indexed="81"/>
            <rFont val="Tahoma"/>
            <family val="2"/>
          </rPr>
          <t xml:space="preserve"> </t>
        </r>
        <r>
          <rPr>
            <sz val="10"/>
            <color indexed="81"/>
            <rFont val="돋움"/>
            <family val="3"/>
            <charset val="129"/>
          </rPr>
          <t>인한</t>
        </r>
        <r>
          <rPr>
            <sz val="10"/>
            <color indexed="81"/>
            <rFont val="Tahoma"/>
            <family val="2"/>
          </rPr>
          <t xml:space="preserve"> </t>
        </r>
        <r>
          <rPr>
            <sz val="10"/>
            <color indexed="81"/>
            <rFont val="돋움"/>
            <family val="3"/>
            <charset val="129"/>
          </rPr>
          <t>이자비용</t>
        </r>
        <r>
          <rPr>
            <sz val="10"/>
            <color indexed="81"/>
            <rFont val="Tahoma"/>
            <family val="2"/>
          </rPr>
          <t xml:space="preserve"> (</t>
        </r>
        <r>
          <rPr>
            <sz val="10"/>
            <color indexed="81"/>
            <rFont val="돋움"/>
            <family val="3"/>
            <charset val="129"/>
          </rPr>
          <t>원화</t>
        </r>
        <r>
          <rPr>
            <sz val="10"/>
            <color indexed="81"/>
            <rFont val="Tahoma"/>
            <family val="2"/>
          </rPr>
          <t xml:space="preserve"> 1.591%, </t>
        </r>
        <r>
          <rPr>
            <sz val="10"/>
            <color indexed="81"/>
            <rFont val="돋움"/>
            <family val="3"/>
            <charset val="129"/>
          </rPr>
          <t>위안화</t>
        </r>
        <r>
          <rPr>
            <sz val="10"/>
            <color indexed="81"/>
            <rFont val="Tahoma"/>
            <family val="2"/>
          </rPr>
          <t xml:space="preserve"> 4.50%)
    </t>
        </r>
        <r>
          <rPr>
            <sz val="10"/>
            <color indexed="81"/>
            <rFont val="돋움"/>
            <family val="3"/>
            <charset val="129"/>
          </rPr>
          <t>③</t>
        </r>
        <r>
          <rPr>
            <sz val="10"/>
            <color indexed="81"/>
            <rFont val="Tahoma"/>
            <family val="2"/>
          </rPr>
          <t xml:space="preserve"> </t>
        </r>
        <r>
          <rPr>
            <sz val="10"/>
            <color indexed="81"/>
            <rFont val="돋움"/>
            <family val="3"/>
            <charset val="129"/>
          </rPr>
          <t>중국경외</t>
        </r>
        <r>
          <rPr>
            <sz val="10"/>
            <color indexed="81"/>
            <rFont val="Tahoma"/>
            <family val="2"/>
          </rPr>
          <t>(Hibor)</t>
        </r>
        <r>
          <rPr>
            <sz val="10"/>
            <color indexed="81"/>
            <rFont val="돋움"/>
            <family val="3"/>
            <charset val="129"/>
          </rPr>
          <t>와</t>
        </r>
        <r>
          <rPr>
            <sz val="10"/>
            <color indexed="81"/>
            <rFont val="Tahoma"/>
            <family val="2"/>
          </rPr>
          <t xml:space="preserve"> </t>
        </r>
        <r>
          <rPr>
            <sz val="10"/>
            <color indexed="81"/>
            <rFont val="돋움"/>
            <family val="3"/>
            <charset val="129"/>
          </rPr>
          <t>중국경내</t>
        </r>
        <r>
          <rPr>
            <sz val="10"/>
            <color indexed="81"/>
            <rFont val="Tahoma"/>
            <family val="2"/>
          </rPr>
          <t xml:space="preserve">(Shibor) </t>
        </r>
        <r>
          <rPr>
            <sz val="10"/>
            <color indexed="81"/>
            <rFont val="돋움"/>
            <family val="3"/>
            <charset val="129"/>
          </rPr>
          <t>금리변동성</t>
        </r>
        <r>
          <rPr>
            <sz val="10"/>
            <color indexed="81"/>
            <rFont val="Tahoma"/>
            <family val="2"/>
          </rPr>
          <t xml:space="preserve"> </t>
        </r>
        <r>
          <rPr>
            <sz val="10"/>
            <color indexed="81"/>
            <rFont val="돋움"/>
            <family val="3"/>
            <charset val="129"/>
          </rPr>
          <t>확대</t>
        </r>
        <r>
          <rPr>
            <sz val="10"/>
            <color indexed="81"/>
            <rFont val="Tahoma"/>
            <family val="2"/>
          </rPr>
          <t xml:space="preserve"> </t>
        </r>
        <r>
          <rPr>
            <sz val="10"/>
            <color indexed="81"/>
            <rFont val="돋움"/>
            <family val="3"/>
            <charset val="129"/>
          </rPr>
          <t>등</t>
        </r>
        <r>
          <rPr>
            <sz val="10"/>
            <color indexed="81"/>
            <rFont val="Tahoma"/>
            <family val="2"/>
          </rPr>
          <t xml:space="preserve"> </t>
        </r>
        <r>
          <rPr>
            <sz val="10"/>
            <color indexed="81"/>
            <rFont val="돋움"/>
            <family val="3"/>
            <charset val="129"/>
          </rPr>
          <t>차환리스크</t>
        </r>
        <r>
          <rPr>
            <sz val="10"/>
            <color indexed="81"/>
            <rFont val="Tahoma"/>
            <family val="2"/>
          </rPr>
          <t xml:space="preserve"> </t>
        </r>
        <r>
          <rPr>
            <sz val="10"/>
            <color indexed="81"/>
            <rFont val="돋움"/>
            <family val="3"/>
            <charset val="129"/>
          </rPr>
          <t>존재하는</t>
        </r>
        <r>
          <rPr>
            <sz val="10"/>
            <color indexed="81"/>
            <rFont val="Tahoma"/>
            <family val="2"/>
          </rPr>
          <t xml:space="preserve"> </t>
        </r>
        <r>
          <rPr>
            <sz val="10"/>
            <color indexed="81"/>
            <rFont val="돋움"/>
            <family val="3"/>
            <charset val="129"/>
          </rPr>
          <t>바</t>
        </r>
        <r>
          <rPr>
            <sz val="10"/>
            <color indexed="81"/>
            <rFont val="Tahoma"/>
            <family val="2"/>
          </rPr>
          <t xml:space="preserve"> </t>
        </r>
        <r>
          <rPr>
            <sz val="10"/>
            <color indexed="81"/>
            <rFont val="돋움"/>
            <family val="3"/>
            <charset val="129"/>
          </rPr>
          <t>참고</t>
        </r>
        <r>
          <rPr>
            <sz val="10"/>
            <color indexed="81"/>
            <rFont val="Tahoma"/>
            <family val="2"/>
          </rPr>
          <t xml:space="preserve">2)
         </t>
        </r>
        <r>
          <rPr>
            <sz val="10"/>
            <color indexed="81"/>
            <rFont val="돋움"/>
            <family val="3"/>
            <charset val="129"/>
          </rPr>
          <t>원</t>
        </r>
        <r>
          <rPr>
            <sz val="10"/>
            <color indexed="81"/>
            <rFont val="Tahoma"/>
            <family val="2"/>
          </rPr>
          <t>/</t>
        </r>
        <r>
          <rPr>
            <sz val="10"/>
            <color indexed="81"/>
            <rFont val="돋움"/>
            <family val="3"/>
            <charset val="129"/>
          </rPr>
          <t>위안</t>
        </r>
        <r>
          <rPr>
            <sz val="10"/>
            <color indexed="81"/>
            <rFont val="Tahoma"/>
            <family val="2"/>
          </rPr>
          <t xml:space="preserve"> </t>
        </r>
        <r>
          <rPr>
            <sz val="10"/>
            <color indexed="81"/>
            <rFont val="돋움"/>
            <family val="3"/>
            <charset val="129"/>
          </rPr>
          <t>매수거래로</t>
        </r>
        <r>
          <rPr>
            <sz val="10"/>
            <color indexed="81"/>
            <rFont val="Tahoma"/>
            <family val="2"/>
          </rPr>
          <t xml:space="preserve"> </t>
        </r>
        <r>
          <rPr>
            <sz val="10"/>
            <color indexed="81"/>
            <rFont val="돋움"/>
            <family val="3"/>
            <charset val="129"/>
          </rPr>
          <t>자본금</t>
        </r>
        <r>
          <rPr>
            <sz val="10"/>
            <color indexed="81"/>
            <rFont val="Tahoma"/>
            <family val="2"/>
          </rPr>
          <t xml:space="preserve"> </t>
        </r>
        <r>
          <rPr>
            <sz val="10"/>
            <color indexed="81"/>
            <rFont val="돋움"/>
            <family val="3"/>
            <charset val="129"/>
          </rPr>
          <t>조달이</t>
        </r>
        <r>
          <rPr>
            <sz val="10"/>
            <color indexed="81"/>
            <rFont val="Tahoma"/>
            <family val="2"/>
          </rPr>
          <t xml:space="preserve"> </t>
        </r>
        <r>
          <rPr>
            <sz val="10"/>
            <color indexed="81"/>
            <rFont val="돋움"/>
            <family val="3"/>
            <charset val="129"/>
          </rPr>
          <t>합리적인</t>
        </r>
        <r>
          <rPr>
            <sz val="10"/>
            <color indexed="81"/>
            <rFont val="Tahoma"/>
            <family val="2"/>
          </rPr>
          <t xml:space="preserve"> </t>
        </r>
        <r>
          <rPr>
            <sz val="10"/>
            <color indexed="81"/>
            <rFont val="돋움"/>
            <family val="3"/>
            <charset val="129"/>
          </rPr>
          <t>방안으로</t>
        </r>
        <r>
          <rPr>
            <sz val="10"/>
            <color indexed="81"/>
            <rFont val="Tahoma"/>
            <family val="2"/>
          </rPr>
          <t xml:space="preserve"> </t>
        </r>
        <r>
          <rPr>
            <sz val="10"/>
            <color indexed="81"/>
            <rFont val="돋움"/>
            <family val="3"/>
            <charset val="129"/>
          </rPr>
          <t>사료됨</t>
        </r>
        <r>
          <rPr>
            <sz val="10"/>
            <color indexed="81"/>
            <rFont val="Tahoma"/>
            <family val="2"/>
          </rPr>
          <t xml:space="preserve">.
</t>
        </r>
      </text>
    </comment>
    <comment ref="M409" authorId="1" shapeId="0" xr:uid="{00000000-0006-0000-0300-00002F000000}">
      <text>
        <r>
          <rPr>
            <b/>
            <sz val="9"/>
            <color indexed="81"/>
            <rFont val="Tahoma"/>
            <family val="2"/>
          </rPr>
          <t xml:space="preserve">FX SPOT </t>
        </r>
        <r>
          <rPr>
            <b/>
            <sz val="9"/>
            <color indexed="81"/>
            <rFont val="돋움"/>
            <family val="3"/>
            <charset val="129"/>
          </rPr>
          <t>원화대가</t>
        </r>
        <r>
          <rPr>
            <b/>
            <sz val="9"/>
            <color indexed="81"/>
            <rFont val="Tahoma"/>
            <family val="2"/>
          </rPr>
          <t xml:space="preserve"> </t>
        </r>
        <r>
          <rPr>
            <b/>
            <sz val="9"/>
            <color indexed="81"/>
            <rFont val="돋움"/>
            <family val="3"/>
            <charset val="129"/>
          </rPr>
          <t>위안화</t>
        </r>
        <r>
          <rPr>
            <b/>
            <sz val="9"/>
            <color indexed="81"/>
            <rFont val="Tahoma"/>
            <family val="2"/>
          </rPr>
          <t xml:space="preserve"> </t>
        </r>
        <r>
          <rPr>
            <b/>
            <sz val="9"/>
            <color indexed="81"/>
            <rFont val="돋움"/>
            <family val="3"/>
            <charset val="129"/>
          </rPr>
          <t>매입</t>
        </r>
        <r>
          <rPr>
            <b/>
            <sz val="9"/>
            <color indexed="81"/>
            <rFont val="Tahoma"/>
            <family val="2"/>
          </rPr>
          <t xml:space="preserve"> CNY 2</t>
        </r>
        <r>
          <rPr>
            <b/>
            <sz val="9"/>
            <color indexed="81"/>
            <rFont val="돋움"/>
            <family val="3"/>
            <charset val="129"/>
          </rPr>
          <t xml:space="preserve">억
</t>
        </r>
        <r>
          <rPr>
            <b/>
            <sz val="9"/>
            <color indexed="81"/>
            <rFont val="Tahoma"/>
            <family val="2"/>
          </rPr>
          <t>SB19-</t>
        </r>
        <r>
          <rPr>
            <b/>
            <sz val="9"/>
            <color indexed="81"/>
            <rFont val="돋움"/>
            <family val="3"/>
            <charset val="129"/>
          </rPr>
          <t>상해지점</t>
        </r>
        <r>
          <rPr>
            <b/>
            <sz val="9"/>
            <color indexed="81"/>
            <rFont val="Tahoma"/>
            <family val="2"/>
          </rPr>
          <t>-3431</t>
        </r>
        <r>
          <rPr>
            <b/>
            <sz val="9"/>
            <color indexed="81"/>
            <rFont val="돋움"/>
            <family val="3"/>
            <charset val="129"/>
          </rPr>
          <t xml:space="preserve">
</t>
        </r>
        <r>
          <rPr>
            <b/>
            <sz val="9"/>
            <color indexed="81"/>
            <rFont val="Tahoma"/>
            <family val="2"/>
          </rPr>
          <t>SB19-</t>
        </r>
        <r>
          <rPr>
            <b/>
            <sz val="9"/>
            <color indexed="81"/>
            <rFont val="돋움"/>
            <family val="3"/>
            <charset val="129"/>
          </rPr>
          <t>자금부</t>
        </r>
        <r>
          <rPr>
            <b/>
            <sz val="9"/>
            <color indexed="81"/>
            <rFont val="Tahoma"/>
            <family val="2"/>
          </rPr>
          <t>-3550 (SPOT</t>
        </r>
        <r>
          <rPr>
            <b/>
            <sz val="9"/>
            <color indexed="81"/>
            <rFont val="돋움"/>
            <family val="3"/>
            <charset val="129"/>
          </rPr>
          <t>거래일</t>
        </r>
        <r>
          <rPr>
            <b/>
            <sz val="9"/>
            <color indexed="81"/>
            <rFont val="Tahoma"/>
            <family val="2"/>
          </rPr>
          <t xml:space="preserve"> 2019.06.21)
SB19-</t>
        </r>
        <r>
          <rPr>
            <b/>
            <sz val="9"/>
            <color indexed="81"/>
            <rFont val="돋움"/>
            <family val="3"/>
            <charset val="129"/>
          </rPr>
          <t>전략기획부</t>
        </r>
        <r>
          <rPr>
            <b/>
            <sz val="9"/>
            <color indexed="81"/>
            <rFont val="Tahoma"/>
            <family val="2"/>
          </rPr>
          <t>-3574 
SB19-</t>
        </r>
        <r>
          <rPr>
            <b/>
            <sz val="9"/>
            <color indexed="81"/>
            <rFont val="돋움"/>
            <family val="3"/>
            <charset val="129"/>
          </rPr>
          <t>전략기획부</t>
        </r>
        <r>
          <rPr>
            <b/>
            <sz val="9"/>
            <color indexed="81"/>
            <rFont val="Tahoma"/>
            <family val="2"/>
          </rPr>
          <t>-3585 
SB19-</t>
        </r>
        <r>
          <rPr>
            <b/>
            <sz val="9"/>
            <color indexed="81"/>
            <rFont val="돋움"/>
            <family val="3"/>
            <charset val="129"/>
          </rPr>
          <t>전략기획부</t>
        </r>
        <r>
          <rPr>
            <b/>
            <sz val="9"/>
            <color indexed="81"/>
            <rFont val="Tahoma"/>
            <family val="2"/>
          </rPr>
          <t>-3757 (</t>
        </r>
        <r>
          <rPr>
            <b/>
            <sz val="9"/>
            <color indexed="81"/>
            <rFont val="돋움"/>
            <family val="3"/>
            <charset val="129"/>
          </rPr>
          <t>갑계정</t>
        </r>
        <r>
          <rPr>
            <b/>
            <sz val="9"/>
            <color indexed="81"/>
            <rFont val="Tahoma"/>
            <family val="2"/>
          </rPr>
          <t xml:space="preserve"> </t>
        </r>
        <r>
          <rPr>
            <b/>
            <sz val="9"/>
            <color indexed="81"/>
            <rFont val="돋움"/>
            <family val="3"/>
            <charset val="129"/>
          </rPr>
          <t>기표처리</t>
        </r>
        <r>
          <rPr>
            <b/>
            <sz val="9"/>
            <color indexed="81"/>
            <rFont val="Tahoma"/>
            <family val="2"/>
          </rPr>
          <t>) 2019.7.2
SB19-</t>
        </r>
        <r>
          <rPr>
            <b/>
            <sz val="9"/>
            <color indexed="81"/>
            <rFont val="돋움"/>
            <family val="3"/>
            <charset val="129"/>
          </rPr>
          <t>재무기획부</t>
        </r>
        <r>
          <rPr>
            <b/>
            <sz val="9"/>
            <color indexed="81"/>
            <rFont val="Tahoma"/>
            <family val="2"/>
          </rPr>
          <t>-3657 (</t>
        </r>
        <r>
          <rPr>
            <b/>
            <sz val="9"/>
            <color indexed="81"/>
            <rFont val="돋움"/>
            <family val="3"/>
            <charset val="129"/>
          </rPr>
          <t>역사적환율고정</t>
        </r>
        <r>
          <rPr>
            <b/>
            <sz val="9"/>
            <color indexed="81"/>
            <rFont val="Tahoma"/>
            <family val="2"/>
          </rPr>
          <t>, 6.8513)</t>
        </r>
      </text>
    </comment>
    <comment ref="H410" authorId="1" shapeId="0" xr:uid="{00000000-0006-0000-0300-000030000000}">
      <text>
        <r>
          <rPr>
            <b/>
            <sz val="9"/>
            <color indexed="81"/>
            <rFont val="Tahoma"/>
            <family val="2"/>
          </rPr>
          <t>8580-08 (20190702</t>
        </r>
        <r>
          <rPr>
            <b/>
            <sz val="9"/>
            <color indexed="81"/>
            <rFont val="돋움"/>
            <family val="3"/>
            <charset val="129"/>
          </rPr>
          <t>이후</t>
        </r>
        <r>
          <rPr>
            <b/>
            <sz val="9"/>
            <color indexed="81"/>
            <rFont val="Tahoma"/>
            <family val="2"/>
          </rPr>
          <t>)
991</t>
        </r>
        <r>
          <rPr>
            <b/>
            <sz val="9"/>
            <color indexed="81"/>
            <rFont val="돋움"/>
            <family val="3"/>
            <charset val="129"/>
          </rPr>
          <t>점</t>
        </r>
        <r>
          <rPr>
            <b/>
            <sz val="9"/>
            <color indexed="81"/>
            <rFont val="Tahoma"/>
            <family val="2"/>
          </rPr>
          <t>, 333</t>
        </r>
        <r>
          <rPr>
            <b/>
            <sz val="9"/>
            <color indexed="81"/>
            <rFont val="돋움"/>
            <family val="3"/>
            <charset val="129"/>
          </rPr>
          <t>점</t>
        </r>
        <r>
          <rPr>
            <b/>
            <sz val="9"/>
            <color indexed="81"/>
            <rFont val="Tahoma"/>
            <family val="2"/>
          </rPr>
          <t xml:space="preserve"> (</t>
        </r>
        <r>
          <rPr>
            <b/>
            <sz val="9"/>
            <color indexed="81"/>
            <rFont val="돋움"/>
            <family val="3"/>
            <charset val="129"/>
          </rPr>
          <t>갑계정</t>
        </r>
        <r>
          <rPr>
            <b/>
            <sz val="9"/>
            <color indexed="81"/>
            <rFont val="Tahoma"/>
            <family val="2"/>
          </rPr>
          <t>: 011301) 
USD 35,021,174.58
CNY 300,000,000.00</t>
        </r>
      </text>
    </comment>
    <comment ref="M414" authorId="4" shapeId="0" xr:uid="{00000000-0006-0000-0300-000031000000}">
      <text>
        <r>
          <rPr>
            <sz val="10"/>
            <color indexed="81"/>
            <rFont val="Tahoma"/>
            <family val="2"/>
          </rPr>
          <t xml:space="preserve">
1. </t>
        </r>
        <r>
          <rPr>
            <sz val="10"/>
            <color indexed="81"/>
            <rFont val="돋움"/>
            <family val="3"/>
            <charset val="129"/>
          </rPr>
          <t>대출</t>
        </r>
        <r>
          <rPr>
            <sz val="10"/>
            <color indexed="81"/>
            <rFont val="Tahoma"/>
            <family val="2"/>
          </rPr>
          <t xml:space="preserve"> </t>
        </r>
        <r>
          <rPr>
            <sz val="10"/>
            <color indexed="81"/>
            <rFont val="돋움"/>
            <family val="3"/>
            <charset val="129"/>
          </rPr>
          <t>실행일</t>
        </r>
        <r>
          <rPr>
            <sz val="10"/>
            <color indexed="81"/>
            <rFont val="Tahoma"/>
            <family val="2"/>
          </rPr>
          <t xml:space="preserve"> 
</t>
        </r>
        <r>
          <rPr>
            <sz val="10"/>
            <color indexed="81"/>
            <rFont val="돋움"/>
            <family val="3"/>
            <charset val="129"/>
          </rPr>
          <t>거래일자</t>
        </r>
        <r>
          <rPr>
            <sz val="10"/>
            <color indexed="81"/>
            <rFont val="Tahoma"/>
            <family val="2"/>
          </rPr>
          <t xml:space="preserve"> :     USD 10,000,000/2017.04.25~2017.07.24 /</t>
        </r>
        <r>
          <rPr>
            <sz val="10"/>
            <color indexed="81"/>
            <rFont val="돋움"/>
            <family val="3"/>
            <charset val="129"/>
          </rPr>
          <t>적용이율</t>
        </r>
        <r>
          <rPr>
            <sz val="10"/>
            <color indexed="81"/>
            <rFont val="Tahoma"/>
            <family val="2"/>
          </rPr>
          <t xml:space="preserve"> 3.83650%
 (2017.07.20) USD 5,000,000/2017.05.25~2017.07.24
                       USD 5,000,000/2017.07.03~2017.07.24
</t>
        </r>
        <r>
          <rPr>
            <sz val="10"/>
            <color indexed="81"/>
            <rFont val="돋움"/>
            <family val="3"/>
            <charset val="129"/>
          </rPr>
          <t>거래일자</t>
        </r>
        <r>
          <rPr>
            <sz val="10"/>
            <color indexed="81"/>
            <rFont val="Tahoma"/>
            <family val="2"/>
          </rPr>
          <t xml:space="preserve"> :     USD 20,000,000/2017.07.25~2017.10.24 /</t>
        </r>
        <r>
          <rPr>
            <sz val="10"/>
            <color indexed="81"/>
            <rFont val="돋움"/>
            <family val="3"/>
            <charset val="129"/>
          </rPr>
          <t>적용이율</t>
        </r>
        <r>
          <rPr>
            <sz val="10"/>
            <color indexed="81"/>
            <rFont val="Tahoma"/>
            <family val="2"/>
          </rPr>
          <t xml:space="preserve"> 3.98389% 
 (2017.10.25)   (</t>
        </r>
        <r>
          <rPr>
            <sz val="10"/>
            <color indexed="81"/>
            <rFont val="돋움"/>
            <family val="3"/>
            <charset val="129"/>
          </rPr>
          <t>대출연장</t>
        </r>
        <r>
          <rPr>
            <sz val="10"/>
            <color indexed="81"/>
            <rFont val="Tahoma"/>
            <family val="2"/>
          </rPr>
          <t xml:space="preserve"> </t>
        </r>
        <r>
          <rPr>
            <sz val="10"/>
            <color indexed="81"/>
            <rFont val="돋움"/>
            <family val="3"/>
            <charset val="129"/>
          </rPr>
          <t>및</t>
        </r>
        <r>
          <rPr>
            <sz val="10"/>
            <color indexed="81"/>
            <rFont val="Tahoma"/>
            <family val="2"/>
          </rPr>
          <t xml:space="preserve"> </t>
        </r>
        <r>
          <rPr>
            <sz val="10"/>
            <color indexed="81"/>
            <rFont val="돋움"/>
            <family val="3"/>
            <charset val="129"/>
          </rPr>
          <t>금리변동</t>
        </r>
        <r>
          <rPr>
            <sz val="10"/>
            <color indexed="81"/>
            <rFont val="Tahoma"/>
            <family val="2"/>
          </rPr>
          <t>) 
                       USD 5,000,000/2017.08.09~2017.10.24 (</t>
        </r>
        <r>
          <rPr>
            <sz val="10"/>
            <color indexed="81"/>
            <rFont val="돋움"/>
            <family val="3"/>
            <charset val="129"/>
          </rPr>
          <t>대출신규</t>
        </r>
        <r>
          <rPr>
            <sz val="10"/>
            <color indexed="81"/>
            <rFont val="Tahoma"/>
            <family val="2"/>
          </rPr>
          <t xml:space="preserve">) 
</t>
        </r>
        <r>
          <rPr>
            <sz val="10"/>
            <color indexed="81"/>
            <rFont val="돋움"/>
            <family val="3"/>
            <charset val="129"/>
          </rPr>
          <t>거래일자</t>
        </r>
        <r>
          <rPr>
            <sz val="10"/>
            <color indexed="81"/>
            <rFont val="Tahoma"/>
            <family val="2"/>
          </rPr>
          <t xml:space="preserve"> :     USD 25,000,000/2017.10.25~2018.01.24 /</t>
        </r>
        <r>
          <rPr>
            <sz val="10"/>
            <color indexed="81"/>
            <rFont val="돋움"/>
            <family val="3"/>
            <charset val="129"/>
          </rPr>
          <t>적용이율</t>
        </r>
        <r>
          <rPr>
            <sz val="10"/>
            <color indexed="81"/>
            <rFont val="Tahoma"/>
            <family val="2"/>
          </rPr>
          <t xml:space="preserve"> 4.04064%
(2018.01.25) (</t>
        </r>
        <r>
          <rPr>
            <sz val="10"/>
            <color indexed="81"/>
            <rFont val="돋움"/>
            <family val="3"/>
            <charset val="129"/>
          </rPr>
          <t>대출연장</t>
        </r>
        <r>
          <rPr>
            <sz val="10"/>
            <color indexed="81"/>
            <rFont val="Tahoma"/>
            <family val="2"/>
          </rPr>
          <t xml:space="preserve"> </t>
        </r>
        <r>
          <rPr>
            <sz val="10"/>
            <color indexed="81"/>
            <rFont val="돋움"/>
            <family val="3"/>
            <charset val="129"/>
          </rPr>
          <t>및</t>
        </r>
        <r>
          <rPr>
            <sz val="10"/>
            <color indexed="81"/>
            <rFont val="Tahoma"/>
            <family val="2"/>
          </rPr>
          <t xml:space="preserve"> </t>
        </r>
        <r>
          <rPr>
            <sz val="10"/>
            <color indexed="81"/>
            <rFont val="돋움"/>
            <family val="3"/>
            <charset val="129"/>
          </rPr>
          <t>금리변동</t>
        </r>
        <r>
          <rPr>
            <sz val="10"/>
            <color indexed="81"/>
            <rFont val="Tahoma"/>
            <family val="2"/>
          </rPr>
          <t xml:space="preserve">) 
</t>
        </r>
        <r>
          <rPr>
            <sz val="10"/>
            <color indexed="81"/>
            <rFont val="돋움"/>
            <family val="3"/>
            <charset val="129"/>
          </rPr>
          <t>기존</t>
        </r>
        <r>
          <rPr>
            <sz val="10"/>
            <color indexed="81"/>
            <rFont val="Tahoma"/>
            <family val="2"/>
          </rPr>
          <t xml:space="preserve"> </t>
        </r>
        <r>
          <rPr>
            <sz val="10"/>
            <color indexed="81"/>
            <rFont val="돋움"/>
            <family val="3"/>
            <charset val="129"/>
          </rPr>
          <t>가산금리</t>
        </r>
        <r>
          <rPr>
            <sz val="10"/>
            <color indexed="81"/>
            <rFont val="Tahoma"/>
            <family val="2"/>
          </rPr>
          <t xml:space="preserve"> 3ML + 2.27%
</t>
        </r>
        <r>
          <rPr>
            <sz val="10"/>
            <color indexed="81"/>
            <rFont val="Tahoma"/>
            <family val="2"/>
          </rPr>
          <t xml:space="preserve">2019.04.25 </t>
        </r>
        <r>
          <rPr>
            <sz val="10"/>
            <color indexed="81"/>
            <rFont val="돋움"/>
            <family val="3"/>
            <charset val="129"/>
          </rPr>
          <t>연장</t>
        </r>
        <r>
          <rPr>
            <sz val="10"/>
            <color indexed="81"/>
            <rFont val="Tahoma"/>
            <family val="2"/>
          </rPr>
          <t xml:space="preserve"> </t>
        </r>
        <r>
          <rPr>
            <sz val="10"/>
            <color indexed="81"/>
            <rFont val="돋움"/>
            <family val="3"/>
            <charset val="129"/>
          </rPr>
          <t>후</t>
        </r>
        <r>
          <rPr>
            <sz val="10"/>
            <color indexed="81"/>
            <rFont val="Tahoma"/>
            <family val="2"/>
          </rPr>
          <t xml:space="preserve"> </t>
        </r>
        <r>
          <rPr>
            <sz val="10"/>
            <color indexed="81"/>
            <rFont val="돋움"/>
            <family val="3"/>
            <charset val="129"/>
          </rPr>
          <t>가산금리</t>
        </r>
        <r>
          <rPr>
            <sz val="10"/>
            <color indexed="81"/>
            <rFont val="Tahoma"/>
            <family val="2"/>
          </rPr>
          <t xml:space="preserve"> 3ML + 2.15% (2019.12.20</t>
        </r>
        <r>
          <rPr>
            <sz val="10"/>
            <color indexed="81"/>
            <rFont val="돋움"/>
            <family val="3"/>
            <charset val="129"/>
          </rPr>
          <t>현재</t>
        </r>
        <r>
          <rPr>
            <sz val="10"/>
            <color indexed="81"/>
            <rFont val="Tahoma"/>
            <family val="2"/>
          </rPr>
          <t xml:space="preserve"> 4.08563%)
</t>
        </r>
      </text>
    </comment>
    <comment ref="M465" authorId="0" shapeId="0" xr:uid="{00000000-0006-0000-0300-000032000000}">
      <text>
        <r>
          <rPr>
            <sz val="10"/>
            <color indexed="81"/>
            <rFont val="돋움"/>
            <family val="3"/>
            <charset val="129"/>
          </rPr>
          <t>가지급금</t>
        </r>
        <r>
          <rPr>
            <sz val="10"/>
            <color indexed="81"/>
            <rFont val="Tahoma"/>
            <family val="2"/>
          </rPr>
          <t xml:space="preserve"> </t>
        </r>
        <r>
          <rPr>
            <sz val="10"/>
            <color indexed="81"/>
            <rFont val="돋움"/>
            <family val="3"/>
            <charset val="129"/>
          </rPr>
          <t>처리금액은</t>
        </r>
        <r>
          <rPr>
            <sz val="10"/>
            <color indexed="81"/>
            <rFont val="Tahoma"/>
            <family val="2"/>
          </rPr>
          <t xml:space="preserve"> </t>
        </r>
        <r>
          <rPr>
            <sz val="10"/>
            <color indexed="81"/>
            <rFont val="돋움"/>
            <family val="3"/>
            <charset val="129"/>
          </rPr>
          <t>제</t>
        </r>
        <r>
          <rPr>
            <sz val="10"/>
            <color indexed="81"/>
            <rFont val="Tahoma"/>
            <family val="2"/>
          </rPr>
          <t>2</t>
        </r>
        <r>
          <rPr>
            <sz val="10"/>
            <color indexed="81"/>
            <rFont val="돋움"/>
            <family val="3"/>
            <charset val="129"/>
          </rPr>
          <t>본점영업부</t>
        </r>
        <r>
          <rPr>
            <sz val="10"/>
            <color indexed="81"/>
            <rFont val="Tahoma"/>
            <family val="2"/>
          </rPr>
          <t>(272)</t>
        </r>
        <r>
          <rPr>
            <sz val="10"/>
            <color indexed="81"/>
            <rFont val="돋움"/>
            <family val="3"/>
            <charset val="129"/>
          </rPr>
          <t>로</t>
        </r>
        <r>
          <rPr>
            <sz val="10"/>
            <color indexed="81"/>
            <rFont val="Tahoma"/>
            <family val="2"/>
          </rPr>
          <t xml:space="preserve"> </t>
        </r>
        <r>
          <rPr>
            <sz val="10"/>
            <color indexed="81"/>
            <rFont val="돋움"/>
            <family val="3"/>
            <charset val="129"/>
          </rPr>
          <t xml:space="preserve">전금처리
</t>
        </r>
        <r>
          <rPr>
            <sz val="10"/>
            <color indexed="81"/>
            <rFont val="Tahoma"/>
            <family val="2"/>
          </rPr>
          <t>SB17-</t>
        </r>
        <r>
          <rPr>
            <sz val="10"/>
            <color indexed="81"/>
            <rFont val="돋움"/>
            <family val="3"/>
            <charset val="129"/>
          </rPr>
          <t>전략기획부</t>
        </r>
        <r>
          <rPr>
            <sz val="10"/>
            <color indexed="81"/>
            <rFont val="Tahoma"/>
            <family val="2"/>
          </rPr>
          <t>-4223</t>
        </r>
      </text>
    </comment>
    <comment ref="M466" authorId="0" shapeId="0" xr:uid="{00000000-0006-0000-0300-000033000000}">
      <text>
        <r>
          <rPr>
            <sz val="10"/>
            <color indexed="81"/>
            <rFont val="돋움"/>
            <family val="3"/>
            <charset val="129"/>
          </rPr>
          <t>가지급금</t>
        </r>
        <r>
          <rPr>
            <sz val="10"/>
            <color indexed="81"/>
            <rFont val="Tahoma"/>
            <family val="2"/>
          </rPr>
          <t xml:space="preserve"> </t>
        </r>
        <r>
          <rPr>
            <sz val="10"/>
            <color indexed="81"/>
            <rFont val="돋움"/>
            <family val="3"/>
            <charset val="129"/>
          </rPr>
          <t>처리금액은</t>
        </r>
        <r>
          <rPr>
            <sz val="10"/>
            <color indexed="81"/>
            <rFont val="Tahoma"/>
            <family val="2"/>
          </rPr>
          <t xml:space="preserve"> </t>
        </r>
        <r>
          <rPr>
            <sz val="10"/>
            <color indexed="81"/>
            <rFont val="돋움"/>
            <family val="3"/>
            <charset val="129"/>
          </rPr>
          <t>제</t>
        </r>
        <r>
          <rPr>
            <sz val="10"/>
            <color indexed="81"/>
            <rFont val="Tahoma"/>
            <family val="2"/>
          </rPr>
          <t>2</t>
        </r>
        <r>
          <rPr>
            <sz val="10"/>
            <color indexed="81"/>
            <rFont val="돋움"/>
            <family val="3"/>
            <charset val="129"/>
          </rPr>
          <t>본점영업부</t>
        </r>
        <r>
          <rPr>
            <sz val="10"/>
            <color indexed="81"/>
            <rFont val="Tahoma"/>
            <family val="2"/>
          </rPr>
          <t>(272)</t>
        </r>
        <r>
          <rPr>
            <sz val="10"/>
            <color indexed="81"/>
            <rFont val="돋움"/>
            <family val="3"/>
            <charset val="129"/>
          </rPr>
          <t>로</t>
        </r>
        <r>
          <rPr>
            <sz val="10"/>
            <color indexed="81"/>
            <rFont val="Tahoma"/>
            <family val="2"/>
          </rPr>
          <t xml:space="preserve"> </t>
        </r>
        <r>
          <rPr>
            <sz val="10"/>
            <color indexed="81"/>
            <rFont val="돋움"/>
            <family val="3"/>
            <charset val="129"/>
          </rPr>
          <t>전금처리</t>
        </r>
        <r>
          <rPr>
            <sz val="10"/>
            <color indexed="81"/>
            <rFont val="Tahoma"/>
            <family val="2"/>
          </rPr>
          <t xml:space="preserve"> (</t>
        </r>
        <r>
          <rPr>
            <sz val="10"/>
            <color indexed="81"/>
            <rFont val="돋움"/>
            <family val="3"/>
            <charset val="129"/>
          </rPr>
          <t>현재</t>
        </r>
        <r>
          <rPr>
            <sz val="10"/>
            <color indexed="81"/>
            <rFont val="Tahoma"/>
            <family val="2"/>
          </rPr>
          <t xml:space="preserve"> </t>
        </r>
        <r>
          <rPr>
            <sz val="10"/>
            <color indexed="81"/>
            <rFont val="돋움"/>
            <family val="3"/>
            <charset val="129"/>
          </rPr>
          <t>에스크로</t>
        </r>
        <r>
          <rPr>
            <sz val="10"/>
            <color indexed="81"/>
            <rFont val="Tahoma"/>
            <family val="2"/>
          </rPr>
          <t xml:space="preserve"> </t>
        </r>
        <r>
          <rPr>
            <sz val="10"/>
            <color indexed="81"/>
            <rFont val="돋움"/>
            <family val="3"/>
            <charset val="129"/>
          </rPr>
          <t>계좌에</t>
        </r>
        <r>
          <rPr>
            <sz val="10"/>
            <color indexed="81"/>
            <rFont val="Tahoma"/>
            <family val="2"/>
          </rPr>
          <t xml:space="preserve"> </t>
        </r>
        <r>
          <rPr>
            <sz val="10"/>
            <color indexed="81"/>
            <rFont val="돋움"/>
            <family val="3"/>
            <charset val="129"/>
          </rPr>
          <t>예치중</t>
        </r>
        <r>
          <rPr>
            <sz val="10"/>
            <color indexed="81"/>
            <rFont val="Tahoma"/>
            <family val="2"/>
          </rPr>
          <t xml:space="preserve">) </t>
        </r>
        <r>
          <rPr>
            <sz val="10"/>
            <color indexed="81"/>
            <rFont val="돋움"/>
            <family val="3"/>
            <charset val="129"/>
          </rPr>
          <t>실자금</t>
        </r>
        <r>
          <rPr>
            <sz val="10"/>
            <color indexed="81"/>
            <rFont val="Tahoma"/>
            <family val="2"/>
          </rPr>
          <t xml:space="preserve"> 
</t>
        </r>
        <r>
          <rPr>
            <sz val="10"/>
            <color indexed="81"/>
            <rFont val="돋움"/>
            <family val="3"/>
            <charset val="129"/>
          </rPr>
          <t>미출금</t>
        </r>
        <r>
          <rPr>
            <sz val="10"/>
            <color indexed="81"/>
            <rFont val="Tahoma"/>
            <family val="2"/>
          </rPr>
          <t xml:space="preserve"> </t>
        </r>
        <r>
          <rPr>
            <sz val="10"/>
            <color indexed="81"/>
            <rFont val="돋움"/>
            <family val="3"/>
            <charset val="129"/>
          </rPr>
          <t>전</t>
        </r>
        <r>
          <rPr>
            <sz val="10"/>
            <color indexed="81"/>
            <rFont val="Tahoma"/>
            <family val="2"/>
          </rPr>
          <t xml:space="preserve">     </t>
        </r>
        <r>
          <rPr>
            <sz val="10"/>
            <color indexed="81"/>
            <rFont val="돋움"/>
            <family val="3"/>
            <charset val="129"/>
          </rPr>
          <t>담당자</t>
        </r>
        <r>
          <rPr>
            <sz val="10"/>
            <color indexed="81"/>
            <rFont val="Tahoma"/>
            <family val="2"/>
          </rPr>
          <t xml:space="preserve"> : DGB </t>
        </r>
        <r>
          <rPr>
            <sz val="10"/>
            <color indexed="81"/>
            <rFont val="돋움"/>
            <family val="3"/>
            <charset val="129"/>
          </rPr>
          <t>금융지주</t>
        </r>
        <r>
          <rPr>
            <sz val="10"/>
            <color indexed="81"/>
            <rFont val="Tahoma"/>
            <family val="2"/>
          </rPr>
          <t xml:space="preserve"> </t>
        </r>
        <r>
          <rPr>
            <sz val="10"/>
            <color indexed="81"/>
            <rFont val="돋움"/>
            <family val="3"/>
            <charset val="129"/>
          </rPr>
          <t>전략기획부</t>
        </r>
        <r>
          <rPr>
            <sz val="10"/>
            <color indexed="81"/>
            <rFont val="Tahoma"/>
            <family val="2"/>
          </rPr>
          <t xml:space="preserve"> </t>
        </r>
        <r>
          <rPr>
            <sz val="10"/>
            <color indexed="81"/>
            <rFont val="돋움"/>
            <family val="3"/>
            <charset val="129"/>
          </rPr>
          <t>김국현</t>
        </r>
        <r>
          <rPr>
            <sz val="10"/>
            <color indexed="81"/>
            <rFont val="Tahoma"/>
            <family val="2"/>
          </rPr>
          <t xml:space="preserve"> </t>
        </r>
        <r>
          <rPr>
            <sz val="10"/>
            <color indexed="81"/>
            <rFont val="돋움"/>
            <family val="3"/>
            <charset val="129"/>
          </rPr>
          <t>차장님</t>
        </r>
        <r>
          <rPr>
            <sz val="10"/>
            <color indexed="81"/>
            <rFont val="Tahoma"/>
            <family val="2"/>
          </rPr>
          <t xml:space="preserve"> </t>
        </r>
        <r>
          <rPr>
            <sz val="10"/>
            <color indexed="81"/>
            <rFont val="돋움"/>
            <family val="3"/>
            <charset val="129"/>
          </rPr>
          <t xml:space="preserve">
</t>
        </r>
        <r>
          <rPr>
            <sz val="10"/>
            <color indexed="81"/>
            <rFont val="Tahoma"/>
            <family val="2"/>
          </rPr>
          <t>SB17-</t>
        </r>
        <r>
          <rPr>
            <sz val="10"/>
            <color indexed="81"/>
            <rFont val="돋움"/>
            <family val="3"/>
            <charset val="129"/>
          </rPr>
          <t>전략기획부</t>
        </r>
        <r>
          <rPr>
            <sz val="10"/>
            <color indexed="81"/>
            <rFont val="Tahoma"/>
            <family val="2"/>
          </rPr>
          <t xml:space="preserve">-5742
1. </t>
        </r>
        <r>
          <rPr>
            <sz val="10"/>
            <color indexed="81"/>
            <rFont val="돋움"/>
            <family val="3"/>
            <charset val="129"/>
          </rPr>
          <t>계정처리시기정리
가</t>
        </r>
        <r>
          <rPr>
            <sz val="10"/>
            <color indexed="81"/>
            <rFont val="Tahoma"/>
            <family val="2"/>
          </rPr>
          <t xml:space="preserve">. </t>
        </r>
        <r>
          <rPr>
            <sz val="10"/>
            <color indexed="81"/>
            <rFont val="돋움"/>
            <family val="3"/>
            <charset val="129"/>
          </rPr>
          <t>이행보증금</t>
        </r>
        <r>
          <rPr>
            <sz val="10"/>
            <color indexed="81"/>
            <rFont val="Tahoma"/>
            <family val="2"/>
          </rPr>
          <t xml:space="preserve"> 
 </t>
        </r>
        <r>
          <rPr>
            <sz val="10"/>
            <color indexed="81"/>
            <rFont val="돋움"/>
            <family val="3"/>
            <charset val="129"/>
          </rPr>
          <t>우선협상</t>
        </r>
        <r>
          <rPr>
            <sz val="10"/>
            <color indexed="81"/>
            <rFont val="Tahoma"/>
            <family val="2"/>
          </rPr>
          <t xml:space="preserve"> </t>
        </r>
        <r>
          <rPr>
            <sz val="10"/>
            <color indexed="81"/>
            <rFont val="돋움"/>
            <family val="3"/>
            <charset val="129"/>
          </rPr>
          <t>대상자</t>
        </r>
        <r>
          <rPr>
            <sz val="10"/>
            <color indexed="81"/>
            <rFont val="Tahoma"/>
            <family val="2"/>
          </rPr>
          <t xml:space="preserve"> </t>
        </r>
        <r>
          <rPr>
            <sz val="10"/>
            <color indexed="81"/>
            <rFont val="돋움"/>
            <family val="3"/>
            <charset val="129"/>
          </rPr>
          <t>선정후</t>
        </r>
        <r>
          <rPr>
            <sz val="10"/>
            <color indexed="81"/>
            <rFont val="Tahoma"/>
            <family val="2"/>
          </rPr>
          <t xml:space="preserve"> 2</t>
        </r>
        <r>
          <rPr>
            <sz val="10"/>
            <color indexed="81"/>
            <rFont val="돋움"/>
            <family val="3"/>
            <charset val="129"/>
          </rPr>
          <t>영업일</t>
        </r>
        <r>
          <rPr>
            <sz val="10"/>
            <color indexed="81"/>
            <rFont val="Tahoma"/>
            <family val="2"/>
          </rPr>
          <t xml:space="preserve"> </t>
        </r>
        <r>
          <rPr>
            <sz val="10"/>
            <color indexed="81"/>
            <rFont val="돋움"/>
            <family val="3"/>
            <charset val="129"/>
          </rPr>
          <t>이내</t>
        </r>
        <r>
          <rPr>
            <sz val="10"/>
            <color indexed="81"/>
            <rFont val="Tahoma"/>
            <family val="2"/>
          </rPr>
          <t xml:space="preserve">(5%) /  USD 3,175,000 / 2017.7.26 </t>
        </r>
        <r>
          <rPr>
            <sz val="10"/>
            <color indexed="81"/>
            <rFont val="돋움"/>
            <family val="3"/>
            <charset val="129"/>
          </rPr>
          <t>기지급</t>
        </r>
        <r>
          <rPr>
            <sz val="10"/>
            <color indexed="81"/>
            <rFont val="Tahoma"/>
            <family val="2"/>
          </rPr>
          <t xml:space="preserve"> </t>
        </r>
        <r>
          <rPr>
            <sz val="10"/>
            <color indexed="81"/>
            <rFont val="돋움"/>
            <family val="3"/>
            <charset val="129"/>
          </rPr>
          <t xml:space="preserve">완료
</t>
        </r>
        <r>
          <rPr>
            <sz val="10"/>
            <color indexed="81"/>
            <rFont val="Tahoma"/>
            <family val="2"/>
          </rPr>
          <t xml:space="preserve"> 
</t>
        </r>
        <r>
          <rPr>
            <sz val="10"/>
            <color indexed="81"/>
            <rFont val="돋움"/>
            <family val="3"/>
            <charset val="129"/>
          </rPr>
          <t>나</t>
        </r>
        <r>
          <rPr>
            <sz val="10"/>
            <color indexed="81"/>
            <rFont val="Tahoma"/>
            <family val="2"/>
          </rPr>
          <t xml:space="preserve">. </t>
        </r>
        <r>
          <rPr>
            <sz val="10"/>
            <color indexed="81"/>
            <rFont val="돋움"/>
            <family val="3"/>
            <charset val="129"/>
          </rPr>
          <t xml:space="preserve">추가계약금
</t>
        </r>
        <r>
          <rPr>
            <sz val="10"/>
            <color indexed="81"/>
            <rFont val="Tahoma"/>
            <family val="2"/>
          </rPr>
          <t xml:space="preserve"> SPA </t>
        </r>
        <r>
          <rPr>
            <sz val="10"/>
            <color indexed="81"/>
            <rFont val="돋움"/>
            <family val="3"/>
            <charset val="129"/>
          </rPr>
          <t>체결후</t>
        </r>
        <r>
          <rPr>
            <sz val="10"/>
            <color indexed="81"/>
            <rFont val="Tahoma"/>
            <family val="2"/>
          </rPr>
          <t xml:space="preserve"> 5</t>
        </r>
        <r>
          <rPr>
            <sz val="10"/>
            <color indexed="81"/>
            <rFont val="돋움"/>
            <family val="3"/>
            <charset val="129"/>
          </rPr>
          <t>영업일</t>
        </r>
        <r>
          <rPr>
            <sz val="10"/>
            <color indexed="81"/>
            <rFont val="Tahoma"/>
            <family val="2"/>
          </rPr>
          <t xml:space="preserve"> </t>
        </r>
        <r>
          <rPr>
            <sz val="10"/>
            <color indexed="81"/>
            <rFont val="돋움"/>
            <family val="3"/>
            <charset val="129"/>
          </rPr>
          <t>이내</t>
        </r>
        <r>
          <rPr>
            <sz val="10"/>
            <color indexed="81"/>
            <rFont val="Tahoma"/>
            <family val="2"/>
          </rPr>
          <t xml:space="preserve">(5%) /  USD 3,175,000 /  2017.10.26 </t>
        </r>
        <r>
          <rPr>
            <sz val="10"/>
            <color indexed="81"/>
            <rFont val="돋움"/>
            <family val="3"/>
            <charset val="129"/>
          </rPr>
          <t xml:space="preserve">지급예정
</t>
        </r>
        <r>
          <rPr>
            <sz val="10"/>
            <color indexed="81"/>
            <rFont val="Tahoma"/>
            <family val="2"/>
          </rPr>
          <t xml:space="preserve"> 
</t>
        </r>
        <r>
          <rPr>
            <sz val="10"/>
            <color indexed="81"/>
            <rFont val="돋움"/>
            <family val="3"/>
            <charset val="129"/>
          </rPr>
          <t>다</t>
        </r>
        <r>
          <rPr>
            <sz val="10"/>
            <color indexed="81"/>
            <rFont val="Tahoma"/>
            <family val="2"/>
          </rPr>
          <t xml:space="preserve">. </t>
        </r>
        <r>
          <rPr>
            <sz val="10"/>
            <color indexed="81"/>
            <rFont val="돋움"/>
            <family val="3"/>
            <charset val="129"/>
          </rPr>
          <t xml:space="preserve">잔금
</t>
        </r>
        <r>
          <rPr>
            <sz val="10"/>
            <color indexed="81"/>
            <rFont val="Tahoma"/>
            <family val="2"/>
          </rPr>
          <t xml:space="preserve"> </t>
        </r>
        <r>
          <rPr>
            <sz val="10"/>
            <color indexed="81"/>
            <rFont val="돋움"/>
            <family val="3"/>
            <charset val="129"/>
          </rPr>
          <t>딜</t>
        </r>
        <r>
          <rPr>
            <sz val="10"/>
            <color indexed="81"/>
            <rFont val="Tahoma"/>
            <family val="2"/>
          </rPr>
          <t xml:space="preserve"> </t>
        </r>
        <r>
          <rPr>
            <sz val="10"/>
            <color indexed="81"/>
            <rFont val="돋움"/>
            <family val="3"/>
            <charset val="129"/>
          </rPr>
          <t>종료시</t>
        </r>
        <r>
          <rPr>
            <sz val="10"/>
            <color indexed="81"/>
            <rFont val="Tahoma"/>
            <family val="2"/>
          </rPr>
          <t>(90%) / USD 57,150,000 / 2018</t>
        </r>
        <r>
          <rPr>
            <sz val="10"/>
            <color indexed="81"/>
            <rFont val="돋움"/>
            <family val="3"/>
            <charset val="129"/>
          </rPr>
          <t>년</t>
        </r>
        <r>
          <rPr>
            <sz val="10"/>
            <color indexed="81"/>
            <rFont val="Tahoma"/>
            <family val="2"/>
          </rPr>
          <t xml:space="preserve"> 1</t>
        </r>
        <r>
          <rPr>
            <sz val="10"/>
            <color indexed="81"/>
            <rFont val="돋움"/>
            <family val="3"/>
            <charset val="129"/>
          </rPr>
          <t>분기</t>
        </r>
        <r>
          <rPr>
            <sz val="10"/>
            <color indexed="81"/>
            <rFont val="Tahoma"/>
            <family val="2"/>
          </rPr>
          <t xml:space="preserve"> </t>
        </r>
        <r>
          <rPr>
            <sz val="10"/>
            <color indexed="81"/>
            <rFont val="돋움"/>
            <family val="3"/>
            <charset val="129"/>
          </rPr>
          <t xml:space="preserve">중
</t>
        </r>
        <r>
          <rPr>
            <sz val="10"/>
            <color indexed="81"/>
            <rFont val="Tahoma"/>
            <family val="2"/>
          </rPr>
          <t xml:space="preserve"> SB18-</t>
        </r>
        <r>
          <rPr>
            <sz val="10"/>
            <color indexed="81"/>
            <rFont val="돋움"/>
            <family val="3"/>
            <charset val="129"/>
          </rPr>
          <t>전략기획부</t>
        </r>
        <r>
          <rPr>
            <sz val="10"/>
            <color indexed="81"/>
            <rFont val="Tahoma"/>
            <family val="2"/>
          </rPr>
          <t xml:space="preserve">-94 
 2018.01.05 </t>
        </r>
        <r>
          <rPr>
            <sz val="10"/>
            <color indexed="81"/>
            <rFont val="돋움"/>
            <family val="3"/>
            <charset val="129"/>
          </rPr>
          <t>외화가지급금</t>
        </r>
        <r>
          <rPr>
            <sz val="10"/>
            <color indexed="81"/>
            <rFont val="Tahoma"/>
            <family val="2"/>
          </rPr>
          <t xml:space="preserve"> </t>
        </r>
        <r>
          <rPr>
            <sz val="10"/>
            <color indexed="81"/>
            <rFont val="돋움"/>
            <family val="3"/>
            <charset val="129"/>
          </rPr>
          <t>발생</t>
        </r>
        <r>
          <rPr>
            <sz val="10"/>
            <color indexed="81"/>
            <rFont val="Tahoma"/>
            <family val="2"/>
          </rPr>
          <t xml:space="preserve"> 299-</t>
        </r>
        <r>
          <rPr>
            <sz val="10"/>
            <color indexed="81"/>
            <rFont val="돋움"/>
            <family val="3"/>
            <charset val="129"/>
          </rPr>
          <t>기타가지급금</t>
        </r>
        <r>
          <rPr>
            <sz val="10"/>
            <color indexed="81"/>
            <rFont val="Tahoma"/>
            <family val="2"/>
          </rPr>
          <t>, 750-</t>
        </r>
        <r>
          <rPr>
            <sz val="10"/>
            <color indexed="81"/>
            <rFont val="돋움"/>
            <family val="3"/>
            <charset val="129"/>
          </rPr>
          <t>외환공통</t>
        </r>
        <r>
          <rPr>
            <sz val="10"/>
            <color indexed="81"/>
            <rFont val="Tahoma"/>
            <family val="2"/>
          </rPr>
          <t xml:space="preserve"> (272</t>
        </r>
        <r>
          <rPr>
            <sz val="10"/>
            <color indexed="81"/>
            <rFont val="돋움"/>
            <family val="3"/>
            <charset val="129"/>
          </rPr>
          <t>점으로</t>
        </r>
        <r>
          <rPr>
            <sz val="10"/>
            <color indexed="81"/>
            <rFont val="Tahoma"/>
            <family val="2"/>
          </rPr>
          <t xml:space="preserve"> </t>
        </r>
        <r>
          <rPr>
            <sz val="10"/>
            <color indexed="81"/>
            <rFont val="돋움"/>
            <family val="3"/>
            <charset val="129"/>
          </rPr>
          <t>전금처리</t>
        </r>
        <r>
          <rPr>
            <sz val="10"/>
            <color indexed="81"/>
            <rFont val="Tahoma"/>
            <family val="2"/>
          </rPr>
          <t xml:space="preserve"> </t>
        </r>
        <r>
          <rPr>
            <sz val="10"/>
            <color indexed="81"/>
            <rFont val="돋움"/>
            <family val="3"/>
            <charset val="129"/>
          </rPr>
          <t>완료</t>
        </r>
        <r>
          <rPr>
            <sz val="10"/>
            <color indexed="81"/>
            <rFont val="Tahoma"/>
            <family val="2"/>
          </rPr>
          <t>)</t>
        </r>
        <r>
          <rPr>
            <sz val="10"/>
            <color indexed="81"/>
            <rFont val="돋움"/>
            <family val="3"/>
            <charset val="129"/>
          </rPr>
          <t xml:space="preserve">
</t>
        </r>
        <r>
          <rPr>
            <sz val="10"/>
            <color indexed="81"/>
            <rFont val="Tahoma"/>
            <family val="2"/>
          </rPr>
          <t xml:space="preserve"> </t>
        </r>
        <r>
          <rPr>
            <sz val="10"/>
            <color indexed="81"/>
            <rFont val="돋움"/>
            <family val="3"/>
            <charset val="129"/>
          </rPr>
          <t xml:space="preserve">
라</t>
        </r>
        <r>
          <rPr>
            <sz val="10"/>
            <color indexed="81"/>
            <rFont val="Tahoma"/>
            <family val="2"/>
          </rPr>
          <t xml:space="preserve">. </t>
        </r>
        <r>
          <rPr>
            <sz val="10"/>
            <color indexed="81"/>
            <rFont val="돋움"/>
            <family val="3"/>
            <charset val="129"/>
          </rPr>
          <t>주주대여금</t>
        </r>
        <r>
          <rPr>
            <sz val="10"/>
            <color indexed="81"/>
            <rFont val="Tahoma"/>
            <family val="2"/>
          </rPr>
          <t xml:space="preserve"> </t>
        </r>
        <r>
          <rPr>
            <sz val="10"/>
            <color indexed="81"/>
            <rFont val="돋움"/>
            <family val="3"/>
            <charset val="129"/>
          </rPr>
          <t>대환</t>
        </r>
        <r>
          <rPr>
            <sz val="10"/>
            <color indexed="81"/>
            <rFont val="Tahoma"/>
            <family val="2"/>
          </rPr>
          <t xml:space="preserve"> - </t>
        </r>
        <r>
          <rPr>
            <sz val="10"/>
            <color indexed="81"/>
            <rFont val="돋움"/>
            <family val="3"/>
            <charset val="129"/>
          </rPr>
          <t>외화대여금</t>
        </r>
        <r>
          <rPr>
            <sz val="10"/>
            <color indexed="81"/>
            <rFont val="Tahoma"/>
            <family val="2"/>
          </rPr>
          <t xml:space="preserve"> </t>
        </r>
        <r>
          <rPr>
            <sz val="10"/>
            <color indexed="81"/>
            <rFont val="돋움"/>
            <family val="3"/>
            <charset val="129"/>
          </rPr>
          <t>또는</t>
        </r>
        <r>
          <rPr>
            <sz val="10"/>
            <color indexed="81"/>
            <rFont val="Tahoma"/>
            <family val="2"/>
          </rPr>
          <t xml:space="preserve"> </t>
        </r>
        <r>
          <rPr>
            <sz val="10"/>
            <color indexed="81"/>
            <rFont val="돋움"/>
            <family val="3"/>
            <charset val="129"/>
          </rPr>
          <t>외화대출금</t>
        </r>
        <r>
          <rPr>
            <sz val="10"/>
            <color indexed="81"/>
            <rFont val="Tahoma"/>
            <family val="2"/>
          </rPr>
          <t xml:space="preserve"> </t>
        </r>
        <r>
          <rPr>
            <sz val="10"/>
            <color indexed="81"/>
            <rFont val="돋움"/>
            <family val="3"/>
            <charset val="129"/>
          </rPr>
          <t>게정</t>
        </r>
        <r>
          <rPr>
            <sz val="10"/>
            <color indexed="81"/>
            <rFont val="Tahoma"/>
            <family val="2"/>
          </rPr>
          <t xml:space="preserve">
 </t>
        </r>
        <r>
          <rPr>
            <sz val="10"/>
            <color indexed="81"/>
            <rFont val="돋움"/>
            <family val="3"/>
            <charset val="129"/>
          </rPr>
          <t>딜</t>
        </r>
        <r>
          <rPr>
            <sz val="10"/>
            <color indexed="81"/>
            <rFont val="Tahoma"/>
            <family val="2"/>
          </rPr>
          <t xml:space="preserve"> </t>
        </r>
        <r>
          <rPr>
            <sz val="10"/>
            <color indexed="81"/>
            <rFont val="돋움"/>
            <family val="3"/>
            <charset val="129"/>
          </rPr>
          <t>종료후</t>
        </r>
        <r>
          <rPr>
            <sz val="10"/>
            <color indexed="81"/>
            <rFont val="Tahoma"/>
            <family val="2"/>
          </rPr>
          <t xml:space="preserve"> 6</t>
        </r>
        <r>
          <rPr>
            <sz val="10"/>
            <color indexed="81"/>
            <rFont val="돋움"/>
            <family val="3"/>
            <charset val="129"/>
          </rPr>
          <t>개월</t>
        </r>
        <r>
          <rPr>
            <sz val="10"/>
            <color indexed="81"/>
            <rFont val="Tahoma"/>
            <family val="2"/>
          </rPr>
          <t xml:space="preserve"> </t>
        </r>
        <r>
          <rPr>
            <sz val="10"/>
            <color indexed="81"/>
            <rFont val="돋움"/>
            <family val="3"/>
            <charset val="129"/>
          </rPr>
          <t>이내</t>
        </r>
        <r>
          <rPr>
            <sz val="10"/>
            <color indexed="81"/>
            <rFont val="Tahoma"/>
            <family val="2"/>
          </rPr>
          <t xml:space="preserve"> / USD 60,000,000 / </t>
        </r>
        <r>
          <rPr>
            <sz val="10"/>
            <color indexed="81"/>
            <rFont val="돋움"/>
            <family val="3"/>
            <charset val="129"/>
          </rPr>
          <t xml:space="preserve">금액변경예상
</t>
        </r>
        <r>
          <rPr>
            <sz val="10"/>
            <color indexed="81"/>
            <rFont val="Tahoma"/>
            <family val="2"/>
          </rPr>
          <t xml:space="preserve"> 
</t>
        </r>
        <r>
          <rPr>
            <sz val="10"/>
            <color indexed="81"/>
            <rFont val="돋움"/>
            <family val="3"/>
            <charset val="129"/>
          </rPr>
          <t>마</t>
        </r>
        <r>
          <rPr>
            <sz val="10"/>
            <color indexed="81"/>
            <rFont val="Tahoma"/>
            <family val="2"/>
          </rPr>
          <t xml:space="preserve">. </t>
        </r>
        <r>
          <rPr>
            <sz val="10"/>
            <color indexed="81"/>
            <rFont val="돋움"/>
            <family val="3"/>
            <charset val="129"/>
          </rPr>
          <t xml:space="preserve">합계
</t>
        </r>
        <r>
          <rPr>
            <sz val="10"/>
            <color indexed="81"/>
            <rFont val="Tahoma"/>
            <family val="2"/>
          </rPr>
          <t xml:space="preserve">   USD 123,500,000
---------------------------------------------------------------------------------------------------------------------
</t>
        </r>
        <r>
          <rPr>
            <sz val="10"/>
            <color indexed="81"/>
            <rFont val="돋움"/>
            <family val="3"/>
            <charset val="129"/>
          </rPr>
          <t>가</t>
        </r>
        <r>
          <rPr>
            <sz val="10"/>
            <color indexed="81"/>
            <rFont val="Tahoma"/>
            <family val="2"/>
          </rPr>
          <t xml:space="preserve">. </t>
        </r>
        <r>
          <rPr>
            <sz val="10"/>
            <color indexed="81"/>
            <rFont val="돋움"/>
            <family val="3"/>
            <charset val="129"/>
          </rPr>
          <t>자산성장에</t>
        </r>
        <r>
          <rPr>
            <sz val="10"/>
            <color indexed="81"/>
            <rFont val="Tahoma"/>
            <family val="2"/>
          </rPr>
          <t xml:space="preserve"> </t>
        </r>
        <r>
          <rPr>
            <sz val="10"/>
            <color indexed="81"/>
            <rFont val="돋움"/>
            <family val="3"/>
            <charset val="129"/>
          </rPr>
          <t>따른</t>
        </r>
        <r>
          <rPr>
            <sz val="10"/>
            <color indexed="81"/>
            <rFont val="Tahoma"/>
            <family val="2"/>
          </rPr>
          <t xml:space="preserve"> </t>
        </r>
        <r>
          <rPr>
            <sz val="10"/>
            <color indexed="81"/>
            <rFont val="돋움"/>
            <family val="3"/>
            <charset val="129"/>
          </rPr>
          <t>추가</t>
        </r>
        <r>
          <rPr>
            <sz val="10"/>
            <color indexed="81"/>
            <rFont val="Tahoma"/>
            <family val="2"/>
          </rPr>
          <t xml:space="preserve"> </t>
        </r>
        <r>
          <rPr>
            <sz val="10"/>
            <color indexed="81"/>
            <rFont val="돋움"/>
            <family val="3"/>
            <charset val="129"/>
          </rPr>
          <t>영업자금</t>
        </r>
        <r>
          <rPr>
            <sz val="10"/>
            <color indexed="81"/>
            <rFont val="Tahoma"/>
            <family val="2"/>
          </rPr>
          <t xml:space="preserve"> </t>
        </r>
        <r>
          <rPr>
            <sz val="10"/>
            <color indexed="81"/>
            <rFont val="돋움"/>
            <family val="3"/>
            <charset val="129"/>
          </rPr>
          <t xml:space="preserve">지원
</t>
        </r>
        <r>
          <rPr>
            <sz val="10"/>
            <color indexed="81"/>
            <rFont val="Tahoma"/>
            <family val="2"/>
          </rPr>
          <t xml:space="preserve">     - </t>
        </r>
        <r>
          <rPr>
            <sz val="10"/>
            <color indexed="81"/>
            <rFont val="돋움"/>
            <family val="3"/>
            <charset val="129"/>
          </rPr>
          <t>지원시기</t>
        </r>
        <r>
          <rPr>
            <sz val="10"/>
            <color indexed="81"/>
            <rFont val="Tahoma"/>
            <family val="2"/>
          </rPr>
          <t xml:space="preserve"> </t>
        </r>
        <r>
          <rPr>
            <sz val="10"/>
            <color indexed="81"/>
            <rFont val="돋움"/>
            <family val="3"/>
            <charset val="129"/>
          </rPr>
          <t>및</t>
        </r>
        <r>
          <rPr>
            <sz val="10"/>
            <color indexed="81"/>
            <rFont val="Tahoma"/>
            <family val="2"/>
          </rPr>
          <t xml:space="preserve"> </t>
        </r>
        <r>
          <rPr>
            <sz val="10"/>
            <color indexed="81"/>
            <rFont val="돋움"/>
            <family val="3"/>
            <charset val="129"/>
          </rPr>
          <t>규모</t>
        </r>
        <r>
          <rPr>
            <sz val="10"/>
            <color indexed="81"/>
            <rFont val="Tahoma"/>
            <family val="2"/>
          </rPr>
          <t xml:space="preserve"> : PMI</t>
        </r>
        <r>
          <rPr>
            <sz val="10"/>
            <color indexed="81"/>
            <rFont val="돋움"/>
            <family val="3"/>
            <charset val="129"/>
          </rPr>
          <t>를</t>
        </r>
        <r>
          <rPr>
            <sz val="10"/>
            <color indexed="81"/>
            <rFont val="Tahoma"/>
            <family val="2"/>
          </rPr>
          <t xml:space="preserve"> </t>
        </r>
        <r>
          <rPr>
            <sz val="10"/>
            <color indexed="81"/>
            <rFont val="돋움"/>
            <family val="3"/>
            <charset val="129"/>
          </rPr>
          <t>통해</t>
        </r>
        <r>
          <rPr>
            <sz val="10"/>
            <color indexed="81"/>
            <rFont val="Tahoma"/>
            <family val="2"/>
          </rPr>
          <t xml:space="preserve"> </t>
        </r>
        <r>
          <rPr>
            <sz val="10"/>
            <color indexed="81"/>
            <rFont val="돋움"/>
            <family val="3"/>
            <charset val="129"/>
          </rPr>
          <t>시기별</t>
        </r>
        <r>
          <rPr>
            <sz val="10"/>
            <color indexed="81"/>
            <rFont val="Tahoma"/>
            <family val="2"/>
          </rPr>
          <t xml:space="preserve"> </t>
        </r>
        <r>
          <rPr>
            <sz val="10"/>
            <color indexed="81"/>
            <rFont val="돋움"/>
            <family val="3"/>
            <charset val="129"/>
          </rPr>
          <t>지원규모</t>
        </r>
        <r>
          <rPr>
            <sz val="10"/>
            <color indexed="81"/>
            <rFont val="Tahoma"/>
            <family val="2"/>
          </rPr>
          <t xml:space="preserve"> </t>
        </r>
        <r>
          <rPr>
            <sz val="10"/>
            <color indexed="81"/>
            <rFont val="돋움"/>
            <family val="3"/>
            <charset val="129"/>
          </rPr>
          <t>추정</t>
        </r>
        <r>
          <rPr>
            <sz val="10"/>
            <color indexed="81"/>
            <rFont val="Tahoma"/>
            <family val="2"/>
          </rPr>
          <t xml:space="preserve"> </t>
        </r>
        <r>
          <rPr>
            <sz val="10"/>
            <color indexed="81"/>
            <rFont val="돋움"/>
            <family val="3"/>
            <charset val="129"/>
          </rPr>
          <t xml:space="preserve">예정
</t>
        </r>
        <r>
          <rPr>
            <sz val="10"/>
            <color indexed="81"/>
            <rFont val="Tahoma"/>
            <family val="2"/>
          </rPr>
          <t xml:space="preserve">     - </t>
        </r>
        <r>
          <rPr>
            <sz val="10"/>
            <color indexed="81"/>
            <rFont val="돋움"/>
            <family val="3"/>
            <charset val="129"/>
          </rPr>
          <t>처리방법</t>
        </r>
        <r>
          <rPr>
            <sz val="10"/>
            <color indexed="81"/>
            <rFont val="Tahoma"/>
            <family val="2"/>
          </rPr>
          <t xml:space="preserve"> : </t>
        </r>
        <r>
          <rPr>
            <sz val="10"/>
            <color indexed="81"/>
            <rFont val="돋움"/>
            <family val="3"/>
            <charset val="129"/>
          </rPr>
          <t>관련부서</t>
        </r>
        <r>
          <rPr>
            <sz val="10"/>
            <color indexed="81"/>
            <rFont val="Tahoma"/>
            <family val="2"/>
          </rPr>
          <t>(</t>
        </r>
        <r>
          <rPr>
            <sz val="10"/>
            <color indexed="81"/>
            <rFont val="돋움"/>
            <family val="3"/>
            <charset val="129"/>
          </rPr>
          <t>재무기획부</t>
        </r>
        <r>
          <rPr>
            <sz val="10"/>
            <color indexed="81"/>
            <rFont val="Tahoma"/>
            <family val="2"/>
          </rPr>
          <t xml:space="preserve">, </t>
        </r>
        <r>
          <rPr>
            <sz val="10"/>
            <color indexed="81"/>
            <rFont val="돋움"/>
            <family val="3"/>
            <charset val="129"/>
          </rPr>
          <t>국제금융부</t>
        </r>
        <r>
          <rPr>
            <sz val="10"/>
            <color indexed="81"/>
            <rFont val="Tahoma"/>
            <family val="2"/>
          </rPr>
          <t xml:space="preserve"> </t>
        </r>
        <r>
          <rPr>
            <sz val="10"/>
            <color indexed="81"/>
            <rFont val="돋움"/>
            <family val="3"/>
            <charset val="129"/>
          </rPr>
          <t>등</t>
        </r>
        <r>
          <rPr>
            <sz val="10"/>
            <color indexed="81"/>
            <rFont val="Tahoma"/>
            <family val="2"/>
          </rPr>
          <t>)</t>
        </r>
        <r>
          <rPr>
            <sz val="10"/>
            <color indexed="81"/>
            <rFont val="돋움"/>
            <family val="3"/>
            <charset val="129"/>
          </rPr>
          <t>와</t>
        </r>
        <r>
          <rPr>
            <sz val="10"/>
            <color indexed="81"/>
            <rFont val="Tahoma"/>
            <family val="2"/>
          </rPr>
          <t xml:space="preserve"> </t>
        </r>
        <r>
          <rPr>
            <sz val="10"/>
            <color indexed="81"/>
            <rFont val="돋움"/>
            <family val="3"/>
            <charset val="129"/>
          </rPr>
          <t>협의후</t>
        </r>
        <r>
          <rPr>
            <sz val="10"/>
            <color indexed="81"/>
            <rFont val="Tahoma"/>
            <family val="2"/>
          </rPr>
          <t xml:space="preserve"> </t>
        </r>
        <r>
          <rPr>
            <sz val="10"/>
            <color indexed="81"/>
            <rFont val="돋움"/>
            <family val="3"/>
            <charset val="129"/>
          </rPr>
          <t>확정</t>
        </r>
        <r>
          <rPr>
            <sz val="10"/>
            <color indexed="81"/>
            <rFont val="Tahoma"/>
            <family val="2"/>
          </rPr>
          <t xml:space="preserve"> </t>
        </r>
        <r>
          <rPr>
            <sz val="10"/>
            <color indexed="81"/>
            <rFont val="돋움"/>
            <family val="3"/>
            <charset val="129"/>
          </rPr>
          <t xml:space="preserve">예정
</t>
        </r>
        <r>
          <rPr>
            <sz val="10"/>
            <color indexed="81"/>
            <rFont val="Tahoma"/>
            <family val="2"/>
          </rPr>
          <t xml:space="preserve">       </t>
        </r>
        <r>
          <rPr>
            <sz val="10"/>
            <color indexed="81"/>
            <rFont val="돋움"/>
            <family val="3"/>
            <charset val="129"/>
          </rPr>
          <t>☞</t>
        </r>
        <r>
          <rPr>
            <sz val="10"/>
            <color indexed="81"/>
            <rFont val="Tahoma"/>
            <family val="2"/>
          </rPr>
          <t xml:space="preserve"> </t>
        </r>
        <r>
          <rPr>
            <sz val="10"/>
            <color indexed="81"/>
            <rFont val="돋움"/>
            <family val="3"/>
            <charset val="129"/>
          </rPr>
          <t>외화대여금</t>
        </r>
        <r>
          <rPr>
            <sz val="10"/>
            <color indexed="81"/>
            <rFont val="Tahoma"/>
            <family val="2"/>
          </rPr>
          <t xml:space="preserve"> </t>
        </r>
        <r>
          <rPr>
            <sz val="10"/>
            <color indexed="81"/>
            <rFont val="돋움"/>
            <family val="3"/>
            <charset val="129"/>
          </rPr>
          <t>처리시</t>
        </r>
        <r>
          <rPr>
            <sz val="10"/>
            <color indexed="81"/>
            <rFont val="Tahoma"/>
            <family val="2"/>
          </rPr>
          <t xml:space="preserve"> </t>
        </r>
        <r>
          <rPr>
            <sz val="10"/>
            <color indexed="81"/>
            <rFont val="돋움"/>
            <family val="3"/>
            <charset val="129"/>
          </rPr>
          <t>국제금융부장</t>
        </r>
        <r>
          <rPr>
            <sz val="10"/>
            <color indexed="81"/>
            <rFont val="Tahoma"/>
            <family val="2"/>
          </rPr>
          <t xml:space="preserve"> </t>
        </r>
        <r>
          <rPr>
            <sz val="10"/>
            <color indexed="81"/>
            <rFont val="돋움"/>
            <family val="3"/>
            <charset val="129"/>
          </rPr>
          <t>또는</t>
        </r>
        <r>
          <rPr>
            <sz val="10"/>
            <color indexed="81"/>
            <rFont val="Tahoma"/>
            <family val="2"/>
          </rPr>
          <t xml:space="preserve"> </t>
        </r>
        <r>
          <rPr>
            <sz val="10"/>
            <color indexed="81"/>
            <rFont val="돋움"/>
            <family val="3"/>
            <charset val="129"/>
          </rPr>
          <t>자금시장본부장</t>
        </r>
        <r>
          <rPr>
            <sz val="10"/>
            <color indexed="81"/>
            <rFont val="Tahoma"/>
            <family val="2"/>
          </rPr>
          <t xml:space="preserve"> </t>
        </r>
        <r>
          <rPr>
            <sz val="10"/>
            <color indexed="81"/>
            <rFont val="돋움"/>
            <family val="3"/>
            <charset val="129"/>
          </rPr>
          <t>전결</t>
        </r>
        <r>
          <rPr>
            <sz val="10"/>
            <color indexed="81"/>
            <rFont val="Tahoma"/>
            <family val="2"/>
          </rPr>
          <t xml:space="preserve">, </t>
        </r>
        <r>
          <rPr>
            <sz val="10"/>
            <color indexed="81"/>
            <rFont val="돋움"/>
            <family val="3"/>
            <charset val="129"/>
          </rPr>
          <t xml:space="preserve">외화대출금
</t>
        </r>
        <r>
          <rPr>
            <sz val="10"/>
            <color indexed="81"/>
            <rFont val="Tahoma"/>
            <family val="2"/>
          </rPr>
          <t xml:space="preserve">          </t>
        </r>
        <r>
          <rPr>
            <sz val="10"/>
            <color indexed="81"/>
            <rFont val="돋움"/>
            <family val="3"/>
            <charset val="129"/>
          </rPr>
          <t>처리시</t>
        </r>
        <r>
          <rPr>
            <sz val="10"/>
            <color indexed="81"/>
            <rFont val="Tahoma"/>
            <family val="2"/>
          </rPr>
          <t xml:space="preserve"> </t>
        </r>
        <r>
          <rPr>
            <sz val="10"/>
            <color indexed="81"/>
            <rFont val="돋움"/>
            <family val="3"/>
            <charset val="129"/>
          </rPr>
          <t>부서장여신협의회</t>
        </r>
        <r>
          <rPr>
            <sz val="10"/>
            <color indexed="81"/>
            <rFont val="Tahoma"/>
            <family val="2"/>
          </rPr>
          <t xml:space="preserve"> or </t>
        </r>
        <r>
          <rPr>
            <sz val="10"/>
            <color indexed="81"/>
            <rFont val="돋움"/>
            <family val="3"/>
            <charset val="129"/>
          </rPr>
          <t>여신협의회</t>
        </r>
        <r>
          <rPr>
            <sz val="10"/>
            <color indexed="81"/>
            <rFont val="Tahoma"/>
            <family val="2"/>
          </rPr>
          <t xml:space="preserve"> </t>
        </r>
        <r>
          <rPr>
            <sz val="10"/>
            <color indexed="81"/>
            <rFont val="돋움"/>
            <family val="3"/>
            <charset val="129"/>
          </rPr>
          <t>전결
나</t>
        </r>
        <r>
          <rPr>
            <sz val="10"/>
            <color indexed="81"/>
            <rFont val="Tahoma"/>
            <family val="2"/>
          </rPr>
          <t xml:space="preserve">. </t>
        </r>
        <r>
          <rPr>
            <sz val="10"/>
            <color indexed="81"/>
            <rFont val="돋움"/>
            <family val="3"/>
            <charset val="129"/>
          </rPr>
          <t>출자금액</t>
        </r>
        <r>
          <rPr>
            <sz val="10"/>
            <color indexed="81"/>
            <rFont val="Tahoma"/>
            <family val="2"/>
          </rPr>
          <t xml:space="preserve"> </t>
        </r>
        <r>
          <rPr>
            <sz val="10"/>
            <color indexed="81"/>
            <rFont val="돋움"/>
            <family val="3"/>
            <charset val="129"/>
          </rPr>
          <t>증액</t>
        </r>
        <r>
          <rPr>
            <sz val="10"/>
            <color indexed="81"/>
            <rFont val="Tahoma"/>
            <family val="2"/>
          </rPr>
          <t>(</t>
        </r>
        <r>
          <rPr>
            <sz val="10"/>
            <color indexed="81"/>
            <rFont val="돋움"/>
            <family val="3"/>
            <charset val="129"/>
          </rPr>
          <t>자본금</t>
        </r>
        <r>
          <rPr>
            <sz val="10"/>
            <color indexed="81"/>
            <rFont val="Tahoma"/>
            <family val="2"/>
          </rPr>
          <t xml:space="preserve"> </t>
        </r>
        <r>
          <rPr>
            <sz val="10"/>
            <color indexed="81"/>
            <rFont val="돋움"/>
            <family val="3"/>
            <charset val="129"/>
          </rPr>
          <t>증자</t>
        </r>
        <r>
          <rPr>
            <sz val="10"/>
            <color indexed="81"/>
            <rFont val="Tahoma"/>
            <family val="2"/>
          </rPr>
          <t xml:space="preserve">)
     - </t>
        </r>
        <r>
          <rPr>
            <sz val="10"/>
            <color indexed="81"/>
            <rFont val="돋움"/>
            <family val="3"/>
            <charset val="129"/>
          </rPr>
          <t>증액사유</t>
        </r>
        <r>
          <rPr>
            <sz val="10"/>
            <color indexed="81"/>
            <rFont val="Tahoma"/>
            <family val="2"/>
          </rPr>
          <t xml:space="preserve"> : </t>
        </r>
        <r>
          <rPr>
            <sz val="10"/>
            <color indexed="81"/>
            <rFont val="돋움"/>
            <family val="3"/>
            <charset val="129"/>
          </rPr>
          <t>상업은행</t>
        </r>
        <r>
          <rPr>
            <sz val="10"/>
            <color indexed="81"/>
            <rFont val="Tahoma"/>
            <family val="2"/>
          </rPr>
          <t xml:space="preserve"> </t>
        </r>
        <r>
          <rPr>
            <sz val="10"/>
            <color indexed="81"/>
            <rFont val="돋움"/>
            <family val="3"/>
            <charset val="129"/>
          </rPr>
          <t>전환을</t>
        </r>
        <r>
          <rPr>
            <sz val="10"/>
            <color indexed="81"/>
            <rFont val="Tahoma"/>
            <family val="2"/>
          </rPr>
          <t xml:space="preserve"> </t>
        </r>
        <r>
          <rPr>
            <sz val="10"/>
            <color indexed="81"/>
            <rFont val="돋움"/>
            <family val="3"/>
            <charset val="129"/>
          </rPr>
          <t>위한</t>
        </r>
        <r>
          <rPr>
            <sz val="10"/>
            <color indexed="81"/>
            <rFont val="Tahoma"/>
            <family val="2"/>
          </rPr>
          <t xml:space="preserve"> </t>
        </r>
        <r>
          <rPr>
            <sz val="10"/>
            <color indexed="81"/>
            <rFont val="돋움"/>
            <family val="3"/>
            <charset val="129"/>
          </rPr>
          <t>법적</t>
        </r>
        <r>
          <rPr>
            <sz val="10"/>
            <color indexed="81"/>
            <rFont val="Tahoma"/>
            <family val="2"/>
          </rPr>
          <t xml:space="preserve"> </t>
        </r>
        <r>
          <rPr>
            <sz val="10"/>
            <color indexed="81"/>
            <rFont val="돋움"/>
            <family val="3"/>
            <charset val="129"/>
          </rPr>
          <t>최소자본금</t>
        </r>
        <r>
          <rPr>
            <sz val="10"/>
            <color indexed="81"/>
            <rFont val="Tahoma"/>
            <family val="2"/>
          </rPr>
          <t xml:space="preserve"> </t>
        </r>
        <r>
          <rPr>
            <sz val="10"/>
            <color indexed="81"/>
            <rFont val="돋움"/>
            <family val="3"/>
            <charset val="129"/>
          </rPr>
          <t xml:space="preserve">확보
</t>
        </r>
        <r>
          <rPr>
            <sz val="10"/>
            <color indexed="81"/>
            <rFont val="Tahoma"/>
            <family val="2"/>
          </rPr>
          <t xml:space="preserve">     - </t>
        </r>
        <r>
          <rPr>
            <sz val="10"/>
            <color indexed="81"/>
            <rFont val="돋움"/>
            <family val="3"/>
            <charset val="129"/>
          </rPr>
          <t>증액규모</t>
        </r>
        <r>
          <rPr>
            <sz val="10"/>
            <color indexed="81"/>
            <rFont val="Tahoma"/>
            <family val="2"/>
          </rPr>
          <t xml:space="preserve"> : USD75,000K(</t>
        </r>
        <r>
          <rPr>
            <sz val="10"/>
            <color indexed="81"/>
            <rFont val="돋움"/>
            <family val="3"/>
            <charset val="129"/>
          </rPr>
          <t>현재</t>
        </r>
        <r>
          <rPr>
            <sz val="10"/>
            <color indexed="81"/>
            <rFont val="Tahoma"/>
            <family val="2"/>
          </rPr>
          <t xml:space="preserve"> USD20,000K</t>
        </r>
        <r>
          <rPr>
            <sz val="10"/>
            <color indexed="81"/>
            <rFont val="돋움"/>
            <family val="3"/>
            <charset val="129"/>
          </rPr>
          <t>으로</t>
        </r>
        <r>
          <rPr>
            <sz val="10"/>
            <color indexed="81"/>
            <rFont val="Tahoma"/>
            <family val="2"/>
          </rPr>
          <t xml:space="preserve"> USD55,000K </t>
        </r>
        <r>
          <rPr>
            <sz val="10"/>
            <color indexed="81"/>
            <rFont val="돋움"/>
            <family val="3"/>
            <charset val="129"/>
          </rPr>
          <t>증액</t>
        </r>
        <r>
          <rPr>
            <sz val="10"/>
            <color indexed="81"/>
            <rFont val="Tahoma"/>
            <family val="2"/>
          </rPr>
          <t xml:space="preserve">)
     - </t>
        </r>
        <r>
          <rPr>
            <sz val="10"/>
            <color indexed="81"/>
            <rFont val="돋움"/>
            <family val="3"/>
            <charset val="129"/>
          </rPr>
          <t>증액방법</t>
        </r>
        <r>
          <rPr>
            <sz val="10"/>
            <color indexed="81"/>
            <rFont val="Tahoma"/>
            <family val="2"/>
          </rPr>
          <t xml:space="preserve"> : </t>
        </r>
        <r>
          <rPr>
            <sz val="10"/>
            <color indexed="81"/>
            <rFont val="돋움"/>
            <family val="3"/>
            <charset val="129"/>
          </rPr>
          <t>기</t>
        </r>
        <r>
          <rPr>
            <sz val="10"/>
            <color indexed="81"/>
            <rFont val="Tahoma"/>
            <family val="2"/>
          </rPr>
          <t xml:space="preserve"> </t>
        </r>
        <r>
          <rPr>
            <sz val="10"/>
            <color indexed="81"/>
            <rFont val="돋움"/>
            <family val="3"/>
            <charset val="129"/>
          </rPr>
          <t>지원한</t>
        </r>
        <r>
          <rPr>
            <sz val="10"/>
            <color indexed="81"/>
            <rFont val="Tahoma"/>
            <family val="2"/>
          </rPr>
          <t xml:space="preserve"> </t>
        </r>
        <r>
          <rPr>
            <sz val="10"/>
            <color indexed="81"/>
            <rFont val="돋움"/>
            <family val="3"/>
            <charset val="129"/>
          </rPr>
          <t>대여금을</t>
        </r>
        <r>
          <rPr>
            <sz val="10"/>
            <color indexed="81"/>
            <rFont val="Tahoma"/>
            <family val="2"/>
          </rPr>
          <t xml:space="preserve"> </t>
        </r>
        <r>
          <rPr>
            <sz val="10"/>
            <color indexed="81"/>
            <rFont val="돋움"/>
            <family val="3"/>
            <charset val="129"/>
          </rPr>
          <t>자본금으로</t>
        </r>
        <r>
          <rPr>
            <sz val="10"/>
            <color indexed="81"/>
            <rFont val="Tahoma"/>
            <family val="2"/>
          </rPr>
          <t xml:space="preserve"> </t>
        </r>
        <r>
          <rPr>
            <sz val="10"/>
            <color indexed="81"/>
            <rFont val="돋움"/>
            <family val="3"/>
            <charset val="129"/>
          </rPr>
          <t>전환</t>
        </r>
        <r>
          <rPr>
            <sz val="10"/>
            <color indexed="81"/>
            <rFont val="Tahoma"/>
            <family val="2"/>
          </rPr>
          <t>(</t>
        </r>
        <r>
          <rPr>
            <sz val="10"/>
            <color indexed="81"/>
            <rFont val="돋움"/>
            <family val="3"/>
            <charset val="129"/>
          </rPr>
          <t>추가적인</t>
        </r>
        <r>
          <rPr>
            <sz val="10"/>
            <color indexed="81"/>
            <rFont val="Tahoma"/>
            <family val="2"/>
          </rPr>
          <t xml:space="preserve"> </t>
        </r>
        <r>
          <rPr>
            <sz val="10"/>
            <color indexed="81"/>
            <rFont val="돋움"/>
            <family val="3"/>
            <charset val="129"/>
          </rPr>
          <t>자금지원</t>
        </r>
        <r>
          <rPr>
            <sz val="10"/>
            <color indexed="81"/>
            <rFont val="Tahoma"/>
            <family val="2"/>
          </rPr>
          <t xml:space="preserve"> </t>
        </r>
        <r>
          <rPr>
            <sz val="10"/>
            <color indexed="81"/>
            <rFont val="돋움"/>
            <family val="3"/>
            <charset val="129"/>
          </rPr>
          <t>없음</t>
        </r>
        <r>
          <rPr>
            <sz val="10"/>
            <color indexed="81"/>
            <rFont val="Tahoma"/>
            <family val="2"/>
          </rPr>
          <t xml:space="preserve">)
     - </t>
        </r>
        <r>
          <rPr>
            <sz val="10"/>
            <color indexed="81"/>
            <rFont val="돋움"/>
            <family val="3"/>
            <charset val="129"/>
          </rPr>
          <t>증액시기</t>
        </r>
        <r>
          <rPr>
            <sz val="10"/>
            <color indexed="81"/>
            <rFont val="Tahoma"/>
            <family val="2"/>
          </rPr>
          <t xml:space="preserve"> : </t>
        </r>
        <r>
          <rPr>
            <sz val="10"/>
            <color indexed="81"/>
            <rFont val="돋움"/>
            <family val="3"/>
            <charset val="129"/>
          </rPr>
          <t>상업은행</t>
        </r>
        <r>
          <rPr>
            <sz val="10"/>
            <color indexed="81"/>
            <rFont val="Tahoma"/>
            <family val="2"/>
          </rPr>
          <t xml:space="preserve"> </t>
        </r>
        <r>
          <rPr>
            <sz val="10"/>
            <color indexed="81"/>
            <rFont val="돋움"/>
            <family val="3"/>
            <charset val="129"/>
          </rPr>
          <t>전환</t>
        </r>
        <r>
          <rPr>
            <sz val="10"/>
            <color indexed="81"/>
            <rFont val="Tahoma"/>
            <family val="2"/>
          </rPr>
          <t xml:space="preserve"> </t>
        </r>
        <r>
          <rPr>
            <sz val="10"/>
            <color indexed="81"/>
            <rFont val="돋움"/>
            <family val="3"/>
            <charset val="129"/>
          </rPr>
          <t>검토</t>
        </r>
        <r>
          <rPr>
            <sz val="10"/>
            <color indexed="81"/>
            <rFont val="Tahoma"/>
            <family val="2"/>
          </rPr>
          <t xml:space="preserve"> </t>
        </r>
        <r>
          <rPr>
            <sz val="10"/>
            <color indexed="81"/>
            <rFont val="돋움"/>
            <family val="3"/>
            <charset val="129"/>
          </rPr>
          <t>및</t>
        </r>
        <r>
          <rPr>
            <sz val="10"/>
            <color indexed="81"/>
            <rFont val="Tahoma"/>
            <family val="2"/>
          </rPr>
          <t xml:space="preserve"> NBC </t>
        </r>
        <r>
          <rPr>
            <sz val="10"/>
            <color indexed="81"/>
            <rFont val="돋움"/>
            <family val="3"/>
            <charset val="129"/>
          </rPr>
          <t>승인</t>
        </r>
        <r>
          <rPr>
            <sz val="10"/>
            <color indexed="81"/>
            <rFont val="Tahoma"/>
            <family val="2"/>
          </rPr>
          <t xml:space="preserve"> </t>
        </r>
        <r>
          <rPr>
            <sz val="10"/>
            <color indexed="81"/>
            <rFont val="돋움"/>
            <family val="3"/>
            <charset val="129"/>
          </rPr>
          <t xml:space="preserve">완료후
</t>
        </r>
        <r>
          <rPr>
            <sz val="10"/>
            <color indexed="81"/>
            <rFont val="Tahoma"/>
            <family val="2"/>
          </rPr>
          <t xml:space="preserve">     - </t>
        </r>
        <r>
          <rPr>
            <sz val="10"/>
            <color indexed="81"/>
            <rFont val="돋움"/>
            <family val="3"/>
            <charset val="129"/>
          </rPr>
          <t>내부절차</t>
        </r>
        <r>
          <rPr>
            <sz val="10"/>
            <color indexed="81"/>
            <rFont val="Tahoma"/>
            <family val="2"/>
          </rPr>
          <t xml:space="preserve"> : </t>
        </r>
        <r>
          <rPr>
            <sz val="10"/>
            <color indexed="81"/>
            <rFont val="돋움"/>
            <family val="3"/>
            <charset val="129"/>
          </rPr>
          <t>집행위원회</t>
        </r>
        <r>
          <rPr>
            <sz val="10"/>
            <color indexed="81"/>
            <rFont val="Tahoma"/>
            <family val="2"/>
          </rPr>
          <t xml:space="preserve"> </t>
        </r>
        <r>
          <rPr>
            <sz val="10"/>
            <color indexed="81"/>
            <rFont val="돋움"/>
            <family val="3"/>
            <charset val="129"/>
          </rPr>
          <t>또는</t>
        </r>
        <r>
          <rPr>
            <sz val="10"/>
            <color indexed="81"/>
            <rFont val="Tahoma"/>
            <family val="2"/>
          </rPr>
          <t xml:space="preserve"> </t>
        </r>
        <r>
          <rPr>
            <sz val="10"/>
            <color indexed="81"/>
            <rFont val="돋움"/>
            <family val="3"/>
            <charset val="129"/>
          </rPr>
          <t>이사회</t>
        </r>
        <r>
          <rPr>
            <sz val="10"/>
            <color indexed="81"/>
            <rFont val="Tahoma"/>
            <family val="2"/>
          </rPr>
          <t xml:space="preserve"> </t>
        </r>
        <r>
          <rPr>
            <sz val="10"/>
            <color indexed="81"/>
            <rFont val="돋움"/>
            <family val="3"/>
            <charset val="129"/>
          </rPr>
          <t>결의</t>
        </r>
        <r>
          <rPr>
            <sz val="10"/>
            <color indexed="81"/>
            <rFont val="Tahoma"/>
            <family val="2"/>
          </rPr>
          <t xml:space="preserve"> </t>
        </r>
        <r>
          <rPr>
            <sz val="10"/>
            <color indexed="81"/>
            <rFont val="돋움"/>
            <family val="3"/>
            <charset val="129"/>
          </rPr>
          <t xml:space="preserve">필요
</t>
        </r>
        <r>
          <rPr>
            <sz val="10"/>
            <color indexed="81"/>
            <rFont val="Tahoma"/>
            <family val="2"/>
          </rPr>
          <t xml:space="preserve">       </t>
        </r>
        <r>
          <rPr>
            <sz val="10"/>
            <color indexed="81"/>
            <rFont val="돋움"/>
            <family val="3"/>
            <charset val="129"/>
          </rPr>
          <t>☞</t>
        </r>
        <r>
          <rPr>
            <sz val="10"/>
            <color indexed="81"/>
            <rFont val="Tahoma"/>
            <family val="2"/>
          </rPr>
          <t xml:space="preserve"> </t>
        </r>
        <r>
          <rPr>
            <sz val="10"/>
            <color indexed="81"/>
            <rFont val="돋움"/>
            <family val="3"/>
            <charset val="129"/>
          </rPr>
          <t>전년말</t>
        </r>
        <r>
          <rPr>
            <sz val="10"/>
            <color indexed="81"/>
            <rFont val="Tahoma"/>
            <family val="2"/>
          </rPr>
          <t xml:space="preserve"> </t>
        </r>
        <r>
          <rPr>
            <sz val="10"/>
            <color indexed="81"/>
            <rFont val="돋움"/>
            <family val="3"/>
            <charset val="129"/>
          </rPr>
          <t>자기자본의</t>
        </r>
        <r>
          <rPr>
            <sz val="10"/>
            <color indexed="81"/>
            <rFont val="Tahoma"/>
            <family val="2"/>
          </rPr>
          <t xml:space="preserve"> 100</t>
        </r>
        <r>
          <rPr>
            <sz val="10"/>
            <color indexed="81"/>
            <rFont val="돋움"/>
            <family val="3"/>
            <charset val="129"/>
          </rPr>
          <t>분의</t>
        </r>
        <r>
          <rPr>
            <sz val="10"/>
            <color indexed="81"/>
            <rFont val="Tahoma"/>
            <family val="2"/>
          </rPr>
          <t xml:space="preserve"> 1</t>
        </r>
        <r>
          <rPr>
            <sz val="10"/>
            <color indexed="81"/>
            <rFont val="돋움"/>
            <family val="3"/>
            <charset val="129"/>
          </rPr>
          <t>이하는</t>
        </r>
        <r>
          <rPr>
            <sz val="10"/>
            <color indexed="81"/>
            <rFont val="Tahoma"/>
            <family val="2"/>
          </rPr>
          <t xml:space="preserve"> </t>
        </r>
        <r>
          <rPr>
            <sz val="10"/>
            <color indexed="81"/>
            <rFont val="돋움"/>
            <family val="3"/>
            <charset val="129"/>
          </rPr>
          <t>집행위원회</t>
        </r>
        <r>
          <rPr>
            <sz val="10"/>
            <color indexed="81"/>
            <rFont val="Tahoma"/>
            <family val="2"/>
          </rPr>
          <t xml:space="preserve">, </t>
        </r>
        <r>
          <rPr>
            <sz val="10"/>
            <color indexed="81"/>
            <rFont val="돋움"/>
            <family val="3"/>
            <charset val="129"/>
          </rPr>
          <t>초과는</t>
        </r>
        <r>
          <rPr>
            <sz val="10"/>
            <color indexed="81"/>
            <rFont val="Tahoma"/>
            <family val="2"/>
          </rPr>
          <t xml:space="preserve"> </t>
        </r>
        <r>
          <rPr>
            <sz val="10"/>
            <color indexed="81"/>
            <rFont val="돋움"/>
            <family val="3"/>
            <charset val="129"/>
          </rPr>
          <t>이사회</t>
        </r>
        <r>
          <rPr>
            <sz val="10"/>
            <color indexed="81"/>
            <rFont val="Tahoma"/>
            <family val="2"/>
          </rPr>
          <t xml:space="preserve"> </t>
        </r>
        <r>
          <rPr>
            <sz val="10"/>
            <color indexed="81"/>
            <rFont val="돋움"/>
            <family val="3"/>
            <charset val="129"/>
          </rPr>
          <t>결의</t>
        </r>
        <r>
          <rPr>
            <sz val="10"/>
            <color indexed="81"/>
            <rFont val="Tahoma"/>
            <family val="2"/>
          </rPr>
          <t xml:space="preserve"> 
</t>
        </r>
        <r>
          <rPr>
            <sz val="10"/>
            <color indexed="81"/>
            <rFont val="돋움"/>
            <family val="3"/>
            <charset val="129"/>
          </rPr>
          <t>다</t>
        </r>
        <r>
          <rPr>
            <sz val="10"/>
            <color indexed="81"/>
            <rFont val="Tahoma"/>
            <family val="2"/>
          </rPr>
          <t xml:space="preserve">. </t>
        </r>
        <r>
          <rPr>
            <sz val="10"/>
            <color indexed="81"/>
            <rFont val="돋움"/>
            <family val="3"/>
            <charset val="129"/>
          </rPr>
          <t>금융감독기관</t>
        </r>
        <r>
          <rPr>
            <sz val="10"/>
            <color indexed="81"/>
            <rFont val="Tahoma"/>
            <family val="2"/>
          </rPr>
          <t xml:space="preserve"> </t>
        </r>
        <r>
          <rPr>
            <sz val="10"/>
            <color indexed="81"/>
            <rFont val="돋움"/>
            <family val="3"/>
            <charset val="129"/>
          </rPr>
          <t xml:space="preserve">승인
</t>
        </r>
        <r>
          <rPr>
            <sz val="10"/>
            <color indexed="81"/>
            <rFont val="Tahoma"/>
            <family val="2"/>
          </rPr>
          <t xml:space="preserve">     - </t>
        </r>
        <r>
          <rPr>
            <sz val="10"/>
            <color indexed="81"/>
            <rFont val="돋움"/>
            <family val="3"/>
            <charset val="129"/>
          </rPr>
          <t>매매대금</t>
        </r>
        <r>
          <rPr>
            <sz val="10"/>
            <color indexed="81"/>
            <rFont val="Tahoma"/>
            <family val="2"/>
          </rPr>
          <t xml:space="preserve"> </t>
        </r>
        <r>
          <rPr>
            <sz val="10"/>
            <color indexed="81"/>
            <rFont val="돋움"/>
            <family val="3"/>
            <charset val="129"/>
          </rPr>
          <t>外</t>
        </r>
        <r>
          <rPr>
            <sz val="10"/>
            <color indexed="81"/>
            <rFont val="Tahoma"/>
            <family val="2"/>
          </rPr>
          <t xml:space="preserve"> </t>
        </r>
        <r>
          <rPr>
            <sz val="10"/>
            <color indexed="81"/>
            <rFont val="돋움"/>
            <family val="3"/>
            <charset val="129"/>
          </rPr>
          <t>추가</t>
        </r>
        <r>
          <rPr>
            <sz val="10"/>
            <color indexed="81"/>
            <rFont val="Tahoma"/>
            <family val="2"/>
          </rPr>
          <t xml:space="preserve"> </t>
        </r>
        <r>
          <rPr>
            <sz val="10"/>
            <color indexed="81"/>
            <rFont val="돋움"/>
            <family val="3"/>
            <charset val="129"/>
          </rPr>
          <t>자금</t>
        </r>
        <r>
          <rPr>
            <sz val="10"/>
            <color indexed="81"/>
            <rFont val="Tahoma"/>
            <family val="2"/>
          </rPr>
          <t xml:space="preserve"> </t>
        </r>
        <r>
          <rPr>
            <sz val="10"/>
            <color indexed="81"/>
            <rFont val="돋움"/>
            <family val="3"/>
            <charset val="129"/>
          </rPr>
          <t>지원</t>
        </r>
        <r>
          <rPr>
            <sz val="10"/>
            <color indexed="81"/>
            <rFont val="Tahoma"/>
            <family val="2"/>
          </rPr>
          <t xml:space="preserve"> : </t>
        </r>
        <r>
          <rPr>
            <sz val="10"/>
            <color indexed="81"/>
            <rFont val="돋움"/>
            <family val="3"/>
            <charset val="129"/>
          </rPr>
          <t>지원시마다</t>
        </r>
        <r>
          <rPr>
            <sz val="10"/>
            <color indexed="81"/>
            <rFont val="Tahoma"/>
            <family val="2"/>
          </rPr>
          <t xml:space="preserve"> </t>
        </r>
        <r>
          <rPr>
            <sz val="10"/>
            <color indexed="81"/>
            <rFont val="돋움"/>
            <family val="3"/>
            <charset val="129"/>
          </rPr>
          <t>금융위원회</t>
        </r>
        <r>
          <rPr>
            <sz val="10"/>
            <color indexed="81"/>
            <rFont val="Tahoma"/>
            <family val="2"/>
          </rPr>
          <t xml:space="preserve"> </t>
        </r>
        <r>
          <rPr>
            <sz val="10"/>
            <color indexed="81"/>
            <rFont val="돋움"/>
            <family val="3"/>
            <charset val="129"/>
          </rPr>
          <t>사전신고</t>
        </r>
        <r>
          <rPr>
            <sz val="10"/>
            <color indexed="81"/>
            <rFont val="Tahoma"/>
            <family val="2"/>
          </rPr>
          <t xml:space="preserve"> </t>
        </r>
        <r>
          <rPr>
            <sz val="10"/>
            <color indexed="81"/>
            <rFont val="돋움"/>
            <family val="3"/>
            <charset val="129"/>
          </rPr>
          <t xml:space="preserve">필요
</t>
        </r>
        <r>
          <rPr>
            <sz val="10"/>
            <color indexed="81"/>
            <rFont val="Tahoma"/>
            <family val="2"/>
          </rPr>
          <t xml:space="preserve">     </t>
        </r>
        <r>
          <rPr>
            <sz val="10"/>
            <color indexed="81"/>
            <rFont val="돋움"/>
            <family val="3"/>
            <charset val="129"/>
          </rPr>
          <t>☞</t>
        </r>
        <r>
          <rPr>
            <sz val="10"/>
            <color indexed="81"/>
            <rFont val="Tahoma"/>
            <family val="2"/>
          </rPr>
          <t xml:space="preserve"> </t>
        </r>
        <r>
          <rPr>
            <sz val="10"/>
            <color indexed="81"/>
            <rFont val="돋움"/>
            <family val="3"/>
            <charset val="129"/>
          </rPr>
          <t>외화대여금</t>
        </r>
        <r>
          <rPr>
            <sz val="10"/>
            <color indexed="81"/>
            <rFont val="Tahoma"/>
            <family val="2"/>
          </rPr>
          <t xml:space="preserve"> </t>
        </r>
        <r>
          <rPr>
            <sz val="10"/>
            <color indexed="81"/>
            <rFont val="돋움"/>
            <family val="3"/>
            <charset val="129"/>
          </rPr>
          <t>취급시</t>
        </r>
        <r>
          <rPr>
            <sz val="10"/>
            <color indexed="81"/>
            <rFont val="Tahoma"/>
            <family val="2"/>
          </rPr>
          <t xml:space="preserve"> </t>
        </r>
        <r>
          <rPr>
            <sz val="10"/>
            <color indexed="81"/>
            <rFont val="돋움"/>
            <family val="3"/>
            <charset val="129"/>
          </rPr>
          <t>금융감독원</t>
        </r>
        <r>
          <rPr>
            <sz val="10"/>
            <color indexed="81"/>
            <rFont val="Tahoma"/>
            <family val="2"/>
          </rPr>
          <t xml:space="preserve"> </t>
        </r>
        <r>
          <rPr>
            <sz val="10"/>
            <color indexed="81"/>
            <rFont val="돋움"/>
            <family val="3"/>
            <charset val="129"/>
          </rPr>
          <t>사전신고</t>
        </r>
        <r>
          <rPr>
            <sz val="10"/>
            <color indexed="81"/>
            <rFont val="Tahoma"/>
            <family val="2"/>
          </rPr>
          <t xml:space="preserve"> </t>
        </r>
        <r>
          <rPr>
            <sz val="10"/>
            <color indexed="81"/>
            <rFont val="돋움"/>
            <family val="3"/>
            <charset val="129"/>
          </rPr>
          <t>여부</t>
        </r>
        <r>
          <rPr>
            <sz val="10"/>
            <color indexed="81"/>
            <rFont val="Tahoma"/>
            <family val="2"/>
          </rPr>
          <t xml:space="preserve"> </t>
        </r>
        <r>
          <rPr>
            <sz val="10"/>
            <color indexed="81"/>
            <rFont val="돋움"/>
            <family val="3"/>
            <charset val="129"/>
          </rPr>
          <t>확인</t>
        </r>
        <r>
          <rPr>
            <sz val="10"/>
            <color indexed="81"/>
            <rFont val="Tahoma"/>
            <family val="2"/>
          </rPr>
          <t xml:space="preserve"> </t>
        </r>
        <r>
          <rPr>
            <sz val="10"/>
            <color indexed="81"/>
            <rFont val="돋움"/>
            <family val="3"/>
            <charset val="129"/>
          </rPr>
          <t xml:space="preserve">필요
</t>
        </r>
        <r>
          <rPr>
            <sz val="10"/>
            <color indexed="81"/>
            <rFont val="Tahoma"/>
            <family val="2"/>
          </rPr>
          <t xml:space="preserve">     - </t>
        </r>
        <r>
          <rPr>
            <sz val="10"/>
            <color indexed="81"/>
            <rFont val="돋움"/>
            <family val="3"/>
            <charset val="129"/>
          </rPr>
          <t>출자금액</t>
        </r>
        <r>
          <rPr>
            <sz val="10"/>
            <color indexed="81"/>
            <rFont val="Tahoma"/>
            <family val="2"/>
          </rPr>
          <t xml:space="preserve"> </t>
        </r>
        <r>
          <rPr>
            <sz val="10"/>
            <color indexed="81"/>
            <rFont val="돋움"/>
            <family val="3"/>
            <charset val="129"/>
          </rPr>
          <t>증액</t>
        </r>
        <r>
          <rPr>
            <sz val="10"/>
            <color indexed="81"/>
            <rFont val="Tahoma"/>
            <family val="2"/>
          </rPr>
          <t>(</t>
        </r>
        <r>
          <rPr>
            <sz val="10"/>
            <color indexed="81"/>
            <rFont val="돋움"/>
            <family val="3"/>
            <charset val="129"/>
          </rPr>
          <t>증자</t>
        </r>
        <r>
          <rPr>
            <sz val="10"/>
            <color indexed="81"/>
            <rFont val="Tahoma"/>
            <family val="2"/>
          </rPr>
          <t xml:space="preserve">) : </t>
        </r>
        <r>
          <rPr>
            <sz val="10"/>
            <color indexed="81"/>
            <rFont val="돋움"/>
            <family val="3"/>
            <charset val="129"/>
          </rPr>
          <t>금융감독원에</t>
        </r>
        <r>
          <rPr>
            <sz val="10"/>
            <color indexed="81"/>
            <rFont val="Tahoma"/>
            <family val="2"/>
          </rPr>
          <t xml:space="preserve"> </t>
        </r>
        <r>
          <rPr>
            <sz val="10"/>
            <color indexed="81"/>
            <rFont val="돋움"/>
            <family val="3"/>
            <charset val="129"/>
          </rPr>
          <t>사전</t>
        </r>
        <r>
          <rPr>
            <sz val="10"/>
            <color indexed="81"/>
            <rFont val="Tahoma"/>
            <family val="2"/>
          </rPr>
          <t xml:space="preserve"> </t>
        </r>
        <r>
          <rPr>
            <sz val="10"/>
            <color indexed="81"/>
            <rFont val="돋움"/>
            <family val="3"/>
            <charset val="129"/>
          </rPr>
          <t>변경신고</t>
        </r>
        <r>
          <rPr>
            <sz val="10"/>
            <color indexed="81"/>
            <rFont val="Tahoma"/>
            <family val="2"/>
          </rPr>
          <t xml:space="preserve"> </t>
        </r>
        <r>
          <rPr>
            <sz val="10"/>
            <color indexed="81"/>
            <rFont val="돋움"/>
            <family val="3"/>
            <charset val="129"/>
          </rPr>
          <t>필요
라</t>
        </r>
        <r>
          <rPr>
            <sz val="10"/>
            <color indexed="81"/>
            <rFont val="Tahoma"/>
            <family val="2"/>
          </rPr>
          <t xml:space="preserve">. </t>
        </r>
        <r>
          <rPr>
            <sz val="10"/>
            <color indexed="81"/>
            <rFont val="돋움"/>
            <family val="3"/>
            <charset val="129"/>
          </rPr>
          <t>점포</t>
        </r>
        <r>
          <rPr>
            <sz val="10"/>
            <color indexed="81"/>
            <rFont val="Tahoma"/>
            <family val="2"/>
          </rPr>
          <t xml:space="preserve"> </t>
        </r>
        <r>
          <rPr>
            <sz val="10"/>
            <color indexed="81"/>
            <rFont val="돋움"/>
            <family val="3"/>
            <charset val="129"/>
          </rPr>
          <t>및</t>
        </r>
        <r>
          <rPr>
            <sz val="10"/>
            <color indexed="81"/>
            <rFont val="Tahoma"/>
            <family val="2"/>
          </rPr>
          <t xml:space="preserve"> </t>
        </r>
        <r>
          <rPr>
            <sz val="10"/>
            <color indexed="81"/>
            <rFont val="돋움"/>
            <family val="3"/>
            <charset val="129"/>
          </rPr>
          <t>인력</t>
        </r>
        <r>
          <rPr>
            <sz val="10"/>
            <color indexed="81"/>
            <rFont val="Tahoma"/>
            <family val="2"/>
          </rPr>
          <t xml:space="preserve"> </t>
        </r>
        <r>
          <rPr>
            <sz val="10"/>
            <color indexed="81"/>
            <rFont val="돋움"/>
            <family val="3"/>
            <charset val="129"/>
          </rPr>
          <t xml:space="preserve">운영
</t>
        </r>
        <r>
          <rPr>
            <sz val="10"/>
            <color indexed="81"/>
            <rFont val="Tahoma"/>
            <family val="2"/>
          </rPr>
          <t xml:space="preserve">     - </t>
        </r>
        <r>
          <rPr>
            <sz val="10"/>
            <color indexed="81"/>
            <rFont val="돋움"/>
            <family val="3"/>
            <charset val="129"/>
          </rPr>
          <t>현행</t>
        </r>
        <r>
          <rPr>
            <sz val="10"/>
            <color indexed="81"/>
            <rFont val="Tahoma"/>
            <family val="2"/>
          </rPr>
          <t>(2016</t>
        </r>
        <r>
          <rPr>
            <sz val="10"/>
            <color indexed="81"/>
            <rFont val="돋움"/>
            <family val="3"/>
            <charset val="129"/>
          </rPr>
          <t>년말</t>
        </r>
        <r>
          <rPr>
            <sz val="10"/>
            <color indexed="81"/>
            <rFont val="Tahoma"/>
            <family val="2"/>
          </rPr>
          <t xml:space="preserve"> </t>
        </r>
        <r>
          <rPr>
            <sz val="10"/>
            <color indexed="81"/>
            <rFont val="돋움"/>
            <family val="3"/>
            <charset val="129"/>
          </rPr>
          <t>기준</t>
        </r>
        <r>
          <rPr>
            <sz val="10"/>
            <color indexed="81"/>
            <rFont val="Tahoma"/>
            <family val="2"/>
          </rPr>
          <t xml:space="preserve">) : </t>
        </r>
        <r>
          <rPr>
            <sz val="10"/>
            <color indexed="81"/>
            <rFont val="돋움"/>
            <family val="3"/>
            <charset val="129"/>
          </rPr>
          <t>본점</t>
        </r>
        <r>
          <rPr>
            <sz val="10"/>
            <color indexed="81"/>
            <rFont val="Tahoma"/>
            <family val="2"/>
          </rPr>
          <t xml:space="preserve"> </t>
        </r>
        <r>
          <rPr>
            <sz val="10"/>
            <color indexed="81"/>
            <rFont val="돋움"/>
            <family val="3"/>
            <charset val="129"/>
          </rPr>
          <t>및</t>
        </r>
        <r>
          <rPr>
            <sz val="10"/>
            <color indexed="81"/>
            <rFont val="Tahoma"/>
            <family val="2"/>
          </rPr>
          <t xml:space="preserve"> </t>
        </r>
        <r>
          <rPr>
            <sz val="10"/>
            <color indexed="81"/>
            <rFont val="돋움"/>
            <family val="3"/>
            <charset val="129"/>
          </rPr>
          <t>프놈펜</t>
        </r>
        <r>
          <rPr>
            <sz val="10"/>
            <color indexed="81"/>
            <rFont val="Tahoma"/>
            <family val="2"/>
          </rPr>
          <t xml:space="preserve"> </t>
        </r>
        <r>
          <rPr>
            <sz val="10"/>
            <color indexed="81"/>
            <rFont val="돋움"/>
            <family val="3"/>
            <charset val="129"/>
          </rPr>
          <t>內</t>
        </r>
        <r>
          <rPr>
            <sz val="10"/>
            <color indexed="81"/>
            <rFont val="Tahoma"/>
            <family val="2"/>
          </rPr>
          <t xml:space="preserve"> 5</t>
        </r>
        <r>
          <rPr>
            <sz val="10"/>
            <color indexed="81"/>
            <rFont val="돋움"/>
            <family val="3"/>
            <charset val="129"/>
          </rPr>
          <t>개지점</t>
        </r>
        <r>
          <rPr>
            <sz val="10"/>
            <color indexed="81"/>
            <rFont val="Tahoma"/>
            <family val="2"/>
          </rPr>
          <t xml:space="preserve">, </t>
        </r>
        <r>
          <rPr>
            <sz val="10"/>
            <color indexed="81"/>
            <rFont val="돋움"/>
            <family val="3"/>
            <charset val="129"/>
          </rPr>
          <t>약</t>
        </r>
        <r>
          <rPr>
            <sz val="10"/>
            <color indexed="81"/>
            <rFont val="Tahoma"/>
            <family val="2"/>
          </rPr>
          <t xml:space="preserve"> 260</t>
        </r>
        <r>
          <rPr>
            <sz val="10"/>
            <color indexed="81"/>
            <rFont val="돋움"/>
            <family val="3"/>
            <charset val="129"/>
          </rPr>
          <t>명</t>
        </r>
        <r>
          <rPr>
            <sz val="10"/>
            <color indexed="81"/>
            <rFont val="Tahoma"/>
            <family val="2"/>
          </rPr>
          <t xml:space="preserve"> </t>
        </r>
        <r>
          <rPr>
            <sz val="10"/>
            <color indexed="81"/>
            <rFont val="돋움"/>
            <family val="3"/>
            <charset val="129"/>
          </rPr>
          <t>운영</t>
        </r>
        <r>
          <rPr>
            <sz val="10"/>
            <color indexed="81"/>
            <rFont val="Tahoma"/>
            <family val="2"/>
          </rPr>
          <t xml:space="preserve"> 
     - </t>
        </r>
        <r>
          <rPr>
            <sz val="10"/>
            <color indexed="81"/>
            <rFont val="돋움"/>
            <family val="3"/>
            <charset val="129"/>
          </rPr>
          <t>운영</t>
        </r>
        <r>
          <rPr>
            <sz val="10"/>
            <color indexed="81"/>
            <rFont val="Tahoma"/>
            <family val="2"/>
          </rPr>
          <t xml:space="preserve"> </t>
        </r>
        <r>
          <rPr>
            <sz val="10"/>
            <color indexed="81"/>
            <rFont val="돋움"/>
            <family val="3"/>
            <charset val="129"/>
          </rPr>
          <t>및</t>
        </r>
        <r>
          <rPr>
            <sz val="10"/>
            <color indexed="81"/>
            <rFont val="Tahoma"/>
            <family val="2"/>
          </rPr>
          <t xml:space="preserve"> </t>
        </r>
        <r>
          <rPr>
            <sz val="10"/>
            <color indexed="81"/>
            <rFont val="돋움"/>
            <family val="3"/>
            <charset val="129"/>
          </rPr>
          <t>추가</t>
        </r>
        <r>
          <rPr>
            <sz val="10"/>
            <color indexed="81"/>
            <rFont val="Tahoma"/>
            <family val="2"/>
          </rPr>
          <t xml:space="preserve"> </t>
        </r>
        <r>
          <rPr>
            <sz val="10"/>
            <color indexed="81"/>
            <rFont val="돋움"/>
            <family val="3"/>
            <charset val="129"/>
          </rPr>
          <t>계획</t>
        </r>
        <r>
          <rPr>
            <sz val="10"/>
            <color indexed="81"/>
            <rFont val="Tahoma"/>
            <family val="2"/>
          </rPr>
          <t xml:space="preserve"> : PMI</t>
        </r>
        <r>
          <rPr>
            <sz val="10"/>
            <color indexed="81"/>
            <rFont val="돋움"/>
            <family val="3"/>
            <charset val="129"/>
          </rPr>
          <t>를</t>
        </r>
        <r>
          <rPr>
            <sz val="10"/>
            <color indexed="81"/>
            <rFont val="Tahoma"/>
            <family val="2"/>
          </rPr>
          <t xml:space="preserve"> </t>
        </r>
        <r>
          <rPr>
            <sz val="10"/>
            <color indexed="81"/>
            <rFont val="돋움"/>
            <family val="3"/>
            <charset val="129"/>
          </rPr>
          <t>통한</t>
        </r>
        <r>
          <rPr>
            <sz val="10"/>
            <color indexed="81"/>
            <rFont val="Tahoma"/>
            <family val="2"/>
          </rPr>
          <t xml:space="preserve"> </t>
        </r>
        <r>
          <rPr>
            <sz val="10"/>
            <color indexed="81"/>
            <rFont val="돋움"/>
            <family val="3"/>
            <charset val="129"/>
          </rPr>
          <t>운영전략</t>
        </r>
        <r>
          <rPr>
            <sz val="10"/>
            <color indexed="81"/>
            <rFont val="Tahoma"/>
            <family val="2"/>
          </rPr>
          <t xml:space="preserve"> </t>
        </r>
        <r>
          <rPr>
            <sz val="10"/>
            <color indexed="81"/>
            <rFont val="돋움"/>
            <family val="3"/>
            <charset val="129"/>
          </rPr>
          <t>검토후</t>
        </r>
        <r>
          <rPr>
            <sz val="10"/>
            <color indexed="81"/>
            <rFont val="Tahoma"/>
            <family val="2"/>
          </rPr>
          <t xml:space="preserve"> </t>
        </r>
        <r>
          <rPr>
            <sz val="10"/>
            <color indexed="81"/>
            <rFont val="돋움"/>
            <family val="3"/>
            <charset val="129"/>
          </rPr>
          <t xml:space="preserve">확정
</t>
        </r>
        <r>
          <rPr>
            <sz val="10"/>
            <color indexed="81"/>
            <rFont val="Tahoma"/>
            <family val="2"/>
          </rPr>
          <t xml:space="preserve">     </t>
        </r>
        <r>
          <rPr>
            <sz val="10"/>
            <color indexed="81"/>
            <rFont val="돋움"/>
            <family val="3"/>
            <charset val="129"/>
          </rPr>
          <t>☞</t>
        </r>
        <r>
          <rPr>
            <sz val="10"/>
            <color indexed="81"/>
            <rFont val="Tahoma"/>
            <family val="2"/>
          </rPr>
          <t xml:space="preserve"> </t>
        </r>
        <r>
          <rPr>
            <sz val="10"/>
            <color indexed="81"/>
            <rFont val="돋움"/>
            <family val="3"/>
            <charset val="129"/>
          </rPr>
          <t>지점별</t>
        </r>
        <r>
          <rPr>
            <sz val="10"/>
            <color indexed="81"/>
            <rFont val="Tahoma"/>
            <family val="2"/>
          </rPr>
          <t xml:space="preserve"> </t>
        </r>
        <r>
          <rPr>
            <sz val="10"/>
            <color indexed="81"/>
            <rFont val="돋움"/>
            <family val="3"/>
            <charset val="129"/>
          </rPr>
          <t>운영가능</t>
        </r>
        <r>
          <rPr>
            <sz val="10"/>
            <color indexed="81"/>
            <rFont val="Tahoma"/>
            <family val="2"/>
          </rPr>
          <t xml:space="preserve"> </t>
        </r>
        <r>
          <rPr>
            <sz val="10"/>
            <color indexed="81"/>
            <rFont val="돋움"/>
            <family val="3"/>
            <charset val="129"/>
          </rPr>
          <t>최소인력</t>
        </r>
        <r>
          <rPr>
            <sz val="10"/>
            <color indexed="81"/>
            <rFont val="Tahoma"/>
            <family val="2"/>
          </rPr>
          <t xml:space="preserve"> </t>
        </r>
        <r>
          <rPr>
            <sz val="10"/>
            <color indexed="81"/>
            <rFont val="돋움"/>
            <family val="3"/>
            <charset val="129"/>
          </rPr>
          <t>및</t>
        </r>
        <r>
          <rPr>
            <sz val="10"/>
            <color indexed="81"/>
            <rFont val="Tahoma"/>
            <family val="2"/>
          </rPr>
          <t xml:space="preserve"> BEP</t>
        </r>
        <r>
          <rPr>
            <sz val="10"/>
            <color indexed="81"/>
            <rFont val="돋움"/>
            <family val="3"/>
            <charset val="129"/>
          </rPr>
          <t>를</t>
        </r>
        <r>
          <rPr>
            <sz val="10"/>
            <color indexed="81"/>
            <rFont val="Tahoma"/>
            <family val="2"/>
          </rPr>
          <t xml:space="preserve"> </t>
        </r>
        <r>
          <rPr>
            <sz val="10"/>
            <color indexed="81"/>
            <rFont val="돋움"/>
            <family val="3"/>
            <charset val="129"/>
          </rPr>
          <t>위한</t>
        </r>
        <r>
          <rPr>
            <sz val="10"/>
            <color indexed="81"/>
            <rFont val="Tahoma"/>
            <family val="2"/>
          </rPr>
          <t xml:space="preserve"> </t>
        </r>
        <r>
          <rPr>
            <sz val="10"/>
            <color indexed="81"/>
            <rFont val="돋움"/>
            <family val="3"/>
            <charset val="129"/>
          </rPr>
          <t>자산규모</t>
        </r>
        <r>
          <rPr>
            <sz val="10"/>
            <color indexed="81"/>
            <rFont val="Tahoma"/>
            <family val="2"/>
          </rPr>
          <t xml:space="preserve"> </t>
        </r>
        <r>
          <rPr>
            <sz val="10"/>
            <color indexed="81"/>
            <rFont val="돋움"/>
            <family val="3"/>
            <charset val="129"/>
          </rPr>
          <t>등</t>
        </r>
        <r>
          <rPr>
            <sz val="10"/>
            <color indexed="81"/>
            <rFont val="Tahoma"/>
            <family val="2"/>
          </rPr>
          <t xml:space="preserve"> </t>
        </r>
        <r>
          <rPr>
            <sz val="10"/>
            <color indexed="81"/>
            <rFont val="돋움"/>
            <family val="3"/>
            <charset val="129"/>
          </rPr>
          <t>파악</t>
        </r>
        <r>
          <rPr>
            <sz val="10"/>
            <color indexed="81"/>
            <rFont val="Tahoma"/>
            <family val="2"/>
          </rPr>
          <t xml:space="preserve"> </t>
        </r>
        <r>
          <rPr>
            <sz val="10"/>
            <color indexed="81"/>
            <rFont val="돋움"/>
            <family val="3"/>
            <charset val="129"/>
          </rPr>
          <t>필요</t>
        </r>
        <r>
          <rPr>
            <sz val="10"/>
            <color indexed="81"/>
            <rFont val="Tahoma"/>
            <family val="2"/>
          </rPr>
          <t xml:space="preserve">.
</t>
        </r>
      </text>
    </comment>
    <comment ref="M467" authorId="0" shapeId="0" xr:uid="{00000000-0006-0000-0300-000034000000}">
      <text>
        <r>
          <rPr>
            <sz val="9"/>
            <color indexed="81"/>
            <rFont val="Tahoma"/>
            <family val="2"/>
          </rPr>
          <t>SB17-</t>
        </r>
        <r>
          <rPr>
            <sz val="9"/>
            <color indexed="81"/>
            <rFont val="돋움"/>
            <family val="3"/>
            <charset val="129"/>
          </rPr>
          <t>전략기획부</t>
        </r>
        <r>
          <rPr>
            <sz val="9"/>
            <color indexed="81"/>
            <rFont val="Tahoma"/>
            <family val="2"/>
          </rPr>
          <t>-4223
1</t>
        </r>
        <r>
          <rPr>
            <sz val="9"/>
            <color indexed="81"/>
            <rFont val="돋움"/>
            <family val="3"/>
            <charset val="129"/>
          </rPr>
          <t>차</t>
        </r>
        <r>
          <rPr>
            <sz val="9"/>
            <color indexed="81"/>
            <rFont val="Tahoma"/>
            <family val="2"/>
          </rPr>
          <t xml:space="preserve"> </t>
        </r>
        <r>
          <rPr>
            <sz val="9"/>
            <color indexed="81"/>
            <rFont val="돋움"/>
            <family val="3"/>
            <charset val="129"/>
          </rPr>
          <t>가지급금</t>
        </r>
        <r>
          <rPr>
            <sz val="9"/>
            <color indexed="81"/>
            <rFont val="Tahoma"/>
            <family val="2"/>
          </rPr>
          <t xml:space="preserve"> : USD 3,175,000 (7/26)
SB17-</t>
        </r>
        <r>
          <rPr>
            <sz val="9"/>
            <color indexed="81"/>
            <rFont val="돋움"/>
            <family val="3"/>
            <charset val="129"/>
          </rPr>
          <t>전략기획부</t>
        </r>
        <r>
          <rPr>
            <sz val="9"/>
            <color indexed="81"/>
            <rFont val="Tahoma"/>
            <family val="2"/>
          </rPr>
          <t>-5742
2</t>
        </r>
        <r>
          <rPr>
            <sz val="9"/>
            <color indexed="81"/>
            <rFont val="돋움"/>
            <family val="3"/>
            <charset val="129"/>
          </rPr>
          <t>차</t>
        </r>
        <r>
          <rPr>
            <sz val="9"/>
            <color indexed="81"/>
            <rFont val="Tahoma"/>
            <family val="2"/>
          </rPr>
          <t xml:space="preserve"> </t>
        </r>
        <r>
          <rPr>
            <sz val="9"/>
            <color indexed="81"/>
            <rFont val="돋움"/>
            <family val="3"/>
            <charset val="129"/>
          </rPr>
          <t>가지급금</t>
        </r>
        <r>
          <rPr>
            <sz val="9"/>
            <color indexed="81"/>
            <rFont val="Tahoma"/>
            <family val="2"/>
          </rPr>
          <t xml:space="preserve"> : USD 3,175,000 (10/26)
</t>
        </r>
        <r>
          <rPr>
            <sz val="9"/>
            <color indexed="81"/>
            <rFont val="돋움"/>
            <family val="3"/>
            <charset val="129"/>
          </rPr>
          <t>전략</t>
        </r>
        <r>
          <rPr>
            <sz val="9"/>
            <color indexed="81"/>
            <rFont val="Tahoma"/>
            <family val="2"/>
          </rPr>
          <t xml:space="preserve"> - </t>
        </r>
        <r>
          <rPr>
            <sz val="9"/>
            <color indexed="81"/>
            <rFont val="돋움"/>
            <family val="3"/>
            <charset val="129"/>
          </rPr>
          <t>재무</t>
        </r>
        <r>
          <rPr>
            <sz val="9"/>
            <color indexed="81"/>
            <rFont val="Tahoma"/>
            <family val="2"/>
          </rPr>
          <t xml:space="preserve"> </t>
        </r>
        <r>
          <rPr>
            <sz val="9"/>
            <color indexed="81"/>
            <rFont val="돋움"/>
            <family val="3"/>
            <charset val="129"/>
          </rPr>
          <t>논의</t>
        </r>
        <r>
          <rPr>
            <sz val="9"/>
            <color indexed="81"/>
            <rFont val="Tahoma"/>
            <family val="2"/>
          </rPr>
          <t xml:space="preserve"> : </t>
        </r>
        <r>
          <rPr>
            <sz val="9"/>
            <color indexed="81"/>
            <rFont val="돋움"/>
            <family val="3"/>
            <charset val="129"/>
          </rPr>
          <t>가지급금</t>
        </r>
        <r>
          <rPr>
            <sz val="9"/>
            <color indexed="81"/>
            <rFont val="Tahoma"/>
            <family val="2"/>
          </rPr>
          <t xml:space="preserve"> </t>
        </r>
        <r>
          <rPr>
            <sz val="9"/>
            <color indexed="81"/>
            <rFont val="돋움"/>
            <family val="3"/>
            <charset val="129"/>
          </rPr>
          <t>성격</t>
        </r>
        <r>
          <rPr>
            <sz val="9"/>
            <color indexed="81"/>
            <rFont val="Tahoma"/>
            <family val="2"/>
          </rPr>
          <t xml:space="preserve"> </t>
        </r>
        <r>
          <rPr>
            <sz val="9"/>
            <color indexed="81"/>
            <rFont val="돋움"/>
            <family val="3"/>
            <charset val="129"/>
          </rPr>
          <t>맞지</t>
        </r>
        <r>
          <rPr>
            <sz val="9"/>
            <color indexed="81"/>
            <rFont val="Tahoma"/>
            <family val="2"/>
          </rPr>
          <t xml:space="preserve"> </t>
        </r>
        <r>
          <rPr>
            <sz val="9"/>
            <color indexed="81"/>
            <rFont val="돋움"/>
            <family val="3"/>
            <charset val="129"/>
          </rPr>
          <t>않으니</t>
        </r>
        <r>
          <rPr>
            <sz val="9"/>
            <color indexed="81"/>
            <rFont val="Tahoma"/>
            <family val="2"/>
          </rPr>
          <t xml:space="preserve"> </t>
        </r>
        <r>
          <rPr>
            <sz val="9"/>
            <color indexed="81"/>
            <rFont val="돋움"/>
            <family val="3"/>
            <charset val="129"/>
          </rPr>
          <t>선급금</t>
        </r>
        <r>
          <rPr>
            <sz val="9"/>
            <color indexed="81"/>
            <rFont val="Tahoma"/>
            <family val="2"/>
          </rPr>
          <t xml:space="preserve"> </t>
        </r>
        <r>
          <rPr>
            <sz val="9"/>
            <color indexed="81"/>
            <rFont val="돋움"/>
            <family val="3"/>
            <charset val="129"/>
          </rPr>
          <t>처리</t>
        </r>
        <r>
          <rPr>
            <sz val="9"/>
            <color indexed="81"/>
            <rFont val="Tahoma"/>
            <family val="2"/>
          </rPr>
          <t xml:space="preserve"> 
SB17-</t>
        </r>
        <r>
          <rPr>
            <sz val="9"/>
            <color indexed="81"/>
            <rFont val="돋움"/>
            <family val="3"/>
            <charset val="129"/>
          </rPr>
          <t>전략기획부</t>
        </r>
        <r>
          <rPr>
            <sz val="9"/>
            <color indexed="81"/>
            <rFont val="Tahoma"/>
            <family val="2"/>
          </rPr>
          <t xml:space="preserve">-6392 
</t>
        </r>
        <r>
          <rPr>
            <sz val="9"/>
            <color indexed="81"/>
            <rFont val="돋움"/>
            <family val="3"/>
            <charset val="129"/>
          </rPr>
          <t>계정과목</t>
        </r>
        <r>
          <rPr>
            <sz val="9"/>
            <color indexed="81"/>
            <rFont val="Tahoma"/>
            <family val="2"/>
          </rPr>
          <t xml:space="preserve"> </t>
        </r>
        <r>
          <rPr>
            <sz val="9"/>
            <color indexed="81"/>
            <rFont val="돋움"/>
            <family val="3"/>
            <charset val="129"/>
          </rPr>
          <t>신설</t>
        </r>
        <r>
          <rPr>
            <sz val="9"/>
            <color indexed="81"/>
            <rFont val="Tahoma"/>
            <family val="2"/>
          </rPr>
          <t xml:space="preserve"> (</t>
        </r>
        <r>
          <rPr>
            <sz val="9"/>
            <color indexed="81"/>
            <rFont val="돋움"/>
            <family val="3"/>
            <charset val="129"/>
          </rPr>
          <t>선급금</t>
        </r>
        <r>
          <rPr>
            <sz val="9"/>
            <color indexed="81"/>
            <rFont val="Tahoma"/>
            <family val="2"/>
          </rPr>
          <t xml:space="preserve">) </t>
        </r>
        <r>
          <rPr>
            <sz val="9"/>
            <color indexed="81"/>
            <rFont val="돋움"/>
            <family val="3"/>
            <charset val="129"/>
          </rPr>
          <t>및</t>
        </r>
        <r>
          <rPr>
            <sz val="9"/>
            <color indexed="81"/>
            <rFont val="Tahoma"/>
            <family val="2"/>
          </rPr>
          <t xml:space="preserve"> </t>
        </r>
        <r>
          <rPr>
            <sz val="9"/>
            <color indexed="81"/>
            <rFont val="돋움"/>
            <family val="3"/>
            <charset val="129"/>
          </rPr>
          <t>기지급</t>
        </r>
        <r>
          <rPr>
            <sz val="9"/>
            <color indexed="81"/>
            <rFont val="Tahoma"/>
            <family val="2"/>
          </rPr>
          <t xml:space="preserve"> </t>
        </r>
        <r>
          <rPr>
            <sz val="9"/>
            <color indexed="81"/>
            <rFont val="돋움"/>
            <family val="3"/>
            <charset val="129"/>
          </rPr>
          <t>인수대금</t>
        </r>
        <r>
          <rPr>
            <sz val="9"/>
            <color indexed="81"/>
            <rFont val="Tahoma"/>
            <family val="2"/>
          </rPr>
          <t xml:space="preserve"> </t>
        </r>
        <r>
          <rPr>
            <sz val="9"/>
            <color indexed="81"/>
            <rFont val="돋움"/>
            <family val="3"/>
            <charset val="129"/>
          </rPr>
          <t>계정과목변경</t>
        </r>
        <r>
          <rPr>
            <sz val="9"/>
            <color indexed="81"/>
            <rFont val="Tahoma"/>
            <family val="2"/>
          </rPr>
          <t xml:space="preserve"> 
</t>
        </r>
        <r>
          <rPr>
            <sz val="9"/>
            <color indexed="81"/>
            <rFont val="돋움"/>
            <family val="3"/>
            <charset val="129"/>
          </rPr>
          <t>수신</t>
        </r>
        <r>
          <rPr>
            <sz val="9"/>
            <color indexed="81"/>
            <rFont val="Tahoma"/>
            <family val="2"/>
          </rPr>
          <t>:</t>
        </r>
        <r>
          <rPr>
            <sz val="9"/>
            <color indexed="81"/>
            <rFont val="돋움"/>
            <family val="3"/>
            <charset val="129"/>
          </rPr>
          <t>외환사업부</t>
        </r>
        <r>
          <rPr>
            <sz val="9"/>
            <color indexed="81"/>
            <rFont val="Tahoma"/>
            <family val="2"/>
          </rPr>
          <t xml:space="preserve"> + </t>
        </r>
        <r>
          <rPr>
            <sz val="9"/>
            <color indexed="81"/>
            <rFont val="돋움"/>
            <family val="3"/>
            <charset val="129"/>
          </rPr>
          <t>재무기획부</t>
        </r>
        <r>
          <rPr>
            <sz val="9"/>
            <color indexed="81"/>
            <rFont val="Tahoma"/>
            <family val="2"/>
          </rPr>
          <t xml:space="preserve"> (12/1)
SB17-</t>
        </r>
        <r>
          <rPr>
            <sz val="9"/>
            <color indexed="81"/>
            <rFont val="돋움"/>
            <family val="3"/>
            <charset val="129"/>
          </rPr>
          <t>재무기획부</t>
        </r>
        <r>
          <rPr>
            <sz val="9"/>
            <color indexed="81"/>
            <rFont val="Tahoma"/>
            <family val="2"/>
          </rPr>
          <t xml:space="preserve">-6113
</t>
        </r>
        <r>
          <rPr>
            <sz val="9"/>
            <color indexed="81"/>
            <rFont val="돋움"/>
            <family val="3"/>
            <charset val="129"/>
          </rPr>
          <t>계정과목</t>
        </r>
        <r>
          <rPr>
            <sz val="9"/>
            <color indexed="81"/>
            <rFont val="Tahoma"/>
            <family val="2"/>
          </rPr>
          <t xml:space="preserve"> </t>
        </r>
        <r>
          <rPr>
            <sz val="9"/>
            <color indexed="81"/>
            <rFont val="돋움"/>
            <family val="3"/>
            <charset val="129"/>
          </rPr>
          <t>신설의뢰</t>
        </r>
        <r>
          <rPr>
            <sz val="9"/>
            <color indexed="81"/>
            <rFont val="Tahoma"/>
            <family val="2"/>
          </rPr>
          <t xml:space="preserve"> (</t>
        </r>
        <r>
          <rPr>
            <sz val="9"/>
            <color indexed="81"/>
            <rFont val="돋움"/>
            <family val="3"/>
            <charset val="129"/>
          </rPr>
          <t>외화선급금</t>
        </r>
        <r>
          <rPr>
            <sz val="9"/>
            <color indexed="81"/>
            <rFont val="Tahoma"/>
            <family val="2"/>
          </rPr>
          <t xml:space="preserve">)
</t>
        </r>
        <r>
          <rPr>
            <sz val="9"/>
            <color indexed="81"/>
            <rFont val="돋움"/>
            <family val="3"/>
            <charset val="129"/>
          </rPr>
          <t>수신</t>
        </r>
        <r>
          <rPr>
            <sz val="9"/>
            <color indexed="81"/>
            <rFont val="Tahoma"/>
            <family val="2"/>
          </rPr>
          <t>: IT</t>
        </r>
        <r>
          <rPr>
            <sz val="9"/>
            <color indexed="81"/>
            <rFont val="돋움"/>
            <family val="3"/>
            <charset val="129"/>
          </rPr>
          <t>지원부</t>
        </r>
        <r>
          <rPr>
            <sz val="9"/>
            <color indexed="81"/>
            <rFont val="Tahoma"/>
            <family val="2"/>
          </rPr>
          <t xml:space="preserve"> (12/4)
SB17-</t>
        </r>
        <r>
          <rPr>
            <sz val="9"/>
            <color indexed="81"/>
            <rFont val="돋움"/>
            <family val="3"/>
            <charset val="129"/>
          </rPr>
          <t>외환사업부</t>
        </r>
        <r>
          <rPr>
            <sz val="9"/>
            <color indexed="81"/>
            <rFont val="Tahoma"/>
            <family val="2"/>
          </rPr>
          <t xml:space="preserve">-10819
</t>
        </r>
        <r>
          <rPr>
            <sz val="9"/>
            <color indexed="81"/>
            <rFont val="돋움"/>
            <family val="3"/>
            <charset val="129"/>
          </rPr>
          <t>외화</t>
        </r>
        <r>
          <rPr>
            <sz val="9"/>
            <color indexed="81"/>
            <rFont val="Tahoma"/>
            <family val="2"/>
          </rPr>
          <t>BS</t>
        </r>
        <r>
          <rPr>
            <sz val="9"/>
            <color indexed="81"/>
            <rFont val="돋움"/>
            <family val="3"/>
            <charset val="129"/>
          </rPr>
          <t>일계처리</t>
        </r>
        <r>
          <rPr>
            <sz val="9"/>
            <color indexed="81"/>
            <rFont val="Tahoma"/>
            <family val="2"/>
          </rPr>
          <t xml:space="preserve"> </t>
        </r>
        <r>
          <rPr>
            <sz val="9"/>
            <color indexed="81"/>
            <rFont val="돋움"/>
            <family val="3"/>
            <charset val="129"/>
          </rPr>
          <t>변경요청</t>
        </r>
        <r>
          <rPr>
            <sz val="9"/>
            <color indexed="81"/>
            <rFont val="Tahoma"/>
            <family val="2"/>
          </rPr>
          <t xml:space="preserve"> (12/26)
</t>
        </r>
        <r>
          <rPr>
            <sz val="9"/>
            <color indexed="81"/>
            <rFont val="돋움"/>
            <family val="3"/>
            <charset val="129"/>
          </rPr>
          <t>가지급금</t>
        </r>
        <r>
          <rPr>
            <sz val="9"/>
            <color indexed="81"/>
            <rFont val="Tahoma"/>
            <family val="2"/>
          </rPr>
          <t xml:space="preserve"> : - 6,350,000
</t>
        </r>
        <r>
          <rPr>
            <sz val="9"/>
            <color indexed="81"/>
            <rFont val="돋움"/>
            <family val="3"/>
            <charset val="129"/>
          </rPr>
          <t>선급금</t>
        </r>
        <r>
          <rPr>
            <sz val="9"/>
            <color indexed="81"/>
            <rFont val="Tahoma"/>
            <family val="2"/>
          </rPr>
          <t xml:space="preserve">    : + 6,350,000 
12/27 </t>
        </r>
        <r>
          <rPr>
            <sz val="9"/>
            <color indexed="81"/>
            <rFont val="돋움"/>
            <family val="3"/>
            <charset val="129"/>
          </rPr>
          <t>결산시</t>
        </r>
        <r>
          <rPr>
            <sz val="9"/>
            <color indexed="81"/>
            <rFont val="Tahoma"/>
            <family val="2"/>
          </rPr>
          <t xml:space="preserve"> </t>
        </r>
        <r>
          <rPr>
            <sz val="9"/>
            <color indexed="81"/>
            <rFont val="돋움"/>
            <family val="3"/>
            <charset val="129"/>
          </rPr>
          <t>오류내역</t>
        </r>
        <r>
          <rPr>
            <sz val="9"/>
            <color indexed="81"/>
            <rFont val="Tahoma"/>
            <family val="2"/>
          </rPr>
          <t xml:space="preserve"> </t>
        </r>
        <r>
          <rPr>
            <sz val="9"/>
            <color indexed="81"/>
            <rFont val="돋움"/>
            <family val="3"/>
            <charset val="129"/>
          </rPr>
          <t>발견</t>
        </r>
        <r>
          <rPr>
            <sz val="9"/>
            <color indexed="81"/>
            <rFont val="Tahoma"/>
            <family val="2"/>
          </rPr>
          <t xml:space="preserve"> 
</t>
        </r>
        <r>
          <rPr>
            <sz val="9"/>
            <color indexed="81"/>
            <rFont val="돋움"/>
            <family val="3"/>
            <charset val="129"/>
          </rPr>
          <t>단순</t>
        </r>
        <r>
          <rPr>
            <sz val="9"/>
            <color indexed="81"/>
            <rFont val="Tahoma"/>
            <family val="2"/>
          </rPr>
          <t xml:space="preserve"> </t>
        </r>
        <r>
          <rPr>
            <sz val="9"/>
            <color indexed="81"/>
            <rFont val="돋움"/>
            <family val="3"/>
            <charset val="129"/>
          </rPr>
          <t>일계</t>
        </r>
        <r>
          <rPr>
            <sz val="9"/>
            <color indexed="81"/>
            <rFont val="Tahoma"/>
            <family val="2"/>
          </rPr>
          <t xml:space="preserve"> </t>
        </r>
        <r>
          <rPr>
            <sz val="9"/>
            <color indexed="81"/>
            <rFont val="돋움"/>
            <family val="3"/>
            <charset val="129"/>
          </rPr>
          <t>처리로</t>
        </r>
        <r>
          <rPr>
            <sz val="9"/>
            <color indexed="81"/>
            <rFont val="Tahoma"/>
            <family val="2"/>
          </rPr>
          <t xml:space="preserve"> </t>
        </r>
        <r>
          <rPr>
            <sz val="9"/>
            <color indexed="81"/>
            <rFont val="돋움"/>
            <family val="3"/>
            <charset val="129"/>
          </rPr>
          <t>인한</t>
        </r>
        <r>
          <rPr>
            <sz val="9"/>
            <color indexed="81"/>
            <rFont val="Tahoma"/>
            <family val="2"/>
          </rPr>
          <t xml:space="preserve"> </t>
        </r>
        <r>
          <rPr>
            <sz val="9"/>
            <color indexed="81"/>
            <rFont val="돋움"/>
            <family val="3"/>
            <charset val="129"/>
          </rPr>
          <t>가지급금</t>
        </r>
        <r>
          <rPr>
            <sz val="9"/>
            <color indexed="81"/>
            <rFont val="Tahoma"/>
            <family val="2"/>
          </rPr>
          <t xml:space="preserve"> </t>
        </r>
        <r>
          <rPr>
            <sz val="9"/>
            <color indexed="81"/>
            <rFont val="돋움"/>
            <family val="3"/>
            <charset val="129"/>
          </rPr>
          <t>원장</t>
        </r>
        <r>
          <rPr>
            <sz val="9"/>
            <color indexed="81"/>
            <rFont val="Tahoma"/>
            <family val="2"/>
          </rPr>
          <t xml:space="preserve"> (Nexpia) '</t>
        </r>
        <r>
          <rPr>
            <sz val="9"/>
            <color indexed="81"/>
            <rFont val="돋움"/>
            <family val="3"/>
            <charset val="129"/>
          </rPr>
          <t>미삭제</t>
        </r>
        <r>
          <rPr>
            <sz val="9"/>
            <color indexed="81"/>
            <rFont val="Tahoma"/>
            <family val="2"/>
          </rPr>
          <t xml:space="preserve">'
</t>
        </r>
        <r>
          <rPr>
            <sz val="9"/>
            <color indexed="81"/>
            <rFont val="돋움"/>
            <family val="3"/>
            <charset val="129"/>
          </rPr>
          <t>관련하여</t>
        </r>
        <r>
          <rPr>
            <sz val="9"/>
            <color indexed="81"/>
            <rFont val="Tahoma"/>
            <family val="2"/>
          </rPr>
          <t xml:space="preserve"> </t>
        </r>
        <r>
          <rPr>
            <sz val="9"/>
            <color indexed="81"/>
            <rFont val="돋움"/>
            <family val="3"/>
            <charset val="129"/>
          </rPr>
          <t>외환사업부</t>
        </r>
        <r>
          <rPr>
            <sz val="9"/>
            <color indexed="81"/>
            <rFont val="Tahoma"/>
            <family val="2"/>
          </rPr>
          <t xml:space="preserve"> </t>
        </r>
        <r>
          <rPr>
            <sz val="9"/>
            <color indexed="81"/>
            <rFont val="돋움"/>
            <family val="3"/>
            <charset val="129"/>
          </rPr>
          <t>및</t>
        </r>
        <r>
          <rPr>
            <sz val="9"/>
            <color indexed="81"/>
            <rFont val="Tahoma"/>
            <family val="2"/>
          </rPr>
          <t xml:space="preserve"> </t>
        </r>
        <r>
          <rPr>
            <sz val="9"/>
            <color indexed="81"/>
            <rFont val="돋움"/>
            <family val="3"/>
            <charset val="129"/>
          </rPr>
          <t>전략기획부</t>
        </r>
        <r>
          <rPr>
            <sz val="9"/>
            <color indexed="81"/>
            <rFont val="Tahoma"/>
            <family val="2"/>
          </rPr>
          <t xml:space="preserve"> </t>
        </r>
        <r>
          <rPr>
            <sz val="9"/>
            <color indexed="81"/>
            <rFont val="돋움"/>
            <family val="3"/>
            <charset val="129"/>
          </rPr>
          <t>정정</t>
        </r>
        <r>
          <rPr>
            <sz val="9"/>
            <color indexed="81"/>
            <rFont val="Tahoma"/>
            <family val="2"/>
          </rPr>
          <t xml:space="preserve"> </t>
        </r>
        <r>
          <rPr>
            <sz val="9"/>
            <color indexed="81"/>
            <rFont val="돋움"/>
            <family val="3"/>
            <charset val="129"/>
          </rPr>
          <t xml:space="preserve">요청
</t>
        </r>
        <r>
          <rPr>
            <sz val="9"/>
            <color indexed="81"/>
            <rFont val="Tahoma"/>
            <family val="2"/>
          </rPr>
          <t xml:space="preserve">12/29 </t>
        </r>
        <r>
          <rPr>
            <sz val="9"/>
            <color indexed="81"/>
            <rFont val="돋움"/>
            <family val="3"/>
            <charset val="129"/>
          </rPr>
          <t>가지급금으로</t>
        </r>
        <r>
          <rPr>
            <sz val="9"/>
            <color indexed="81"/>
            <rFont val="Tahoma"/>
            <family val="2"/>
          </rPr>
          <t xml:space="preserve"> '</t>
        </r>
        <r>
          <rPr>
            <sz val="9"/>
            <color indexed="81"/>
            <rFont val="돋움"/>
            <family val="3"/>
            <charset val="129"/>
          </rPr>
          <t>원복</t>
        </r>
        <r>
          <rPr>
            <sz val="9"/>
            <color indexed="81"/>
            <rFont val="Tahoma"/>
            <family val="2"/>
          </rPr>
          <t>'
SB18-</t>
        </r>
        <r>
          <rPr>
            <sz val="9"/>
            <color indexed="81"/>
            <rFont val="돋움"/>
            <family val="3"/>
            <charset val="129"/>
          </rPr>
          <t>전략기획부</t>
        </r>
        <r>
          <rPr>
            <sz val="9"/>
            <color indexed="81"/>
            <rFont val="Tahoma"/>
            <family val="2"/>
          </rPr>
          <t xml:space="preserve">-94
</t>
        </r>
        <r>
          <rPr>
            <sz val="9"/>
            <color indexed="81"/>
            <rFont val="돋움"/>
            <family val="3"/>
            <charset val="129"/>
          </rPr>
          <t>잔금</t>
        </r>
        <r>
          <rPr>
            <sz val="9"/>
            <color indexed="81"/>
            <rFont val="Tahoma"/>
            <family val="2"/>
          </rPr>
          <t xml:space="preserve"> : USD 57,150,000 (</t>
        </r>
        <r>
          <rPr>
            <sz val="9"/>
            <color indexed="81"/>
            <rFont val="돋움"/>
            <family val="3"/>
            <charset val="129"/>
          </rPr>
          <t>가지급금</t>
        </r>
        <r>
          <rPr>
            <sz val="9"/>
            <color indexed="81"/>
            <rFont val="Tahoma"/>
            <family val="2"/>
          </rPr>
          <t xml:space="preserve">)
</t>
        </r>
        <r>
          <rPr>
            <sz val="9"/>
            <color indexed="81"/>
            <rFont val="돋움"/>
            <family val="3"/>
            <charset val="129"/>
          </rPr>
          <t>현재</t>
        </r>
        <r>
          <rPr>
            <sz val="9"/>
            <color indexed="81"/>
            <rFont val="Tahoma"/>
            <family val="2"/>
          </rPr>
          <t xml:space="preserve">: </t>
        </r>
        <r>
          <rPr>
            <sz val="9"/>
            <color indexed="81"/>
            <rFont val="돋움"/>
            <family val="3"/>
            <charset val="129"/>
          </rPr>
          <t>가지급금</t>
        </r>
        <r>
          <rPr>
            <sz val="9"/>
            <color indexed="81"/>
            <rFont val="Tahoma"/>
            <family val="2"/>
          </rPr>
          <t xml:space="preserve"> USD 63,500,000.00
* </t>
        </r>
        <r>
          <rPr>
            <sz val="9"/>
            <color indexed="81"/>
            <rFont val="돋움"/>
            <family val="3"/>
            <charset val="129"/>
          </rPr>
          <t>선급금은</t>
        </r>
        <r>
          <rPr>
            <sz val="9"/>
            <color indexed="81"/>
            <rFont val="Tahoma"/>
            <family val="2"/>
          </rPr>
          <t xml:space="preserve"> </t>
        </r>
        <r>
          <rPr>
            <sz val="9"/>
            <color indexed="81"/>
            <rFont val="돋움"/>
            <family val="3"/>
            <charset val="129"/>
          </rPr>
          <t>외화</t>
        </r>
        <r>
          <rPr>
            <sz val="9"/>
            <color indexed="81"/>
            <rFont val="Tahoma"/>
            <family val="2"/>
          </rPr>
          <t xml:space="preserve"> </t>
        </r>
        <r>
          <rPr>
            <sz val="9"/>
            <color indexed="81"/>
            <rFont val="돋움"/>
            <family val="3"/>
            <charset val="129"/>
          </rPr>
          <t>환산</t>
        </r>
        <r>
          <rPr>
            <sz val="9"/>
            <color indexed="81"/>
            <rFont val="Tahoma"/>
            <family val="2"/>
          </rPr>
          <t xml:space="preserve"> </t>
        </r>
        <r>
          <rPr>
            <sz val="9"/>
            <color indexed="81"/>
            <rFont val="돋움"/>
            <family val="3"/>
            <charset val="129"/>
          </rPr>
          <t>없는</t>
        </r>
        <r>
          <rPr>
            <sz val="9"/>
            <color indexed="81"/>
            <rFont val="Tahoma"/>
            <family val="2"/>
          </rPr>
          <t xml:space="preserve"> </t>
        </r>
        <r>
          <rPr>
            <sz val="9"/>
            <color indexed="81"/>
            <rFont val="돋움"/>
            <family val="3"/>
            <charset val="129"/>
          </rPr>
          <t>비화폐성</t>
        </r>
        <r>
          <rPr>
            <sz val="9"/>
            <color indexed="81"/>
            <rFont val="Tahoma"/>
            <family val="2"/>
          </rPr>
          <t xml:space="preserve"> </t>
        </r>
        <r>
          <rPr>
            <sz val="9"/>
            <color indexed="81"/>
            <rFont val="돋움"/>
            <family val="3"/>
            <charset val="129"/>
          </rPr>
          <t>계정이나</t>
        </r>
        <r>
          <rPr>
            <sz val="9"/>
            <color indexed="81"/>
            <rFont val="Tahoma"/>
            <family val="2"/>
          </rPr>
          <t xml:space="preserve"> 
   </t>
        </r>
        <r>
          <rPr>
            <sz val="9"/>
            <color indexed="81"/>
            <rFont val="돋움"/>
            <family val="3"/>
            <charset val="129"/>
          </rPr>
          <t>온라인</t>
        </r>
        <r>
          <rPr>
            <sz val="9"/>
            <color indexed="81"/>
            <rFont val="Tahoma"/>
            <family val="2"/>
          </rPr>
          <t xml:space="preserve"> </t>
        </r>
        <r>
          <rPr>
            <sz val="9"/>
            <color indexed="81"/>
            <rFont val="돋움"/>
            <family val="3"/>
            <charset val="129"/>
          </rPr>
          <t>계정으로</t>
        </r>
        <r>
          <rPr>
            <sz val="9"/>
            <color indexed="81"/>
            <rFont val="Tahoma"/>
            <family val="2"/>
          </rPr>
          <t xml:space="preserve"> </t>
        </r>
        <r>
          <rPr>
            <sz val="9"/>
            <color indexed="81"/>
            <rFont val="돋움"/>
            <family val="3"/>
            <charset val="129"/>
          </rPr>
          <t>원장이</t>
        </r>
        <r>
          <rPr>
            <sz val="9"/>
            <color indexed="81"/>
            <rFont val="Tahoma"/>
            <family val="2"/>
          </rPr>
          <t xml:space="preserve"> </t>
        </r>
        <r>
          <rPr>
            <sz val="9"/>
            <color indexed="81"/>
            <rFont val="돋움"/>
            <family val="3"/>
            <charset val="129"/>
          </rPr>
          <t>있어야</t>
        </r>
        <r>
          <rPr>
            <sz val="9"/>
            <color indexed="81"/>
            <rFont val="Tahoma"/>
            <family val="2"/>
          </rPr>
          <t xml:space="preserve"> </t>
        </r>
        <r>
          <rPr>
            <sz val="9"/>
            <color indexed="81"/>
            <rFont val="돋움"/>
            <family val="3"/>
            <charset val="129"/>
          </rPr>
          <t>하지만</t>
        </r>
        <r>
          <rPr>
            <sz val="9"/>
            <color indexed="81"/>
            <rFont val="Tahoma"/>
            <family val="2"/>
          </rPr>
          <t xml:space="preserve"> </t>
        </r>
        <r>
          <rPr>
            <sz val="9"/>
            <color indexed="81"/>
            <rFont val="돋움"/>
            <family val="3"/>
            <charset val="129"/>
          </rPr>
          <t xml:space="preserve">현재
</t>
        </r>
        <r>
          <rPr>
            <sz val="9"/>
            <color indexed="81"/>
            <rFont val="Tahoma"/>
            <family val="2"/>
          </rPr>
          <t xml:space="preserve">   </t>
        </r>
        <r>
          <rPr>
            <sz val="9"/>
            <color indexed="81"/>
            <rFont val="돋움"/>
            <family val="3"/>
            <charset val="129"/>
          </rPr>
          <t>원장</t>
        </r>
        <r>
          <rPr>
            <sz val="9"/>
            <color indexed="81"/>
            <rFont val="Tahoma"/>
            <family val="2"/>
          </rPr>
          <t xml:space="preserve"> </t>
        </r>
        <r>
          <rPr>
            <sz val="9"/>
            <color indexed="81"/>
            <rFont val="돋움"/>
            <family val="3"/>
            <charset val="129"/>
          </rPr>
          <t>생성</t>
        </r>
        <r>
          <rPr>
            <sz val="9"/>
            <color indexed="81"/>
            <rFont val="Tahoma"/>
            <family val="2"/>
          </rPr>
          <t xml:space="preserve"> </t>
        </r>
        <r>
          <rPr>
            <sz val="9"/>
            <color indexed="81"/>
            <rFont val="돋움"/>
            <family val="3"/>
            <charset val="129"/>
          </rPr>
          <t>거래가</t>
        </r>
        <r>
          <rPr>
            <sz val="9"/>
            <color indexed="81"/>
            <rFont val="Tahoma"/>
            <family val="2"/>
          </rPr>
          <t xml:space="preserve"> </t>
        </r>
        <r>
          <rPr>
            <sz val="9"/>
            <color indexed="81"/>
            <rFont val="돋움"/>
            <family val="3"/>
            <charset val="129"/>
          </rPr>
          <t>없으므로</t>
        </r>
        <r>
          <rPr>
            <sz val="9"/>
            <color indexed="81"/>
            <rFont val="Tahoma"/>
            <family val="2"/>
          </rPr>
          <t xml:space="preserve">, </t>
        </r>
        <r>
          <rPr>
            <sz val="9"/>
            <color indexed="81"/>
            <rFont val="돋움"/>
            <family val="3"/>
            <charset val="129"/>
          </rPr>
          <t>향후</t>
        </r>
        <r>
          <rPr>
            <sz val="9"/>
            <color indexed="81"/>
            <rFont val="Tahoma"/>
            <family val="2"/>
          </rPr>
          <t xml:space="preserve"> </t>
        </r>
        <r>
          <rPr>
            <sz val="9"/>
            <color indexed="81"/>
            <rFont val="돋움"/>
            <family val="3"/>
            <charset val="129"/>
          </rPr>
          <t>원장생성</t>
        </r>
        <r>
          <rPr>
            <sz val="9"/>
            <color indexed="81"/>
            <rFont val="Tahoma"/>
            <family val="2"/>
          </rPr>
          <t xml:space="preserve"> </t>
        </r>
        <r>
          <rPr>
            <sz val="9"/>
            <color indexed="81"/>
            <rFont val="돋움"/>
            <family val="3"/>
            <charset val="129"/>
          </rPr>
          <t>거래</t>
        </r>
        <r>
          <rPr>
            <sz val="9"/>
            <color indexed="81"/>
            <rFont val="Tahoma"/>
            <family val="2"/>
          </rPr>
          <t xml:space="preserve"> 
   </t>
        </r>
        <r>
          <rPr>
            <sz val="9"/>
            <color indexed="81"/>
            <rFont val="돋움"/>
            <family val="3"/>
            <charset val="129"/>
          </rPr>
          <t>생길</t>
        </r>
        <r>
          <rPr>
            <sz val="9"/>
            <color indexed="81"/>
            <rFont val="Tahoma"/>
            <family val="2"/>
          </rPr>
          <t xml:space="preserve"> </t>
        </r>
        <r>
          <rPr>
            <sz val="9"/>
            <color indexed="81"/>
            <rFont val="돋움"/>
            <family val="3"/>
            <charset val="129"/>
          </rPr>
          <t>시</t>
        </r>
        <r>
          <rPr>
            <sz val="9"/>
            <color indexed="81"/>
            <rFont val="Tahoma"/>
            <family val="2"/>
          </rPr>
          <t xml:space="preserve"> </t>
        </r>
        <r>
          <rPr>
            <sz val="9"/>
            <color indexed="81"/>
            <rFont val="돋움"/>
            <family val="3"/>
            <charset val="129"/>
          </rPr>
          <t>선급금</t>
        </r>
        <r>
          <rPr>
            <sz val="9"/>
            <color indexed="81"/>
            <rFont val="Tahoma"/>
            <family val="2"/>
          </rPr>
          <t xml:space="preserve"> </t>
        </r>
        <r>
          <rPr>
            <sz val="9"/>
            <color indexed="81"/>
            <rFont val="돋움"/>
            <family val="3"/>
            <charset val="129"/>
          </rPr>
          <t>원장</t>
        </r>
        <r>
          <rPr>
            <sz val="9"/>
            <color indexed="81"/>
            <rFont val="Tahoma"/>
            <family val="2"/>
          </rPr>
          <t xml:space="preserve"> </t>
        </r>
        <r>
          <rPr>
            <sz val="9"/>
            <color indexed="81"/>
            <rFont val="돋움"/>
            <family val="3"/>
            <charset val="129"/>
          </rPr>
          <t>생성</t>
        </r>
        <r>
          <rPr>
            <sz val="9"/>
            <color indexed="81"/>
            <rFont val="Tahoma"/>
            <family val="2"/>
          </rPr>
          <t xml:space="preserve"> </t>
        </r>
        <r>
          <rPr>
            <sz val="9"/>
            <color indexed="81"/>
            <rFont val="돋움"/>
            <family val="3"/>
            <charset val="129"/>
          </rPr>
          <t>및</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금액으로</t>
        </r>
        <r>
          <rPr>
            <sz val="9"/>
            <color indexed="81"/>
            <rFont val="Tahoma"/>
            <family val="2"/>
          </rPr>
          <t xml:space="preserve"> </t>
        </r>
        <r>
          <rPr>
            <sz val="9"/>
            <color indexed="81"/>
            <rFont val="돋움"/>
            <family val="3"/>
            <charset val="129"/>
          </rPr>
          <t xml:space="preserve">가지급금
</t>
        </r>
        <r>
          <rPr>
            <sz val="9"/>
            <color indexed="81"/>
            <rFont val="Tahoma"/>
            <family val="2"/>
          </rPr>
          <t xml:space="preserve">   </t>
        </r>
        <r>
          <rPr>
            <sz val="9"/>
            <color indexed="81"/>
            <rFont val="돋움"/>
            <family val="3"/>
            <charset val="129"/>
          </rPr>
          <t>정리</t>
        </r>
        <r>
          <rPr>
            <sz val="9"/>
            <color indexed="81"/>
            <rFont val="Tahoma"/>
            <family val="2"/>
          </rPr>
          <t xml:space="preserve"> </t>
        </r>
        <r>
          <rPr>
            <sz val="9"/>
            <color indexed="81"/>
            <rFont val="돋움"/>
            <family val="3"/>
            <charset val="129"/>
          </rPr>
          <t>예정</t>
        </r>
        <r>
          <rPr>
            <sz val="9"/>
            <color indexed="81"/>
            <rFont val="Tahoma"/>
            <family val="2"/>
          </rPr>
          <t xml:space="preserve">. </t>
        </r>
        <r>
          <rPr>
            <sz val="9"/>
            <color indexed="81"/>
            <rFont val="돋움"/>
            <family val="3"/>
            <charset val="129"/>
          </rPr>
          <t>끝</t>
        </r>
        <r>
          <rPr>
            <sz val="9"/>
            <color indexed="81"/>
            <rFont val="Tahoma"/>
            <family val="2"/>
          </rPr>
          <t>.</t>
        </r>
        <r>
          <rPr>
            <b/>
            <sz val="9"/>
            <color indexed="81"/>
            <rFont val="Tahoma"/>
            <family val="2"/>
          </rPr>
          <t xml:space="preserve">
769112195073 USD 60,960,000.00
769112195004 USD 2,540,000.00
</t>
        </r>
      </text>
    </comment>
    <comment ref="B468" authorId="1" shapeId="0" xr:uid="{00000000-0006-0000-0300-000035000000}">
      <text>
        <r>
          <rPr>
            <b/>
            <sz val="9"/>
            <color indexed="81"/>
            <rFont val="Tahoma"/>
            <family val="2"/>
          </rPr>
          <t>SB18-</t>
        </r>
        <r>
          <rPr>
            <b/>
            <sz val="9"/>
            <color indexed="81"/>
            <rFont val="돋움"/>
            <family val="3"/>
            <charset val="129"/>
          </rPr>
          <t>재무기획부</t>
        </r>
        <r>
          <rPr>
            <b/>
            <sz val="9"/>
            <color indexed="81"/>
            <rFont val="Tahoma"/>
            <family val="2"/>
          </rPr>
          <t xml:space="preserve">-3163 
(18/6/15~6/19 </t>
        </r>
        <r>
          <rPr>
            <b/>
            <sz val="9"/>
            <color indexed="81"/>
            <rFont val="돋움"/>
            <family val="3"/>
            <charset val="129"/>
          </rPr>
          <t>은행</t>
        </r>
        <r>
          <rPr>
            <b/>
            <sz val="9"/>
            <color indexed="81"/>
            <rFont val="Tahoma"/>
            <family val="2"/>
          </rPr>
          <t xml:space="preserve"> </t>
        </r>
        <r>
          <rPr>
            <b/>
            <sz val="9"/>
            <color indexed="81"/>
            <rFont val="돋움"/>
            <family val="3"/>
            <charset val="129"/>
          </rPr>
          <t>투자</t>
        </r>
        <r>
          <rPr>
            <b/>
            <sz val="9"/>
            <color indexed="81"/>
            <rFont val="Tahoma"/>
            <family val="2"/>
          </rPr>
          <t xml:space="preserve"> -&gt; 6/20~ 6/26 </t>
        </r>
        <r>
          <rPr>
            <b/>
            <sz val="9"/>
            <color indexed="81"/>
            <rFont val="돋움"/>
            <family val="3"/>
            <charset val="129"/>
          </rPr>
          <t>가지급금</t>
        </r>
        <r>
          <rPr>
            <b/>
            <sz val="9"/>
            <color indexed="81"/>
            <rFont val="Tahoma"/>
            <family val="2"/>
          </rPr>
          <t xml:space="preserve">)
(1) </t>
        </r>
        <r>
          <rPr>
            <b/>
            <sz val="9"/>
            <color indexed="81"/>
            <rFont val="돋움"/>
            <family val="3"/>
            <charset val="129"/>
          </rPr>
          <t>은행계정</t>
        </r>
        <r>
          <rPr>
            <b/>
            <sz val="9"/>
            <color indexed="81"/>
            <rFont val="Tahoma"/>
            <family val="2"/>
          </rPr>
          <t xml:space="preserve"> : </t>
        </r>
        <r>
          <rPr>
            <b/>
            <sz val="9"/>
            <color indexed="81"/>
            <rFont val="돋움"/>
            <family val="3"/>
            <charset val="129"/>
          </rPr>
          <t>외화투자</t>
        </r>
        <r>
          <rPr>
            <b/>
            <sz val="9"/>
            <color indexed="81"/>
            <rFont val="Tahoma"/>
            <family val="2"/>
          </rPr>
          <t xml:space="preserve">(COA 130786) </t>
        </r>
        <r>
          <rPr>
            <b/>
            <sz val="9"/>
            <color indexed="81"/>
            <rFont val="돋움"/>
            <family val="3"/>
            <charset val="129"/>
          </rPr>
          <t>입금</t>
        </r>
        <r>
          <rPr>
            <b/>
            <sz val="9"/>
            <color indexed="81"/>
            <rFont val="Tahoma"/>
            <family val="2"/>
          </rPr>
          <t xml:space="preserve">, </t>
        </r>
        <r>
          <rPr>
            <b/>
            <sz val="9"/>
            <color indexed="81"/>
            <rFont val="돋움"/>
            <family val="3"/>
            <charset val="129"/>
          </rPr>
          <t>외화가지급금</t>
        </r>
        <r>
          <rPr>
            <b/>
            <sz val="9"/>
            <color indexed="81"/>
            <rFont val="Tahoma"/>
            <family val="2"/>
          </rPr>
          <t xml:space="preserve">(COA 150131) </t>
        </r>
        <r>
          <rPr>
            <b/>
            <sz val="9"/>
            <color indexed="81"/>
            <rFont val="돋움"/>
            <family val="3"/>
            <charset val="129"/>
          </rPr>
          <t xml:space="preserve">지급
</t>
        </r>
        <r>
          <rPr>
            <b/>
            <sz val="9"/>
            <color indexed="81"/>
            <rFont val="Tahoma"/>
            <family val="2"/>
          </rPr>
          <t xml:space="preserve"> (2) </t>
        </r>
        <r>
          <rPr>
            <b/>
            <sz val="9"/>
            <color indexed="81"/>
            <rFont val="돋움"/>
            <family val="3"/>
            <charset val="129"/>
          </rPr>
          <t>외화계정</t>
        </r>
        <r>
          <rPr>
            <b/>
            <sz val="9"/>
            <color indexed="81"/>
            <rFont val="Tahoma"/>
            <family val="2"/>
          </rPr>
          <t xml:space="preserve"> : </t>
        </r>
        <r>
          <rPr>
            <b/>
            <sz val="9"/>
            <color indexed="81"/>
            <rFont val="돋움"/>
            <family val="3"/>
            <charset val="129"/>
          </rPr>
          <t>외화투자</t>
        </r>
        <r>
          <rPr>
            <b/>
            <sz val="9"/>
            <color indexed="81"/>
            <rFont val="Tahoma"/>
            <family val="2"/>
          </rPr>
          <t xml:space="preserve">(COA 011423) </t>
        </r>
        <r>
          <rPr>
            <b/>
            <sz val="9"/>
            <color indexed="81"/>
            <rFont val="돋움"/>
            <family val="3"/>
            <charset val="129"/>
          </rPr>
          <t>입금</t>
        </r>
        <r>
          <rPr>
            <b/>
            <sz val="9"/>
            <color indexed="81"/>
            <rFont val="Tahoma"/>
            <family val="2"/>
          </rPr>
          <t xml:space="preserve">, </t>
        </r>
        <r>
          <rPr>
            <b/>
            <sz val="9"/>
            <color indexed="81"/>
            <rFont val="돋움"/>
            <family val="3"/>
            <charset val="129"/>
          </rPr>
          <t>외화가지급금</t>
        </r>
        <r>
          <rPr>
            <b/>
            <sz val="9"/>
            <color indexed="81"/>
            <rFont val="Tahoma"/>
            <family val="2"/>
          </rPr>
          <t xml:space="preserve">(COA 011401) </t>
        </r>
        <r>
          <rPr>
            <b/>
            <sz val="9"/>
            <color indexed="81"/>
            <rFont val="돋움"/>
            <family val="3"/>
            <charset val="129"/>
          </rPr>
          <t xml:space="preserve">지급
</t>
        </r>
        <r>
          <rPr>
            <b/>
            <sz val="9"/>
            <color indexed="81"/>
            <rFont val="Tahoma"/>
            <family val="2"/>
          </rPr>
          <t>SB18-</t>
        </r>
        <r>
          <rPr>
            <b/>
            <sz val="9"/>
            <color indexed="81"/>
            <rFont val="돋움"/>
            <family val="3"/>
            <charset val="129"/>
          </rPr>
          <t>재무기획부</t>
        </r>
        <r>
          <rPr>
            <b/>
            <sz val="9"/>
            <color indexed="81"/>
            <rFont val="Tahoma"/>
            <family val="2"/>
          </rPr>
          <t xml:space="preserve">-3230 (6/27~)
 (1) </t>
        </r>
        <r>
          <rPr>
            <b/>
            <sz val="9"/>
            <color indexed="81"/>
            <rFont val="돋움"/>
            <family val="3"/>
            <charset val="129"/>
          </rPr>
          <t>은행계정</t>
        </r>
        <r>
          <rPr>
            <b/>
            <sz val="9"/>
            <color indexed="81"/>
            <rFont val="Tahoma"/>
            <family val="2"/>
          </rPr>
          <t xml:space="preserve"> : </t>
        </r>
        <r>
          <rPr>
            <b/>
            <sz val="9"/>
            <color indexed="81"/>
            <rFont val="돋움"/>
            <family val="3"/>
            <charset val="129"/>
          </rPr>
          <t>외화가지급금</t>
        </r>
        <r>
          <rPr>
            <b/>
            <sz val="9"/>
            <color indexed="81"/>
            <rFont val="Tahoma"/>
            <family val="2"/>
          </rPr>
          <t xml:space="preserve">(COA 150131) </t>
        </r>
        <r>
          <rPr>
            <b/>
            <sz val="9"/>
            <color indexed="81"/>
            <rFont val="돋움"/>
            <family val="3"/>
            <charset val="129"/>
          </rPr>
          <t>입금</t>
        </r>
        <r>
          <rPr>
            <b/>
            <sz val="9"/>
            <color indexed="81"/>
            <rFont val="Tahoma"/>
            <family val="2"/>
          </rPr>
          <t xml:space="preserve">, </t>
        </r>
        <r>
          <rPr>
            <b/>
            <sz val="9"/>
            <color indexed="81"/>
            <rFont val="돋움"/>
            <family val="3"/>
            <charset val="129"/>
          </rPr>
          <t>외화투자</t>
        </r>
        <r>
          <rPr>
            <b/>
            <sz val="9"/>
            <color indexed="81"/>
            <rFont val="Tahoma"/>
            <family val="2"/>
          </rPr>
          <t xml:space="preserve">(COA 130786) </t>
        </r>
        <r>
          <rPr>
            <b/>
            <sz val="9"/>
            <color indexed="81"/>
            <rFont val="돋움"/>
            <family val="3"/>
            <charset val="129"/>
          </rPr>
          <t xml:space="preserve">지급
</t>
        </r>
        <r>
          <rPr>
            <b/>
            <sz val="9"/>
            <color indexed="81"/>
            <rFont val="Tahoma"/>
            <family val="2"/>
          </rPr>
          <t xml:space="preserve"> (2) </t>
        </r>
        <r>
          <rPr>
            <b/>
            <sz val="9"/>
            <color indexed="81"/>
            <rFont val="돋움"/>
            <family val="3"/>
            <charset val="129"/>
          </rPr>
          <t>외화계정</t>
        </r>
        <r>
          <rPr>
            <b/>
            <sz val="9"/>
            <color indexed="81"/>
            <rFont val="Tahoma"/>
            <family val="2"/>
          </rPr>
          <t xml:space="preserve"> : </t>
        </r>
        <r>
          <rPr>
            <b/>
            <sz val="9"/>
            <color indexed="81"/>
            <rFont val="돋움"/>
            <family val="3"/>
            <charset val="129"/>
          </rPr>
          <t>외화가지급금</t>
        </r>
        <r>
          <rPr>
            <b/>
            <sz val="9"/>
            <color indexed="81"/>
            <rFont val="Tahoma"/>
            <family val="2"/>
          </rPr>
          <t xml:space="preserve">(COA 011401) </t>
        </r>
        <r>
          <rPr>
            <b/>
            <sz val="9"/>
            <color indexed="81"/>
            <rFont val="돋움"/>
            <family val="3"/>
            <charset val="129"/>
          </rPr>
          <t>입금</t>
        </r>
        <r>
          <rPr>
            <b/>
            <sz val="9"/>
            <color indexed="81"/>
            <rFont val="Tahoma"/>
            <family val="2"/>
          </rPr>
          <t xml:space="preserve">, </t>
        </r>
        <r>
          <rPr>
            <b/>
            <sz val="9"/>
            <color indexed="81"/>
            <rFont val="돋움"/>
            <family val="3"/>
            <charset val="129"/>
          </rPr>
          <t>외화투자</t>
        </r>
        <r>
          <rPr>
            <b/>
            <sz val="9"/>
            <color indexed="81"/>
            <rFont val="Tahoma"/>
            <family val="2"/>
          </rPr>
          <t xml:space="preserve">(COA 011423) </t>
        </r>
        <r>
          <rPr>
            <b/>
            <sz val="9"/>
            <color indexed="81"/>
            <rFont val="돋움"/>
            <family val="3"/>
            <charset val="129"/>
          </rPr>
          <t xml:space="preserve">지급
</t>
        </r>
      </text>
    </comment>
    <comment ref="B469" authorId="1" shapeId="0" xr:uid="{00000000-0006-0000-0300-000036000000}">
      <text>
        <r>
          <rPr>
            <b/>
            <sz val="9"/>
            <color indexed="81"/>
            <rFont val="돋움"/>
            <family val="3"/>
            <charset val="129"/>
          </rPr>
          <t>계정</t>
        </r>
        <r>
          <rPr>
            <b/>
            <sz val="9"/>
            <color indexed="81"/>
            <rFont val="Tahoma"/>
            <family val="2"/>
          </rPr>
          <t xml:space="preserve"> </t>
        </r>
        <r>
          <rPr>
            <b/>
            <sz val="9"/>
            <color indexed="81"/>
            <rFont val="돋움"/>
            <family val="3"/>
            <charset val="129"/>
          </rPr>
          <t xml:space="preserve">신설
</t>
        </r>
        <r>
          <rPr>
            <b/>
            <sz val="9"/>
            <color indexed="81"/>
            <rFont val="Tahoma"/>
            <family val="2"/>
          </rPr>
          <t>SB18-</t>
        </r>
        <r>
          <rPr>
            <b/>
            <sz val="9"/>
            <color indexed="81"/>
            <rFont val="돋움"/>
            <family val="3"/>
            <charset val="129"/>
          </rPr>
          <t>국제금융부</t>
        </r>
        <r>
          <rPr>
            <b/>
            <sz val="9"/>
            <color indexed="81"/>
            <rFont val="Tahoma"/>
            <family val="2"/>
          </rPr>
          <t>-2369</t>
        </r>
        <r>
          <rPr>
            <b/>
            <sz val="9"/>
            <color indexed="81"/>
            <rFont val="돋움"/>
            <family val="3"/>
            <charset val="129"/>
          </rPr>
          <t xml:space="preserve">
</t>
        </r>
        <r>
          <rPr>
            <b/>
            <sz val="9"/>
            <color indexed="81"/>
            <rFont val="Tahoma"/>
            <family val="2"/>
          </rPr>
          <t>SB18-</t>
        </r>
        <r>
          <rPr>
            <b/>
            <sz val="9"/>
            <color indexed="81"/>
            <rFont val="돋움"/>
            <family val="3"/>
            <charset val="129"/>
          </rPr>
          <t>재무기획부</t>
        </r>
        <r>
          <rPr>
            <b/>
            <sz val="9"/>
            <color indexed="81"/>
            <rFont val="Tahoma"/>
            <family val="2"/>
          </rPr>
          <t xml:space="preserve">-2646 </t>
        </r>
      </text>
    </comment>
    <comment ref="E469" authorId="1" shapeId="0" xr:uid="{00000000-0006-0000-0300-000037000000}">
      <text>
        <r>
          <rPr>
            <b/>
            <sz val="9"/>
            <color indexed="81"/>
            <rFont val="Tahoma"/>
            <family val="2"/>
          </rPr>
          <t>SB18-</t>
        </r>
        <r>
          <rPr>
            <b/>
            <sz val="9"/>
            <color indexed="81"/>
            <rFont val="돋움"/>
            <family val="3"/>
            <charset val="129"/>
          </rPr>
          <t>전략기획부</t>
        </r>
        <r>
          <rPr>
            <b/>
            <sz val="9"/>
            <color indexed="81"/>
            <rFont val="Tahoma"/>
            <family val="2"/>
          </rPr>
          <t>-2447 
SB18-</t>
        </r>
        <r>
          <rPr>
            <b/>
            <sz val="9"/>
            <color indexed="81"/>
            <rFont val="돋움"/>
            <family val="3"/>
            <charset val="129"/>
          </rPr>
          <t>국제금융부</t>
        </r>
        <r>
          <rPr>
            <b/>
            <sz val="9"/>
            <color indexed="81"/>
            <rFont val="Tahoma"/>
            <family val="2"/>
          </rPr>
          <t>-2287
SB18-</t>
        </r>
        <r>
          <rPr>
            <b/>
            <sz val="9"/>
            <color indexed="81"/>
            <rFont val="돋움"/>
            <family val="3"/>
            <charset val="129"/>
          </rPr>
          <t>국제금융부</t>
        </r>
        <r>
          <rPr>
            <b/>
            <sz val="9"/>
            <color indexed="81"/>
            <rFont val="Tahoma"/>
            <family val="2"/>
          </rPr>
          <t>-2288</t>
        </r>
      </text>
    </comment>
    <comment ref="F469" authorId="1" shapeId="0" xr:uid="{00000000-0006-0000-0300-000038000000}">
      <text>
        <r>
          <rPr>
            <b/>
            <sz val="9"/>
            <color indexed="81"/>
            <rFont val="Tahoma"/>
            <family val="2"/>
          </rPr>
          <t>SB18-</t>
        </r>
        <r>
          <rPr>
            <b/>
            <sz val="9"/>
            <color indexed="81"/>
            <rFont val="돋움"/>
            <family val="3"/>
            <charset val="129"/>
          </rPr>
          <t>전략기획부</t>
        </r>
        <r>
          <rPr>
            <b/>
            <sz val="9"/>
            <color indexed="81"/>
            <rFont val="Tahoma"/>
            <family val="2"/>
          </rPr>
          <t>-2447 
SB18-</t>
        </r>
        <r>
          <rPr>
            <b/>
            <sz val="9"/>
            <color indexed="81"/>
            <rFont val="돋움"/>
            <family val="3"/>
            <charset val="129"/>
          </rPr>
          <t>국제금융부</t>
        </r>
        <r>
          <rPr>
            <b/>
            <sz val="9"/>
            <color indexed="81"/>
            <rFont val="Tahoma"/>
            <family val="2"/>
          </rPr>
          <t>-2287
SB18-</t>
        </r>
        <r>
          <rPr>
            <b/>
            <sz val="9"/>
            <color indexed="81"/>
            <rFont val="돋움"/>
            <family val="3"/>
            <charset val="129"/>
          </rPr>
          <t>국제금융부</t>
        </r>
        <r>
          <rPr>
            <b/>
            <sz val="9"/>
            <color indexed="81"/>
            <rFont val="Tahoma"/>
            <family val="2"/>
          </rPr>
          <t>-2288</t>
        </r>
      </text>
    </comment>
    <comment ref="J469" authorId="1" shapeId="0" xr:uid="{00000000-0006-0000-0300-000039000000}">
      <text>
        <r>
          <rPr>
            <b/>
            <sz val="9"/>
            <color indexed="81"/>
            <rFont val="돋움"/>
            <family val="3"/>
            <charset val="129"/>
          </rPr>
          <t>첫인출신청일로부터</t>
        </r>
        <r>
          <rPr>
            <b/>
            <sz val="9"/>
            <color indexed="81"/>
            <rFont val="Tahoma"/>
            <family val="2"/>
          </rPr>
          <t xml:space="preserve"> 3</t>
        </r>
        <r>
          <rPr>
            <b/>
            <sz val="9"/>
            <color indexed="81"/>
            <rFont val="돋움"/>
            <family val="3"/>
            <charset val="129"/>
          </rPr>
          <t>년</t>
        </r>
        <r>
          <rPr>
            <b/>
            <sz val="9"/>
            <color indexed="81"/>
            <rFont val="Tahoma"/>
            <family val="2"/>
          </rPr>
          <t xml:space="preserve"> (</t>
        </r>
        <r>
          <rPr>
            <b/>
            <sz val="9"/>
            <color indexed="81"/>
            <rFont val="돋움"/>
            <family val="3"/>
            <charset val="129"/>
          </rPr>
          <t>자동연장</t>
        </r>
        <r>
          <rPr>
            <b/>
            <sz val="9"/>
            <color indexed="81"/>
            <rFont val="Tahoma"/>
            <family val="2"/>
          </rPr>
          <t xml:space="preserve">)
SM180500001 </t>
        </r>
      </text>
    </comment>
    <comment ref="K469" authorId="1" shapeId="0" xr:uid="{00000000-0006-0000-0300-00003A000000}">
      <text>
        <r>
          <rPr>
            <b/>
            <sz val="9"/>
            <color indexed="81"/>
            <rFont val="돋움"/>
            <family val="3"/>
            <charset val="129"/>
          </rPr>
          <t>원천징수세</t>
        </r>
        <r>
          <rPr>
            <b/>
            <sz val="9"/>
            <color indexed="81"/>
            <rFont val="Tahoma"/>
            <family val="2"/>
          </rPr>
          <t xml:space="preserve"> 14% </t>
        </r>
        <r>
          <rPr>
            <b/>
            <sz val="9"/>
            <color indexed="81"/>
            <rFont val="돋움"/>
            <family val="3"/>
            <charset val="129"/>
          </rPr>
          <t>차감</t>
        </r>
        <r>
          <rPr>
            <b/>
            <sz val="9"/>
            <color indexed="81"/>
            <rFont val="Tahoma"/>
            <family val="2"/>
          </rPr>
          <t xml:space="preserve"> 365 days basis
1)  3.856% 
2)  4.81% (2019.06.17 ~)
(SB19-</t>
        </r>
        <r>
          <rPr>
            <b/>
            <sz val="9"/>
            <color indexed="81"/>
            <rFont val="돋움"/>
            <family val="3"/>
            <charset val="129"/>
          </rPr>
          <t>자금부</t>
        </r>
        <r>
          <rPr>
            <b/>
            <sz val="9"/>
            <color indexed="81"/>
            <rFont val="Tahoma"/>
            <family val="2"/>
          </rPr>
          <t>-3186, SB19-</t>
        </r>
        <r>
          <rPr>
            <b/>
            <sz val="9"/>
            <color indexed="81"/>
            <rFont val="돋움"/>
            <family val="3"/>
            <charset val="129"/>
          </rPr>
          <t>자금부</t>
        </r>
        <r>
          <rPr>
            <b/>
            <sz val="9"/>
            <color indexed="81"/>
            <rFont val="Tahoma"/>
            <family val="2"/>
          </rPr>
          <t>-3188)
3)  4.92% (2020.05.18 ~)
(SB20-</t>
        </r>
        <r>
          <rPr>
            <b/>
            <sz val="9"/>
            <color indexed="81"/>
            <rFont val="돋움"/>
            <family val="3"/>
            <charset val="129"/>
          </rPr>
          <t>자금부</t>
        </r>
        <r>
          <rPr>
            <b/>
            <sz val="9"/>
            <color indexed="81"/>
            <rFont val="Tahoma"/>
            <family val="2"/>
          </rPr>
          <t>-2666)</t>
        </r>
      </text>
    </comment>
    <comment ref="M469" authorId="1" shapeId="0" xr:uid="{00000000-0006-0000-0300-00003B000000}">
      <text>
        <r>
          <rPr>
            <b/>
            <sz val="9"/>
            <color indexed="81"/>
            <rFont val="돋움"/>
            <family val="3"/>
            <charset val="129"/>
          </rPr>
          <t>이사회 부의 관련 SB18-국제금융부-2287
대여금기표품의: SB18-국제금융부-2427,
외관련문서: SB18-전략기획부-2555, SB18-전략기획부-2363, SB18-전략기획부-2447, SB18-국제금융부-2287, SB18-국제금융부-2288
DGB특수은행의 대구은행 대외계정 비거주자 
계좌 :532-10-129180-5
(국제금융시스템 MT130에서 CHASE에 기표된 출금(USD 40,000,000)는 수기로 입금하여
외타 자금에 정정 없도록 조정)
서울본부 -&gt; 제2본점영업부로 외타SD한 금액
전금 USD 40,000,000. 제2본점영업부에서
대외계정 입금 후 출금하여 해외송금처리함.
(주주차입금 대환을 위해 구 주주로 자금송금)
CASH FLOW 상호 조정 필. (캄보디아, 한국, 미국 휴일일 경우 익영업일. 3년간 NATIONAL HOLIDAY는 없음.
FEE (세금) 14%차감 처리 필.
총이자금액 - 세금 = 세금공제 후 실제 수취 이자
(이자, 세금은 소숫점 세째자리에서 반올림 후 NETTING) 백오피스로 파일 송부 필.
summit에서 버젼 변경되는경우 국제금융시스템에서 구분'조달'로 자동바뀜. 서밋에서 변경할때마다 이지훈대리에게 요청해서 운용으로 바꿀것!</t>
        </r>
      </text>
    </comment>
    <comment ref="B486" authorId="1" shapeId="0" xr:uid="{00000000-0006-0000-0300-00003C000000}">
      <text>
        <r>
          <rPr>
            <b/>
            <sz val="9"/>
            <color indexed="81"/>
            <rFont val="Tahoma"/>
            <family val="2"/>
          </rPr>
          <t>SB19-</t>
        </r>
        <r>
          <rPr>
            <b/>
            <sz val="9"/>
            <color indexed="81"/>
            <rFont val="돋움"/>
            <family val="3"/>
            <charset val="129"/>
          </rPr>
          <t>글로벌사업부</t>
        </r>
        <r>
          <rPr>
            <b/>
            <sz val="9"/>
            <color indexed="81"/>
            <rFont val="Tahoma"/>
            <family val="2"/>
          </rPr>
          <t>-11
(2019 3</t>
        </r>
        <r>
          <rPr>
            <b/>
            <sz val="9"/>
            <color indexed="81"/>
            <rFont val="돋움"/>
            <family val="3"/>
            <charset val="129"/>
          </rPr>
          <t>분기</t>
        </r>
        <r>
          <rPr>
            <b/>
            <sz val="9"/>
            <color indexed="81"/>
            <rFont val="Tahoma"/>
            <family val="2"/>
          </rPr>
          <t xml:space="preserve"> </t>
        </r>
        <r>
          <rPr>
            <b/>
            <sz val="9"/>
            <color indexed="81"/>
            <rFont val="돋움"/>
            <family val="3"/>
            <charset val="129"/>
          </rPr>
          <t>정기이사회</t>
        </r>
        <r>
          <rPr>
            <b/>
            <sz val="9"/>
            <color indexed="81"/>
            <rFont val="Tahoma"/>
            <family val="2"/>
          </rPr>
          <t xml:space="preserve"> </t>
        </r>
        <r>
          <rPr>
            <b/>
            <sz val="9"/>
            <color indexed="81"/>
            <rFont val="돋움"/>
            <family val="3"/>
            <charset val="129"/>
          </rPr>
          <t>안건</t>
        </r>
        <r>
          <rPr>
            <b/>
            <sz val="9"/>
            <color indexed="81"/>
            <rFont val="Tahoma"/>
            <family val="2"/>
          </rPr>
          <t xml:space="preserve"> </t>
        </r>
        <r>
          <rPr>
            <b/>
            <sz val="9"/>
            <color indexed="81"/>
            <rFont val="돋움"/>
            <family val="3"/>
            <charset val="129"/>
          </rPr>
          <t>보고</t>
        </r>
        <r>
          <rPr>
            <b/>
            <sz val="9"/>
            <color indexed="81"/>
            <rFont val="Tahoma"/>
            <family val="2"/>
          </rPr>
          <t xml:space="preserve">) - </t>
        </r>
        <r>
          <rPr>
            <b/>
            <sz val="9"/>
            <color indexed="81"/>
            <rFont val="돋움"/>
            <family val="3"/>
            <charset val="129"/>
          </rPr>
          <t>캄보디아</t>
        </r>
        <r>
          <rPr>
            <b/>
            <sz val="9"/>
            <color indexed="81"/>
            <rFont val="Tahoma"/>
            <family val="2"/>
          </rPr>
          <t xml:space="preserve"> </t>
        </r>
        <r>
          <rPr>
            <b/>
            <sz val="9"/>
            <color indexed="81"/>
            <rFont val="돋움"/>
            <family val="3"/>
            <charset val="129"/>
          </rPr>
          <t>현지법인</t>
        </r>
        <r>
          <rPr>
            <b/>
            <sz val="9"/>
            <color indexed="81"/>
            <rFont val="Tahoma"/>
            <family val="2"/>
          </rPr>
          <t xml:space="preserve"> </t>
        </r>
        <r>
          <rPr>
            <b/>
            <sz val="9"/>
            <color indexed="81"/>
            <rFont val="돋움"/>
            <family val="3"/>
            <charset val="129"/>
          </rPr>
          <t>추가</t>
        </r>
        <r>
          <rPr>
            <b/>
            <sz val="9"/>
            <color indexed="81"/>
            <rFont val="Tahoma"/>
            <family val="2"/>
          </rPr>
          <t xml:space="preserve"> </t>
        </r>
        <r>
          <rPr>
            <b/>
            <sz val="9"/>
            <color indexed="81"/>
            <rFont val="돋움"/>
            <family val="3"/>
            <charset val="129"/>
          </rPr>
          <t>주주대여금</t>
        </r>
        <r>
          <rPr>
            <b/>
            <sz val="9"/>
            <color indexed="81"/>
            <rFont val="Tahoma"/>
            <family val="2"/>
          </rPr>
          <t xml:space="preserve"> </t>
        </r>
        <r>
          <rPr>
            <b/>
            <sz val="9"/>
            <color indexed="81"/>
            <rFont val="돋움"/>
            <family val="3"/>
            <charset val="129"/>
          </rPr>
          <t>운용</t>
        </r>
        <r>
          <rPr>
            <b/>
            <sz val="9"/>
            <color indexed="81"/>
            <rFont val="Tahoma"/>
            <family val="2"/>
          </rPr>
          <t xml:space="preserve">
SB19-</t>
        </r>
        <r>
          <rPr>
            <b/>
            <sz val="9"/>
            <color indexed="81"/>
            <rFont val="돋움"/>
            <family val="3"/>
            <charset val="129"/>
          </rPr>
          <t>비서실</t>
        </r>
        <r>
          <rPr>
            <b/>
            <sz val="9"/>
            <color indexed="81"/>
            <rFont val="Tahoma"/>
            <family val="2"/>
          </rPr>
          <t>-3120 (</t>
        </r>
        <r>
          <rPr>
            <b/>
            <sz val="9"/>
            <color indexed="81"/>
            <rFont val="돋움"/>
            <family val="3"/>
            <charset val="129"/>
          </rPr>
          <t>제</t>
        </r>
        <r>
          <rPr>
            <b/>
            <sz val="9"/>
            <color indexed="81"/>
            <rFont val="Tahoma"/>
            <family val="2"/>
          </rPr>
          <t>11</t>
        </r>
        <r>
          <rPr>
            <b/>
            <sz val="9"/>
            <color indexed="81"/>
            <rFont val="돋움"/>
            <family val="3"/>
            <charset val="129"/>
          </rPr>
          <t>차</t>
        </r>
        <r>
          <rPr>
            <b/>
            <sz val="9"/>
            <color indexed="81"/>
            <rFont val="Tahoma"/>
            <family val="2"/>
          </rPr>
          <t xml:space="preserve"> </t>
        </r>
        <r>
          <rPr>
            <b/>
            <sz val="9"/>
            <color indexed="81"/>
            <rFont val="돋움"/>
            <family val="3"/>
            <charset val="129"/>
          </rPr>
          <t>정기이사회</t>
        </r>
        <r>
          <rPr>
            <b/>
            <sz val="9"/>
            <color indexed="81"/>
            <rFont val="Tahoma"/>
            <family val="2"/>
          </rPr>
          <t xml:space="preserve"> 2019.08.13) 12</t>
        </r>
        <r>
          <rPr>
            <b/>
            <sz val="9"/>
            <color indexed="81"/>
            <rFont val="돋움"/>
            <family val="3"/>
            <charset val="129"/>
          </rPr>
          <t>항목</t>
        </r>
        <r>
          <rPr>
            <b/>
            <sz val="9"/>
            <color indexed="81"/>
            <rFont val="Tahoma"/>
            <family val="2"/>
          </rPr>
          <t xml:space="preserve"> </t>
        </r>
        <r>
          <rPr>
            <b/>
            <sz val="9"/>
            <color indexed="81"/>
            <rFont val="돋움"/>
            <family val="3"/>
            <charset val="129"/>
          </rPr>
          <t>결의사항</t>
        </r>
        <r>
          <rPr>
            <b/>
            <sz val="9"/>
            <color indexed="81"/>
            <rFont val="Tahoma"/>
            <family val="2"/>
          </rPr>
          <t xml:space="preserve"> 
SB19-</t>
        </r>
        <r>
          <rPr>
            <b/>
            <sz val="9"/>
            <color indexed="81"/>
            <rFont val="돋움"/>
            <family val="3"/>
            <charset val="129"/>
          </rPr>
          <t>글로벌사업부</t>
        </r>
        <r>
          <rPr>
            <b/>
            <sz val="9"/>
            <color indexed="81"/>
            <rFont val="Tahoma"/>
            <family val="2"/>
          </rPr>
          <t>-1070
SB19-</t>
        </r>
        <r>
          <rPr>
            <b/>
            <sz val="9"/>
            <color indexed="81"/>
            <rFont val="돋움"/>
            <family val="3"/>
            <charset val="129"/>
          </rPr>
          <t>글로벌사업부</t>
        </r>
        <r>
          <rPr>
            <b/>
            <sz val="9"/>
            <color indexed="81"/>
            <rFont val="Tahoma"/>
            <family val="2"/>
          </rPr>
          <t>-1071 
SB19-</t>
        </r>
        <r>
          <rPr>
            <b/>
            <sz val="9"/>
            <color indexed="81"/>
            <rFont val="돋움"/>
            <family val="3"/>
            <charset val="129"/>
          </rPr>
          <t>자금부</t>
        </r>
        <r>
          <rPr>
            <b/>
            <sz val="9"/>
            <color indexed="81"/>
            <rFont val="Tahoma"/>
            <family val="2"/>
          </rPr>
          <t>-5939  
SB19-</t>
        </r>
        <r>
          <rPr>
            <b/>
            <sz val="9"/>
            <color indexed="81"/>
            <rFont val="돋움"/>
            <family val="3"/>
            <charset val="129"/>
          </rPr>
          <t>자금부</t>
        </r>
        <r>
          <rPr>
            <b/>
            <sz val="9"/>
            <color indexed="81"/>
            <rFont val="Tahoma"/>
            <family val="2"/>
          </rPr>
          <t>-6036</t>
        </r>
      </text>
    </comment>
    <comment ref="B501" authorId="1" shapeId="0" xr:uid="{00000000-0006-0000-0300-00003D000000}">
      <text>
        <r>
          <rPr>
            <b/>
            <sz val="9"/>
            <color indexed="81"/>
            <rFont val="Tahoma"/>
            <family val="2"/>
          </rPr>
          <t>SB20-</t>
        </r>
        <r>
          <rPr>
            <b/>
            <sz val="9"/>
            <color indexed="81"/>
            <rFont val="돋움"/>
            <family val="3"/>
            <charset val="129"/>
          </rPr>
          <t>글로벌사업부</t>
        </r>
        <r>
          <rPr>
            <b/>
            <sz val="9"/>
            <color indexed="81"/>
            <rFont val="Tahoma"/>
            <family val="2"/>
          </rPr>
          <t>-937
(2020 1/4</t>
        </r>
        <r>
          <rPr>
            <b/>
            <sz val="9"/>
            <color indexed="81"/>
            <rFont val="돋움"/>
            <family val="3"/>
            <charset val="129"/>
          </rPr>
          <t>분기</t>
        </r>
        <r>
          <rPr>
            <b/>
            <sz val="9"/>
            <color indexed="81"/>
            <rFont val="Tahoma"/>
            <family val="2"/>
          </rPr>
          <t xml:space="preserve"> </t>
        </r>
        <r>
          <rPr>
            <b/>
            <sz val="9"/>
            <color indexed="81"/>
            <rFont val="돋움"/>
            <family val="3"/>
            <charset val="129"/>
          </rPr>
          <t>임시이사회</t>
        </r>
        <r>
          <rPr>
            <b/>
            <sz val="9"/>
            <color indexed="81"/>
            <rFont val="Tahoma"/>
            <family val="2"/>
          </rPr>
          <t xml:space="preserve"> </t>
        </r>
        <r>
          <rPr>
            <b/>
            <sz val="9"/>
            <color indexed="81"/>
            <rFont val="돋움"/>
            <family val="3"/>
            <charset val="129"/>
          </rPr>
          <t>안건</t>
        </r>
        <r>
          <rPr>
            <b/>
            <sz val="9"/>
            <color indexed="81"/>
            <rFont val="Tahoma"/>
            <family val="2"/>
          </rPr>
          <t xml:space="preserve"> </t>
        </r>
        <r>
          <rPr>
            <b/>
            <sz val="9"/>
            <color indexed="81"/>
            <rFont val="돋움"/>
            <family val="3"/>
            <charset val="129"/>
          </rPr>
          <t>보고</t>
        </r>
        <r>
          <rPr>
            <b/>
            <sz val="9"/>
            <color indexed="81"/>
            <rFont val="Tahoma"/>
            <family val="2"/>
          </rPr>
          <t xml:space="preserve">) - </t>
        </r>
        <r>
          <rPr>
            <b/>
            <sz val="9"/>
            <color indexed="81"/>
            <rFont val="돋움"/>
            <family val="3"/>
            <charset val="129"/>
          </rPr>
          <t>캄보디아</t>
        </r>
        <r>
          <rPr>
            <b/>
            <sz val="9"/>
            <color indexed="81"/>
            <rFont val="Tahoma"/>
            <family val="2"/>
          </rPr>
          <t xml:space="preserve"> </t>
        </r>
        <r>
          <rPr>
            <b/>
            <sz val="9"/>
            <color indexed="81"/>
            <rFont val="돋움"/>
            <family val="3"/>
            <charset val="129"/>
          </rPr>
          <t>현지법인</t>
        </r>
        <r>
          <rPr>
            <b/>
            <sz val="9"/>
            <color indexed="81"/>
            <rFont val="Tahoma"/>
            <family val="2"/>
          </rPr>
          <t xml:space="preserve"> </t>
        </r>
        <r>
          <rPr>
            <b/>
            <sz val="9"/>
            <color indexed="81"/>
            <rFont val="돋움"/>
            <family val="3"/>
            <charset val="129"/>
          </rPr>
          <t>추가</t>
        </r>
        <r>
          <rPr>
            <b/>
            <sz val="9"/>
            <color indexed="81"/>
            <rFont val="Tahoma"/>
            <family val="2"/>
          </rPr>
          <t xml:space="preserve"> </t>
        </r>
        <r>
          <rPr>
            <b/>
            <sz val="9"/>
            <color indexed="81"/>
            <rFont val="돋움"/>
            <family val="3"/>
            <charset val="129"/>
          </rPr>
          <t>주주대여금</t>
        </r>
        <r>
          <rPr>
            <b/>
            <sz val="9"/>
            <color indexed="81"/>
            <rFont val="Tahoma"/>
            <family val="2"/>
          </rPr>
          <t xml:space="preserve"> </t>
        </r>
        <r>
          <rPr>
            <b/>
            <sz val="9"/>
            <color indexed="81"/>
            <rFont val="돋움"/>
            <family val="3"/>
            <charset val="129"/>
          </rPr>
          <t>운용</t>
        </r>
        <r>
          <rPr>
            <b/>
            <sz val="9"/>
            <color indexed="81"/>
            <rFont val="Tahoma"/>
            <family val="2"/>
          </rPr>
          <t xml:space="preserve">
SB19-</t>
        </r>
        <r>
          <rPr>
            <b/>
            <sz val="9"/>
            <color indexed="81"/>
            <rFont val="돋움"/>
            <family val="3"/>
            <charset val="129"/>
          </rPr>
          <t>비서실</t>
        </r>
        <r>
          <rPr>
            <b/>
            <sz val="9"/>
            <color indexed="81"/>
            <rFont val="Tahoma"/>
            <family val="2"/>
          </rPr>
          <t>-3120 (2020</t>
        </r>
        <r>
          <rPr>
            <b/>
            <sz val="9"/>
            <color indexed="81"/>
            <rFont val="돋움"/>
            <family val="3"/>
            <charset val="129"/>
          </rPr>
          <t>년</t>
        </r>
        <r>
          <rPr>
            <b/>
            <sz val="9"/>
            <color indexed="81"/>
            <rFont val="Tahoma"/>
            <family val="2"/>
          </rPr>
          <t xml:space="preserve"> </t>
        </r>
        <r>
          <rPr>
            <b/>
            <sz val="9"/>
            <color indexed="81"/>
            <rFont val="돋움"/>
            <family val="3"/>
            <charset val="129"/>
          </rPr>
          <t>제</t>
        </r>
        <r>
          <rPr>
            <b/>
            <sz val="9"/>
            <color indexed="81"/>
            <rFont val="Tahoma"/>
            <family val="2"/>
          </rPr>
          <t>2</t>
        </r>
        <r>
          <rPr>
            <b/>
            <sz val="9"/>
            <color indexed="81"/>
            <rFont val="돋움"/>
            <family val="3"/>
            <charset val="129"/>
          </rPr>
          <t>차</t>
        </r>
        <r>
          <rPr>
            <b/>
            <sz val="9"/>
            <color indexed="81"/>
            <rFont val="Tahoma"/>
            <family val="2"/>
          </rPr>
          <t xml:space="preserve"> </t>
        </r>
        <r>
          <rPr>
            <b/>
            <sz val="9"/>
            <color indexed="81"/>
            <rFont val="돋움"/>
            <family val="3"/>
            <charset val="129"/>
          </rPr>
          <t>임시이사회</t>
        </r>
        <r>
          <rPr>
            <b/>
            <sz val="9"/>
            <color indexed="81"/>
            <rFont val="Tahoma"/>
            <family val="2"/>
          </rPr>
          <t xml:space="preserve"> 2020.02.27) 8</t>
        </r>
        <r>
          <rPr>
            <b/>
            <sz val="9"/>
            <color indexed="81"/>
            <rFont val="돋움"/>
            <family val="3"/>
            <charset val="129"/>
          </rPr>
          <t>항목</t>
        </r>
        <r>
          <rPr>
            <b/>
            <sz val="9"/>
            <color indexed="81"/>
            <rFont val="Tahoma"/>
            <family val="2"/>
          </rPr>
          <t xml:space="preserve"> </t>
        </r>
        <r>
          <rPr>
            <b/>
            <sz val="9"/>
            <color indexed="81"/>
            <rFont val="돋움"/>
            <family val="3"/>
            <charset val="129"/>
          </rPr>
          <t>결의사항</t>
        </r>
        <r>
          <rPr>
            <b/>
            <sz val="9"/>
            <color indexed="81"/>
            <rFont val="Tahoma"/>
            <family val="2"/>
          </rPr>
          <t xml:space="preserve"> 
SB20-</t>
        </r>
        <r>
          <rPr>
            <b/>
            <sz val="9"/>
            <color indexed="81"/>
            <rFont val="돋움"/>
            <family val="3"/>
            <charset val="129"/>
          </rPr>
          <t>글로벌사업부</t>
        </r>
        <r>
          <rPr>
            <b/>
            <sz val="9"/>
            <color indexed="81"/>
            <rFont val="Tahoma"/>
            <family val="2"/>
          </rPr>
          <t>-2349, SB20-</t>
        </r>
        <r>
          <rPr>
            <b/>
            <sz val="9"/>
            <color indexed="81"/>
            <rFont val="돋움"/>
            <family val="3"/>
            <charset val="129"/>
          </rPr>
          <t>글로벌사업부</t>
        </r>
        <r>
          <rPr>
            <b/>
            <sz val="9"/>
            <color indexed="81"/>
            <rFont val="Tahoma"/>
            <family val="2"/>
          </rPr>
          <t>-2350
SB20-</t>
        </r>
        <r>
          <rPr>
            <b/>
            <sz val="9"/>
            <color indexed="81"/>
            <rFont val="돋움"/>
            <family val="3"/>
            <charset val="129"/>
          </rPr>
          <t>자금부</t>
        </r>
        <r>
          <rPr>
            <b/>
            <sz val="9"/>
            <color indexed="81"/>
            <rFont val="Tahoma"/>
            <family val="2"/>
          </rPr>
          <t>-2908</t>
        </r>
      </text>
    </comment>
    <comment ref="M530" authorId="1" shapeId="0" xr:uid="{00000000-0006-0000-0300-00003E000000}">
      <text>
        <r>
          <rPr>
            <b/>
            <sz val="9"/>
            <color indexed="81"/>
            <rFont val="Tahoma"/>
            <family val="2"/>
          </rPr>
          <t>SB19-</t>
        </r>
        <r>
          <rPr>
            <b/>
            <sz val="9"/>
            <color indexed="81"/>
            <rFont val="돋움"/>
            <family val="3"/>
            <charset val="129"/>
          </rPr>
          <t>전략기획부</t>
        </r>
        <r>
          <rPr>
            <b/>
            <sz val="9"/>
            <color indexed="81"/>
            <rFont val="Tahoma"/>
            <family val="2"/>
          </rPr>
          <t xml:space="preserve">-1570 </t>
        </r>
        <r>
          <rPr>
            <b/>
            <sz val="9"/>
            <color indexed="81"/>
            <rFont val="돋움"/>
            <family val="3"/>
            <charset val="129"/>
          </rPr>
          <t>가지급금</t>
        </r>
        <r>
          <rPr>
            <b/>
            <sz val="9"/>
            <color indexed="81"/>
            <rFont val="Tahoma"/>
            <family val="2"/>
          </rPr>
          <t xml:space="preserve"> </t>
        </r>
        <r>
          <rPr>
            <b/>
            <sz val="9"/>
            <color indexed="81"/>
            <rFont val="돋움"/>
            <family val="3"/>
            <charset val="129"/>
          </rPr>
          <t>및</t>
        </r>
        <r>
          <rPr>
            <b/>
            <sz val="9"/>
            <color indexed="81"/>
            <rFont val="Tahoma"/>
            <family val="2"/>
          </rPr>
          <t xml:space="preserve"> </t>
        </r>
        <r>
          <rPr>
            <b/>
            <sz val="9"/>
            <color indexed="81"/>
            <rFont val="돋움"/>
            <family val="3"/>
            <charset val="129"/>
          </rPr>
          <t>전금</t>
        </r>
        <r>
          <rPr>
            <b/>
            <sz val="9"/>
            <color indexed="81"/>
            <rFont val="Tahoma"/>
            <family val="2"/>
          </rPr>
          <t xml:space="preserve"> -&gt; </t>
        </r>
        <r>
          <rPr>
            <b/>
            <sz val="9"/>
            <color indexed="81"/>
            <rFont val="돋움"/>
            <family val="3"/>
            <charset val="129"/>
          </rPr>
          <t>추후</t>
        </r>
        <r>
          <rPr>
            <b/>
            <sz val="9"/>
            <color indexed="81"/>
            <rFont val="Tahoma"/>
            <family val="2"/>
          </rPr>
          <t xml:space="preserve"> </t>
        </r>
        <r>
          <rPr>
            <b/>
            <sz val="9"/>
            <color indexed="81"/>
            <rFont val="돋움"/>
            <family val="3"/>
            <charset val="129"/>
          </rPr>
          <t>주식매수</t>
        </r>
        <r>
          <rPr>
            <b/>
            <sz val="9"/>
            <color indexed="81"/>
            <rFont val="Tahoma"/>
            <family val="2"/>
          </rPr>
          <t xml:space="preserve"> </t>
        </r>
        <r>
          <rPr>
            <b/>
            <sz val="9"/>
            <color indexed="81"/>
            <rFont val="돋움"/>
            <family val="3"/>
            <charset val="129"/>
          </rPr>
          <t>후</t>
        </r>
        <r>
          <rPr>
            <b/>
            <sz val="9"/>
            <color indexed="81"/>
            <rFont val="Tahoma"/>
            <family val="2"/>
          </rPr>
          <t xml:space="preserve"> </t>
        </r>
        <r>
          <rPr>
            <b/>
            <sz val="9"/>
            <color indexed="81"/>
            <rFont val="돋움"/>
            <family val="3"/>
            <charset val="129"/>
          </rPr>
          <t>외화투자로</t>
        </r>
        <r>
          <rPr>
            <b/>
            <sz val="9"/>
            <color indexed="81"/>
            <rFont val="Tahoma"/>
            <family val="2"/>
          </rPr>
          <t xml:space="preserve"> </t>
        </r>
        <r>
          <rPr>
            <b/>
            <sz val="9"/>
            <color indexed="81"/>
            <rFont val="돋움"/>
            <family val="3"/>
            <charset val="129"/>
          </rPr>
          <t>계정</t>
        </r>
        <r>
          <rPr>
            <b/>
            <sz val="9"/>
            <color indexed="81"/>
            <rFont val="Tahoma"/>
            <family val="2"/>
          </rPr>
          <t xml:space="preserve"> </t>
        </r>
        <r>
          <rPr>
            <b/>
            <sz val="9"/>
            <color indexed="81"/>
            <rFont val="돋움"/>
            <family val="3"/>
            <charset val="129"/>
          </rPr>
          <t>변경</t>
        </r>
        <r>
          <rPr>
            <b/>
            <sz val="9"/>
            <color indexed="81"/>
            <rFont val="Tahoma"/>
            <family val="2"/>
          </rPr>
          <t xml:space="preserve"> </t>
        </r>
        <r>
          <rPr>
            <b/>
            <sz val="9"/>
            <color indexed="81"/>
            <rFont val="돋움"/>
            <family val="3"/>
            <charset val="129"/>
          </rPr>
          <t xml:space="preserve">예정
</t>
        </r>
        <r>
          <rPr>
            <b/>
            <sz val="9"/>
            <color indexed="81"/>
            <rFont val="Tahoma"/>
            <family val="2"/>
          </rPr>
          <t>SB19-</t>
        </r>
        <r>
          <rPr>
            <b/>
            <sz val="9"/>
            <color indexed="81"/>
            <rFont val="돋움"/>
            <family val="3"/>
            <charset val="129"/>
          </rPr>
          <t>글로벌사업부</t>
        </r>
        <r>
          <rPr>
            <b/>
            <sz val="9"/>
            <color indexed="81"/>
            <rFont val="Tahoma"/>
            <family val="2"/>
          </rPr>
          <t xml:space="preserve">-333  2019.09.02 </t>
        </r>
        <r>
          <rPr>
            <b/>
            <sz val="9"/>
            <color indexed="81"/>
            <rFont val="돋움"/>
            <family val="3"/>
            <charset val="129"/>
          </rPr>
          <t>외화투자로</t>
        </r>
        <r>
          <rPr>
            <b/>
            <sz val="9"/>
            <color indexed="81"/>
            <rFont val="Tahoma"/>
            <family val="2"/>
          </rPr>
          <t xml:space="preserve"> </t>
        </r>
        <r>
          <rPr>
            <b/>
            <sz val="9"/>
            <color indexed="81"/>
            <rFont val="돋움"/>
            <family val="3"/>
            <charset val="129"/>
          </rPr>
          <t>계정</t>
        </r>
        <r>
          <rPr>
            <b/>
            <sz val="9"/>
            <color indexed="81"/>
            <rFont val="Tahoma"/>
            <family val="2"/>
          </rPr>
          <t xml:space="preserve"> </t>
        </r>
        <r>
          <rPr>
            <b/>
            <sz val="9"/>
            <color indexed="81"/>
            <rFont val="돋움"/>
            <family val="3"/>
            <charset val="129"/>
          </rPr>
          <t>변경</t>
        </r>
        <r>
          <rPr>
            <b/>
            <sz val="9"/>
            <color indexed="81"/>
            <rFont val="Tahoma"/>
            <family val="2"/>
          </rPr>
          <t xml:space="preserve"> </t>
        </r>
      </text>
    </comment>
    <comment ref="M531" authorId="3" shapeId="0" xr:uid="{00000000-0006-0000-0300-00003F000000}">
      <text>
        <r>
          <rPr>
            <b/>
            <sz val="9"/>
            <color indexed="81"/>
            <rFont val="Tahoma"/>
            <family val="2"/>
          </rPr>
          <t>2170480
SB22-</t>
        </r>
        <r>
          <rPr>
            <b/>
            <sz val="9"/>
            <color indexed="81"/>
            <rFont val="돋움"/>
            <family val="3"/>
            <charset val="129"/>
          </rPr>
          <t>글로벌사업부</t>
        </r>
        <r>
          <rPr>
            <b/>
            <sz val="9"/>
            <color indexed="81"/>
            <rFont val="Tahoma"/>
            <family val="2"/>
          </rPr>
          <t xml:space="preserve">-2145  2022.04.28 </t>
        </r>
        <r>
          <rPr>
            <b/>
            <sz val="9"/>
            <color indexed="81"/>
            <rFont val="돋움"/>
            <family val="3"/>
            <charset val="129"/>
          </rPr>
          <t>외화투자로</t>
        </r>
        <r>
          <rPr>
            <b/>
            <sz val="9"/>
            <color indexed="81"/>
            <rFont val="Tahoma"/>
            <family val="2"/>
          </rPr>
          <t xml:space="preserve"> </t>
        </r>
        <r>
          <rPr>
            <b/>
            <sz val="9"/>
            <color indexed="81"/>
            <rFont val="돋움"/>
            <family val="3"/>
            <charset val="129"/>
          </rPr>
          <t>계정</t>
        </r>
        <r>
          <rPr>
            <b/>
            <sz val="9"/>
            <color indexed="81"/>
            <rFont val="Tahoma"/>
            <family val="2"/>
          </rPr>
          <t xml:space="preserve"> </t>
        </r>
        <r>
          <rPr>
            <b/>
            <sz val="9"/>
            <color indexed="81"/>
            <rFont val="돋움"/>
            <family val="3"/>
            <charset val="129"/>
          </rPr>
          <t>변경</t>
        </r>
        <r>
          <rPr>
            <b/>
            <sz val="9"/>
            <color indexed="81"/>
            <rFont val="Tahoma"/>
            <family val="2"/>
          </rPr>
          <t xml:space="preserve"> </t>
        </r>
        <r>
          <rPr>
            <sz val="9"/>
            <color indexed="81"/>
            <rFont val="Tahoma"/>
            <family val="2"/>
          </rPr>
          <t xml:space="preserve">
</t>
        </r>
      </text>
    </comment>
    <comment ref="M532" authorId="3" shapeId="0" xr:uid="{00000000-0006-0000-0300-000040000000}">
      <text>
        <r>
          <rPr>
            <b/>
            <sz val="9"/>
            <color indexed="81"/>
            <rFont val="Tahoma"/>
            <family val="2"/>
          </rPr>
          <t>2170480
SB22-</t>
        </r>
        <r>
          <rPr>
            <b/>
            <sz val="9"/>
            <color indexed="81"/>
            <rFont val="돋움"/>
            <family val="3"/>
            <charset val="129"/>
          </rPr>
          <t>글로벌사업부</t>
        </r>
        <r>
          <rPr>
            <b/>
            <sz val="9"/>
            <color indexed="81"/>
            <rFont val="Tahoma"/>
            <family val="2"/>
          </rPr>
          <t xml:space="preserve">-2145  2022.04.28 </t>
        </r>
        <r>
          <rPr>
            <b/>
            <sz val="9"/>
            <color indexed="81"/>
            <rFont val="돋움"/>
            <family val="3"/>
            <charset val="129"/>
          </rPr>
          <t>외화투자로</t>
        </r>
        <r>
          <rPr>
            <b/>
            <sz val="9"/>
            <color indexed="81"/>
            <rFont val="Tahoma"/>
            <family val="2"/>
          </rPr>
          <t xml:space="preserve"> </t>
        </r>
        <r>
          <rPr>
            <b/>
            <sz val="9"/>
            <color indexed="81"/>
            <rFont val="돋움"/>
            <family val="3"/>
            <charset val="129"/>
          </rPr>
          <t>계정</t>
        </r>
        <r>
          <rPr>
            <b/>
            <sz val="9"/>
            <color indexed="81"/>
            <rFont val="Tahoma"/>
            <family val="2"/>
          </rPr>
          <t xml:space="preserve"> </t>
        </r>
        <r>
          <rPr>
            <b/>
            <sz val="9"/>
            <color indexed="81"/>
            <rFont val="돋움"/>
            <family val="3"/>
            <charset val="129"/>
          </rPr>
          <t>변경</t>
        </r>
        <r>
          <rPr>
            <b/>
            <sz val="9"/>
            <color indexed="81"/>
            <rFont val="Tahoma"/>
            <family val="2"/>
          </rPr>
          <t xml:space="preserve"> </t>
        </r>
        <r>
          <rPr>
            <sz val="9"/>
            <color indexed="81"/>
            <rFont val="Tahoma"/>
            <family val="2"/>
          </rPr>
          <t xml:space="preserve">
</t>
        </r>
      </text>
    </comment>
    <comment ref="M533" authorId="3" shapeId="0" xr:uid="{00000000-0006-0000-0300-000041000000}">
      <text>
        <r>
          <rPr>
            <b/>
            <sz val="9"/>
            <color indexed="81"/>
            <rFont val="Tahoma"/>
            <family val="2"/>
          </rPr>
          <t>2170480
SB23-</t>
        </r>
        <r>
          <rPr>
            <b/>
            <sz val="9"/>
            <color indexed="81"/>
            <rFont val="돋움"/>
            <family val="3"/>
            <charset val="129"/>
          </rPr>
          <t>글로벌사업부</t>
        </r>
        <r>
          <rPr>
            <b/>
            <sz val="9"/>
            <color indexed="81"/>
            <rFont val="Tahoma"/>
            <family val="2"/>
          </rPr>
          <t xml:space="preserve">-4787  2023.08.30 </t>
        </r>
        <r>
          <rPr>
            <b/>
            <sz val="9"/>
            <color indexed="81"/>
            <rFont val="돋움"/>
            <family val="3"/>
            <charset val="129"/>
          </rPr>
          <t>외화투자로</t>
        </r>
        <r>
          <rPr>
            <b/>
            <sz val="9"/>
            <color indexed="81"/>
            <rFont val="Tahoma"/>
            <family val="2"/>
          </rPr>
          <t xml:space="preserve"> </t>
        </r>
        <r>
          <rPr>
            <b/>
            <sz val="9"/>
            <color indexed="81"/>
            <rFont val="돋움"/>
            <family val="3"/>
            <charset val="129"/>
          </rPr>
          <t>계정</t>
        </r>
        <r>
          <rPr>
            <b/>
            <sz val="9"/>
            <color indexed="81"/>
            <rFont val="Tahoma"/>
            <family val="2"/>
          </rPr>
          <t xml:space="preserve"> </t>
        </r>
        <r>
          <rPr>
            <b/>
            <sz val="9"/>
            <color indexed="81"/>
            <rFont val="돋움"/>
            <family val="3"/>
            <charset val="129"/>
          </rPr>
          <t>변경</t>
        </r>
        <r>
          <rPr>
            <b/>
            <sz val="9"/>
            <color indexed="81"/>
            <rFont val="Tahoma"/>
            <family val="2"/>
          </rPr>
          <t xml:space="preserve"> </t>
        </r>
        <r>
          <rPr>
            <sz val="9"/>
            <color indexed="81"/>
            <rFont val="Tahoma"/>
            <family val="2"/>
          </rPr>
          <t xml:space="preserve">
</t>
        </r>
      </text>
    </comment>
    <comment ref="M534" authorId="3" shapeId="0" xr:uid="{00000000-0006-0000-0300-000042000000}">
      <text>
        <r>
          <rPr>
            <b/>
            <sz val="9"/>
            <color indexed="81"/>
            <rFont val="맑은 고딕"/>
            <family val="3"/>
            <charset val="129"/>
            <scheme val="major"/>
          </rPr>
          <t>2190197
SB24-글로벌사업부-4385  2024.07.12
외화투자로 계정 변경</t>
        </r>
      </text>
    </comment>
    <comment ref="M535" authorId="3" shapeId="0" xr:uid="{00000000-0006-0000-0300-000043000000}">
      <text>
        <r>
          <rPr>
            <b/>
            <sz val="9"/>
            <color indexed="81"/>
            <rFont val="맑은 고딕"/>
            <family val="3"/>
            <charset val="129"/>
            <scheme val="major"/>
          </rPr>
          <t>2190197
SB24-글로벌사업부-4385  2024.07.12
외화투자로 계정 변경</t>
        </r>
      </text>
    </comment>
    <comment ref="M540" authorId="1" shapeId="0" xr:uid="{00000000-0006-0000-0300-000044000000}">
      <text>
        <r>
          <rPr>
            <b/>
            <sz val="9"/>
            <color indexed="81"/>
            <rFont val="Tahoma"/>
            <family val="2"/>
          </rPr>
          <t>SB19-</t>
        </r>
        <r>
          <rPr>
            <b/>
            <sz val="9"/>
            <color indexed="81"/>
            <rFont val="돋움"/>
            <family val="3"/>
            <charset val="129"/>
          </rPr>
          <t>전략기획부</t>
        </r>
        <r>
          <rPr>
            <b/>
            <sz val="9"/>
            <color indexed="81"/>
            <rFont val="Tahoma"/>
            <family val="2"/>
          </rPr>
          <t xml:space="preserve">-1570 </t>
        </r>
        <r>
          <rPr>
            <b/>
            <sz val="9"/>
            <color indexed="81"/>
            <rFont val="돋움"/>
            <family val="3"/>
            <charset val="129"/>
          </rPr>
          <t>가지급금</t>
        </r>
        <r>
          <rPr>
            <b/>
            <sz val="9"/>
            <color indexed="81"/>
            <rFont val="Tahoma"/>
            <family val="2"/>
          </rPr>
          <t xml:space="preserve"> </t>
        </r>
        <r>
          <rPr>
            <b/>
            <sz val="9"/>
            <color indexed="81"/>
            <rFont val="돋움"/>
            <family val="3"/>
            <charset val="129"/>
          </rPr>
          <t>및</t>
        </r>
        <r>
          <rPr>
            <b/>
            <sz val="9"/>
            <color indexed="81"/>
            <rFont val="Tahoma"/>
            <family val="2"/>
          </rPr>
          <t xml:space="preserve"> </t>
        </r>
        <r>
          <rPr>
            <b/>
            <sz val="9"/>
            <color indexed="81"/>
            <rFont val="돋움"/>
            <family val="3"/>
            <charset val="129"/>
          </rPr>
          <t>전금</t>
        </r>
        <r>
          <rPr>
            <b/>
            <sz val="9"/>
            <color indexed="81"/>
            <rFont val="Tahoma"/>
            <family val="2"/>
          </rPr>
          <t xml:space="preserve"> -&gt; </t>
        </r>
        <r>
          <rPr>
            <b/>
            <sz val="9"/>
            <color indexed="81"/>
            <rFont val="돋움"/>
            <family val="3"/>
            <charset val="129"/>
          </rPr>
          <t>추후</t>
        </r>
        <r>
          <rPr>
            <b/>
            <sz val="9"/>
            <color indexed="81"/>
            <rFont val="Tahoma"/>
            <family val="2"/>
          </rPr>
          <t xml:space="preserve"> </t>
        </r>
        <r>
          <rPr>
            <b/>
            <sz val="9"/>
            <color indexed="81"/>
            <rFont val="돋움"/>
            <family val="3"/>
            <charset val="129"/>
          </rPr>
          <t>주식매수</t>
        </r>
        <r>
          <rPr>
            <b/>
            <sz val="9"/>
            <color indexed="81"/>
            <rFont val="Tahoma"/>
            <family val="2"/>
          </rPr>
          <t xml:space="preserve"> </t>
        </r>
        <r>
          <rPr>
            <b/>
            <sz val="9"/>
            <color indexed="81"/>
            <rFont val="돋움"/>
            <family val="3"/>
            <charset val="129"/>
          </rPr>
          <t>후</t>
        </r>
        <r>
          <rPr>
            <b/>
            <sz val="9"/>
            <color indexed="81"/>
            <rFont val="Tahoma"/>
            <family val="2"/>
          </rPr>
          <t xml:space="preserve"> </t>
        </r>
        <r>
          <rPr>
            <b/>
            <sz val="9"/>
            <color indexed="81"/>
            <rFont val="돋움"/>
            <family val="3"/>
            <charset val="129"/>
          </rPr>
          <t>외화투자로</t>
        </r>
        <r>
          <rPr>
            <b/>
            <sz val="9"/>
            <color indexed="81"/>
            <rFont val="Tahoma"/>
            <family val="2"/>
          </rPr>
          <t xml:space="preserve"> </t>
        </r>
        <r>
          <rPr>
            <b/>
            <sz val="9"/>
            <color indexed="81"/>
            <rFont val="돋움"/>
            <family val="3"/>
            <charset val="129"/>
          </rPr>
          <t>계정</t>
        </r>
        <r>
          <rPr>
            <b/>
            <sz val="9"/>
            <color indexed="81"/>
            <rFont val="Tahoma"/>
            <family val="2"/>
          </rPr>
          <t xml:space="preserve"> </t>
        </r>
        <r>
          <rPr>
            <b/>
            <sz val="9"/>
            <color indexed="81"/>
            <rFont val="돋움"/>
            <family val="3"/>
            <charset val="129"/>
          </rPr>
          <t>변경</t>
        </r>
        <r>
          <rPr>
            <b/>
            <sz val="9"/>
            <color indexed="81"/>
            <rFont val="Tahoma"/>
            <family val="2"/>
          </rPr>
          <t xml:space="preserve"> </t>
        </r>
        <r>
          <rPr>
            <b/>
            <sz val="9"/>
            <color indexed="81"/>
            <rFont val="돋움"/>
            <family val="3"/>
            <charset val="129"/>
          </rPr>
          <t>예정</t>
        </r>
      </text>
    </comment>
    <comment ref="N546" authorId="3" shapeId="0" xr:uid="{00000000-0006-0000-0300-000045000000}">
      <text>
        <r>
          <rPr>
            <b/>
            <sz val="9"/>
            <color indexed="81"/>
            <rFont val="Tahoma"/>
            <family val="2"/>
            <charset val="129"/>
          </rPr>
          <t>MasterVD:</t>
        </r>
        <r>
          <rPr>
            <sz val="9"/>
            <color indexed="81"/>
            <rFont val="Tahoma"/>
            <family val="2"/>
            <charset val="129"/>
          </rPr>
          <t xml:space="preserve">
</t>
        </r>
        <r>
          <rPr>
            <sz val="9"/>
            <color indexed="81"/>
            <rFont val="돋움"/>
            <family val="3"/>
            <charset val="129"/>
          </rPr>
          <t>캄보디아</t>
        </r>
        <r>
          <rPr>
            <sz val="9"/>
            <color indexed="81"/>
            <rFont val="Tahoma"/>
            <family val="2"/>
            <charset val="129"/>
          </rPr>
          <t xml:space="preserve"> </t>
        </r>
        <r>
          <rPr>
            <sz val="9"/>
            <color indexed="81"/>
            <rFont val="돋움"/>
            <family val="3"/>
            <charset val="129"/>
          </rPr>
          <t xml:space="preserve">중앙은행
</t>
        </r>
        <r>
          <rPr>
            <sz val="9"/>
            <color indexed="81"/>
            <rFont val="Tahoma"/>
            <family val="2"/>
            <charset val="129"/>
          </rPr>
          <t xml:space="preserve">2021-09-30 </t>
        </r>
        <r>
          <rPr>
            <sz val="9"/>
            <color indexed="81"/>
            <rFont val="돋움"/>
            <family val="3"/>
            <charset val="129"/>
          </rPr>
          <t>기준</t>
        </r>
        <r>
          <rPr>
            <sz val="9"/>
            <color indexed="81"/>
            <rFont val="Tahoma"/>
            <family val="2"/>
            <charset val="129"/>
          </rPr>
          <t xml:space="preserve"> </t>
        </r>
        <r>
          <rPr>
            <sz val="9"/>
            <color indexed="81"/>
            <rFont val="돋움"/>
            <family val="3"/>
            <charset val="129"/>
          </rPr>
          <t xml:space="preserve">환율
</t>
        </r>
        <r>
          <rPr>
            <sz val="9"/>
            <color indexed="81"/>
            <rFont val="Tahoma"/>
            <family val="2"/>
            <charset val="129"/>
          </rPr>
          <t>4079 KHR/USD</t>
        </r>
      </text>
    </comment>
  </commentList>
</comments>
</file>

<file path=xl/sharedStrings.xml><?xml version="1.0" encoding="utf-8"?>
<sst xmlns="http://schemas.openxmlformats.org/spreadsheetml/2006/main" count="1590" uniqueCount="753">
  <si>
    <t>외화 자금 일보</t>
    <phoneticPr fontId="20" type="noConversion"/>
  </si>
  <si>
    <t>통화</t>
    <phoneticPr fontId="20" type="noConversion"/>
  </si>
  <si>
    <t>환율</t>
    <phoneticPr fontId="20" type="noConversion"/>
  </si>
  <si>
    <t>대미환산</t>
    <phoneticPr fontId="20" type="noConversion"/>
  </si>
  <si>
    <t>USD</t>
    <phoneticPr fontId="20" type="noConversion"/>
  </si>
  <si>
    <t>JPY</t>
    <phoneticPr fontId="20" type="noConversion"/>
  </si>
  <si>
    <t>CNY</t>
    <phoneticPr fontId="20" type="noConversion"/>
  </si>
  <si>
    <t>(단위 : %)</t>
    <phoneticPr fontId="20" type="noConversion"/>
  </si>
  <si>
    <t>EUR</t>
    <phoneticPr fontId="20" type="noConversion"/>
  </si>
  <si>
    <t>관리지표</t>
    <phoneticPr fontId="20" type="noConversion"/>
  </si>
  <si>
    <t>감독원기준</t>
    <phoneticPr fontId="20" type="noConversion"/>
  </si>
  <si>
    <t>내부기준</t>
    <phoneticPr fontId="20" type="noConversion"/>
  </si>
  <si>
    <t>전일대비</t>
    <phoneticPr fontId="20" type="noConversion"/>
  </si>
  <si>
    <t>비고</t>
    <phoneticPr fontId="20" type="noConversion"/>
  </si>
  <si>
    <t>VND</t>
    <phoneticPr fontId="20" type="noConversion"/>
  </si>
  <si>
    <t xml:space="preserve">     외화유동성비율 (3개월) - 가중치(전)</t>
    <phoneticPr fontId="20" type="noConversion"/>
  </si>
  <si>
    <t>-</t>
    <phoneticPr fontId="20" type="noConversion"/>
  </si>
  <si>
    <t>연결BS기준 (18/3/31, 5/31~)</t>
    <phoneticPr fontId="20" type="noConversion"/>
  </si>
  <si>
    <t xml:space="preserve">     외화유동성비율 (3개월) - 가중치(후)</t>
    <phoneticPr fontId="20" type="noConversion"/>
  </si>
  <si>
    <t>모니터링 지표로 관리 (80% 이상)</t>
    <phoneticPr fontId="20" type="noConversion"/>
  </si>
  <si>
    <t>폐지</t>
    <phoneticPr fontId="20" type="noConversion"/>
  </si>
  <si>
    <t xml:space="preserve">     중장기외화자금 조달비율</t>
    <phoneticPr fontId="20" type="noConversion"/>
  </si>
  <si>
    <t>100% 이상</t>
  </si>
  <si>
    <t>100% 이상</t>
    <phoneticPr fontId="20" type="noConversion"/>
  </si>
  <si>
    <t xml:space="preserve">  (단위 : %, 천미불)</t>
    <phoneticPr fontId="20" type="noConversion"/>
  </si>
  <si>
    <t>외화LCR (평잔)</t>
    <phoneticPr fontId="20" type="noConversion"/>
  </si>
  <si>
    <t>구분</t>
  </si>
  <si>
    <t>LCR</t>
    <phoneticPr fontId="20" type="noConversion"/>
  </si>
  <si>
    <t xml:space="preserve">   외화 LCR[A/(B-C)]</t>
    <phoneticPr fontId="20" type="noConversion"/>
  </si>
  <si>
    <t>고유동성</t>
    <phoneticPr fontId="20" type="noConversion"/>
  </si>
  <si>
    <t xml:space="preserve">        A.고유동성자산</t>
    <phoneticPr fontId="20" type="noConversion"/>
  </si>
  <si>
    <t>순현금유출</t>
    <phoneticPr fontId="20" type="noConversion"/>
  </si>
  <si>
    <t xml:space="preserve">         - LV1 자산</t>
    <phoneticPr fontId="20" type="noConversion"/>
  </si>
  <si>
    <t>현금유출</t>
    <phoneticPr fontId="20" type="noConversion"/>
  </si>
  <si>
    <t>LV1 국가별 한도 차감액</t>
    <phoneticPr fontId="20" type="noConversion"/>
  </si>
  <si>
    <t>2020년 외화LCR 산출방법 개정</t>
    <phoneticPr fontId="20" type="noConversion"/>
  </si>
  <si>
    <t>현금유입</t>
    <phoneticPr fontId="20" type="noConversion"/>
  </si>
  <si>
    <t xml:space="preserve">         - LV2A 자산</t>
    <phoneticPr fontId="20" type="noConversion"/>
  </si>
  <si>
    <t>LV2A 국가별 한도 차감액</t>
    <phoneticPr fontId="20" type="noConversion"/>
  </si>
  <si>
    <t xml:space="preserve">         - LV2B 자산</t>
    <phoneticPr fontId="20" type="noConversion"/>
  </si>
  <si>
    <t>LV2B 국가별 한도 차감액</t>
    <phoneticPr fontId="20" type="noConversion"/>
  </si>
  <si>
    <t xml:space="preserve">        B.총 현금 유출액</t>
    <phoneticPr fontId="20" type="noConversion"/>
  </si>
  <si>
    <t xml:space="preserve">         - 소매예금 이탈금액</t>
    <phoneticPr fontId="20" type="noConversion"/>
  </si>
  <si>
    <t xml:space="preserve">         - 무담보 도매 이탈</t>
    <phoneticPr fontId="20" type="noConversion"/>
  </si>
  <si>
    <t xml:space="preserve">         - 담보부 자금 이탈</t>
    <phoneticPr fontId="20" type="noConversion"/>
  </si>
  <si>
    <t xml:space="preserve">         - 추가요건 현금유출</t>
    <phoneticPr fontId="20" type="noConversion"/>
  </si>
  <si>
    <t xml:space="preserve">         - 기타 우발성</t>
    <phoneticPr fontId="20" type="noConversion"/>
  </si>
  <si>
    <t xml:space="preserve">        C.총 현금 유입액</t>
    <phoneticPr fontId="20" type="noConversion"/>
  </si>
  <si>
    <t xml:space="preserve">        D.순 현금 유출액</t>
    <phoneticPr fontId="20" type="noConversion"/>
  </si>
  <si>
    <r>
      <t xml:space="preserve">2. 외화 B/S - </t>
    </r>
    <r>
      <rPr>
        <sz val="18"/>
        <color rgb="FFFF0000"/>
        <rFont val="휴먼둥근헤드라인"/>
        <family val="1"/>
        <charset val="129"/>
      </rPr>
      <t>통합</t>
    </r>
    <phoneticPr fontId="20" type="noConversion"/>
  </si>
  <si>
    <t xml:space="preserve"> </t>
    <phoneticPr fontId="20" type="noConversion"/>
  </si>
  <si>
    <t>(대미환산, 단위 : 백만불)</t>
    <phoneticPr fontId="20" type="noConversion"/>
  </si>
  <si>
    <t>외 화 자 산</t>
    <phoneticPr fontId="20" type="noConversion"/>
  </si>
  <si>
    <t>&lt; 난 내 합 계 &gt;</t>
    <phoneticPr fontId="20" type="noConversion"/>
  </si>
  <si>
    <t>외화예치금</t>
    <phoneticPr fontId="20" type="noConversion"/>
  </si>
  <si>
    <t>외화대출금</t>
    <phoneticPr fontId="20" type="noConversion"/>
  </si>
  <si>
    <t>본점</t>
    <phoneticPr fontId="20" type="noConversion"/>
  </si>
  <si>
    <t xml:space="preserve"> 국내본점</t>
    <phoneticPr fontId="20" type="noConversion"/>
  </si>
  <si>
    <t xml:space="preserve"> 외국환 / 해외은행</t>
    <phoneticPr fontId="20" type="noConversion"/>
  </si>
  <si>
    <t xml:space="preserve"> 상해지점</t>
    <phoneticPr fontId="20" type="noConversion"/>
  </si>
  <si>
    <t xml:space="preserve">     외화콜론</t>
    <phoneticPr fontId="20" type="noConversion"/>
  </si>
  <si>
    <t>&lt; 난 외 합 계 &gt;</t>
    <phoneticPr fontId="20" type="noConversion"/>
  </si>
  <si>
    <t>외 화 부 채</t>
    <phoneticPr fontId="20" type="noConversion"/>
  </si>
  <si>
    <t>외화예수금</t>
    <phoneticPr fontId="20" type="noConversion"/>
  </si>
  <si>
    <t>외화차입금</t>
    <phoneticPr fontId="20" type="noConversion"/>
  </si>
  <si>
    <t>3. 해외지점 외화 B/S</t>
    <phoneticPr fontId="20" type="noConversion"/>
  </si>
  <si>
    <t xml:space="preserve">   가. 상해</t>
    <phoneticPr fontId="20" type="noConversion"/>
  </si>
  <si>
    <t>전일대비</t>
  </si>
  <si>
    <t>&lt; 합         계 &gt;</t>
    <phoneticPr fontId="20" type="noConversion"/>
  </si>
  <si>
    <t xml:space="preserve"> 일반예치 (해외은행)</t>
    <phoneticPr fontId="20" type="noConversion"/>
  </si>
  <si>
    <t xml:space="preserve"> 인민은행지준 * 정기예치금</t>
    <phoneticPr fontId="20" type="noConversion"/>
  </si>
  <si>
    <t xml:space="preserve"> 은행간 대여금</t>
    <phoneticPr fontId="20" type="noConversion"/>
  </si>
  <si>
    <t xml:space="preserve">     본지점을갑 (HO,BA)</t>
    <phoneticPr fontId="20" type="noConversion"/>
  </si>
  <si>
    <t xml:space="preserve">     기타자산</t>
    <phoneticPr fontId="20" type="noConversion"/>
  </si>
  <si>
    <t xml:space="preserve">     외화예수금</t>
    <phoneticPr fontId="20" type="noConversion"/>
  </si>
  <si>
    <t xml:space="preserve">     외화콜머니</t>
    <phoneticPr fontId="20" type="noConversion"/>
  </si>
  <si>
    <t xml:space="preserve"> 단기 (1년이하)</t>
    <phoneticPr fontId="20" type="noConversion"/>
  </si>
  <si>
    <t xml:space="preserve"> 장기 (1년초과)</t>
    <phoneticPr fontId="20" type="noConversion"/>
  </si>
  <si>
    <t xml:space="preserve">     본지점을을 (콜거래)</t>
    <phoneticPr fontId="20" type="noConversion"/>
  </si>
  <si>
    <t xml:space="preserve">     본지점갑 (자본금)</t>
    <phoneticPr fontId="20" type="noConversion"/>
  </si>
  <si>
    <t>`</t>
    <phoneticPr fontId="20" type="noConversion"/>
  </si>
  <si>
    <t xml:space="preserve">     기타부채</t>
    <phoneticPr fontId="20" type="noConversion"/>
  </si>
  <si>
    <t xml:space="preserve">   나. 호치민</t>
    <phoneticPr fontId="20" type="noConversion"/>
  </si>
  <si>
    <t>상해지점</t>
    <phoneticPr fontId="20" type="noConversion"/>
  </si>
  <si>
    <t>● 외화 콜론</t>
    <phoneticPr fontId="20" type="noConversion"/>
  </si>
  <si>
    <t>(만기빠른순, 백만$, %)</t>
    <phoneticPr fontId="20" type="noConversion"/>
  </si>
  <si>
    <t>본   점</t>
    <phoneticPr fontId="20" type="noConversion"/>
  </si>
  <si>
    <t>기간</t>
    <phoneticPr fontId="20" type="noConversion"/>
  </si>
  <si>
    <t>거래상대</t>
    <phoneticPr fontId="20" type="noConversion"/>
  </si>
  <si>
    <t>금액</t>
    <phoneticPr fontId="20" type="noConversion"/>
  </si>
  <si>
    <t>대미환산(백만$)</t>
    <phoneticPr fontId="20" type="noConversion"/>
  </si>
  <si>
    <t>시작일</t>
    <phoneticPr fontId="20" type="noConversion"/>
  </si>
  <si>
    <t>만기일</t>
    <phoneticPr fontId="20" type="noConversion"/>
  </si>
  <si>
    <t>금리</t>
    <phoneticPr fontId="20" type="noConversion"/>
  </si>
  <si>
    <t>비고1</t>
    <phoneticPr fontId="20" type="noConversion"/>
  </si>
  <si>
    <t>비고2</t>
    <phoneticPr fontId="20" type="noConversion"/>
  </si>
  <si>
    <t>잔존만기</t>
    <phoneticPr fontId="20" type="noConversion"/>
  </si>
  <si>
    <t>호치민지점</t>
    <phoneticPr fontId="20" type="noConversion"/>
  </si>
  <si>
    <t>● 외화 은행간 대여금</t>
    <phoneticPr fontId="20" type="noConversion"/>
  </si>
  <si>
    <t>자기자본 (자본금+잉여금) 의 20%</t>
    <phoneticPr fontId="20" type="noConversion"/>
  </si>
  <si>
    <t>DGB Bank PLC (제1차)</t>
    <phoneticPr fontId="20" type="noConversion"/>
  </si>
  <si>
    <t>재계약</t>
    <phoneticPr fontId="20" type="noConversion"/>
  </si>
  <si>
    <t>이자 3/15, 6/15, 9/15, 12/15
(외환사업부 공문발송)</t>
    <phoneticPr fontId="20" type="noConversion"/>
  </si>
  <si>
    <t>DGB Bank PLC (제3차)</t>
    <phoneticPr fontId="20" type="noConversion"/>
  </si>
  <si>
    <t>DGB Bank PLC (제4차)</t>
    <phoneticPr fontId="20" type="noConversion"/>
  </si>
  <si>
    <t>● 외화 정기 예치금</t>
    <phoneticPr fontId="20" type="noConversion"/>
  </si>
  <si>
    <t>상해 의무예치금 : 자본금의 30%</t>
    <phoneticPr fontId="20" type="noConversion"/>
  </si>
  <si>
    <t>자기자본 (자본금+잉여금) 의 20%</t>
  </si>
  <si>
    <t>[ 상해지점전결규정 ]</t>
    <phoneticPr fontId="6" type="noConversion"/>
  </si>
  <si>
    <t>본부장 이상 승인 건의 경우 검사부 일상감사 받아야 함.</t>
  </si>
  <si>
    <t>의무예치금</t>
  </si>
  <si>
    <t>● 외화 콜머니</t>
    <phoneticPr fontId="20" type="noConversion"/>
  </si>
  <si>
    <t>SM081100001</t>
  </si>
  <si>
    <t>운용</t>
  </si>
  <si>
    <t>장기</t>
  </si>
  <si>
    <t>KLT1_INT_SA</t>
  </si>
  <si>
    <t>기타장기대출</t>
  </si>
  <si>
    <t>USD</t>
  </si>
  <si>
    <t>17735DG</t>
  </si>
  <si>
    <t>IFD_FI</t>
  </si>
  <si>
    <t>MM_TR01</t>
  </si>
  <si>
    <t>ICBC 서울</t>
    <phoneticPr fontId="20" type="noConversion"/>
  </si>
  <si>
    <t>● 은행간 차입금</t>
    <phoneticPr fontId="20" type="noConversion"/>
  </si>
  <si>
    <t>Clean BA</t>
  </si>
  <si>
    <t>BANK OF NEW YORK MELLON</t>
  </si>
  <si>
    <t>3M SF + 1.50%</t>
    <phoneticPr fontId="20" type="noConversion"/>
  </si>
  <si>
    <t>Bilateral Term Loan</t>
    <phoneticPr fontId="20" type="noConversion"/>
  </si>
  <si>
    <t>HSBC Bank, Mauritius Limited</t>
  </si>
  <si>
    <t>JPMorgan Chase, N.A.</t>
    <phoneticPr fontId="20" type="noConversion"/>
  </si>
  <si>
    <t>LBBW SG BR.</t>
    <phoneticPr fontId="20" type="noConversion"/>
  </si>
  <si>
    <t>CCB 서울</t>
    <phoneticPr fontId="20" type="noConversion"/>
  </si>
  <si>
    <t>3M SF + 1.15%</t>
    <phoneticPr fontId="20" type="noConversion"/>
  </si>
  <si>
    <t>3M SF + 0.90%</t>
    <phoneticPr fontId="20" type="noConversion"/>
  </si>
  <si>
    <t>● 외화 발행 채권</t>
    <phoneticPr fontId="20" type="noConversion"/>
  </si>
  <si>
    <t>장기</t>
    <phoneticPr fontId="20" type="noConversion"/>
  </si>
  <si>
    <r>
      <t>▶Fiscal Agent Fee 매년 3월쯤 3,000불 /</t>
    </r>
    <r>
      <rPr>
        <b/>
        <sz val="11"/>
        <color rgb="FF002060"/>
        <rFont val="돋움"/>
        <family val="3"/>
        <charset val="129"/>
      </rPr>
      <t xml:space="preserve"> 2, 8월</t>
    </r>
    <r>
      <rPr>
        <b/>
        <sz val="11"/>
        <color rgb="FFFF0000"/>
        <rFont val="돋움"/>
        <family val="3"/>
        <charset val="129"/>
      </rPr>
      <t xml:space="preserve"> 채권이자 송금 / 만기일 상환 (지원부 협조전보내 수기처리: 자금판 반영도 안되고 전문생성도 안됨)</t>
    </r>
    <phoneticPr fontId="20" type="noConversion"/>
  </si>
  <si>
    <t>● 본지점</t>
    <phoneticPr fontId="20" type="noConversion"/>
  </si>
  <si>
    <t>합   계</t>
    <phoneticPr fontId="20" type="noConversion"/>
  </si>
  <si>
    <t>● 커미티드 라인</t>
    <phoneticPr fontId="20" type="noConversion"/>
  </si>
  <si>
    <t>사용한도</t>
    <phoneticPr fontId="20" type="noConversion"/>
  </si>
  <si>
    <t>잔여한도</t>
    <phoneticPr fontId="20" type="noConversion"/>
  </si>
  <si>
    <t>신규일</t>
  </si>
  <si>
    <t>만기일</t>
  </si>
  <si>
    <t>Bank of China SH</t>
    <phoneticPr fontId="20" type="noConversion"/>
  </si>
  <si>
    <t>CNY 200.00</t>
    <phoneticPr fontId="20" type="noConversion"/>
  </si>
  <si>
    <t>-</t>
  </si>
  <si>
    <t>ICBC 본점</t>
    <phoneticPr fontId="20" type="noConversion"/>
  </si>
  <si>
    <t>자동연장</t>
    <phoneticPr fontId="20" type="noConversion"/>
  </si>
  <si>
    <t>SB18-국제금융부-2477</t>
    <phoneticPr fontId="20" type="noConversion"/>
  </si>
  <si>
    <t>(BIDV)Bank for investment and Development of Vietnam</t>
    <phoneticPr fontId="20" type="noConversion"/>
  </si>
  <si>
    <t>VND 120,000</t>
    <phoneticPr fontId="20" type="noConversion"/>
  </si>
  <si>
    <t>● FX 스왑 (기간물)</t>
    <phoneticPr fontId="20" type="noConversion"/>
  </si>
  <si>
    <t>(만기빠른순, 백만)</t>
    <phoneticPr fontId="20" type="noConversion"/>
  </si>
  <si>
    <t>상대</t>
    <phoneticPr fontId="20" type="noConversion"/>
  </si>
  <si>
    <t>거래방향</t>
    <phoneticPr fontId="20" type="noConversion"/>
  </si>
  <si>
    <t>통화1</t>
    <phoneticPr fontId="20" type="noConversion"/>
  </si>
  <si>
    <t>금액1</t>
    <phoneticPr fontId="20" type="noConversion"/>
  </si>
  <si>
    <t>통화2</t>
    <phoneticPr fontId="20" type="noConversion"/>
  </si>
  <si>
    <t>금액2</t>
    <phoneticPr fontId="20" type="noConversion"/>
  </si>
  <si>
    <t>NEAR DATE</t>
    <phoneticPr fontId="20" type="noConversion"/>
  </si>
  <si>
    <t>FAR DATE</t>
    <phoneticPr fontId="20" type="noConversion"/>
  </si>
  <si>
    <t>FX SWAP(GBP/USD)</t>
  </si>
  <si>
    <t>신규</t>
  </si>
  <si>
    <t>HSBC_HK</t>
  </si>
  <si>
    <t>매입</t>
  </si>
  <si>
    <t>SPOT</t>
  </si>
  <si>
    <t>GBP</t>
  </si>
  <si>
    <t>FWD</t>
  </si>
  <si>
    <t>기타</t>
  </si>
  <si>
    <t xml:space="preserve"> </t>
  </si>
  <si>
    <t>FX SWAP(NZD/USD)</t>
  </si>
  <si>
    <t>NZD</t>
  </si>
  <si>
    <t>FX SWAP(USD/CNY)</t>
  </si>
  <si>
    <t>매도</t>
  </si>
  <si>
    <t>N</t>
  </si>
  <si>
    <t>CNY</t>
  </si>
  <si>
    <t>FX SWAP(USD/HKD)</t>
  </si>
  <si>
    <t>HKD</t>
  </si>
  <si>
    <t>FX SWAP(USD/CAD)</t>
  </si>
  <si>
    <t>CAD</t>
  </si>
  <si>
    <t>FX SWAP(USD/THB)</t>
  </si>
  <si>
    <t>THB</t>
  </si>
  <si>
    <t>FX SWAP(USD/SGD)</t>
  </si>
  <si>
    <t>SGD</t>
  </si>
  <si>
    <t>FX SWAP(USD/DKK)</t>
  </si>
  <si>
    <t>DKK</t>
  </si>
  <si>
    <t>FX SWAP(USD/NOK)</t>
  </si>
  <si>
    <t>NOK</t>
  </si>
  <si>
    <t>FX SWAP(USD/CHF)</t>
  </si>
  <si>
    <t>CHF</t>
  </si>
  <si>
    <t>FX SWAP(USD/SEK)</t>
  </si>
  <si>
    <t>SEK</t>
  </si>
  <si>
    <t xml:space="preserve">● FX 스왑 (Val 미도래) </t>
    <phoneticPr fontId="20" type="noConversion"/>
  </si>
  <si>
    <t>● 외화대출 기준금리</t>
    <phoneticPr fontId="20" type="noConversion"/>
  </si>
  <si>
    <t>1ML (1ML + )</t>
    <phoneticPr fontId="20" type="noConversion"/>
  </si>
  <si>
    <t>3M (3ML + )</t>
    <phoneticPr fontId="20" type="noConversion"/>
  </si>
  <si>
    <t>6M (6ML + )</t>
    <phoneticPr fontId="20" type="noConversion"/>
  </si>
  <si>
    <t>1Y (3ML + )</t>
    <phoneticPr fontId="20" type="noConversion"/>
  </si>
  <si>
    <t>2Y (6ML + )</t>
    <phoneticPr fontId="20" type="noConversion"/>
  </si>
  <si>
    <t>3Y (6ML + )</t>
    <phoneticPr fontId="20" type="noConversion"/>
  </si>
  <si>
    <t>5Y (6ML + )</t>
    <phoneticPr fontId="20" type="noConversion"/>
  </si>
  <si>
    <t>10Y (6ML + )</t>
    <phoneticPr fontId="20" type="noConversion"/>
  </si>
  <si>
    <t>● 외화유동성 Stress Test</t>
    <phoneticPr fontId="20" type="noConversion"/>
  </si>
  <si>
    <t xml:space="preserve">  (단위 : 백만불)</t>
    <phoneticPr fontId="20" type="noConversion"/>
  </si>
  <si>
    <t>Net Cash Flow 1M</t>
    <phoneticPr fontId="20" type="noConversion"/>
  </si>
  <si>
    <t>Net Cash Flow 3M</t>
    <phoneticPr fontId="20" type="noConversion"/>
  </si>
  <si>
    <t>● 상해지점 유동성관리</t>
    <phoneticPr fontId="20" type="noConversion"/>
  </si>
  <si>
    <t>(단위 : 백만$, %)</t>
    <phoneticPr fontId="20" type="noConversion"/>
  </si>
  <si>
    <t>외부기준(중국)</t>
    <phoneticPr fontId="20" type="noConversion"/>
  </si>
  <si>
    <t>리스크허용한도</t>
    <phoneticPr fontId="20" type="noConversion"/>
  </si>
  <si>
    <t>비상조치계획</t>
    <phoneticPr fontId="20" type="noConversion"/>
  </si>
  <si>
    <t>전월대비</t>
    <phoneticPr fontId="20" type="noConversion"/>
  </si>
  <si>
    <t>35% 미만(1단계)</t>
    <phoneticPr fontId="20" type="noConversion"/>
  </si>
  <si>
    <t xml:space="preserve">               -</t>
    <phoneticPr fontId="20" type="noConversion"/>
  </si>
  <si>
    <t>폐지</t>
  </si>
  <si>
    <t xml:space="preserve">               -</t>
  </si>
  <si>
    <t>30% 이상(1단계)</t>
    <phoneticPr fontId="20" type="noConversion"/>
  </si>
  <si>
    <t>● 상해지점</t>
    <phoneticPr fontId="20" type="noConversion"/>
  </si>
  <si>
    <t xml:space="preserve">미얀마 최초 자본금 5백만, 3년간 연간 5백~10백만불씩 총 20~30백만불 </t>
    <phoneticPr fontId="20" type="noConversion"/>
  </si>
  <si>
    <t>계정과목</t>
    <phoneticPr fontId="20" type="noConversion"/>
  </si>
  <si>
    <t>자금성격</t>
    <phoneticPr fontId="20" type="noConversion"/>
  </si>
  <si>
    <t>회수일</t>
    <phoneticPr fontId="20" type="noConversion"/>
  </si>
  <si>
    <t>금리/환율</t>
    <phoneticPr fontId="20" type="noConversion"/>
  </si>
  <si>
    <t>외화본지점국외갑계정 011301</t>
    <phoneticPr fontId="20" type="noConversion"/>
  </si>
  <si>
    <t>자본금 및 의무예치금</t>
  </si>
  <si>
    <t>회수</t>
    <phoneticPr fontId="20" type="noConversion"/>
  </si>
  <si>
    <t>779-10-8198848</t>
    <phoneticPr fontId="20" type="noConversion"/>
  </si>
  <si>
    <t>외화본지점국외갑계정 011301</t>
  </si>
  <si>
    <t>위 자본금 회수 후 차감 잔액</t>
    <phoneticPr fontId="20" type="noConversion"/>
  </si>
  <si>
    <t>잔액은 세금관련 현안으로 인해 회수 계획 없음</t>
    <phoneticPr fontId="20" type="noConversion"/>
  </si>
  <si>
    <t>자본금 및 의무예치금</t>
    <phoneticPr fontId="20" type="noConversion"/>
  </si>
  <si>
    <t>CNY 100.00</t>
    <phoneticPr fontId="20" type="noConversion"/>
  </si>
  <si>
    <t>갑기금전환일(16.4.06) 최초고시 (178.38)</t>
  </si>
  <si>
    <t>USD → CNY 운영자금 통화 변경</t>
    <phoneticPr fontId="20" type="noConversion"/>
  </si>
  <si>
    <t>합 계</t>
    <phoneticPr fontId="20" type="noConversion"/>
  </si>
  <si>
    <t>● DGB캐피탈 라오스</t>
    <phoneticPr fontId="20" type="noConversion"/>
  </si>
  <si>
    <t>고객번호(166938171)</t>
    <phoneticPr fontId="20" type="noConversion"/>
  </si>
  <si>
    <t xml:space="preserve"> 일반기업운전 기타대출 010120</t>
    <phoneticPr fontId="20" type="noConversion"/>
  </si>
  <si>
    <t>3ML + 2.15%</t>
    <phoneticPr fontId="20" type="noConversion"/>
  </si>
  <si>
    <t>769-11-1013156</t>
    <phoneticPr fontId="20" type="noConversion"/>
  </si>
  <si>
    <t>635-10-100226-6 (대출계좌번호)</t>
    <phoneticPr fontId="20" type="noConversion"/>
  </si>
  <si>
    <t>769-11-1134314</t>
    <phoneticPr fontId="20" type="noConversion"/>
  </si>
  <si>
    <t>769-11-1302376</t>
    <phoneticPr fontId="20" type="noConversion"/>
  </si>
  <si>
    <t>769-11-3306890</t>
    <phoneticPr fontId="20" type="noConversion"/>
  </si>
  <si>
    <t>769-11-4623458</t>
    <phoneticPr fontId="20" type="noConversion"/>
  </si>
  <si>
    <t>769-11-4104445</t>
    <phoneticPr fontId="20" type="noConversion"/>
  </si>
  <si>
    <t>769-11-4623458</t>
  </si>
  <si>
    <t>769-11-4804251</t>
    <phoneticPr fontId="20" type="noConversion"/>
  </si>
  <si>
    <t>769-11-6082039</t>
    <phoneticPr fontId="20" type="noConversion"/>
  </si>
  <si>
    <t>769-11-6176165</t>
    <phoneticPr fontId="20" type="noConversion"/>
  </si>
  <si>
    <t>769-11-6276951</t>
  </si>
  <si>
    <t>769-11-6392096</t>
    <phoneticPr fontId="20" type="noConversion"/>
  </si>
  <si>
    <t>상 환</t>
    <phoneticPr fontId="20" type="noConversion"/>
  </si>
  <si>
    <t>● 캠캐피탈</t>
    <phoneticPr fontId="20" type="noConversion"/>
  </si>
  <si>
    <t>고객번호(173178924)</t>
    <phoneticPr fontId="20" type="noConversion"/>
  </si>
  <si>
    <t>3ML + 2.97%</t>
    <phoneticPr fontId="20" type="noConversion"/>
  </si>
  <si>
    <t>769-11-749782-9</t>
    <phoneticPr fontId="20" type="noConversion"/>
  </si>
  <si>
    <t>635-10-100267-9 (대출계좌번호)</t>
    <phoneticPr fontId="20" type="noConversion"/>
  </si>
  <si>
    <t>769-11-761085-5</t>
    <phoneticPr fontId="20" type="noConversion"/>
  </si>
  <si>
    <t>769-11-772995-9</t>
    <phoneticPr fontId="20" type="noConversion"/>
  </si>
  <si>
    <t>769-11-783292-0</t>
    <phoneticPr fontId="20" type="noConversion"/>
  </si>
  <si>
    <t>769-11-789311-6</t>
    <phoneticPr fontId="20" type="noConversion"/>
  </si>
  <si>
    <t>769-11-808619-5</t>
    <phoneticPr fontId="20" type="noConversion"/>
  </si>
  <si>
    <t>769-11-819315-1</t>
    <phoneticPr fontId="20" type="noConversion"/>
  </si>
  <si>
    <t>769-11-832943-5</t>
    <phoneticPr fontId="20" type="noConversion"/>
  </si>
  <si>
    <t>769-11-853030-7</t>
    <phoneticPr fontId="20" type="noConversion"/>
  </si>
  <si>
    <t>769-11-862122-9</t>
    <phoneticPr fontId="20" type="noConversion"/>
  </si>
  <si>
    <t>769-11-873081-6</t>
    <phoneticPr fontId="20" type="noConversion"/>
  </si>
  <si>
    <t>769-11-879420-9</t>
    <phoneticPr fontId="20" type="noConversion"/>
  </si>
  <si>
    <t>769-11-891011-6</t>
    <phoneticPr fontId="20" type="noConversion"/>
  </si>
  <si>
    <t>● DGB Bank PLC</t>
    <phoneticPr fontId="20" type="noConversion"/>
  </si>
  <si>
    <t>외화투자 011423</t>
    <phoneticPr fontId="20" type="noConversion"/>
  </si>
  <si>
    <t>이행보증금 1차</t>
    <phoneticPr fontId="20" type="noConversion"/>
  </si>
  <si>
    <t>769112195073
769112195004</t>
    <phoneticPr fontId="20" type="noConversion"/>
  </si>
  <si>
    <t>2017.07.26 계정처리 -&gt; 1/26 자금 지급 필</t>
    <phoneticPr fontId="20" type="noConversion"/>
  </si>
  <si>
    <t>외화투자 011423</t>
  </si>
  <si>
    <t>이행보증금 2차</t>
    <phoneticPr fontId="20" type="noConversion"/>
  </si>
  <si>
    <t>2017.10.26 계정처리 -&gt; 1/26 자금 지급 필</t>
    <phoneticPr fontId="20" type="noConversion"/>
  </si>
  <si>
    <t>잔금</t>
    <phoneticPr fontId="20" type="noConversion"/>
  </si>
  <si>
    <t>2018.01.05 계정처리 -&gt; 1/26 자금 지급 필</t>
    <phoneticPr fontId="20" type="noConversion"/>
  </si>
  <si>
    <t>자본금</t>
    <phoneticPr fontId="20" type="noConversion"/>
  </si>
  <si>
    <t>은행간외화대여금 종속 및 
관계회사 010897 (1)</t>
    <phoneticPr fontId="20" type="noConversion"/>
  </si>
  <si>
    <r>
      <rPr>
        <b/>
        <sz val="10"/>
        <rFont val="돋움"/>
        <family val="3"/>
        <charset val="129"/>
      </rPr>
      <t>2018.05.17</t>
    </r>
    <r>
      <rPr>
        <sz val="10"/>
        <rFont val="돋움"/>
        <family val="3"/>
        <charset val="129"/>
      </rPr>
      <t xml:space="preserve">
첫번째 
대여금 
약정</t>
    </r>
    <phoneticPr fontId="20" type="noConversion"/>
  </si>
  <si>
    <t>Uncommitted 한도약정 
(주주차입금 대환)</t>
    <phoneticPr fontId="20" type="noConversion"/>
  </si>
  <si>
    <t xml:space="preserve">3영업일 전 Request </t>
    <phoneticPr fontId="20" type="noConversion"/>
  </si>
  <si>
    <t>한도약정체결일자: 2018.05.17
약정기간: 2018.05.18 ~ 2021.05.17</t>
    <phoneticPr fontId="20" type="noConversion"/>
  </si>
  <si>
    <t>2nd</t>
    <phoneticPr fontId="20" type="noConversion"/>
  </si>
  <si>
    <t>3rd</t>
    <phoneticPr fontId="20" type="noConversion"/>
  </si>
  <si>
    <t>4th</t>
  </si>
  <si>
    <t>■ 금리 변경 내역</t>
    <phoneticPr fontId="20" type="noConversion"/>
  </si>
  <si>
    <t>5th</t>
  </si>
  <si>
    <t xml:space="preserve">    1) 3.856%</t>
    <phoneticPr fontId="20" type="noConversion"/>
  </si>
  <si>
    <t>6th</t>
  </si>
  <si>
    <t xml:space="preserve">    2) 4.81% (2019.06.17~)</t>
    <phoneticPr fontId="20" type="noConversion"/>
  </si>
  <si>
    <t>7th</t>
  </si>
  <si>
    <t xml:space="preserve">    3) 4.92% (2020.05.18~)</t>
    <phoneticPr fontId="20" type="noConversion"/>
  </si>
  <si>
    <t>8th</t>
  </si>
  <si>
    <t>9th</t>
  </si>
  <si>
    <t>10th</t>
  </si>
  <si>
    <t>11th</t>
  </si>
  <si>
    <t>12th</t>
  </si>
  <si>
    <t>재약정</t>
    <phoneticPr fontId="20" type="noConversion"/>
  </si>
  <si>
    <t>은행간외화대여금 종속 및 
관계회사 010897 (2)</t>
    <phoneticPr fontId="20" type="noConversion"/>
  </si>
  <si>
    <r>
      <rPr>
        <b/>
        <sz val="10"/>
        <rFont val="돋움"/>
        <family val="3"/>
        <charset val="129"/>
      </rPr>
      <t>2019.10.21</t>
    </r>
    <r>
      <rPr>
        <sz val="10"/>
        <rFont val="돋움"/>
        <family val="3"/>
        <charset val="129"/>
      </rPr>
      <t xml:space="preserve">
두번째 
대여금
약정</t>
    </r>
    <phoneticPr fontId="20" type="noConversion"/>
  </si>
  <si>
    <t>Uncommitted 한도약정 
(운영자금)</t>
    <phoneticPr fontId="20" type="noConversion"/>
  </si>
  <si>
    <t>한도약정체결일자 : 2019.10.21
약정기간: 2019.10.25~2020.10.23</t>
    <phoneticPr fontId="20" type="noConversion"/>
  </si>
  <si>
    <t>3rd</t>
  </si>
  <si>
    <t>7th</t>
    <phoneticPr fontId="20" type="noConversion"/>
  </si>
  <si>
    <t>9th</t>
    <phoneticPr fontId="20" type="noConversion"/>
  </si>
  <si>
    <t>10th</t>
    <phoneticPr fontId="20" type="noConversion"/>
  </si>
  <si>
    <t>약정체결일자: 2020.10.23
재약정기간: 2020.10.23~2021.10.22</t>
    <phoneticPr fontId="20" type="noConversion"/>
  </si>
  <si>
    <t>약정체결일자: 2021.10.22
재약정기간: 2021.10.22~2022.10.21</t>
    <phoneticPr fontId="20" type="noConversion"/>
  </si>
  <si>
    <t>약정체결일자: 2022.10.21
재약정기간: 2022.10.21~2023.10.20</t>
    <phoneticPr fontId="20" type="noConversion"/>
  </si>
  <si>
    <t>약정체결일자: 2023.10.20
재약정기간: 2023.10.20~2024.10.18</t>
    <phoneticPr fontId="20" type="noConversion"/>
  </si>
  <si>
    <t>은행간외화대여금 종속 및 
관계회사 010897 (3)</t>
    <phoneticPr fontId="20" type="noConversion"/>
  </si>
  <si>
    <r>
      <rPr>
        <b/>
        <sz val="10"/>
        <rFont val="돋움"/>
        <family val="3"/>
        <charset val="129"/>
      </rPr>
      <t>2020.05.11</t>
    </r>
    <r>
      <rPr>
        <sz val="10"/>
        <rFont val="돋움"/>
        <family val="3"/>
        <charset val="129"/>
      </rPr>
      <t xml:space="preserve">
세번째 
대여금
약정</t>
    </r>
    <phoneticPr fontId="20" type="noConversion"/>
  </si>
  <si>
    <t>한도약정체결일자 : 2020.05.11
약정기간: 2020.05.13~2021.05.13</t>
    <phoneticPr fontId="20" type="noConversion"/>
  </si>
  <si>
    <t>2nd</t>
  </si>
  <si>
    <t>4th</t>
    <phoneticPr fontId="20" type="noConversion"/>
  </si>
  <si>
    <t>5th</t>
    <phoneticPr fontId="20" type="noConversion"/>
  </si>
  <si>
    <t>6th</t>
    <phoneticPr fontId="20" type="noConversion"/>
  </si>
  <si>
    <t>약정체결일자: 2021.05.13
재약정기간: 2021.05.13~2022.05.13</t>
    <phoneticPr fontId="20" type="noConversion"/>
  </si>
  <si>
    <t>약정체결일자: 2022.05.13
재약정기간: 2022.05.13~2023.05.12</t>
    <phoneticPr fontId="20" type="noConversion"/>
  </si>
  <si>
    <t>약정체결일자: 2023.05.12
재약정기간: 2023.05.12~2024.05.10</t>
    <phoneticPr fontId="20" type="noConversion"/>
  </si>
  <si>
    <t>은행간외화대여금 종속 및 
관계회사 010897 (4)</t>
    <phoneticPr fontId="20" type="noConversion"/>
  </si>
  <si>
    <r>
      <rPr>
        <b/>
        <sz val="10"/>
        <rFont val="돋움"/>
        <family val="3"/>
        <charset val="129"/>
      </rPr>
      <t>2021.03.
23</t>
    </r>
    <r>
      <rPr>
        <sz val="10"/>
        <rFont val="돋움"/>
        <family val="3"/>
        <charset val="129"/>
      </rPr>
      <t xml:space="preserve">
네번째 
대여금
약정</t>
    </r>
    <phoneticPr fontId="20" type="noConversion"/>
  </si>
  <si>
    <t xml:space="preserve">한도약정체결일자 : 2021.03.23
약정기간: 2021.04.12~2022.04.12
</t>
    <phoneticPr fontId="20" type="noConversion"/>
  </si>
  <si>
    <t>약정체결일자: 2022.04.12
재약정기간: 2022.04.12~2023.04.12</t>
    <phoneticPr fontId="20" type="noConversion"/>
  </si>
  <si>
    <t>약정체결일자: 2023.04.12
재약정기간: 2023.04.12~2024.04.11</t>
    <phoneticPr fontId="20" type="noConversion"/>
  </si>
  <si>
    <t>합계</t>
    <phoneticPr fontId="20" type="noConversion"/>
  </si>
  <si>
    <t>대여금</t>
    <phoneticPr fontId="20" type="noConversion"/>
  </si>
  <si>
    <t>● DGB Microfinance 미얀마</t>
    <phoneticPr fontId="20" type="noConversion"/>
  </si>
  <si>
    <t>2019.11.27  설립 (SB19-글로벌사업부-1801)</t>
    <phoneticPr fontId="20" type="noConversion"/>
  </si>
  <si>
    <t>SB19-글로벌사업부-333</t>
    <phoneticPr fontId="20" type="noConversion"/>
  </si>
  <si>
    <t>SB19-전략기획부-1570</t>
    <phoneticPr fontId="20" type="noConversion"/>
  </si>
  <si>
    <t>SB20-글로벌사업부-5015</t>
    <phoneticPr fontId="20" type="noConversion"/>
  </si>
  <si>
    <t>SB22-글로벌사업부-4904</t>
    <phoneticPr fontId="20" type="noConversion"/>
  </si>
  <si>
    <t>SB23-글로벌사업부-2573</t>
    <phoneticPr fontId="20" type="noConversion"/>
  </si>
  <si>
    <t>SB24-글로벌사업부-1392</t>
  </si>
  <si>
    <t xml:space="preserve">SB24-글로벌사업부-4385 </t>
  </si>
  <si>
    <t>● 호치민지점</t>
    <phoneticPr fontId="20" type="noConversion"/>
  </si>
  <si>
    <t>SB19-글로벌사업부-837</t>
  </si>
  <si>
    <t>가지급금</t>
    <phoneticPr fontId="20" type="noConversion"/>
  </si>
  <si>
    <t>955ET2020070801</t>
    <phoneticPr fontId="20" type="noConversion"/>
  </si>
  <si>
    <t>SB20-글로벌사업부-3367</t>
  </si>
  <si>
    <t>외화본지점국외갑계정 160158</t>
    <phoneticPr fontId="20" type="noConversion"/>
  </si>
  <si>
    <t>자본금</t>
  </si>
  <si>
    <t>08.11 최초고시 매매기준율 환율 적용</t>
    <phoneticPr fontId="20" type="noConversion"/>
  </si>
  <si>
    <t>SB20-글로벌사업부-3947</t>
    <phoneticPr fontId="20" type="noConversion"/>
  </si>
  <si>
    <t>● DGB BANK PLC 차입금</t>
    <phoneticPr fontId="20" type="noConversion"/>
  </si>
  <si>
    <t>(단위 : 백만$/KHR, %)</t>
    <phoneticPr fontId="20" type="noConversion"/>
  </si>
  <si>
    <t>매입외환</t>
  </si>
  <si>
    <t>외화콜론</t>
  </si>
  <si>
    <t>1D</t>
    <phoneticPr fontId="20" type="noConversion"/>
  </si>
  <si>
    <t>거래상대방</t>
    <phoneticPr fontId="20" type="noConversion"/>
  </si>
  <si>
    <t xml:space="preserve">   (총 한도 USD 16.00 / 전액 상환)</t>
    <phoneticPr fontId="20" type="noConversion"/>
  </si>
  <si>
    <r>
      <rPr>
        <sz val="11"/>
        <color theme="1"/>
        <rFont val="돋움"/>
        <family val="3"/>
        <charset val="129"/>
      </rPr>
      <t xml:space="preserve">  ※참고 : </t>
    </r>
    <r>
      <rPr>
        <i/>
        <sz val="11"/>
        <rFont val="돋움"/>
        <family val="3"/>
        <charset val="129"/>
      </rPr>
      <t>캐쉬 포지션</t>
    </r>
    <phoneticPr fontId="20" type="noConversion"/>
  </si>
  <si>
    <t>769-10-2533378</t>
    <phoneticPr fontId="20" type="noConversion"/>
  </si>
  <si>
    <t>769-10-6571883</t>
    <phoneticPr fontId="20" type="noConversion"/>
  </si>
  <si>
    <t>769-10-8718028</t>
    <phoneticPr fontId="20" type="noConversion"/>
  </si>
  <si>
    <t>769-11-4472064</t>
    <phoneticPr fontId="20" type="noConversion"/>
  </si>
  <si>
    <t>769-11-1449956</t>
    <phoneticPr fontId="20" type="noConversion"/>
  </si>
  <si>
    <t>769-11-3172883</t>
    <phoneticPr fontId="20" type="noConversion"/>
  </si>
  <si>
    <t>4. 외화자금 현황</t>
    <phoneticPr fontId="20" type="noConversion"/>
  </si>
  <si>
    <t>5. 해외 자금지원 현황</t>
    <phoneticPr fontId="20" type="noConversion"/>
  </si>
  <si>
    <r>
      <t xml:space="preserve">1. 유동성비율 현황 - </t>
    </r>
    <r>
      <rPr>
        <sz val="18"/>
        <color rgb="FFFF0000"/>
        <rFont val="휴먼둥근헤드라인"/>
        <family val="1"/>
        <charset val="129"/>
      </rPr>
      <t>연결</t>
    </r>
    <phoneticPr fontId="20" type="noConversion"/>
  </si>
  <si>
    <t>외화유동성비율(1개월)</t>
  </si>
  <si>
    <t>외화유동성비율(3개월)</t>
  </si>
  <si>
    <t>중장기외화자금조달비율</t>
  </si>
  <si>
    <t>본지점차입의존도</t>
  </si>
  <si>
    <t>SB24-상해지점-4698</t>
    <phoneticPr fontId="20" type="noConversion"/>
  </si>
  <si>
    <t>SB24-자금부-6884</t>
    <phoneticPr fontId="20" type="noConversion"/>
  </si>
  <si>
    <t>SB24-자금부-6885</t>
    <phoneticPr fontId="20" type="noConversion"/>
  </si>
  <si>
    <t>SB24-호치민지점-5943</t>
    <phoneticPr fontId="20" type="noConversion"/>
  </si>
  <si>
    <t>재약정</t>
  </si>
  <si>
    <t>NO</t>
  </si>
  <si>
    <t>약정체결일자: 2024.05.16
재약정기간: 2024.05.16 ~ 2025.05.16</t>
    <phoneticPr fontId="20" type="noConversion"/>
  </si>
  <si>
    <t>약정체결일자: 2023.05.17
재약정기간: 2023.05.17 ~ 2024.05.16</t>
    <phoneticPr fontId="20" type="noConversion"/>
  </si>
  <si>
    <t>약정체결일자: 2022.05.17
재약정기간: 2022.05.17 ~ 2023.05.17</t>
    <phoneticPr fontId="20" type="noConversion"/>
  </si>
  <si>
    <t>약정체결일자: 2021.05.17
재약정기간: 2021.05.17 ~ 2022.05.17</t>
    <phoneticPr fontId="20" type="noConversion"/>
  </si>
  <si>
    <t>약정체결일자: 2024.05.10
재약정기간: 2024.05.10~2025.05.09</t>
    <phoneticPr fontId="20" type="noConversion"/>
  </si>
  <si>
    <t>3M SF + 0.48%</t>
    <phoneticPr fontId="20" type="noConversion"/>
  </si>
  <si>
    <t>상환</t>
    <phoneticPr fontId="20" type="noConversion"/>
  </si>
  <si>
    <t>-</t>
    <phoneticPr fontId="3" type="noConversion"/>
  </si>
  <si>
    <t>지준예치금</t>
  </si>
  <si>
    <t>일반예치금</t>
  </si>
  <si>
    <t>정기예치금</t>
  </si>
  <si>
    <t>외국통화</t>
  </si>
  <si>
    <t>변동증거금</t>
  </si>
  <si>
    <t>채권</t>
  </si>
  <si>
    <t>외화대출금</t>
  </si>
  <si>
    <t>은행간대여금</t>
  </si>
  <si>
    <t>국내</t>
  </si>
  <si>
    <t>상해지점</t>
  </si>
  <si>
    <t>외국환/해외은행</t>
  </si>
  <si>
    <t>기타자산</t>
  </si>
  <si>
    <t>외화투자</t>
  </si>
  <si>
    <t>외화미수미결제</t>
  </si>
  <si>
    <t>난외기타자산</t>
  </si>
  <si>
    <t>타점차월</t>
  </si>
  <si>
    <t>은행차입금</t>
  </si>
  <si>
    <t>외화콜머니</t>
  </si>
  <si>
    <t>매도외환/미지급외환</t>
  </si>
  <si>
    <t>외화보증금</t>
  </si>
  <si>
    <t>기타부채</t>
  </si>
  <si>
    <t>외화미지급미결제</t>
  </si>
  <si>
    <t>외화지급보증</t>
  </si>
  <si>
    <t>외국통화</t>
    <phoneticPr fontId="20" type="noConversion"/>
  </si>
  <si>
    <t>변동증거금</t>
    <phoneticPr fontId="20" type="noConversion"/>
  </si>
  <si>
    <t>외화유가증권</t>
    <phoneticPr fontId="3" type="noConversion"/>
  </si>
  <si>
    <t>채권</t>
    <phoneticPr fontId="20" type="noConversion"/>
  </si>
  <si>
    <t>수익증권·ETF</t>
    <phoneticPr fontId="20" type="noConversion"/>
  </si>
  <si>
    <t>외화투자</t>
    <phoneticPr fontId="20" type="noConversion"/>
  </si>
  <si>
    <t>내국수입유산스</t>
    <phoneticPr fontId="20" type="noConversion"/>
  </si>
  <si>
    <t>은행간대여금</t>
    <phoneticPr fontId="20" type="noConversion"/>
  </si>
  <si>
    <t>외화콜론</t>
    <phoneticPr fontId="20" type="noConversion"/>
  </si>
  <si>
    <t>매입외환</t>
    <phoneticPr fontId="20" type="noConversion"/>
  </si>
  <si>
    <t>매입통화선도·스왑</t>
  </si>
  <si>
    <t>매입통화선도·스왑</t>
    <phoneticPr fontId="20" type="noConversion"/>
  </si>
  <si>
    <t>매입이자율스왑</t>
  </si>
  <si>
    <t>매입이자율스왑</t>
    <phoneticPr fontId="20" type="noConversion"/>
  </si>
  <si>
    <t>매입통화선물</t>
  </si>
  <si>
    <t>매입통화선물</t>
    <phoneticPr fontId="20" type="noConversion"/>
  </si>
  <si>
    <t>기타자산</t>
    <phoneticPr fontId="20" type="noConversion"/>
  </si>
  <si>
    <t>부채난내합계</t>
    <phoneticPr fontId="3" type="noConversion"/>
  </si>
  <si>
    <t>부채난외합계</t>
    <phoneticPr fontId="3" type="noConversion"/>
  </si>
  <si>
    <t>MMDA</t>
    <phoneticPr fontId="3" type="noConversion"/>
  </si>
  <si>
    <t>요구불</t>
    <phoneticPr fontId="3" type="noConversion"/>
  </si>
  <si>
    <t>정기</t>
    <phoneticPr fontId="3" type="noConversion"/>
  </si>
  <si>
    <t>은행차입금</t>
    <phoneticPr fontId="3" type="noConversion"/>
  </si>
  <si>
    <t>외화지급보증</t>
    <phoneticPr fontId="20" type="noConversion"/>
  </si>
  <si>
    <t>난외기타</t>
    <phoneticPr fontId="20" type="noConversion"/>
  </si>
  <si>
    <t>USD</t>
    <phoneticPr fontId="3" type="noConversion"/>
  </si>
  <si>
    <t>수익증권/ETF</t>
  </si>
  <si>
    <t>자산난내합계</t>
  </si>
  <si>
    <t>매입통화선도/스왑자산</t>
  </si>
  <si>
    <t>자산난외합계</t>
  </si>
  <si>
    <t>부채난외기타</t>
  </si>
  <si>
    <t>매입통화선도/스왑부채</t>
  </si>
  <si>
    <t>매입이자율스왑자산</t>
  </si>
  <si>
    <t>매입통화선물자산</t>
  </si>
  <si>
    <t>BA</t>
    <phoneticPr fontId="3" type="noConversion"/>
  </si>
  <si>
    <t>외화발행채권</t>
  </si>
  <si>
    <t>포지션</t>
    <phoneticPr fontId="3" type="noConversion"/>
  </si>
  <si>
    <t>매입이자율스왑부채</t>
  </si>
  <si>
    <t>매입통화선물부채</t>
  </si>
  <si>
    <t>호치민</t>
    <phoneticPr fontId="20" type="noConversion"/>
  </si>
  <si>
    <t>상해</t>
    <phoneticPr fontId="20" type="noConversion"/>
  </si>
  <si>
    <t>매도외환 / 미지급외환</t>
    <phoneticPr fontId="20" type="noConversion"/>
  </si>
  <si>
    <t>외환포지션(한쪽)</t>
    <phoneticPr fontId="20" type="noConversion"/>
  </si>
  <si>
    <t>미수미결제현물환</t>
    <phoneticPr fontId="20" type="noConversion"/>
  </si>
  <si>
    <t>지준예치금 (한국은행 / 해외중앙은행)</t>
    <phoneticPr fontId="20" type="noConversion"/>
  </si>
  <si>
    <t>일반예치금 (외국환은행 / 해외은행)</t>
    <phoneticPr fontId="20" type="noConversion"/>
  </si>
  <si>
    <t>요구불예금</t>
    <phoneticPr fontId="20" type="noConversion"/>
  </si>
  <si>
    <t>정기예금</t>
    <phoneticPr fontId="20" type="noConversion"/>
  </si>
  <si>
    <t>은행차입금</t>
    <phoneticPr fontId="20" type="noConversion"/>
  </si>
  <si>
    <t>수입신용장 관련</t>
    <phoneticPr fontId="20" type="noConversion"/>
  </si>
  <si>
    <t>외화타점차월</t>
    <phoneticPr fontId="20" type="noConversion"/>
  </si>
  <si>
    <t>외화발행채권</t>
    <phoneticPr fontId="20" type="noConversion"/>
  </si>
  <si>
    <t>외화콜머니</t>
    <phoneticPr fontId="20" type="noConversion"/>
  </si>
  <si>
    <t>외화보증금</t>
    <phoneticPr fontId="20" type="noConversion"/>
  </si>
  <si>
    <t>미지급미결제현물환</t>
    <phoneticPr fontId="20" type="noConversion"/>
  </si>
  <si>
    <t>기타부채</t>
    <phoneticPr fontId="20" type="noConversion"/>
  </si>
  <si>
    <t>DZ BANK, HK</t>
  </si>
  <si>
    <t>하나은행 싱가폴지점</t>
    <phoneticPr fontId="20" type="noConversion"/>
  </si>
  <si>
    <t>KDB 산업은행</t>
    <phoneticPr fontId="20" type="noConversion"/>
  </si>
  <si>
    <t>Tranche A</t>
    <phoneticPr fontId="3" type="noConversion"/>
  </si>
  <si>
    <t>Tranche B</t>
    <phoneticPr fontId="3" type="noConversion"/>
  </si>
  <si>
    <t>Tranche C</t>
    <phoneticPr fontId="3" type="noConversion"/>
  </si>
  <si>
    <t>Tranche D</t>
    <phoneticPr fontId="3" type="noConversion"/>
  </si>
  <si>
    <t>Tranche E</t>
    <phoneticPr fontId="3" type="noConversion"/>
  </si>
  <si>
    <t>2Y Swap Rate + 1.13% (고정)</t>
    <phoneticPr fontId="3" type="noConversion"/>
  </si>
  <si>
    <t>대환 (산업→하나)</t>
    <phoneticPr fontId="3" type="noConversion"/>
  </si>
  <si>
    <t>3M T-SOFR + 1.25% / 보증 : 원금 120%, 0.35%</t>
    <phoneticPr fontId="3" type="noConversion"/>
  </si>
  <si>
    <t>2025년 금감원(80%이상), 내부(100%이상)</t>
    <phoneticPr fontId="20" type="noConversion"/>
  </si>
  <si>
    <t>BANK OF CHINA, SHANGHAI BRANCH</t>
  </si>
  <si>
    <t>중국</t>
  </si>
  <si>
    <t>미국</t>
  </si>
  <si>
    <t>독일</t>
  </si>
  <si>
    <t>한국</t>
    <phoneticPr fontId="3" type="noConversion"/>
  </si>
  <si>
    <t>3M SF + 0.43%</t>
    <phoneticPr fontId="20" type="noConversion"/>
  </si>
  <si>
    <t>KPI (2025년)</t>
    <phoneticPr fontId="20" type="noConversion"/>
  </si>
  <si>
    <t>80% 이상</t>
    <phoneticPr fontId="20" type="noConversion"/>
  </si>
  <si>
    <t>BANK OF CHINA</t>
  </si>
  <si>
    <t>130% ~ 200%</t>
    <phoneticPr fontId="20" type="noConversion"/>
  </si>
  <si>
    <t>3M SF + 0.45%</t>
    <phoneticPr fontId="20" type="noConversion"/>
  </si>
  <si>
    <t>약정체결일자 : 2024-04-11               
재약정기간 : 2024-04-11~2025-04-11</t>
    <phoneticPr fontId="20" type="noConversion"/>
  </si>
  <si>
    <t xml:space="preserve">     외화여유자금비율</t>
    <phoneticPr fontId="20" type="noConversion"/>
  </si>
  <si>
    <t>50% 이상</t>
    <phoneticPr fontId="3" type="noConversion"/>
  </si>
  <si>
    <t>CNY 25</t>
    <phoneticPr fontId="3" type="noConversion"/>
  </si>
  <si>
    <t>공중부채의 5% 이상 (공중부채 : 예수금 + 금융기관차입금 + 콜머니 + 기타부채)</t>
    <phoneticPr fontId="3" type="noConversion"/>
  </si>
  <si>
    <t>WellsFargo Bank</t>
  </si>
  <si>
    <t>ICBC</t>
    <phoneticPr fontId="3" type="noConversion"/>
  </si>
  <si>
    <t>JPMorgan Chase</t>
    <phoneticPr fontId="3" type="noConversion"/>
  </si>
  <si>
    <t>DZ Bank</t>
  </si>
  <si>
    <t>LBBW</t>
    <phoneticPr fontId="3" type="noConversion"/>
  </si>
  <si>
    <t>CCB</t>
    <phoneticPr fontId="3" type="noConversion"/>
  </si>
  <si>
    <t>농협은행</t>
    <phoneticPr fontId="3" type="noConversion"/>
  </si>
  <si>
    <t>HSBC Bank, Mauritius Limited</t>
    <phoneticPr fontId="3" type="noConversion"/>
  </si>
  <si>
    <t>USD</t>
    <phoneticPr fontId="3" type="noConversion"/>
  </si>
  <si>
    <t>JPY</t>
    <phoneticPr fontId="3" type="noConversion"/>
  </si>
  <si>
    <t>통화별</t>
    <phoneticPr fontId="3" type="noConversion"/>
  </si>
  <si>
    <t>SCB, HK 현지법인</t>
    <phoneticPr fontId="20" type="noConversion"/>
  </si>
  <si>
    <t>3M SOFR + 1.00%</t>
    <phoneticPr fontId="20" type="noConversion"/>
  </si>
  <si>
    <t>3M SOFR + 1.70%</t>
    <phoneticPr fontId="20" type="noConversion"/>
  </si>
  <si>
    <t>SHIBOR + 0.45%</t>
    <phoneticPr fontId="20" type="noConversion"/>
  </si>
  <si>
    <t>시장금리</t>
    <phoneticPr fontId="3" type="noConversion"/>
  </si>
  <si>
    <t>미사용수수료 0.17%</t>
    <phoneticPr fontId="20" type="noConversion"/>
  </si>
  <si>
    <t>미사용수수료 0.40%</t>
    <phoneticPr fontId="20" type="noConversion"/>
  </si>
  <si>
    <t>한도약정수수료 0.20%</t>
    <phoneticPr fontId="20" type="noConversion"/>
  </si>
  <si>
    <t>상호커미티드(KORIBOR) → 수수료 X</t>
    <phoneticPr fontId="3" type="noConversion"/>
  </si>
  <si>
    <t>차주구분</t>
    <phoneticPr fontId="3" type="noConversion"/>
  </si>
  <si>
    <t>● 외화 LCR (Liquidity Coverage Ratio)</t>
    <phoneticPr fontId="20" type="noConversion"/>
  </si>
  <si>
    <t>3M SF + 0.40%</t>
    <phoneticPr fontId="20" type="noConversion"/>
  </si>
  <si>
    <t>거래상대</t>
  </si>
  <si>
    <t>네덜란드</t>
    <phoneticPr fontId="3" type="noConversion"/>
  </si>
  <si>
    <t>ING</t>
    <phoneticPr fontId="3" type="noConversion"/>
  </si>
  <si>
    <t>약정체결일자: 2025.05.16
재약정기간: 2025.05.16 ~ 2026.05.15</t>
    <phoneticPr fontId="20" type="noConversion"/>
  </si>
  <si>
    <t>약정체결일자: 2025.05.09
재약정기간: 2025.05.09~2026.05.08</t>
    <phoneticPr fontId="20" type="noConversion"/>
  </si>
  <si>
    <t>약정체결일자 : 2025-04-11               
재약정기간 : 2025-04-11~2026-04-10</t>
    <phoneticPr fontId="20" type="noConversion"/>
  </si>
  <si>
    <t>ING 싱가폴</t>
    <phoneticPr fontId="3" type="noConversion"/>
  </si>
  <si>
    <t>거래상대방</t>
  </si>
  <si>
    <t>콜론</t>
    <phoneticPr fontId="3" type="noConversion"/>
  </si>
  <si>
    <t>차입금</t>
    <phoneticPr fontId="3" type="noConversion"/>
  </si>
  <si>
    <t>● 외화 RP매도</t>
    <phoneticPr fontId="20" type="noConversion"/>
  </si>
  <si>
    <t>외화RP매도</t>
    <phoneticPr fontId="3" type="noConversion"/>
  </si>
  <si>
    <t>3M SF + 0.44%</t>
    <phoneticPr fontId="20" type="noConversion"/>
  </si>
  <si>
    <t>3M SF + 0.41%</t>
    <phoneticPr fontId="20" type="noConversion"/>
  </si>
  <si>
    <t>ING 싱가폴</t>
  </si>
  <si>
    <t>비고2</t>
    <phoneticPr fontId="3" type="noConversion"/>
  </si>
  <si>
    <t>본   점</t>
  </si>
  <si>
    <t>정기예치금</t>
    <phoneticPr fontId="20" type="noConversion"/>
  </si>
  <si>
    <t>변동 6.07 - 6.43 - 6.56 - 6.48 - 6.45 - 6.46 - 5.73 - 5.44 - 5.41 - 5.43</t>
    <phoneticPr fontId="20" type="noConversion"/>
  </si>
  <si>
    <t>한국</t>
    <phoneticPr fontId="20" type="noConversion"/>
  </si>
  <si>
    <t>독일</t>
    <phoneticPr fontId="20" type="noConversion"/>
  </si>
  <si>
    <t>모리셔스</t>
    <phoneticPr fontId="20" type="noConversion"/>
  </si>
  <si>
    <t>DZ Bank</t>
    <phoneticPr fontId="3" type="noConversion"/>
  </si>
  <si>
    <t>BOA 싱가폴</t>
    <phoneticPr fontId="20" type="noConversion"/>
  </si>
  <si>
    <t>미국</t>
    <phoneticPr fontId="20" type="noConversion"/>
  </si>
  <si>
    <t>BOA</t>
    <phoneticPr fontId="20" type="noConversion"/>
  </si>
  <si>
    <t>3M SF + 0.73%</t>
    <phoneticPr fontId="20" type="noConversion"/>
  </si>
  <si>
    <t>DZ Bank</t>
    <phoneticPr fontId="20" type="noConversion"/>
  </si>
  <si>
    <t>3M SF + 0.42%</t>
    <phoneticPr fontId="20" type="noConversion"/>
  </si>
  <si>
    <t>MM</t>
    <phoneticPr fontId="20" type="noConversion"/>
  </si>
  <si>
    <t>우리은행 LA</t>
    <phoneticPr fontId="3" type="noConversion"/>
  </si>
  <si>
    <t>우리은행</t>
    <phoneticPr fontId="20" type="noConversion"/>
  </si>
  <si>
    <t>변동 6.58 - 6.86 - 6.89 - 6.82 - 6.82 - 6.76 - 6.10 - 5.79 - 5.78 - 5.80</t>
    <phoneticPr fontId="20" type="noConversion"/>
  </si>
  <si>
    <t>3M SF + 0.70%</t>
    <phoneticPr fontId="20" type="noConversion"/>
  </si>
  <si>
    <t>FIRST COMMERCIAL BANK CO.,LTD.CHENGDU BRANCH</t>
  </si>
  <si>
    <r>
      <t>SB18-전략기획부-2910 , 
SB18-전략기획부-847 (기납입 20MIO</t>
    </r>
    <r>
      <rPr>
        <sz val="9"/>
        <rFont val="돋움"/>
        <family val="3"/>
        <charset val="129"/>
      </rPr>
      <t>)</t>
    </r>
    <phoneticPr fontId="20" type="noConversion"/>
  </si>
  <si>
    <t>WellsFargo Bank, N.A</t>
    <phoneticPr fontId="3" type="noConversion"/>
  </si>
  <si>
    <t>SHINHAN BANK VIETNAM LIMITED</t>
  </si>
  <si>
    <t>DZ BANK, HK</t>
    <phoneticPr fontId="20" type="noConversion"/>
  </si>
  <si>
    <t>3M SF + 0.65%</t>
    <phoneticPr fontId="20" type="noConversion"/>
  </si>
  <si>
    <t>SMB</t>
    <phoneticPr fontId="20" type="noConversion"/>
  </si>
  <si>
    <t>SB25-자금부-2076</t>
    <phoneticPr fontId="20" type="noConversion"/>
  </si>
  <si>
    <t>SB25-자금부-3435</t>
    <phoneticPr fontId="20" type="noConversion"/>
  </si>
  <si>
    <t>HSBC HK</t>
    <phoneticPr fontId="20" type="noConversion"/>
  </si>
  <si>
    <t>영국</t>
    <phoneticPr fontId="20" type="noConversion"/>
  </si>
  <si>
    <t>HSBC Bank</t>
    <phoneticPr fontId="20" type="noConversion"/>
  </si>
  <si>
    <t>기업은행</t>
    <phoneticPr fontId="3" type="noConversion"/>
  </si>
  <si>
    <t>한도약정수수료 0.15%</t>
    <phoneticPr fontId="20" type="noConversion"/>
  </si>
  <si>
    <t>3M SF + 0.59%</t>
    <phoneticPr fontId="20" type="noConversion"/>
  </si>
  <si>
    <t>3M SF + 0.39%</t>
    <phoneticPr fontId="20" type="noConversion"/>
  </si>
  <si>
    <t>변동 4.25</t>
    <phoneticPr fontId="20" type="noConversion"/>
  </si>
  <si>
    <t>Y</t>
  </si>
  <si>
    <t>TOM</t>
  </si>
  <si>
    <t>SM2505000003</t>
  </si>
  <si>
    <t>SCB, HK</t>
    <phoneticPr fontId="20" type="noConversion"/>
  </si>
  <si>
    <t>8M SF + 0.38%</t>
    <phoneticPr fontId="20" type="noConversion"/>
  </si>
  <si>
    <t>홍콩</t>
    <phoneticPr fontId="20" type="noConversion"/>
  </si>
  <si>
    <t xml:space="preserve">SCB </t>
    <phoneticPr fontId="20" type="noConversion"/>
  </si>
  <si>
    <t>변동 4.61 - 4.24</t>
    <phoneticPr fontId="20" type="noConversion"/>
  </si>
  <si>
    <t>EUR 10.0</t>
    <phoneticPr fontId="20" type="noConversion"/>
  </si>
  <si>
    <t xml:space="preserve">              (총 한도 USD 40.00 중 USD 20.00 사용중)</t>
    <phoneticPr fontId="20" type="noConversion"/>
  </si>
  <si>
    <t>고정 4.04</t>
    <phoneticPr fontId="20" type="noConversion"/>
  </si>
  <si>
    <t>*7090</t>
    <phoneticPr fontId="20" type="noConversion"/>
  </si>
  <si>
    <t>변동 4.13</t>
    <phoneticPr fontId="20" type="noConversion"/>
  </si>
  <si>
    <t>변동 4.09</t>
    <phoneticPr fontId="20" type="noConversion"/>
  </si>
  <si>
    <t>SB-18-전략기획부-932(출자)</t>
    <phoneticPr fontId="20" type="noConversion"/>
  </si>
  <si>
    <t>INDUSTRIAL AND COMMERCIAL BANK OF CHINA</t>
    <phoneticPr fontId="20" type="noConversion"/>
  </si>
  <si>
    <t>변동 4.65 -4.33</t>
    <phoneticPr fontId="20" type="noConversion"/>
  </si>
  <si>
    <t>2025년(기평)</t>
  </si>
  <si>
    <t>NGAN HANG CHINA CONSTRUCTION BANK CORP- CHI NHANH TP HCM</t>
  </si>
  <si>
    <t>E.SUN Bank (China) Company, Ltd.</t>
  </si>
  <si>
    <t>변동 4.78 - 4.36 - 4.10</t>
    <phoneticPr fontId="20" type="noConversion"/>
  </si>
  <si>
    <t>변동 4.30 - 4.07</t>
    <phoneticPr fontId="20" type="noConversion"/>
  </si>
  <si>
    <t>기업은행 서울</t>
    <phoneticPr fontId="20" type="noConversion"/>
  </si>
  <si>
    <t>LBBW 서울</t>
    <phoneticPr fontId="20" type="noConversion"/>
  </si>
  <si>
    <t>EUR 6.0</t>
    <phoneticPr fontId="20" type="noConversion"/>
  </si>
  <si>
    <t>변동 4.73 - 4.27 - 4.09</t>
    <phoneticPr fontId="20" type="noConversion"/>
  </si>
  <si>
    <t>CNY 55</t>
    <phoneticPr fontId="3" type="noConversion"/>
  </si>
  <si>
    <t>변동 4.44 - 4.26</t>
    <phoneticPr fontId="20" type="noConversion"/>
  </si>
  <si>
    <t>IPS</t>
    <phoneticPr fontId="20" type="noConversion"/>
  </si>
  <si>
    <t>변동 4.06</t>
    <phoneticPr fontId="20" type="noConversion"/>
  </si>
  <si>
    <t>변동 5.04 - 4.57 - 4.40</t>
    <phoneticPr fontId="20" type="noConversion"/>
  </si>
  <si>
    <t xml:space="preserve">2025년 12월말 은행법상 총 자기자본 : </t>
    <phoneticPr fontId="20" type="noConversion"/>
  </si>
  <si>
    <t xml:space="preserve"> </t>
    <phoneticPr fontId="20" type="noConversion"/>
  </si>
  <si>
    <t>변동 4.65 - 4.30 - 4.08</t>
    <phoneticPr fontId="20" type="noConversion"/>
  </si>
  <si>
    <t>CNY 10</t>
    <phoneticPr fontId="3" type="noConversion"/>
  </si>
  <si>
    <t>NGAN HANG TNHH MTV WOORI VIET NAM</t>
  </si>
  <si>
    <t>변동 4.24 - 4.02</t>
    <phoneticPr fontId="20" type="noConversion"/>
  </si>
  <si>
    <t>NH TMCP DAU TU VA PHAT TRIEN VIET NAM</t>
  </si>
  <si>
    <t>변동 4.88 - 4.57 - 4.35</t>
    <phoneticPr fontId="20" type="noConversion"/>
  </si>
  <si>
    <t>변동 4.76 - 4.64 - 4.30 - 4.08</t>
    <phoneticPr fontId="20" type="noConversion"/>
  </si>
  <si>
    <t>변동 4.25 - 4.04</t>
    <phoneticPr fontId="20" type="noConversion"/>
  </si>
  <si>
    <t>FIRST COMMERCIAL BANK SHANGHAI BRANCH</t>
  </si>
  <si>
    <t>변동 6.00 - 5.39 - 5.22 - 5.22 - 5.09 - 4.77 -4.55</t>
    <phoneticPr fontId="20" type="noConversion"/>
  </si>
  <si>
    <t>JPY 4,000</t>
    <phoneticPr fontId="20" type="noConversion"/>
  </si>
  <si>
    <t>3M SF + 0.38%</t>
    <phoneticPr fontId="20" type="noConversion"/>
  </si>
  <si>
    <t>변동 4.05</t>
    <phoneticPr fontId="20" type="noConversion"/>
  </si>
  <si>
    <t>변동 4.80 - 4.65 - 4.26 - 4.14</t>
    <phoneticPr fontId="3" type="noConversion"/>
  </si>
  <si>
    <t>JPY 5,000</t>
    <phoneticPr fontId="20" type="noConversion"/>
  </si>
  <si>
    <t>TRADITION</t>
    <phoneticPr fontId="20" type="noConversion"/>
  </si>
  <si>
    <t>CNY 50</t>
    <phoneticPr fontId="3" type="noConversion"/>
  </si>
  <si>
    <t>KOOKMIN BANK - HANOI BRANCH</t>
  </si>
  <si>
    <t>JPY 1,000</t>
    <phoneticPr fontId="20" type="noConversion"/>
  </si>
  <si>
    <t>MIZUHO 서울</t>
    <phoneticPr fontId="20" type="noConversion"/>
  </si>
  <si>
    <t>INDUSTRIAL BANK OF KOREA - HOCHIMINH CITY BRANCH</t>
  </si>
  <si>
    <t>NGAN HANG BUSAN - CHI NHANH THANH PHO HO CHI MINH</t>
  </si>
  <si>
    <t>2026-03-11</t>
  </si>
  <si>
    <t>2026-03-12</t>
  </si>
  <si>
    <t>2026-04-10</t>
  </si>
  <si>
    <t>MM_TR04</t>
  </si>
  <si>
    <t>FX2603002623</t>
  </si>
  <si>
    <t>2004863055</t>
  </si>
  <si>
    <t>10:56:15</t>
  </si>
  <si>
    <t>9884007K3OQBSO71FR40FX2603002623N</t>
  </si>
  <si>
    <t>9884007K3OQBSO71FR40FX2603002623F</t>
  </si>
  <si>
    <t>2026-03-11 10:56:19</t>
  </si>
  <si>
    <t>FX2603002630</t>
  </si>
  <si>
    <t>2004863071</t>
  </si>
  <si>
    <t>11:06:10</t>
  </si>
  <si>
    <t>9884007K3OQBSO71FR40FX2603002630N</t>
  </si>
  <si>
    <t>9884007K3OQBSO71FR40FX2603002630F</t>
  </si>
  <si>
    <t>2026-03-11 11:06:14</t>
  </si>
  <si>
    <t>FX2603002632</t>
  </si>
  <si>
    <t>2004863073</t>
  </si>
  <si>
    <t>11:07:11</t>
  </si>
  <si>
    <t>9884007K3OQBSO71FR40FX2603002632N</t>
  </si>
  <si>
    <t>9884007K3OQBSO71FR40FX2603002632F</t>
  </si>
  <si>
    <t>2026-03-11 11:07:17</t>
  </si>
  <si>
    <t>FX2603002634</t>
  </si>
  <si>
    <t>2004863075</t>
  </si>
  <si>
    <t>11:08:06</t>
  </si>
  <si>
    <t>9884007K3OQBSO71FR40FX2603002634N</t>
  </si>
  <si>
    <t>9884007K3OQBSO71FR40FX2603002634F</t>
  </si>
  <si>
    <t>2026-03-11 11:08:07</t>
  </si>
  <si>
    <t>FX2603002635</t>
  </si>
  <si>
    <t>2004863077</t>
  </si>
  <si>
    <t>11:08:58</t>
  </si>
  <si>
    <t>9884007K3OQBSO71FR40FX2603002635N</t>
  </si>
  <si>
    <t>9884007K3OQBSO71FR40FX2603002635F</t>
  </si>
  <si>
    <t>2026-03-11 11:09:00</t>
  </si>
  <si>
    <t>FX2603002636</t>
  </si>
  <si>
    <t>2004863080</t>
  </si>
  <si>
    <t>11:09:53</t>
  </si>
  <si>
    <t>9884007K3OQBSO71FR40FX2603002636N</t>
  </si>
  <si>
    <t>9884007K3OQBSO71FR40FX2603002636F</t>
  </si>
  <si>
    <t>2026-03-11 11:09:57</t>
  </si>
  <si>
    <t>FX2603002637</t>
  </si>
  <si>
    <t>2004863081</t>
  </si>
  <si>
    <t>11:10:42</t>
  </si>
  <si>
    <t>9884007K3OQBSO71FR40FX2603002637N</t>
  </si>
  <si>
    <t>9884007K3OQBSO71FR40FX2603002637F</t>
  </si>
  <si>
    <t>2026-03-11 11:10:45</t>
  </si>
  <si>
    <t>FX2603002638</t>
  </si>
  <si>
    <t>2004863082</t>
  </si>
  <si>
    <t>11:11:20</t>
  </si>
  <si>
    <t>9884007K3OQBSO71FR40FX2603002638N</t>
  </si>
  <si>
    <t>9884007K3OQBSO71FR40FX2603002638F</t>
  </si>
  <si>
    <t>2026-03-11 11:11:23</t>
  </si>
  <si>
    <t>FX2603002626</t>
  </si>
  <si>
    <t>2004863058</t>
  </si>
  <si>
    <t>10:57:27</t>
  </si>
  <si>
    <t>9884007K3OQBSO71FR40FX2603002626N</t>
  </si>
  <si>
    <t>9884007K3OQBSO71FR40FX2603002626F</t>
  </si>
  <si>
    <t>2026-03-11 10:57:28</t>
  </si>
  <si>
    <t>FX2603002639</t>
  </si>
  <si>
    <t>2004863083</t>
  </si>
  <si>
    <t>11:11:54</t>
  </si>
  <si>
    <t>9884007K3OQBSO71FR40FX2603002639N</t>
  </si>
  <si>
    <t>9884007K3OQBSO71FR40FX2603002639F</t>
  </si>
  <si>
    <t>2026-03-11 11:11:55</t>
  </si>
  <si>
    <t>FX2603002640</t>
  </si>
  <si>
    <t>2004863084</t>
  </si>
  <si>
    <t>11:12:44</t>
  </si>
  <si>
    <t>9884007K3OQBSO71FR40FX2603002640N</t>
  </si>
  <si>
    <t>9884007K3OQBSO71FR40FX2603002640F</t>
  </si>
  <si>
    <t>2026-03-11 11:12:48</t>
  </si>
  <si>
    <t>시작일</t>
  </si>
  <si>
    <t>BANK OF TIANJIN CO.,LTD.BANK OF TIANJIN BINHAI BRANCH,</t>
  </si>
  <si>
    <t>WELLS FARGO BANK, N.A.</t>
  </si>
  <si>
    <t>변동 4.08</t>
    <phoneticPr fontId="20" type="noConversion"/>
  </si>
  <si>
    <t>SM2503000003</t>
  </si>
  <si>
    <t>SM2503000004</t>
  </si>
  <si>
    <t>SM2503000005</t>
  </si>
  <si>
    <t>SM2503000006</t>
  </si>
  <si>
    <t>SM2503000007</t>
  </si>
  <si>
    <t>SM2503000008</t>
  </si>
  <si>
    <t>SM2503000010</t>
  </si>
  <si>
    <t>SM2503000011</t>
  </si>
  <si>
    <t>SM2503000012</t>
  </si>
  <si>
    <t>SM2503000013</t>
  </si>
  <si>
    <t>SM2503000014</t>
  </si>
  <si>
    <t>SM2503000015</t>
  </si>
  <si>
    <t>SM2503000017</t>
  </si>
  <si>
    <t>SM2503000018</t>
  </si>
  <si>
    <t>SM2503000019</t>
  </si>
  <si>
    <t>SM2503000020</t>
  </si>
  <si>
    <t>SM2503000021</t>
  </si>
  <si>
    <t>SM2503000022</t>
  </si>
  <si>
    <t>SM2503000023</t>
  </si>
  <si>
    <t>SM2503000024</t>
  </si>
  <si>
    <t>SM2503000025</t>
  </si>
  <si>
    <t>SM2503000026</t>
  </si>
  <si>
    <t>SM2503000027</t>
  </si>
  <si>
    <t>SM2503000028</t>
  </si>
  <si>
    <t>SM2503000029</t>
  </si>
  <si>
    <t>SM2503000030</t>
  </si>
  <si>
    <t>SM2503000016</t>
    <phoneticPr fontId="20" type="noConversion"/>
  </si>
  <si>
    <t>씨티은행</t>
    <phoneticPr fontId="20" type="noConversion"/>
  </si>
  <si>
    <t>SM2503000009</t>
    <phoneticPr fontId="20" type="noConversion"/>
  </si>
  <si>
    <t>변동 4.76 - 4.47 - 4.16 - 4.11</t>
    <phoneticPr fontId="3" type="noConversion"/>
  </si>
  <si>
    <t>CNY 20</t>
    <phoneticPr fontId="20" type="noConversion"/>
  </si>
  <si>
    <t>KOEREA DEVELOPMENT BANK SHENYANG BRANCH</t>
  </si>
  <si>
    <t>KOREA DEVELOPMENT BANK.GUANGZHOU BRANCH</t>
  </si>
  <si>
    <t>CNY 100</t>
    <phoneticPr fontId="20" type="noConversion"/>
  </si>
  <si>
    <t>변동 4.12</t>
    <phoneticPr fontId="20" type="noConversion"/>
  </si>
  <si>
    <t>ORIENT COMMERCIAL JOINT STOCK BANK</t>
  </si>
  <si>
    <t>NGAN HANG CONG NGHIEP HAN QUOC - CHI NHANH HA NOI</t>
  </si>
  <si>
    <t>SB21-자금부-2283</t>
    <phoneticPr fontId="20" type="noConversion"/>
  </si>
  <si>
    <t>NGAN HANG DAI CHUNG TNHH KASIKORNBANK -CHI NHANH THANH PHO HO CHI MINH</t>
  </si>
  <si>
    <t>NGAN HANG TMCP VIET NAM THINH VUONG</t>
  </si>
  <si>
    <t>변동 4.15</t>
    <phoneticPr fontId="20" type="noConversion"/>
  </si>
  <si>
    <t>SM2603000003</t>
  </si>
  <si>
    <t>2026-03-30</t>
  </si>
  <si>
    <t>NGAN HANG SUMITOMO MITSUI BANKING CORPORATION - CHI NHANH THANH PHO HO CHI MINH</t>
  </si>
  <si>
    <t>MIZUHO BANK, LTD.-HANOI BRANCH</t>
  </si>
  <si>
    <t>변동 4.71 - 4.41 - 4.09 - 4.11</t>
    <phoneticPr fontId="3" type="noConversion"/>
  </si>
  <si>
    <t>2026-03-31</t>
  </si>
  <si>
    <t>NGAN HANG KEB HANA - CHI NHANH HA NOI</t>
  </si>
  <si>
    <t>NONGHYUP BANK HANOI BRANCH</t>
  </si>
  <si>
    <t>KB HCMC</t>
  </si>
  <si>
    <t>NGAN HANG FIRST COMMERCIAL BANK - CHI NHANH THANH PHO HO CHI MINH</t>
  </si>
  <si>
    <t>SAI GON-HA NOI COMMERCIAL JOINT STOCK BANK</t>
  </si>
  <si>
    <t>NGAN HANG THUONG MAI CO PHAN PHAT TRIEN THANH PHO HO CHI MINH</t>
  </si>
  <si>
    <t>EIB</t>
  </si>
  <si>
    <t>시티은행 서울</t>
    <phoneticPr fontId="20" type="noConversion"/>
  </si>
  <si>
    <t>BGC</t>
    <phoneticPr fontId="20" type="noConversion"/>
  </si>
  <si>
    <t>HANA BANK (CHINA) COMPANY LIMITED</t>
  </si>
  <si>
    <t>NONGHYUP BANK BEIJING BRANCH</t>
  </si>
  <si>
    <t>JPY 2,000</t>
    <phoneticPr fontId="2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</si>
</sst>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5">
    <numFmt numFmtId="42" formatCode="_-&quot;₩&quot;* #,##0_-;\-&quot;₩&quot;* #,##0_-;_-&quot;₩&quot;* &quot;-&quot;_-;_-@_-"/>
    <numFmt numFmtId="41" formatCode="_-* #,##0_-;\-* #,##0_-;_-* &quot;-&quot;_-;_-@_-"/>
    <numFmt numFmtId="43" formatCode="_-* #,##0.00_-;\-* #,##0.00_-;_-* &quot;-&quot;??_-;_-@_-"/>
    <numFmt numFmtId="176" formatCode="_(* #,##0_);_(* \(#,##0\);_(* &quot;-&quot;_);_(@_)"/>
    <numFmt numFmtId="177" formatCode="#,##0_ "/>
    <numFmt numFmtId="178" formatCode="mm&quot;월&quot;\ dd&quot;일&quot;"/>
    <numFmt numFmtId="180" formatCode="#,##0_ ;[Red]\-#,##0\ "/>
    <numFmt numFmtId="183" formatCode="0_);[Red]\(0\)"/>
    <numFmt numFmtId="185" formatCode="#,##0.00_);[Red]\(#,##0.00\)"/>
    <numFmt numFmtId="186" formatCode="#,##0.000_);[Red]\(#,##0.000\)"/>
    <numFmt numFmtId="187" formatCode="\(&quot;기&quot;&quot;준&quot;&quot;일&quot;\ \:\ yyyy&quot;년&quot;\ mm&quot;월&quot;\ dd&quot;일&quot;\)"/>
    <numFmt numFmtId="188" formatCode="&quot;1. 외화 유동성비율&quot;\ &quot;(&quot;yyyy&quot;년&quot;\ mm&quot;월&quot;\ dd&quot;일&quot;&quot;)&quot;"/>
    <numFmt numFmtId="189" formatCode="yyyy\-mm\-dd;@"/>
    <numFmt numFmtId="190" formatCode="0_ "/>
    <numFmt numFmtId="191" formatCode="####\ &quot;백만불&quot;"/>
    <numFmt numFmtId="192" formatCode="yyyy&quot;년&quot;mm&quot;월&quot;"/>
    <numFmt numFmtId="193" formatCode="_(* #,##0.00_);_(* \(#,##0.00\);_(* &quot;-&quot;_);_(@_)"/>
    <numFmt numFmtId="194" formatCode="_-* #,##0.00_-;\-* #,##0.00_-;_-* &quot;-&quot;_-;_-@_-"/>
    <numFmt numFmtId="195" formatCode="_-* #,##0.00000_-;\-* #,##0.00000_-;_-* &quot;-&quot;_-;_-@_-"/>
    <numFmt numFmtId="196" formatCode="&quot;2.외화 B/S&quot;\ &quot;(&quot;yyyy&quot;년&quot;\ mm&quot;월&quot;\ dd&quot;일&quot;&quot;)&quot;"/>
    <numFmt numFmtId="197" formatCode="_ * #,##0_ ;_ * \-#,##0_ ;_ * &quot;-&quot;_ ;_ @_ "/>
    <numFmt numFmtId="198" formatCode="#,##0.00_ "/>
    <numFmt numFmtId="199" formatCode="#,##0.00000_ "/>
    <numFmt numFmtId="200" formatCode="#,##0.000_ "/>
    <numFmt numFmtId="201" formatCode="&quot;4.외화자금현황(본점)&quot;&quot;(&quot;yyyy&quot;년&quot;\ mm&quot;월&quot;\ dd&quot;일&quot;&quot;)&quot;"/>
    <numFmt numFmtId="202" formatCode="_-[$$-409]* #,##0.00_ ;_-[$$-409]* \-#,##0.00\ ;_-[$$-409]* &quot;-&quot;??_ ;_-@_ "/>
    <numFmt numFmtId="203" formatCode="###&quot;일&quot;"/>
    <numFmt numFmtId="204" formatCode="_-\$* #,##0.00_ ;_-\$* \-#,##0.00\ ;_-\$* &quot;-&quot;??_ ;_-@_ "/>
    <numFmt numFmtId="205" formatCode="0.0000_);[Red]\(0.0000\)"/>
    <numFmt numFmtId="206" formatCode="_-[$$-409]* #,##0.000000_ ;_-[$$-409]* \-#,##0.000000\ ;_-[$$-409]* &quot;-&quot;??_ ;_-@_ "/>
    <numFmt numFmtId="207" formatCode="0.000_);[Red]\(0.000\)"/>
    <numFmt numFmtId="208" formatCode="_-[$$-409]* #,##0.0000_ ;_-[$$-409]* \-#,##0.0000\ ;_-[$$-409]* &quot;-&quot;??_ ;_-@_ "/>
    <numFmt numFmtId="209" formatCode="#,###&quot;일&quot;"/>
    <numFmt numFmtId="210" formatCode="_(* #,##0.00_);_(* \(#,##0.00\);_(* &quot;-&quot;??_);_(@_)"/>
    <numFmt numFmtId="211" formatCode="0.00_);[Red]\(0.00\)"/>
    <numFmt numFmtId="212" formatCode="0.00000%"/>
    <numFmt numFmtId="213" formatCode="_-* #,##0.000_-;\-* #,##0.000_-;_-* &quot;-&quot;_-;_-@_-"/>
    <numFmt numFmtId="214" formatCode="&quot;잔존만기 :&quot;\ #&quot;일&quot;"/>
    <numFmt numFmtId="215" formatCode="#,##0.00_ ;[Red]\-#,##0.00\ "/>
    <numFmt numFmtId="216" formatCode="#,##0.00000_);[Red]\(#,##0.00000\)"/>
    <numFmt numFmtId="217" formatCode="#.##&quot;조&quot;&quot;원&quot;"/>
    <numFmt numFmtId="218" formatCode="&quot;개&quot;&quot;별&quot;&quot;자&quot;&quot;회&quot;&quot;사&quot;\ &quot;신&quot;&quot;용&quot;&quot;공&quot;&quot;여&quot;&quot;한&quot;&quot;도&quot;\(&quot;10%&quot;\)\ ###&quot;백&quot;&quot;만&quot;&quot;불,&quot;"/>
    <numFmt numFmtId="219" formatCode="&quot;자&quot;&quot;회&quot;&quot;사&quot;\ &quot;전&quot;&quot;체&quot;\ &quot;신&quot;&quot;용&quot;&quot;공&quot;&quot;여&quot;&quot;한&quot;&quot;도&quot;\(&quot;20%&quot;\)\ ###&quot;백&quot;&quot;만&quot;&quot;불&quot;"/>
    <numFmt numFmtId="221" formatCode="_(&quot;₩&quot;* #,##0.00_);_(&quot;₩&quot;* \(#,##0.00\);_(&quot;₩&quot;* &quot;-&quot;??_);_(@_)"/>
    <numFmt numFmtId="222" formatCode="yyyy\.mm&quot;월&quot;&quot;말&quot;"/>
    <numFmt numFmtId="224" formatCode="yyyy&quot;년&quot;\ m&quot;월&quot;"/>
    <numFmt numFmtId="225" formatCode="&quot;평&quot;&quot;균&quot;&quot;금&quot;&quot;리&quot;\ 0.00%"/>
    <numFmt numFmtId="226" formatCode="&quot;장&quot;&quot;기&quot;&quot;차&quot;&quot;입&quot;&quot;비&quot;&quot;중&quot;\ 0%"/>
    <numFmt numFmtId="228" formatCode="yyyy&quot;년&quot;mm&quot;월&quot;\(&quot;잔&quot;&quot;액&quot;\)"/>
    <numFmt numFmtId="229" formatCode="yyyy&quot;년&quot;mm&quot;월&quot;\(&quot;평&quot;&quot;잔&quot;\)"/>
    <numFmt numFmtId="234" formatCode="#,##0.00000000_ ;[Red]\-#,##0.00000000\ "/>
    <numFmt numFmtId="235" formatCode="0.0"/>
    <numFmt numFmtId="236" formatCode="&quot;단기차입&quot;\ 0.00&quot;bp&quot;"/>
    <numFmt numFmtId="237" formatCode="yyyy&quot;년&quot;mm&quot;월&quot;&quot;(평&quot;&quot;잔)&quot;"/>
    <numFmt numFmtId="238" formatCode="_-* #,##0_-;\-* #,##0_-;_-* &quot;-&quot;??_-;_-@_-"/>
  </numFmts>
  <fonts count="70">
    <font>
      <sz val="11"/>
      <color theme="1"/>
      <name val="맑은 고딕"/>
      <family val="2"/>
      <charset val="129"/>
      <scheme val="minor"/>
    </font>
    <font>
      <sz val="11"/>
      <color theme="1"/>
      <name val="맑은 고딕"/>
      <family val="2"/>
      <charset val="129"/>
      <scheme val="minor"/>
    </font>
    <font>
      <sz val="11"/>
      <name val="돋움"/>
      <family val="3"/>
      <charset val="129"/>
    </font>
    <font>
      <sz val="8"/>
      <name val="맑은 고딕"/>
      <family val="2"/>
      <charset val="129"/>
      <scheme val="minor"/>
    </font>
    <font>
      <sz val="12"/>
      <name val="굴림체"/>
      <family val="3"/>
      <charset val="129"/>
    </font>
    <font>
      <b/>
      <sz val="11"/>
      <name val="돋움"/>
      <family val="3"/>
      <charset val="129"/>
    </font>
    <font>
      <sz val="8"/>
      <name val="돋움"/>
      <family val="3"/>
      <charset val="129"/>
    </font>
    <font>
      <sz val="11"/>
      <name val="맑은 고딕"/>
      <family val="3"/>
      <charset val="129"/>
    </font>
    <font>
      <sz val="1"/>
      <name val="돋움"/>
      <family val="3"/>
      <charset val="129"/>
    </font>
    <font>
      <b/>
      <sz val="10"/>
      <name val="돋움"/>
      <family val="3"/>
      <charset val="129"/>
    </font>
    <font>
      <sz val="10"/>
      <name val="돋움"/>
      <family val="3"/>
      <charset val="129"/>
    </font>
    <font>
      <b/>
      <sz val="11"/>
      <color rgb="FFFF0000"/>
      <name val="돋움"/>
      <family val="3"/>
      <charset val="129"/>
    </font>
    <font>
      <b/>
      <sz val="12"/>
      <color rgb="FFFF0000"/>
      <name val="돋움"/>
      <family val="3"/>
      <charset val="129"/>
    </font>
    <font>
      <sz val="9"/>
      <color indexed="81"/>
      <name val="돋움"/>
      <family val="3"/>
      <charset val="129"/>
    </font>
    <font>
      <sz val="9"/>
      <color indexed="81"/>
      <name val="Tahoma"/>
      <family val="2"/>
    </font>
    <font>
      <b/>
      <sz val="9"/>
      <color indexed="81"/>
      <name val="돋움"/>
      <family val="3"/>
      <charset val="129"/>
    </font>
    <font>
      <b/>
      <sz val="9"/>
      <color indexed="81"/>
      <name val="Tahoma"/>
      <family val="2"/>
    </font>
    <font>
      <b/>
      <sz val="14"/>
      <color rgb="FF008080"/>
      <name val="돋움"/>
      <family val="3"/>
      <charset val="129"/>
    </font>
    <font>
      <sz val="11"/>
      <color theme="0" tint="-0.14999847407452621"/>
      <name val="돋움"/>
      <family val="3"/>
      <charset val="129"/>
    </font>
    <font>
      <sz val="36"/>
      <color theme="3" tint="-0.499984740745262"/>
      <name val="휴먼둥근헤드라인"/>
      <family val="1"/>
      <charset val="129"/>
    </font>
    <font>
      <sz val="12"/>
      <name val="맑은 고딕"/>
      <family val="3"/>
      <charset val="129"/>
    </font>
    <font>
      <b/>
      <sz val="11"/>
      <color theme="0"/>
      <name val="돋움"/>
      <family val="3"/>
      <charset val="129"/>
    </font>
    <font>
      <b/>
      <sz val="16"/>
      <color theme="3" tint="-0.499984740745262"/>
      <name val="돋움"/>
      <family val="3"/>
      <charset val="129"/>
    </font>
    <font>
      <sz val="18"/>
      <name val="휴먼둥근헤드라인"/>
      <family val="1"/>
      <charset val="129"/>
    </font>
    <font>
      <b/>
      <sz val="12"/>
      <name val="돋움"/>
      <family val="3"/>
      <charset val="129"/>
    </font>
    <font>
      <sz val="9"/>
      <name val="돋움"/>
      <family val="3"/>
      <charset val="129"/>
    </font>
    <font>
      <i/>
      <sz val="11"/>
      <name val="돋움"/>
      <family val="3"/>
      <charset val="129"/>
    </font>
    <font>
      <b/>
      <sz val="12"/>
      <color theme="0"/>
      <name val="돋움"/>
      <family val="3"/>
      <charset val="129"/>
    </font>
    <font>
      <sz val="11"/>
      <color rgb="FFFF0000"/>
      <name val="돋움"/>
      <family val="3"/>
      <charset val="129"/>
    </font>
    <font>
      <sz val="11"/>
      <color indexed="8"/>
      <name val="돋움"/>
      <family val="3"/>
      <charset val="129"/>
    </font>
    <font>
      <sz val="10"/>
      <color theme="1" tint="0.34998626667073579"/>
      <name val="돋움"/>
      <family val="3"/>
      <charset val="129"/>
    </font>
    <font>
      <sz val="11"/>
      <color theme="1" tint="0.34998626667073579"/>
      <name val="돋움"/>
      <family val="3"/>
      <charset val="129"/>
    </font>
    <font>
      <sz val="10"/>
      <color indexed="8"/>
      <name val="돋움"/>
      <family val="3"/>
      <charset val="129"/>
    </font>
    <font>
      <sz val="18"/>
      <color rgb="FFFF0000"/>
      <name val="휴먼둥근헤드라인"/>
      <family val="1"/>
      <charset val="129"/>
    </font>
    <font>
      <sz val="12"/>
      <name val="돋움"/>
      <family val="3"/>
      <charset val="129"/>
    </font>
    <font>
      <sz val="12"/>
      <name val="바탕체"/>
      <family val="1"/>
      <charset val="129"/>
    </font>
    <font>
      <b/>
      <sz val="11"/>
      <color rgb="FFFF0066"/>
      <name val="돋움"/>
      <family val="3"/>
      <charset val="129"/>
    </font>
    <font>
      <b/>
      <sz val="11"/>
      <color rgb="FFFF7C80"/>
      <name val="돋움"/>
      <family val="3"/>
      <charset val="129"/>
    </font>
    <font>
      <b/>
      <i/>
      <sz val="11"/>
      <name val="돋움"/>
      <family val="3"/>
      <charset val="129"/>
    </font>
    <font>
      <sz val="11"/>
      <color theme="0"/>
      <name val="돋움"/>
      <family val="3"/>
      <charset val="129"/>
    </font>
    <font>
      <b/>
      <sz val="11"/>
      <color rgb="FFFFFF00"/>
      <name val="돋움"/>
      <family val="3"/>
      <charset val="129"/>
    </font>
    <font>
      <sz val="11"/>
      <color theme="0" tint="-0.34998626667073579"/>
      <name val="돋움"/>
      <family val="3"/>
      <charset val="129"/>
    </font>
    <font>
      <sz val="11"/>
      <color rgb="FF00B0F0"/>
      <name val="돋움"/>
      <family val="3"/>
      <charset val="129"/>
    </font>
    <font>
      <sz val="11"/>
      <name val="Gulim"/>
      <family val="3"/>
    </font>
    <font>
      <b/>
      <sz val="11"/>
      <color rgb="FF002060"/>
      <name val="돋움"/>
      <family val="3"/>
      <charset val="129"/>
    </font>
    <font>
      <b/>
      <sz val="10"/>
      <color theme="0"/>
      <name val="돋움"/>
      <family val="3"/>
      <charset val="129"/>
    </font>
    <font>
      <sz val="11"/>
      <color theme="1"/>
      <name val="돋움"/>
      <family val="3"/>
      <charset val="129"/>
    </font>
    <font>
      <b/>
      <sz val="11"/>
      <color theme="0"/>
      <name val="Gulim"/>
      <family val="3"/>
    </font>
    <font>
      <b/>
      <u/>
      <sz val="11"/>
      <name val="돋움"/>
      <family val="3"/>
      <charset val="129"/>
    </font>
    <font>
      <b/>
      <sz val="10"/>
      <color rgb="FFFF0066"/>
      <name val="돋움"/>
      <family val="3"/>
      <charset val="129"/>
    </font>
    <font>
      <u/>
      <sz val="10"/>
      <color indexed="10"/>
      <name val="맑은 고딕"/>
      <family val="3"/>
      <charset val="129"/>
    </font>
    <font>
      <sz val="10"/>
      <color indexed="81"/>
      <name val="돋움"/>
      <family val="3"/>
      <charset val="129"/>
    </font>
    <font>
      <sz val="10"/>
      <color indexed="81"/>
      <name val="Tahoma"/>
      <family val="2"/>
    </font>
    <font>
      <b/>
      <u/>
      <sz val="11"/>
      <color indexed="10"/>
      <name val="맑은 고딕"/>
      <family val="3"/>
      <charset val="129"/>
    </font>
    <font>
      <b/>
      <sz val="9"/>
      <color indexed="81"/>
      <name val="맑은 고딕"/>
      <family val="3"/>
      <charset val="129"/>
    </font>
    <font>
      <b/>
      <sz val="9"/>
      <color indexed="81"/>
      <name val="맑은 고딕"/>
      <family val="3"/>
      <charset val="129"/>
      <scheme val="major"/>
    </font>
    <font>
      <b/>
      <sz val="9"/>
      <color indexed="81"/>
      <name val="Tahoma"/>
      <family val="2"/>
      <charset val="129"/>
    </font>
    <font>
      <sz val="9"/>
      <color indexed="81"/>
      <name val="Tahoma"/>
      <family val="2"/>
      <charset val="129"/>
    </font>
    <font>
      <sz val="11"/>
      <color indexed="8"/>
      <name val="맑은 고딕"/>
      <family val="3"/>
      <charset val="129"/>
    </font>
    <font>
      <sz val="11"/>
      <color theme="1"/>
      <name val="맑은 고딕"/>
      <family val="3"/>
      <charset val="129"/>
      <scheme val="minor"/>
    </font>
    <font>
      <b/>
      <sz val="10"/>
      <name val="Arial"/>
      <family val="2"/>
    </font>
    <font>
      <sz val="10"/>
      <name val="Arial"/>
      <family val="2"/>
    </font>
    <font>
      <b/>
      <sz val="12"/>
      <name val="Arial"/>
      <family val="2"/>
    </font>
    <font>
      <sz val="18"/>
      <name val="돋움"/>
      <family val="3"/>
      <charset val="129"/>
    </font>
    <font>
      <sz val="11"/>
      <color indexed="8"/>
      <name val="맑은 고딕"/>
      <family val="2"/>
      <scheme val="minor"/>
    </font>
    <font>
      <b/>
      <sz val="10"/>
      <color indexed="81"/>
      <name val="돋움"/>
      <family val="3"/>
      <charset val="129"/>
    </font>
    <font>
      <b/>
      <u val="singleAccounting"/>
      <sz val="11"/>
      <color theme="0"/>
      <name val="돋움"/>
      <family val="3"/>
      <charset val="129"/>
    </font>
    <font>
      <b/>
      <sz val="10"/>
      <color indexed="81"/>
      <name val="Tahoma"/>
      <family val="2"/>
    </font>
    <font>
      <u/>
      <sz val="11"/>
      <color theme="10"/>
      <name val="맑은 고딕"/>
      <family val="2"/>
      <charset val="129"/>
      <scheme val="minor"/>
    </font>
    <font>
      <sz val="11"/>
      <color theme="1"/>
      <name val="맑은 고딕"/>
      <family val="2"/>
      <scheme val="minor"/>
    </font>
  </fonts>
  <fills count="28">
    <fill>
      <patternFill patternType="none"/>
    </fill>
    <fill>
      <patternFill patternType="gray125"/>
    </fill>
    <fill>
      <patternFill patternType="solid">
        <fgColor rgb="FFCCECFF"/>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CCFFCC"/>
        <bgColor indexed="64"/>
      </patternFill>
    </fill>
    <fill>
      <patternFill patternType="solid">
        <fgColor theme="0"/>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rgb="FFFFFF00"/>
        <bgColor indexed="64"/>
      </patternFill>
    </fill>
    <fill>
      <patternFill patternType="solid">
        <fgColor rgb="FFFFCCFF"/>
        <bgColor indexed="64"/>
      </patternFill>
    </fill>
    <fill>
      <patternFill patternType="gray125">
        <fgColor theme="0"/>
        <bgColor theme="0" tint="-0.34998626667073579"/>
      </patternFill>
    </fill>
    <fill>
      <patternFill patternType="solid">
        <fgColor theme="3" tint="-0.499984740745262"/>
        <bgColor indexed="64"/>
      </patternFill>
    </fill>
    <fill>
      <patternFill patternType="solid">
        <fgColor theme="0" tint="-4.9989318521683403E-2"/>
        <bgColor indexed="64"/>
      </patternFill>
    </fill>
    <fill>
      <patternFill patternType="solid">
        <fgColor rgb="FFFFCCCC"/>
        <bgColor indexed="64"/>
      </patternFill>
    </fill>
    <fill>
      <patternFill patternType="solid">
        <fgColor rgb="FFBABAF4"/>
        <bgColor indexed="64"/>
      </patternFill>
    </fill>
    <fill>
      <patternFill patternType="solid">
        <fgColor rgb="FFFDE7FC"/>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indexed="9"/>
        <bgColor indexed="64"/>
      </patternFill>
    </fill>
    <fill>
      <patternFill patternType="solid">
        <fgColor indexed="42"/>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theme="7" tint="0.79998168889431442"/>
        <bgColor indexed="64"/>
      </patternFill>
    </fill>
  </fills>
  <borders count="135">
    <border>
      <left/>
      <right/>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thin">
        <color indexed="64"/>
      </left>
      <right style="hair">
        <color indexed="64"/>
      </right>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thin">
        <color indexed="64"/>
      </left>
      <right style="hair">
        <color indexed="64"/>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hair">
        <color indexed="64"/>
      </left>
      <right style="hair">
        <color indexed="64"/>
      </right>
      <top/>
      <bottom/>
      <diagonal/>
    </border>
    <border>
      <left/>
      <right style="thin">
        <color indexed="64"/>
      </right>
      <top/>
      <bottom style="hair">
        <color indexed="64"/>
      </bottom>
      <diagonal/>
    </border>
    <border>
      <left style="hair">
        <color indexed="64"/>
      </left>
      <right/>
      <top style="hair">
        <color indexed="64"/>
      </top>
      <bottom/>
      <diagonal/>
    </border>
    <border>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style="hair">
        <color indexed="64"/>
      </left>
      <right style="hair">
        <color indexed="64"/>
      </right>
      <top/>
      <bottom style="thin">
        <color indexed="64"/>
      </bottom>
      <diagonal/>
    </border>
    <border>
      <left style="thin">
        <color indexed="64"/>
      </left>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double">
        <color indexed="64"/>
      </bottom>
      <diagonal/>
    </border>
    <border>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thin">
        <color indexed="64"/>
      </right>
      <top style="hair">
        <color indexed="64"/>
      </top>
      <bottom style="double">
        <color indexed="64"/>
      </bottom>
      <diagonal/>
    </border>
    <border>
      <left style="thin">
        <color indexed="64"/>
      </left>
      <right/>
      <top style="double">
        <color indexed="64"/>
      </top>
      <bottom style="double">
        <color indexed="64"/>
      </bottom>
      <diagonal/>
    </border>
    <border>
      <left/>
      <right style="hair">
        <color indexed="64"/>
      </right>
      <top style="double">
        <color indexed="64"/>
      </top>
      <bottom style="double">
        <color indexed="64"/>
      </bottom>
      <diagonal/>
    </border>
    <border>
      <left style="hair">
        <color indexed="64"/>
      </left>
      <right style="hair">
        <color indexed="64"/>
      </right>
      <top/>
      <bottom style="double">
        <color indexed="64"/>
      </bottom>
      <diagonal/>
    </border>
    <border>
      <left style="hair">
        <color indexed="64"/>
      </left>
      <right style="hair">
        <color indexed="64"/>
      </right>
      <top style="double">
        <color indexed="64"/>
      </top>
      <bottom style="double">
        <color indexed="64"/>
      </bottom>
      <diagonal/>
    </border>
    <border>
      <left style="hair">
        <color indexed="64"/>
      </left>
      <right style="thin">
        <color indexed="64"/>
      </right>
      <top style="double">
        <color indexed="64"/>
      </top>
      <bottom style="double">
        <color indexed="64"/>
      </bottom>
      <diagonal/>
    </border>
    <border>
      <left style="hair">
        <color indexed="64"/>
      </left>
      <right style="thin">
        <color indexed="64"/>
      </right>
      <top/>
      <bottom style="hair">
        <color indexed="64"/>
      </bottom>
      <diagonal/>
    </border>
    <border>
      <left style="thin">
        <color indexed="64"/>
      </left>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bottom style="double">
        <color indexed="64"/>
      </bottom>
      <diagonal/>
    </border>
    <border>
      <left style="thin">
        <color indexed="64"/>
      </left>
      <right/>
      <top style="double">
        <color indexed="64"/>
      </top>
      <bottom style="thin">
        <color indexed="64"/>
      </bottom>
      <diagonal/>
    </border>
    <border>
      <left/>
      <right style="hair">
        <color indexed="64"/>
      </right>
      <top style="double">
        <color indexed="64"/>
      </top>
      <bottom style="thin">
        <color indexed="64"/>
      </bottom>
      <diagonal/>
    </border>
    <border>
      <left style="hair">
        <color indexed="64"/>
      </left>
      <right style="thin">
        <color indexed="64"/>
      </right>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hair">
        <color indexed="64"/>
      </left>
      <right/>
      <top style="thin">
        <color indexed="64"/>
      </top>
      <bottom style="double">
        <color indexed="64"/>
      </bottom>
      <diagonal/>
    </border>
    <border>
      <left style="hair">
        <color indexed="64"/>
      </left>
      <right style="thin">
        <color indexed="64"/>
      </right>
      <top style="thin">
        <color indexed="64"/>
      </top>
      <bottom style="double">
        <color indexed="64"/>
      </bottom>
      <diagonal/>
    </border>
    <border>
      <left style="thin">
        <color indexed="64"/>
      </left>
      <right style="hair">
        <color indexed="64"/>
      </right>
      <top style="double">
        <color indexed="64"/>
      </top>
      <bottom style="double">
        <color indexed="64"/>
      </bottom>
      <diagonal/>
    </border>
    <border>
      <left style="hair">
        <color indexed="64"/>
      </left>
      <right/>
      <top style="double">
        <color indexed="64"/>
      </top>
      <bottom style="double">
        <color indexed="64"/>
      </bottom>
      <diagonal/>
    </border>
    <border>
      <left style="thin">
        <color indexed="64"/>
      </left>
      <right/>
      <top style="hair">
        <color indexed="64"/>
      </top>
      <bottom/>
      <diagonal/>
    </border>
    <border>
      <left/>
      <right/>
      <top style="hair">
        <color indexed="64"/>
      </top>
      <bottom style="hair">
        <color indexed="64"/>
      </bottom>
      <diagonal/>
    </border>
    <border>
      <left style="thin">
        <color indexed="64"/>
      </left>
      <right/>
      <top/>
      <bottom/>
      <diagonal/>
    </border>
    <border>
      <left style="hair">
        <color indexed="64"/>
      </left>
      <right/>
      <top/>
      <bottom/>
      <diagonal/>
    </border>
    <border>
      <left style="thin">
        <color indexed="64"/>
      </left>
      <right style="hair">
        <color indexed="64"/>
      </right>
      <top style="hair">
        <color indexed="64"/>
      </top>
      <bottom style="double">
        <color indexed="64"/>
      </bottom>
      <diagonal/>
    </border>
    <border>
      <left style="hair">
        <color indexed="64"/>
      </left>
      <right/>
      <top style="hair">
        <color indexed="64"/>
      </top>
      <bottom style="double">
        <color indexed="64"/>
      </bottom>
      <diagonal/>
    </border>
    <border>
      <left style="thin">
        <color indexed="64"/>
      </left>
      <right/>
      <top/>
      <bottom style="double">
        <color indexed="64"/>
      </bottom>
      <diagonal/>
    </border>
    <border>
      <left/>
      <right/>
      <top/>
      <bottom style="double">
        <color indexed="64"/>
      </bottom>
      <diagonal/>
    </border>
    <border>
      <left/>
      <right style="hair">
        <color indexed="64"/>
      </right>
      <top/>
      <bottom style="double">
        <color indexed="64"/>
      </bottom>
      <diagonal/>
    </border>
    <border>
      <left style="hair">
        <color indexed="64"/>
      </left>
      <right/>
      <top/>
      <bottom style="double">
        <color indexed="64"/>
      </bottom>
      <diagonal/>
    </border>
    <border>
      <left style="hair">
        <color indexed="64"/>
      </left>
      <right style="thin">
        <color indexed="64"/>
      </right>
      <top/>
      <bottom/>
      <diagonal/>
    </border>
    <border>
      <left style="thin">
        <color indexed="64"/>
      </left>
      <right style="hair">
        <color indexed="64"/>
      </right>
      <top style="hair">
        <color indexed="64"/>
      </top>
      <bottom/>
      <diagonal/>
    </border>
    <border>
      <left/>
      <right style="hair">
        <color indexed="64"/>
      </right>
      <top style="hair">
        <color indexed="64"/>
      </top>
      <bottom/>
      <diagonal/>
    </border>
    <border>
      <left style="hair">
        <color indexed="64"/>
      </left>
      <right style="thin">
        <color indexed="64"/>
      </right>
      <top style="hair">
        <color indexed="64"/>
      </top>
      <bottom/>
      <diagonal/>
    </border>
    <border>
      <left style="thin">
        <color indexed="64"/>
      </left>
      <right style="hair">
        <color indexed="64"/>
      </right>
      <top style="thin">
        <color indexed="64"/>
      </top>
      <bottom style="double">
        <color indexed="64"/>
      </bottom>
      <diagonal/>
    </border>
    <border>
      <left/>
      <right/>
      <top style="hair">
        <color indexed="64"/>
      </top>
      <bottom style="double">
        <color indexed="64"/>
      </bottom>
      <diagonal/>
    </border>
    <border>
      <left/>
      <right/>
      <top style="hair">
        <color indexed="64"/>
      </top>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medium">
        <color indexed="64"/>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diagonal/>
    </border>
    <border>
      <left/>
      <right style="hair">
        <color indexed="64"/>
      </right>
      <top/>
      <bottom/>
      <diagonal/>
    </border>
    <border>
      <left style="hair">
        <color indexed="64"/>
      </left>
      <right style="medium">
        <color indexed="64"/>
      </right>
      <top/>
      <bottom/>
      <diagonal/>
    </border>
    <border>
      <left style="medium">
        <color indexed="64"/>
      </left>
      <right/>
      <top style="hair">
        <color indexed="64"/>
      </top>
      <bottom style="hair">
        <color indexed="64"/>
      </bottom>
      <diagonal/>
    </border>
    <border>
      <left/>
      <right style="hair">
        <color indexed="64"/>
      </right>
      <top/>
      <bottom style="medium">
        <color indexed="64"/>
      </bottom>
      <diagonal/>
    </border>
    <border>
      <left style="hair">
        <color indexed="64"/>
      </left>
      <right style="hair">
        <color indexed="64"/>
      </right>
      <top/>
      <bottom style="medium">
        <color indexed="64"/>
      </bottom>
      <diagonal/>
    </border>
    <border>
      <left style="hair">
        <color indexed="64"/>
      </left>
      <right/>
      <top/>
      <bottom style="medium">
        <color indexed="64"/>
      </bottom>
      <diagonal/>
    </border>
    <border>
      <left style="hair">
        <color indexed="64"/>
      </left>
      <right style="medium">
        <color indexed="64"/>
      </right>
      <top/>
      <bottom style="medium">
        <color indexed="64"/>
      </bottom>
      <diagonal/>
    </border>
    <border>
      <left style="medium">
        <color rgb="FFFF0000"/>
      </left>
      <right style="hair">
        <color indexed="64"/>
      </right>
      <top style="medium">
        <color rgb="FFFF0000"/>
      </top>
      <bottom style="hair">
        <color indexed="64"/>
      </bottom>
      <diagonal/>
    </border>
    <border>
      <left style="hair">
        <color indexed="64"/>
      </left>
      <right style="medium">
        <color rgb="FFFF0000"/>
      </right>
      <top style="medium">
        <color rgb="FFFF0000"/>
      </top>
      <bottom style="hair">
        <color indexed="64"/>
      </bottom>
      <diagonal/>
    </border>
    <border>
      <left style="medium">
        <color rgb="FFFF0000"/>
      </left>
      <right style="hair">
        <color indexed="64"/>
      </right>
      <top style="hair">
        <color indexed="64"/>
      </top>
      <bottom style="medium">
        <color rgb="FFFF0000"/>
      </bottom>
      <diagonal/>
    </border>
    <border>
      <left style="hair">
        <color indexed="64"/>
      </left>
      <right style="medium">
        <color rgb="FFFF0000"/>
      </right>
      <top style="hair">
        <color indexed="64"/>
      </top>
      <bottom style="medium">
        <color rgb="FFFF0000"/>
      </bottom>
      <diagonal/>
    </border>
    <border>
      <left/>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hair">
        <color indexed="64"/>
      </bottom>
      <diagonal/>
    </border>
    <border>
      <left/>
      <right style="medium">
        <color indexed="64"/>
      </right>
      <top style="hair">
        <color indexed="64"/>
      </top>
      <bottom/>
      <diagonal/>
    </border>
    <border>
      <left style="hair">
        <color indexed="64"/>
      </left>
      <right/>
      <top style="medium">
        <color indexed="64"/>
      </top>
      <bottom/>
      <diagonal/>
    </border>
    <border>
      <left style="hair">
        <color indexed="64"/>
      </left>
      <right style="hair">
        <color indexed="64"/>
      </right>
      <top style="medium">
        <color indexed="64"/>
      </top>
      <bottom/>
      <diagonal/>
    </border>
    <border>
      <left/>
      <right style="medium">
        <color indexed="64"/>
      </right>
      <top/>
      <bottom/>
      <diagonal/>
    </border>
    <border>
      <left/>
      <right style="hair">
        <color indexed="64"/>
      </right>
      <top style="medium">
        <color indexed="64"/>
      </top>
      <bottom style="medium">
        <color indexed="64"/>
      </bottom>
      <diagonal/>
    </border>
    <border>
      <left style="hair">
        <color indexed="64"/>
      </left>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style="medium">
        <color indexed="64"/>
      </right>
      <top/>
      <bottom style="hair">
        <color indexed="64"/>
      </bottom>
      <diagonal/>
    </border>
    <border>
      <left/>
      <right style="hair">
        <color indexed="64"/>
      </right>
      <top style="medium">
        <color indexed="64"/>
      </top>
      <bottom/>
      <diagonal/>
    </border>
    <border>
      <left style="hair">
        <color indexed="64"/>
      </left>
      <right style="dotted">
        <color indexed="64"/>
      </right>
      <top style="medium">
        <color indexed="64"/>
      </top>
      <bottom style="medium">
        <color indexed="64"/>
      </bottom>
      <diagonal/>
    </border>
    <border>
      <left style="hair">
        <color indexed="64"/>
      </left>
      <right style="medium">
        <color indexed="64"/>
      </right>
      <top/>
      <bottom style="hair">
        <color indexed="64"/>
      </bottom>
      <diagonal/>
    </border>
    <border>
      <left style="hair">
        <color indexed="64"/>
      </left>
      <right style="medium">
        <color indexed="64"/>
      </right>
      <top style="hair">
        <color indexed="64"/>
      </top>
      <bottom/>
      <diagonal/>
    </border>
    <border>
      <left style="medium">
        <color auto="1"/>
      </left>
      <right style="hair">
        <color auto="1"/>
      </right>
      <top style="medium">
        <color auto="1"/>
      </top>
      <bottom style="medium">
        <color auto="1"/>
      </bottom>
      <diagonal/>
    </border>
    <border>
      <left style="medium">
        <color indexed="64"/>
      </left>
      <right style="hair">
        <color indexed="64"/>
      </right>
      <top style="medium">
        <color indexed="64"/>
      </top>
      <bottom style="hair">
        <color indexed="64"/>
      </bottom>
      <diagonal/>
    </border>
    <border>
      <left/>
      <right/>
      <top style="double">
        <color indexed="64"/>
      </top>
      <bottom style="hair">
        <color indexed="64"/>
      </bottom>
      <diagonal/>
    </border>
    <border>
      <left/>
      <right style="hair">
        <color indexed="64"/>
      </right>
      <top style="double">
        <color indexed="64"/>
      </top>
      <bottom style="hair">
        <color indexed="64"/>
      </bottom>
      <diagonal/>
    </border>
    <border>
      <left/>
      <right style="medium">
        <color indexed="64"/>
      </right>
      <top style="hair">
        <color indexed="64"/>
      </top>
      <bottom style="hair">
        <color indexed="64"/>
      </bottom>
      <diagonal/>
    </border>
    <border>
      <left style="medium">
        <color indexed="64"/>
      </left>
      <right/>
      <top style="hair">
        <color indexed="64"/>
      </top>
      <bottom/>
      <diagonal/>
    </border>
    <border>
      <left style="hair">
        <color indexed="64"/>
      </left>
      <right style="thin">
        <color indexed="64"/>
      </right>
      <top style="double">
        <color indexed="64"/>
      </top>
      <bottom style="hair">
        <color indexed="64"/>
      </bottom>
      <diagonal/>
    </border>
    <border>
      <left/>
      <right style="thin">
        <color indexed="64"/>
      </right>
      <top style="hair">
        <color indexed="64"/>
      </top>
      <bottom style="hair">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hair">
        <color indexed="64"/>
      </left>
      <right/>
      <top style="hair">
        <color indexed="64"/>
      </top>
      <bottom style="medium">
        <color indexed="64"/>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medium">
        <color rgb="FFFF0000"/>
      </right>
      <top style="medium">
        <color rgb="FFFF0000"/>
      </top>
      <bottom style="medium">
        <color rgb="FFFF0000"/>
      </bottom>
      <diagonal/>
    </border>
  </borders>
  <cellStyleXfs count="39">
    <xf numFmtId="0" fontId="0" fillId="0" borderId="0">
      <alignment vertical="center"/>
    </xf>
    <xf numFmtId="0" fontId="2" fillId="0" borderId="0"/>
    <xf numFmtId="176" fontId="2" fillId="0" borderId="0" applyFont="0" applyFill="0" applyBorder="0" applyAlignment="0" applyProtection="0">
      <alignment vertical="center"/>
    </xf>
    <xf numFmtId="176" fontId="8" fillId="0" borderId="0" applyFont="0" applyFill="0" applyBorder="0" applyAlignment="0" applyProtection="0"/>
    <xf numFmtId="0" fontId="2" fillId="0" borderId="0">
      <alignment vertical="center"/>
    </xf>
    <xf numFmtId="9" fontId="2" fillId="0" borderId="0" applyFont="0" applyFill="0" applyBorder="0" applyAlignment="0" applyProtection="0">
      <alignment vertical="center"/>
    </xf>
    <xf numFmtId="197" fontId="3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176" fontId="58" fillId="0" borderId="0" applyFont="0" applyFill="0" applyBorder="0" applyAlignment="0" applyProtection="0">
      <alignment vertical="center"/>
    </xf>
    <xf numFmtId="41" fontId="58" fillId="0" borderId="0" applyFont="0" applyFill="0" applyBorder="0" applyAlignment="0" applyProtection="0">
      <alignment vertical="center"/>
    </xf>
    <xf numFmtId="9" fontId="2" fillId="0" borderId="0" applyFont="0" applyFill="0" applyBorder="0" applyAlignment="0" applyProtection="0">
      <alignment vertical="center"/>
    </xf>
    <xf numFmtId="221" fontId="2" fillId="0" borderId="0" applyFont="0" applyFill="0" applyBorder="0" applyAlignment="0" applyProtection="0">
      <alignment vertical="center"/>
    </xf>
    <xf numFmtId="0" fontId="59" fillId="0" borderId="0">
      <alignment vertical="center"/>
    </xf>
    <xf numFmtId="0" fontId="60" fillId="22" borderId="3" applyFont="0" applyBorder="0">
      <alignment horizontal="center" wrapText="1"/>
    </xf>
    <xf numFmtId="3" fontId="61" fillId="23" borderId="2" applyFont="0">
      <alignment horizontal="right" vertical="center"/>
      <protection locked="0"/>
    </xf>
    <xf numFmtId="0" fontId="62" fillId="0" borderId="0" applyNumberFormat="0" applyFill="0" applyBorder="0" applyAlignment="0" applyProtection="0"/>
    <xf numFmtId="0" fontId="61" fillId="24" borderId="2" applyNumberFormat="0" applyFont="0" applyBorder="0">
      <alignment horizontal="center" vertical="center"/>
    </xf>
    <xf numFmtId="3" fontId="61" fillId="22" borderId="2" applyFont="0">
      <alignment horizontal="right" vertical="center"/>
    </xf>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0" fontId="64" fillId="0" borderId="0">
      <alignment vertical="center"/>
    </xf>
    <xf numFmtId="41" fontId="1" fillId="0" borderId="0" applyFont="0" applyFill="0" applyBorder="0" applyAlignment="0" applyProtection="0">
      <alignment vertical="center"/>
    </xf>
    <xf numFmtId="41" fontId="59" fillId="0" borderId="0" applyFont="0" applyFill="0" applyBorder="0" applyAlignment="0" applyProtection="0">
      <alignment vertical="center"/>
    </xf>
    <xf numFmtId="3" fontId="61" fillId="25" borderId="2" applyFont="0">
      <alignment horizontal="right" vertical="center"/>
      <protection locked="0"/>
    </xf>
    <xf numFmtId="9" fontId="61" fillId="26" borderId="2" applyFont="0" applyProtection="0">
      <alignment horizontal="right" vertical="center"/>
    </xf>
    <xf numFmtId="0" fontId="60" fillId="22" borderId="130" applyFont="0" applyBorder="0">
      <alignment horizontal="center" wrapText="1"/>
    </xf>
    <xf numFmtId="0" fontId="68" fillId="0" borderId="0" applyNumberFormat="0" applyFill="0" applyBorder="0" applyAlignment="0" applyProtection="0">
      <alignment vertical="center"/>
    </xf>
    <xf numFmtId="0" fontId="69" fillId="0" borderId="0"/>
    <xf numFmtId="41" fontId="1" fillId="0" borderId="0" applyFont="0" applyFill="0" applyBorder="0" applyAlignment="0" applyProtection="0">
      <alignment vertical="center"/>
    </xf>
    <xf numFmtId="3" fontId="61" fillId="22" borderId="129" applyFont="0">
      <alignment horizontal="right" vertical="center"/>
    </xf>
    <xf numFmtId="3" fontId="61" fillId="23" borderId="129" applyFont="0">
      <alignment horizontal="right" vertical="center"/>
      <protection locked="0"/>
    </xf>
    <xf numFmtId="0" fontId="61" fillId="24" borderId="129" applyNumberFormat="0" applyFont="0" applyBorder="0">
      <alignment horizontal="center" vertical="center"/>
    </xf>
    <xf numFmtId="3" fontId="61" fillId="25" borderId="129" applyFont="0">
      <alignment horizontal="right" vertical="center"/>
      <protection locked="0"/>
    </xf>
    <xf numFmtId="9" fontId="61" fillId="26" borderId="129" applyFont="0" applyProtection="0">
      <alignment horizontal="right" vertical="center"/>
    </xf>
    <xf numFmtId="0" fontId="60" fillId="22" borderId="130" applyFont="0" applyBorder="0">
      <alignment horizontal="center" wrapText="1"/>
    </xf>
    <xf numFmtId="41" fontId="1" fillId="0" borderId="0" applyFont="0" applyFill="0" applyBorder="0" applyAlignment="0" applyProtection="0">
      <alignment vertical="center"/>
    </xf>
    <xf numFmtId="41" fontId="1" fillId="0" borderId="0" applyFont="0" applyFill="0" applyBorder="0" applyAlignment="0" applyProtection="0">
      <alignment vertical="center"/>
    </xf>
  </cellStyleXfs>
  <cellXfs count="1064">
    <xf numFmtId="0" fontId="0" fillId="0" borderId="0" xfId="0">
      <alignment vertical="center"/>
    </xf>
    <xf numFmtId="0" fontId="18" fillId="0" borderId="0" xfId="1" applyFont="1" applyFill="1" applyAlignment="1">
      <alignment vertical="center"/>
    </xf>
    <xf numFmtId="0" fontId="21" fillId="11" borderId="0" xfId="1" applyFont="1" applyFill="1" applyBorder="1" applyAlignment="1">
      <alignment horizontal="center" vertical="center"/>
    </xf>
    <xf numFmtId="185" fontId="21" fillId="11" borderId="0" xfId="1" applyNumberFormat="1" applyFont="1" applyFill="1" applyBorder="1" applyAlignment="1">
      <alignment horizontal="center" vertical="center"/>
    </xf>
    <xf numFmtId="0" fontId="2" fillId="11" borderId="0" xfId="1" applyFont="1" applyFill="1" applyAlignment="1">
      <alignment vertical="center"/>
    </xf>
    <xf numFmtId="0" fontId="18" fillId="0" borderId="0" xfId="1" applyFont="1" applyFill="1" applyAlignment="1">
      <alignment horizontal="left" vertical="center"/>
    </xf>
    <xf numFmtId="186" fontId="21" fillId="11" borderId="0" xfId="1" applyNumberFormat="1" applyFont="1" applyFill="1" applyBorder="1" applyAlignment="1">
      <alignment horizontal="center" vertical="center"/>
    </xf>
    <xf numFmtId="0" fontId="21" fillId="14" borderId="0" xfId="1" applyNumberFormat="1" applyFont="1" applyFill="1" applyBorder="1" applyAlignment="1">
      <alignment horizontal="left" vertical="center"/>
    </xf>
    <xf numFmtId="14" fontId="2" fillId="0" borderId="0" xfId="1" applyNumberFormat="1" applyFont="1" applyAlignment="1">
      <alignment horizontal="center" vertical="center"/>
    </xf>
    <xf numFmtId="0" fontId="2" fillId="0" borderId="0" xfId="1" applyFont="1" applyAlignment="1">
      <alignment horizontal="center" vertical="center"/>
    </xf>
    <xf numFmtId="0" fontId="2" fillId="0" borderId="0" xfId="1" applyFont="1" applyAlignment="1">
      <alignment vertical="center"/>
    </xf>
    <xf numFmtId="14" fontId="2" fillId="0" borderId="0" xfId="1" applyNumberFormat="1" applyFont="1" applyAlignment="1">
      <alignment vertical="center"/>
    </xf>
    <xf numFmtId="178" fontId="18" fillId="0" borderId="0" xfId="1" applyNumberFormat="1" applyFont="1" applyFill="1" applyAlignment="1">
      <alignment horizontal="left" vertical="center"/>
    </xf>
    <xf numFmtId="0" fontId="2" fillId="2" borderId="19" xfId="1" applyFont="1" applyFill="1" applyBorder="1" applyAlignment="1">
      <alignment horizontal="center" vertical="center" wrapText="1"/>
    </xf>
    <xf numFmtId="14" fontId="2" fillId="2" borderId="19" xfId="1" applyNumberFormat="1" applyFont="1" applyFill="1" applyBorder="1" applyAlignment="1" applyProtection="1">
      <alignment horizontal="center" vertical="center" wrapText="1"/>
    </xf>
    <xf numFmtId="189" fontId="2" fillId="2" borderId="20" xfId="1" applyNumberFormat="1" applyFont="1" applyFill="1" applyBorder="1" applyAlignment="1">
      <alignment horizontal="center" vertical="center"/>
    </xf>
    <xf numFmtId="189" fontId="5" fillId="2" borderId="20" xfId="1" applyNumberFormat="1" applyFont="1" applyFill="1" applyBorder="1" applyAlignment="1">
      <alignment horizontal="center" vertical="center"/>
    </xf>
    <xf numFmtId="14" fontId="2" fillId="2" borderId="19" xfId="1" applyNumberFormat="1" applyFont="1" applyFill="1" applyBorder="1" applyAlignment="1" applyProtection="1">
      <alignment horizontal="center" vertical="center"/>
      <protection locked="0"/>
    </xf>
    <xf numFmtId="190" fontId="2" fillId="2" borderId="21" xfId="1" applyNumberFormat="1" applyFont="1" applyFill="1" applyBorder="1" applyAlignment="1">
      <alignment horizontal="center" vertical="center"/>
    </xf>
    <xf numFmtId="0" fontId="2" fillId="11" borderId="0" xfId="1" applyFill="1" applyAlignment="1">
      <alignment vertical="center"/>
    </xf>
    <xf numFmtId="49" fontId="2" fillId="0" borderId="8" xfId="1" applyNumberFormat="1" applyFont="1" applyFill="1" applyBorder="1" applyAlignment="1">
      <alignment horizontal="center" vertical="center" wrapText="1"/>
    </xf>
    <xf numFmtId="10" fontId="2" fillId="0" borderId="10" xfId="5" applyNumberFormat="1" applyFont="1" applyFill="1" applyBorder="1" applyAlignment="1">
      <alignment horizontal="right" vertical="center" wrapText="1"/>
    </xf>
    <xf numFmtId="10" fontId="5" fillId="0" borderId="25" xfId="5" applyNumberFormat="1" applyFont="1" applyFill="1" applyBorder="1" applyAlignment="1" applyProtection="1">
      <alignment horizontal="right" vertical="center" wrapText="1"/>
      <protection locked="0"/>
    </xf>
    <xf numFmtId="10" fontId="2" fillId="0" borderId="9" xfId="5" applyNumberFormat="1" applyFont="1" applyFill="1" applyBorder="1" applyAlignment="1" applyProtection="1">
      <alignment horizontal="right" vertical="center" wrapText="1"/>
      <protection locked="0"/>
    </xf>
    <xf numFmtId="191" fontId="2" fillId="0" borderId="26" xfId="1" applyNumberFormat="1" applyFont="1" applyFill="1" applyBorder="1" applyAlignment="1">
      <alignment horizontal="center" vertical="center" wrapText="1"/>
    </xf>
    <xf numFmtId="0" fontId="21" fillId="11" borderId="0" xfId="1" applyFont="1" applyFill="1" applyBorder="1" applyAlignment="1">
      <alignment horizontal="right" vertical="center"/>
    </xf>
    <xf numFmtId="14" fontId="18" fillId="0" borderId="0" xfId="1" applyNumberFormat="1" applyFont="1" applyFill="1" applyAlignment="1">
      <alignment horizontal="left" vertical="center"/>
    </xf>
    <xf numFmtId="10" fontId="2" fillId="0" borderId="9" xfId="1" applyNumberFormat="1" applyFont="1" applyFill="1" applyBorder="1" applyAlignment="1" applyProtection="1">
      <alignment horizontal="center" vertical="center" wrapText="1"/>
      <protection locked="0"/>
    </xf>
    <xf numFmtId="10" fontId="5" fillId="0" borderId="27" xfId="5" applyNumberFormat="1" applyFont="1" applyFill="1" applyBorder="1" applyAlignment="1" applyProtection="1">
      <alignment horizontal="right" vertical="center" wrapText="1"/>
      <protection locked="0"/>
    </xf>
    <xf numFmtId="10" fontId="2" fillId="0" borderId="8" xfId="5" applyNumberFormat="1" applyFont="1" applyFill="1" applyBorder="1" applyAlignment="1" applyProtection="1">
      <alignment horizontal="right" vertical="center" wrapText="1"/>
      <protection locked="0"/>
    </xf>
    <xf numFmtId="0" fontId="10" fillId="11" borderId="0" xfId="1" applyFont="1" applyFill="1" applyBorder="1" applyAlignment="1">
      <alignment horizontal="left" vertical="center" wrapText="1"/>
    </xf>
    <xf numFmtId="10" fontId="5" fillId="0" borderId="8" xfId="5" applyNumberFormat="1" applyFont="1" applyFill="1" applyBorder="1" applyAlignment="1" applyProtection="1">
      <alignment horizontal="right" vertical="center" wrapText="1"/>
      <protection locked="0"/>
    </xf>
    <xf numFmtId="10" fontId="5" fillId="0" borderId="9" xfId="5" applyNumberFormat="1" applyFont="1" applyFill="1" applyBorder="1" applyAlignment="1" applyProtection="1">
      <alignment horizontal="right" vertical="center" wrapText="1"/>
      <protection locked="0"/>
    </xf>
    <xf numFmtId="0" fontId="21" fillId="11" borderId="0" xfId="1" applyFont="1" applyFill="1" applyBorder="1" applyAlignment="1">
      <alignment horizontal="right" vertical="center" wrapText="1"/>
    </xf>
    <xf numFmtId="10" fontId="2" fillId="0" borderId="8" xfId="5" applyNumberFormat="1" applyFont="1" applyFill="1" applyBorder="1" applyAlignment="1" applyProtection="1">
      <alignment horizontal="right" vertical="center"/>
      <protection locked="0"/>
    </xf>
    <xf numFmtId="185" fontId="21" fillId="11" borderId="0" xfId="1" applyNumberFormat="1" applyFont="1" applyFill="1" applyBorder="1" applyAlignment="1">
      <alignment horizontal="center" vertical="center" wrapText="1"/>
    </xf>
    <xf numFmtId="10" fontId="2" fillId="0" borderId="31" xfId="1" applyNumberFormat="1" applyFont="1" applyFill="1" applyBorder="1" applyAlignment="1" applyProtection="1">
      <alignment horizontal="center" vertical="center" wrapText="1"/>
      <protection locked="0"/>
    </xf>
    <xf numFmtId="10" fontId="5" fillId="0" borderId="31" xfId="5" applyNumberFormat="1" applyFont="1" applyFill="1" applyBorder="1" applyAlignment="1" applyProtection="1">
      <alignment horizontal="right" vertical="center" wrapText="1"/>
      <protection locked="0"/>
    </xf>
    <xf numFmtId="10" fontId="2" fillId="0" borderId="31" xfId="5" applyNumberFormat="1" applyFont="1" applyFill="1" applyBorder="1" applyAlignment="1" applyProtection="1">
      <alignment horizontal="right" vertical="center" wrapText="1"/>
      <protection locked="0"/>
    </xf>
    <xf numFmtId="191" fontId="2" fillId="0" borderId="33" xfId="1" applyNumberFormat="1" applyFont="1" applyFill="1" applyBorder="1" applyAlignment="1">
      <alignment horizontal="center" vertical="center" wrapText="1"/>
    </xf>
    <xf numFmtId="0" fontId="10" fillId="11" borderId="0" xfId="1" applyFont="1" applyFill="1" applyBorder="1" applyAlignment="1">
      <alignment vertical="center" wrapText="1"/>
    </xf>
    <xf numFmtId="0" fontId="21" fillId="11" borderId="0" xfId="1" applyFont="1" applyFill="1" applyBorder="1" applyAlignment="1">
      <alignment horizontal="left" vertical="center"/>
    </xf>
    <xf numFmtId="0" fontId="6" fillId="0" borderId="0" xfId="1" applyFont="1" applyBorder="1" applyAlignment="1">
      <alignment horizontal="left" vertical="center" wrapText="1"/>
    </xf>
    <xf numFmtId="0" fontId="2" fillId="0" borderId="0" xfId="1" applyFont="1" applyBorder="1" applyAlignment="1">
      <alignment horizontal="center" vertical="center" wrapText="1"/>
    </xf>
    <xf numFmtId="10" fontId="2" fillId="0" borderId="0" xfId="1" applyNumberFormat="1" applyFont="1" applyFill="1" applyBorder="1" applyAlignment="1">
      <alignment horizontal="right" vertical="center" wrapText="1"/>
    </xf>
    <xf numFmtId="0" fontId="2" fillId="0" borderId="0" xfId="1" applyFont="1" applyBorder="1" applyAlignment="1">
      <alignment horizontal="left" vertical="center" wrapText="1"/>
    </xf>
    <xf numFmtId="0" fontId="26" fillId="0" borderId="0" xfId="1" applyFont="1" applyBorder="1" applyAlignment="1">
      <alignment horizontal="left" vertical="center" wrapText="1"/>
    </xf>
    <xf numFmtId="0" fontId="28" fillId="0" borderId="0" xfId="1" applyFont="1" applyAlignment="1">
      <alignment vertical="center"/>
    </xf>
    <xf numFmtId="49" fontId="18" fillId="0" borderId="0" xfId="1" applyNumberFormat="1" applyFont="1" applyAlignment="1">
      <alignment horizontal="center" vertical="center"/>
    </xf>
    <xf numFmtId="0" fontId="18" fillId="0" borderId="0" xfId="1" applyNumberFormat="1" applyFont="1" applyAlignment="1">
      <alignment horizontal="center" vertical="center"/>
    </xf>
    <xf numFmtId="0" fontId="18" fillId="0" borderId="0" xfId="1" applyNumberFormat="1" applyFont="1" applyFill="1" applyBorder="1" applyAlignment="1">
      <alignment horizontal="center" vertical="center" wrapText="1"/>
    </xf>
    <xf numFmtId="0" fontId="21" fillId="11" borderId="0" xfId="1" applyNumberFormat="1" applyFont="1" applyFill="1" applyBorder="1" applyAlignment="1">
      <alignment horizontal="centerContinuous" vertical="center"/>
    </xf>
    <xf numFmtId="185" fontId="21" fillId="11" borderId="0" xfId="1" applyNumberFormat="1" applyFont="1" applyFill="1" applyBorder="1" applyAlignment="1">
      <alignment horizontal="centerContinuous" vertical="center"/>
    </xf>
    <xf numFmtId="176" fontId="0" fillId="11" borderId="0" xfId="3" applyFont="1" applyFill="1" applyAlignment="1">
      <alignment vertical="center"/>
    </xf>
    <xf numFmtId="0" fontId="21" fillId="11" borderId="0" xfId="1" applyFont="1" applyFill="1" applyBorder="1" applyAlignment="1">
      <alignment vertical="center"/>
    </xf>
    <xf numFmtId="14" fontId="2" fillId="11" borderId="0" xfId="1" applyNumberFormat="1" applyFont="1" applyFill="1" applyAlignment="1">
      <alignment vertical="center"/>
    </xf>
    <xf numFmtId="21" fontId="2" fillId="11" borderId="0" xfId="1" applyNumberFormat="1" applyFont="1" applyFill="1" applyAlignment="1">
      <alignment vertical="center"/>
    </xf>
    <xf numFmtId="192" fontId="2" fillId="2" borderId="19" xfId="1" applyNumberFormat="1" applyFont="1" applyFill="1" applyBorder="1" applyAlignment="1">
      <alignment horizontal="center" vertical="center" wrapText="1"/>
    </xf>
    <xf numFmtId="189" fontId="2" fillId="2" borderId="19" xfId="1" applyNumberFormat="1" applyFont="1" applyFill="1" applyBorder="1" applyAlignment="1">
      <alignment horizontal="center" vertical="center" wrapText="1"/>
    </xf>
    <xf numFmtId="189" fontId="5" fillId="2" borderId="19" xfId="1" applyNumberFormat="1" applyFont="1" applyFill="1" applyBorder="1" applyAlignment="1">
      <alignment horizontal="center" vertical="center" wrapText="1"/>
    </xf>
    <xf numFmtId="14" fontId="2" fillId="2" borderId="19" xfId="1" applyNumberFormat="1" applyFont="1" applyFill="1" applyBorder="1" applyAlignment="1">
      <alignment horizontal="center" vertical="center" wrapText="1"/>
    </xf>
    <xf numFmtId="0" fontId="2" fillId="2" borderId="36" xfId="1" applyFont="1" applyFill="1" applyBorder="1" applyAlignment="1">
      <alignment horizontal="center" vertical="center" wrapText="1"/>
    </xf>
    <xf numFmtId="193" fontId="21" fillId="11" borderId="0" xfId="3" applyNumberFormat="1" applyFont="1" applyFill="1" applyBorder="1" applyAlignment="1">
      <alignment horizontal="center" vertical="center"/>
    </xf>
    <xf numFmtId="176" fontId="21" fillId="11" borderId="0" xfId="3" applyFont="1" applyFill="1" applyBorder="1" applyAlignment="1">
      <alignment horizontal="center" vertical="center"/>
    </xf>
    <xf numFmtId="10" fontId="11" fillId="0" borderId="39" xfId="5" applyNumberFormat="1" applyFont="1" applyFill="1" applyBorder="1" applyAlignment="1">
      <alignment horizontal="right" vertical="center" wrapText="1"/>
    </xf>
    <xf numFmtId="38" fontId="29" fillId="0" borderId="43" xfId="3" applyNumberFormat="1" applyFont="1" applyFill="1" applyBorder="1" applyAlignment="1">
      <alignment horizontal="right" vertical="center" wrapText="1"/>
    </xf>
    <xf numFmtId="177" fontId="2" fillId="0" borderId="44" xfId="3" applyNumberFormat="1" applyFont="1" applyFill="1" applyBorder="1" applyAlignment="1">
      <alignment horizontal="right" vertical="center" wrapText="1"/>
    </xf>
    <xf numFmtId="194" fontId="29" fillId="0" borderId="45" xfId="3" applyNumberFormat="1" applyFont="1" applyFill="1" applyBorder="1" applyAlignment="1">
      <alignment vertical="center" wrapText="1"/>
    </xf>
    <xf numFmtId="38" fontId="29" fillId="0" borderId="9" xfId="3" applyNumberFormat="1" applyFont="1" applyFill="1" applyBorder="1" applyAlignment="1">
      <alignment horizontal="right" vertical="center" wrapText="1"/>
    </xf>
    <xf numFmtId="177" fontId="2" fillId="0" borderId="25" xfId="3" applyNumberFormat="1" applyFont="1" applyFill="1" applyBorder="1" applyAlignment="1">
      <alignment horizontal="right" vertical="center" wrapText="1"/>
    </xf>
    <xf numFmtId="194" fontId="29" fillId="0" borderId="46" xfId="3" applyNumberFormat="1" applyFont="1" applyFill="1" applyBorder="1" applyAlignment="1">
      <alignment vertical="center" wrapText="1"/>
    </xf>
    <xf numFmtId="195" fontId="0" fillId="11" borderId="0" xfId="3" applyNumberFormat="1" applyFont="1" applyFill="1" applyAlignment="1">
      <alignment vertical="center"/>
    </xf>
    <xf numFmtId="0" fontId="30" fillId="16" borderId="47" xfId="1" applyFont="1" applyFill="1" applyBorder="1" applyAlignment="1">
      <alignment horizontal="centerContinuous" vertical="center" wrapText="1"/>
    </xf>
    <xf numFmtId="0" fontId="30" fillId="16" borderId="28" xfId="1" applyFont="1" applyFill="1" applyBorder="1" applyAlignment="1">
      <alignment horizontal="centerContinuous" vertical="center"/>
    </xf>
    <xf numFmtId="38" fontId="30" fillId="16" borderId="9" xfId="3" applyNumberFormat="1" applyFont="1" applyFill="1" applyBorder="1" applyAlignment="1">
      <alignment horizontal="right" vertical="center" wrapText="1"/>
    </xf>
    <xf numFmtId="177" fontId="30" fillId="16" borderId="48" xfId="3" applyNumberFormat="1" applyFont="1" applyFill="1" applyBorder="1" applyAlignment="1">
      <alignment horizontal="right" vertical="center" wrapText="1"/>
    </xf>
    <xf numFmtId="194" fontId="31" fillId="16" borderId="46" xfId="3" applyNumberFormat="1" applyFont="1" applyFill="1" applyBorder="1" applyAlignment="1">
      <alignment vertical="center" wrapText="1"/>
    </xf>
    <xf numFmtId="38" fontId="29" fillId="0" borderId="8" xfId="3" applyNumberFormat="1" applyFont="1" applyFill="1" applyBorder="1" applyAlignment="1">
      <alignment horizontal="right" vertical="center" wrapText="1"/>
    </xf>
    <xf numFmtId="177" fontId="2" fillId="0" borderId="8" xfId="3" applyNumberFormat="1" applyFont="1" applyFill="1" applyBorder="1" applyAlignment="1">
      <alignment horizontal="right" vertical="center" wrapText="1"/>
    </xf>
    <xf numFmtId="185" fontId="11" fillId="11" borderId="0" xfId="1" applyNumberFormat="1" applyFont="1" applyFill="1" applyBorder="1" applyAlignment="1">
      <alignment horizontal="center" vertical="center"/>
    </xf>
    <xf numFmtId="38" fontId="30" fillId="16" borderId="48" xfId="3" applyNumberFormat="1" applyFont="1" applyFill="1" applyBorder="1" applyAlignment="1">
      <alignment horizontal="right" vertical="center" wrapText="1"/>
    </xf>
    <xf numFmtId="38" fontId="30" fillId="16" borderId="8" xfId="3" applyNumberFormat="1" applyFont="1" applyFill="1" applyBorder="1" applyAlignment="1">
      <alignment horizontal="right" vertical="center" wrapText="1"/>
    </xf>
    <xf numFmtId="177" fontId="30" fillId="16" borderId="8" xfId="3" applyNumberFormat="1" applyFont="1" applyFill="1" applyBorder="1" applyAlignment="1">
      <alignment horizontal="right" vertical="center" wrapText="1"/>
    </xf>
    <xf numFmtId="194" fontId="32" fillId="16" borderId="49" xfId="3" applyNumberFormat="1" applyFont="1" applyFill="1" applyBorder="1" applyAlignment="1">
      <alignment vertical="center" wrapText="1"/>
    </xf>
    <xf numFmtId="194" fontId="29" fillId="0" borderId="49" xfId="3" applyNumberFormat="1" applyFont="1" applyFill="1" applyBorder="1" applyAlignment="1">
      <alignment vertical="center" wrapText="1"/>
    </xf>
    <xf numFmtId="38" fontId="31" fillId="16" borderId="43" xfId="3" applyNumberFormat="1" applyFont="1" applyFill="1" applyBorder="1" applyAlignment="1">
      <alignment horizontal="right" vertical="center" wrapText="1"/>
    </xf>
    <xf numFmtId="38" fontId="31" fillId="16" borderId="8" xfId="3" applyNumberFormat="1" applyFont="1" applyFill="1" applyBorder="1" applyAlignment="1">
      <alignment horizontal="right" vertical="center" wrapText="1"/>
    </xf>
    <xf numFmtId="177" fontId="31" fillId="16" borderId="39" xfId="3" applyNumberFormat="1" applyFont="1" applyFill="1" applyBorder="1" applyAlignment="1">
      <alignment horizontal="right" vertical="center" wrapText="1"/>
    </xf>
    <xf numFmtId="194" fontId="32" fillId="16" borderId="50" xfId="3" applyNumberFormat="1" applyFont="1" applyFill="1" applyBorder="1" applyAlignment="1">
      <alignment vertical="center" wrapText="1"/>
    </xf>
    <xf numFmtId="0" fontId="1" fillId="11" borderId="0" xfId="1" applyFont="1" applyFill="1" applyAlignment="1">
      <alignment vertical="center"/>
    </xf>
    <xf numFmtId="0" fontId="2" fillId="0" borderId="41" xfId="1" applyFont="1" applyFill="1" applyBorder="1" applyAlignment="1">
      <alignment vertical="center"/>
    </xf>
    <xf numFmtId="0" fontId="2" fillId="0" borderId="42" xfId="1" applyFont="1" applyFill="1" applyBorder="1" applyAlignment="1">
      <alignment vertical="center"/>
    </xf>
    <xf numFmtId="38" fontId="29" fillId="0" borderId="44" xfId="3" applyNumberFormat="1" applyFont="1" applyFill="1" applyBorder="1" applyAlignment="1">
      <alignment horizontal="right" vertical="center" wrapText="1"/>
    </xf>
    <xf numFmtId="177" fontId="2" fillId="0" borderId="43" xfId="3" applyNumberFormat="1" applyFont="1" applyFill="1" applyBorder="1" applyAlignment="1">
      <alignment horizontal="right" vertical="center" wrapText="1"/>
    </xf>
    <xf numFmtId="177" fontId="2" fillId="0" borderId="48" xfId="3" applyNumberFormat="1" applyFont="1" applyFill="1" applyBorder="1" applyAlignment="1">
      <alignment horizontal="right" vertical="center" wrapText="1"/>
    </xf>
    <xf numFmtId="0" fontId="2" fillId="0" borderId="37" xfId="1" applyFont="1" applyFill="1" applyBorder="1" applyAlignment="1">
      <alignment horizontal="left" vertical="center"/>
    </xf>
    <xf numFmtId="38" fontId="29" fillId="0" borderId="39" xfId="3" applyNumberFormat="1" applyFont="1" applyFill="1" applyBorder="1" applyAlignment="1">
      <alignment horizontal="right" vertical="center" wrapText="1"/>
    </xf>
    <xf numFmtId="194" fontId="29" fillId="0" borderId="40" xfId="3" applyNumberFormat="1" applyFont="1" applyFill="1" applyBorder="1" applyAlignment="1">
      <alignment vertical="center" wrapText="1"/>
    </xf>
    <xf numFmtId="177" fontId="2" fillId="0" borderId="39" xfId="3" applyNumberFormat="1" applyFont="1" applyFill="1" applyBorder="1" applyAlignment="1">
      <alignment horizontal="right" vertical="center" wrapText="1"/>
    </xf>
    <xf numFmtId="194" fontId="29" fillId="0" borderId="50" xfId="3" applyNumberFormat="1" applyFont="1" applyFill="1" applyBorder="1" applyAlignment="1">
      <alignment vertical="center" wrapText="1"/>
    </xf>
    <xf numFmtId="0" fontId="2" fillId="0" borderId="51" xfId="1" applyFont="1" applyFill="1" applyBorder="1" applyAlignment="1">
      <alignment vertical="center"/>
    </xf>
    <xf numFmtId="0" fontId="2" fillId="0" borderId="52" xfId="1" applyFont="1" applyFill="1" applyBorder="1" applyAlignment="1">
      <alignment vertical="center"/>
    </xf>
    <xf numFmtId="38" fontId="29" fillId="0" borderId="34" xfId="3" applyNumberFormat="1" applyFont="1" applyFill="1" applyBorder="1" applyAlignment="1">
      <alignment horizontal="right" vertical="center" wrapText="1"/>
    </xf>
    <xf numFmtId="177" fontId="2" fillId="0" borderId="31" xfId="3" applyNumberFormat="1" applyFont="1" applyFill="1" applyBorder="1" applyAlignment="1">
      <alignment horizontal="right" vertical="center" wrapText="1"/>
    </xf>
    <xf numFmtId="194" fontId="29" fillId="0" borderId="53" xfId="3" applyNumberFormat="1" applyFont="1" applyFill="1" applyBorder="1" applyAlignment="1">
      <alignment vertical="center" wrapText="1"/>
    </xf>
    <xf numFmtId="0" fontId="2" fillId="0" borderId="0" xfId="1" applyFont="1" applyFill="1" applyBorder="1" applyAlignment="1">
      <alignment horizontal="left" vertical="center"/>
    </xf>
    <xf numFmtId="38" fontId="2" fillId="0" borderId="0" xfId="3" applyNumberFormat="1" applyFont="1" applyFill="1" applyBorder="1" applyAlignment="1">
      <alignment horizontal="right" vertical="center" wrapText="1"/>
    </xf>
    <xf numFmtId="38" fontId="29" fillId="0" borderId="0" xfId="3" applyNumberFormat="1" applyFont="1" applyFill="1" applyBorder="1" applyAlignment="1">
      <alignment horizontal="right" vertical="center" wrapText="1"/>
    </xf>
    <xf numFmtId="38" fontId="29" fillId="0" borderId="0" xfId="3" applyNumberFormat="1" applyFont="1" applyFill="1" applyBorder="1" applyAlignment="1">
      <alignment horizontal="center" vertical="center" wrapText="1"/>
    </xf>
    <xf numFmtId="194" fontId="29" fillId="0" borderId="0" xfId="3" applyNumberFormat="1" applyFont="1" applyFill="1" applyBorder="1" applyAlignment="1">
      <alignment vertical="center" wrapText="1"/>
    </xf>
    <xf numFmtId="196" fontId="23" fillId="0" borderId="0" xfId="1" applyNumberFormat="1" applyFont="1" applyBorder="1" applyAlignment="1">
      <alignment vertical="center"/>
    </xf>
    <xf numFmtId="178" fontId="2" fillId="0" borderId="0" xfId="1" applyNumberFormat="1" applyFont="1" applyAlignment="1">
      <alignment vertical="center"/>
    </xf>
    <xf numFmtId="177" fontId="2" fillId="0" borderId="0" xfId="1" applyNumberFormat="1" applyFont="1" applyFill="1" applyAlignment="1">
      <alignment vertical="center"/>
    </xf>
    <xf numFmtId="0" fontId="2" fillId="2" borderId="57" xfId="1" applyFont="1" applyFill="1" applyBorder="1" applyAlignment="1">
      <alignment horizontal="center" vertical="center"/>
    </xf>
    <xf numFmtId="189" fontId="2" fillId="2" borderId="58" xfId="1" applyNumberFormat="1" applyFont="1" applyFill="1" applyBorder="1" applyAlignment="1">
      <alignment horizontal="center" vertical="center" wrapText="1"/>
    </xf>
    <xf numFmtId="189" fontId="5" fillId="2" borderId="57" xfId="1" applyNumberFormat="1" applyFont="1" applyFill="1" applyBorder="1" applyAlignment="1">
      <alignment horizontal="center" vertical="center" wrapText="1"/>
    </xf>
    <xf numFmtId="0" fontId="34" fillId="2" borderId="59" xfId="1" applyFont="1" applyFill="1" applyBorder="1" applyAlignment="1">
      <alignment horizontal="center" vertical="center"/>
    </xf>
    <xf numFmtId="198" fontId="21" fillId="11" borderId="0" xfId="1" applyNumberFormat="1" applyFont="1" applyFill="1" applyBorder="1" applyAlignment="1">
      <alignment horizontal="left" vertical="center"/>
    </xf>
    <xf numFmtId="177" fontId="2" fillId="0" borderId="49" xfId="1" applyNumberFormat="1" applyFont="1" applyFill="1" applyBorder="1" applyAlignment="1">
      <alignment horizontal="center" vertical="center"/>
    </xf>
    <xf numFmtId="10" fontId="37" fillId="0" borderId="49" xfId="5" applyNumberFormat="1" applyFont="1" applyFill="1" applyBorder="1" applyAlignment="1">
      <alignment horizontal="center" vertical="center"/>
    </xf>
    <xf numFmtId="194" fontId="21" fillId="11" borderId="0" xfId="3" applyNumberFormat="1" applyFont="1" applyFill="1" applyBorder="1" applyAlignment="1">
      <alignment horizontal="left" vertical="center"/>
    </xf>
    <xf numFmtId="185" fontId="21" fillId="11" borderId="0" xfId="3" applyNumberFormat="1" applyFont="1" applyFill="1" applyBorder="1" applyAlignment="1">
      <alignment horizontal="center" vertical="center"/>
    </xf>
    <xf numFmtId="199" fontId="2" fillId="0" borderId="49" xfId="1" applyNumberFormat="1" applyFont="1" applyFill="1" applyBorder="1" applyAlignment="1">
      <alignment horizontal="center" vertical="center"/>
    </xf>
    <xf numFmtId="177" fontId="2" fillId="0" borderId="49" xfId="1" applyNumberFormat="1" applyFont="1" applyBorder="1" applyAlignment="1">
      <alignment horizontal="center" vertical="center"/>
    </xf>
    <xf numFmtId="177" fontId="2" fillId="0" borderId="40" xfId="1" applyNumberFormat="1" applyFont="1" applyFill="1" applyBorder="1" applyAlignment="1">
      <alignment horizontal="center" vertical="center"/>
    </xf>
    <xf numFmtId="177" fontId="2" fillId="0" borderId="50" xfId="1" applyNumberFormat="1" applyFont="1" applyFill="1" applyBorder="1" applyAlignment="1">
      <alignment vertical="center"/>
    </xf>
    <xf numFmtId="177" fontId="2" fillId="0" borderId="46" xfId="1" applyNumberFormat="1" applyFont="1" applyFill="1" applyBorder="1" applyAlignment="1">
      <alignment vertical="center"/>
    </xf>
    <xf numFmtId="177" fontId="2" fillId="0" borderId="72" xfId="1" applyNumberFormat="1" applyFont="1" applyFill="1" applyBorder="1" applyAlignment="1">
      <alignment vertical="center"/>
    </xf>
    <xf numFmtId="177" fontId="2" fillId="0" borderId="75" xfId="1" applyNumberFormat="1" applyFont="1" applyFill="1" applyBorder="1" applyAlignment="1">
      <alignment vertical="center"/>
    </xf>
    <xf numFmtId="0" fontId="2" fillId="2" borderId="59" xfId="1" applyFont="1" applyFill="1" applyBorder="1" applyAlignment="1">
      <alignment horizontal="center" vertical="center"/>
    </xf>
    <xf numFmtId="183" fontId="21" fillId="11" borderId="0" xfId="3" applyNumberFormat="1" applyFont="1" applyFill="1" applyBorder="1" applyAlignment="1">
      <alignment horizontal="left" vertical="center"/>
    </xf>
    <xf numFmtId="177" fontId="2" fillId="0" borderId="40" xfId="1" applyNumberFormat="1" applyFont="1" applyBorder="1" applyAlignment="1">
      <alignment vertical="center"/>
    </xf>
    <xf numFmtId="177" fontId="2" fillId="0" borderId="49" xfId="1" applyNumberFormat="1" applyFont="1" applyFill="1" applyBorder="1" applyAlignment="1">
      <alignment vertical="center"/>
    </xf>
    <xf numFmtId="200" fontId="2" fillId="0" borderId="49" xfId="1" applyNumberFormat="1" applyFont="1" applyBorder="1" applyAlignment="1">
      <alignment vertical="center"/>
    </xf>
    <xf numFmtId="177" fontId="2" fillId="0" borderId="49" xfId="1" applyNumberFormat="1" applyFont="1" applyBorder="1" applyAlignment="1">
      <alignment vertical="center"/>
    </xf>
    <xf numFmtId="10" fontId="0" fillId="11" borderId="0" xfId="5" applyNumberFormat="1" applyFont="1" applyFill="1" applyAlignment="1">
      <alignment vertical="center"/>
    </xf>
    <xf numFmtId="177" fontId="2" fillId="0" borderId="40" xfId="1" applyNumberFormat="1" applyFont="1" applyFill="1" applyBorder="1" applyAlignment="1">
      <alignment vertical="center"/>
    </xf>
    <xf numFmtId="176" fontId="21" fillId="11" borderId="0" xfId="1" applyNumberFormat="1" applyFont="1" applyFill="1" applyBorder="1" applyAlignment="1">
      <alignment horizontal="left" vertical="center"/>
    </xf>
    <xf numFmtId="177" fontId="2" fillId="0" borderId="46" xfId="1" applyNumberFormat="1" applyFont="1" applyBorder="1" applyAlignment="1">
      <alignment vertical="center"/>
    </xf>
    <xf numFmtId="177" fontId="2" fillId="0" borderId="81" xfId="1" applyNumberFormat="1" applyFont="1" applyFill="1" applyBorder="1" applyAlignment="1">
      <alignment vertical="center"/>
    </xf>
    <xf numFmtId="177" fontId="26" fillId="18" borderId="83" xfId="1" applyNumberFormat="1" applyFont="1" applyFill="1" applyBorder="1" applyAlignment="1">
      <alignment vertical="center"/>
    </xf>
    <xf numFmtId="0" fontId="2" fillId="0" borderId="0" xfId="1" applyFont="1" applyBorder="1" applyAlignment="1">
      <alignment horizontal="left" vertical="center"/>
    </xf>
    <xf numFmtId="177" fontId="2" fillId="0" borderId="0" xfId="1" applyNumberFormat="1" applyFont="1" applyFill="1" applyBorder="1" applyAlignment="1">
      <alignment vertical="center"/>
    </xf>
    <xf numFmtId="177" fontId="2" fillId="0" borderId="0" xfId="1" applyNumberFormat="1" applyFont="1" applyBorder="1" applyAlignment="1">
      <alignment vertical="center"/>
    </xf>
    <xf numFmtId="177" fontId="2" fillId="0" borderId="0" xfId="1" applyNumberFormat="1" applyFont="1" applyAlignment="1">
      <alignment vertical="center"/>
    </xf>
    <xf numFmtId="196" fontId="33" fillId="0" borderId="0" xfId="1" applyNumberFormat="1" applyFont="1" applyBorder="1" applyAlignment="1">
      <alignment vertical="center"/>
    </xf>
    <xf numFmtId="0" fontId="2" fillId="0" borderId="0" xfId="1" applyFont="1" applyAlignment="1">
      <alignment horizontal="right"/>
    </xf>
    <xf numFmtId="0" fontId="2" fillId="0" borderId="40" xfId="1" applyFont="1" applyFill="1" applyBorder="1" applyAlignment="1">
      <alignment horizontal="center" vertical="center"/>
    </xf>
    <xf numFmtId="0" fontId="2" fillId="0" borderId="23" xfId="1" applyFont="1" applyFill="1" applyBorder="1" applyAlignment="1">
      <alignment vertical="center"/>
    </xf>
    <xf numFmtId="0" fontId="2" fillId="0" borderId="24" xfId="1" applyFont="1" applyFill="1" applyBorder="1" applyAlignment="1">
      <alignment vertical="center"/>
    </xf>
    <xf numFmtId="185" fontId="21" fillId="11" borderId="0" xfId="1" applyNumberFormat="1" applyFont="1" applyFill="1" applyAlignment="1">
      <alignment horizontal="center" vertical="center"/>
    </xf>
    <xf numFmtId="0" fontId="2" fillId="0" borderId="62" xfId="1" applyFont="1" applyFill="1" applyBorder="1" applyAlignment="1">
      <alignment horizontal="left" vertical="center" indent="1"/>
    </xf>
    <xf numFmtId="189" fontId="2" fillId="2" borderId="57" xfId="1" applyNumberFormat="1" applyFont="1" applyFill="1" applyBorder="1" applyAlignment="1">
      <alignment horizontal="center" vertical="center"/>
    </xf>
    <xf numFmtId="189" fontId="5" fillId="2" borderId="57" xfId="1" applyNumberFormat="1" applyFont="1" applyFill="1" applyBorder="1" applyAlignment="1">
      <alignment horizontal="center" vertical="center"/>
    </xf>
    <xf numFmtId="14" fontId="21" fillId="11" borderId="0" xfId="1" applyNumberFormat="1" applyFont="1" applyFill="1" applyBorder="1" applyAlignment="1">
      <alignment horizontal="left" vertical="center"/>
    </xf>
    <xf numFmtId="14" fontId="21" fillId="11" borderId="0" xfId="1" applyNumberFormat="1" applyFont="1" applyFill="1" applyBorder="1" applyAlignment="1">
      <alignment horizontal="center" vertical="center"/>
    </xf>
    <xf numFmtId="183" fontId="2" fillId="11" borderId="0" xfId="1" applyNumberFormat="1" applyFill="1" applyAlignment="1">
      <alignment vertical="center"/>
    </xf>
    <xf numFmtId="0" fontId="18" fillId="0" borderId="0" xfId="1" applyFont="1" applyFill="1" applyBorder="1" applyAlignment="1">
      <alignment vertical="center"/>
    </xf>
    <xf numFmtId="0" fontId="2" fillId="11" borderId="0" xfId="1" applyFill="1" applyBorder="1" applyAlignment="1">
      <alignment vertical="center"/>
    </xf>
    <xf numFmtId="183" fontId="2" fillId="11" borderId="0" xfId="1" applyNumberFormat="1" applyFill="1" applyBorder="1" applyAlignment="1">
      <alignment vertical="center"/>
    </xf>
    <xf numFmtId="178" fontId="2" fillId="11" borderId="0" xfId="1" applyNumberFormat="1" applyFill="1" applyBorder="1" applyAlignment="1">
      <alignment vertical="center"/>
    </xf>
    <xf numFmtId="38" fontId="2" fillId="0" borderId="0" xfId="1" applyNumberFormat="1" applyFont="1" applyFill="1" applyBorder="1" applyAlignment="1">
      <alignment horizontal="right" vertical="center"/>
    </xf>
    <xf numFmtId="38" fontId="5" fillId="0" borderId="0" xfId="1" applyNumberFormat="1" applyFont="1" applyFill="1" applyBorder="1" applyAlignment="1">
      <alignment horizontal="right" vertical="center"/>
    </xf>
    <xf numFmtId="38" fontId="2" fillId="0" borderId="0" xfId="1" applyNumberFormat="1" applyFont="1" applyBorder="1" applyAlignment="1">
      <alignment horizontal="right" vertical="center"/>
    </xf>
    <xf numFmtId="189" fontId="5" fillId="19" borderId="57" xfId="1" applyNumberFormat="1" applyFont="1" applyFill="1" applyBorder="1" applyAlignment="1">
      <alignment horizontal="center" vertical="center" wrapText="1"/>
    </xf>
    <xf numFmtId="0" fontId="2" fillId="19" borderId="57" xfId="1" applyFont="1" applyFill="1" applyBorder="1" applyAlignment="1">
      <alignment horizontal="center" vertical="center"/>
    </xf>
    <xf numFmtId="0" fontId="2" fillId="19" borderId="59" xfId="1" applyFont="1" applyFill="1" applyBorder="1" applyAlignment="1">
      <alignment horizontal="center" vertical="center"/>
    </xf>
    <xf numFmtId="189" fontId="2" fillId="19" borderId="57" xfId="1" applyNumberFormat="1" applyFont="1" applyFill="1" applyBorder="1" applyAlignment="1">
      <alignment horizontal="center" vertical="center"/>
    </xf>
    <xf numFmtId="189" fontId="5" fillId="19" borderId="57" xfId="1" applyNumberFormat="1" applyFont="1" applyFill="1" applyBorder="1" applyAlignment="1">
      <alignment horizontal="center" vertical="center"/>
    </xf>
    <xf numFmtId="0" fontId="5" fillId="0" borderId="0" xfId="1" applyFont="1" applyAlignment="1">
      <alignment horizontal="right" vertical="center"/>
    </xf>
    <xf numFmtId="0" fontId="2" fillId="2" borderId="8" xfId="1" applyFont="1" applyFill="1" applyBorder="1" applyAlignment="1">
      <alignment horizontal="center" vertical="center" wrapText="1"/>
    </xf>
    <xf numFmtId="177" fontId="39" fillId="0" borderId="23" xfId="1" applyNumberFormat="1" applyFont="1" applyFill="1" applyBorder="1" applyAlignment="1">
      <alignment vertical="center"/>
    </xf>
    <xf numFmtId="0" fontId="2" fillId="0" borderId="0" xfId="1" applyFont="1" applyFill="1" applyAlignment="1">
      <alignment vertical="center"/>
    </xf>
    <xf numFmtId="199" fontId="2" fillId="0" borderId="0" xfId="1" applyNumberFormat="1" applyFont="1" applyAlignment="1">
      <alignment vertical="center"/>
    </xf>
    <xf numFmtId="0" fontId="2" fillId="0" borderId="0" xfId="1" applyFont="1" applyFill="1" applyBorder="1" applyAlignment="1">
      <alignment horizontal="right"/>
    </xf>
    <xf numFmtId="176" fontId="40" fillId="11" borderId="0" xfId="1" applyNumberFormat="1" applyFont="1" applyFill="1" applyBorder="1" applyAlignment="1">
      <alignment horizontal="center" vertical="center"/>
    </xf>
    <xf numFmtId="0" fontId="5" fillId="2" borderId="8" xfId="1" applyFont="1" applyFill="1" applyBorder="1" applyAlignment="1">
      <alignment horizontal="center" vertical="center" wrapText="1"/>
    </xf>
    <xf numFmtId="194" fontId="21" fillId="11" borderId="0" xfId="1" applyNumberFormat="1" applyFont="1" applyFill="1" applyBorder="1" applyAlignment="1">
      <alignment horizontal="right" vertical="center"/>
    </xf>
    <xf numFmtId="2" fontId="21" fillId="11" borderId="0" xfId="1" applyNumberFormat="1" applyFont="1" applyFill="1" applyAlignment="1">
      <alignment vertical="center"/>
    </xf>
    <xf numFmtId="202" fontId="2" fillId="0" borderId="8" xfId="1" applyNumberFormat="1" applyFont="1" applyFill="1" applyBorder="1" applyAlignment="1">
      <alignment horizontal="right" vertical="center"/>
    </xf>
    <xf numFmtId="202" fontId="2" fillId="0" borderId="12" xfId="1" applyNumberFormat="1" applyFont="1" applyFill="1" applyBorder="1" applyAlignment="1">
      <alignment horizontal="right" vertical="center"/>
    </xf>
    <xf numFmtId="189" fontId="2" fillId="0" borderId="8" xfId="1" applyNumberFormat="1" applyFont="1" applyFill="1" applyBorder="1" applyAlignment="1">
      <alignment horizontal="center" vertical="center"/>
    </xf>
    <xf numFmtId="10" fontId="2" fillId="0" borderId="8" xfId="1" applyNumberFormat="1" applyFont="1" applyFill="1" applyBorder="1" applyAlignment="1">
      <alignment horizontal="center" vertical="center"/>
    </xf>
    <xf numFmtId="202" fontId="2" fillId="2" borderId="8" xfId="1" applyNumberFormat="1" applyFont="1" applyFill="1" applyBorder="1" applyAlignment="1">
      <alignment horizontal="center" vertical="center"/>
    </xf>
    <xf numFmtId="2" fontId="21" fillId="11" borderId="0" xfId="1" applyNumberFormat="1" applyFont="1" applyFill="1" applyAlignment="1">
      <alignment horizontal="center" vertical="center"/>
    </xf>
    <xf numFmtId="14" fontId="2" fillId="11" borderId="0" xfId="1" applyNumberFormat="1" applyFill="1" applyAlignment="1">
      <alignment vertical="center"/>
    </xf>
    <xf numFmtId="21" fontId="2" fillId="11" borderId="0" xfId="1" applyNumberFormat="1" applyFill="1" applyAlignment="1">
      <alignment vertical="center"/>
    </xf>
    <xf numFmtId="204" fontId="2" fillId="0" borderId="8" xfId="1" applyNumberFormat="1" applyFont="1" applyBorder="1" applyAlignment="1">
      <alignment horizontal="right" vertical="center"/>
    </xf>
    <xf numFmtId="204" fontId="2" fillId="0" borderId="8" xfId="1" applyNumberFormat="1" applyFont="1" applyBorder="1" applyAlignment="1">
      <alignment vertical="center"/>
    </xf>
    <xf numFmtId="0" fontId="2" fillId="6" borderId="12" xfId="1" applyFont="1" applyFill="1" applyBorder="1" applyAlignment="1">
      <alignment vertical="center"/>
    </xf>
    <xf numFmtId="0" fontId="2" fillId="6" borderId="12" xfId="1" applyFont="1" applyFill="1" applyBorder="1" applyAlignment="1">
      <alignment horizontal="left" vertical="center"/>
    </xf>
    <xf numFmtId="0" fontId="2" fillId="6" borderId="28" xfId="1" applyFont="1" applyFill="1" applyBorder="1" applyAlignment="1">
      <alignment vertical="center"/>
    </xf>
    <xf numFmtId="202" fontId="2" fillId="6" borderId="8" xfId="1" applyNumberFormat="1" applyFont="1" applyFill="1" applyBorder="1" applyAlignment="1">
      <alignment horizontal="right" vertical="center"/>
    </xf>
    <xf numFmtId="189" fontId="2" fillId="6" borderId="8" xfId="1" applyNumberFormat="1" applyFont="1" applyFill="1" applyBorder="1" applyAlignment="1">
      <alignment horizontal="center" vertical="center"/>
    </xf>
    <xf numFmtId="10" fontId="2" fillId="6" borderId="8" xfId="1" applyNumberFormat="1" applyFont="1" applyFill="1" applyBorder="1" applyAlignment="1">
      <alignment horizontal="center" vertical="center"/>
    </xf>
    <xf numFmtId="0" fontId="2" fillId="11" borderId="0" xfId="1" applyFont="1" applyFill="1" applyAlignment="1">
      <alignment horizontal="center" vertical="center"/>
    </xf>
    <xf numFmtId="0" fontId="2" fillId="0" borderId="12" xfId="1" applyFont="1" applyFill="1" applyBorder="1" applyAlignment="1">
      <alignment horizontal="left" vertical="center"/>
    </xf>
    <xf numFmtId="183" fontId="2" fillId="0" borderId="8" xfId="3" applyNumberFormat="1" applyFont="1" applyFill="1" applyBorder="1" applyAlignment="1">
      <alignment horizontal="left" vertical="center"/>
    </xf>
    <xf numFmtId="206" fontId="2" fillId="0" borderId="78" xfId="1" applyNumberFormat="1" applyFont="1" applyFill="1" applyBorder="1" applyAlignment="1">
      <alignment horizontal="center" vertical="center" wrapText="1"/>
    </xf>
    <xf numFmtId="202" fontId="2" fillId="0" borderId="0" xfId="1" applyNumberFormat="1" applyFont="1" applyFill="1" applyBorder="1" applyAlignment="1">
      <alignment horizontal="center" vertical="center" wrapText="1"/>
    </xf>
    <xf numFmtId="178" fontId="2" fillId="0" borderId="0" xfId="1" applyNumberFormat="1" applyFont="1" applyFill="1" applyBorder="1" applyAlignment="1">
      <alignment horizontal="right" vertical="center"/>
    </xf>
    <xf numFmtId="0" fontId="2" fillId="0" borderId="0" xfId="1" applyFont="1" applyFill="1" applyBorder="1" applyAlignment="1">
      <alignment horizontal="right" vertical="center"/>
    </xf>
    <xf numFmtId="202" fontId="5" fillId="0" borderId="0" xfId="1" applyNumberFormat="1" applyFont="1" applyFill="1" applyBorder="1" applyAlignment="1">
      <alignment horizontal="center" vertical="center"/>
    </xf>
    <xf numFmtId="14" fontId="39" fillId="0" borderId="0" xfId="1" applyNumberFormat="1" applyFont="1" applyFill="1" applyBorder="1" applyAlignment="1">
      <alignment horizontal="center" vertical="center"/>
    </xf>
    <xf numFmtId="49" fontId="2" fillId="0" borderId="0" xfId="1" applyNumberFormat="1" applyFont="1" applyFill="1" applyBorder="1" applyAlignment="1">
      <alignment horizontal="center" vertical="center"/>
    </xf>
    <xf numFmtId="0" fontId="5" fillId="11" borderId="0" xfId="1" applyFont="1" applyFill="1" applyBorder="1" applyAlignment="1">
      <alignment horizontal="center" vertical="center"/>
    </xf>
    <xf numFmtId="177" fontId="39" fillId="0" borderId="0" xfId="1" applyNumberFormat="1" applyFont="1" applyFill="1" applyAlignment="1">
      <alignment vertical="center"/>
    </xf>
    <xf numFmtId="183" fontId="2" fillId="0" borderId="0" xfId="1" applyNumberFormat="1" applyFont="1" applyAlignment="1">
      <alignment vertical="center"/>
    </xf>
    <xf numFmtId="0" fontId="5" fillId="20" borderId="8" xfId="1" applyFont="1" applyFill="1" applyBorder="1" applyAlignment="1">
      <alignment horizontal="center" vertical="center"/>
    </xf>
    <xf numFmtId="207" fontId="5" fillId="11" borderId="0" xfId="1" applyNumberFormat="1" applyFont="1" applyFill="1" applyBorder="1" applyAlignment="1">
      <alignment vertical="center"/>
    </xf>
    <xf numFmtId="202" fontId="2" fillId="0" borderId="8" xfId="1" applyNumberFormat="1" applyFont="1" applyFill="1" applyBorder="1" applyAlignment="1">
      <alignment horizontal="center" vertical="center"/>
    </xf>
    <xf numFmtId="14" fontId="2" fillId="0" borderId="8" xfId="1" applyNumberFormat="1" applyFont="1" applyFill="1" applyBorder="1" applyAlignment="1">
      <alignment horizontal="center" vertical="center"/>
    </xf>
    <xf numFmtId="208" fontId="2" fillId="0" borderId="8" xfId="1" applyNumberFormat="1" applyFont="1" applyFill="1" applyBorder="1" applyAlignment="1">
      <alignment horizontal="center" vertical="center"/>
    </xf>
    <xf numFmtId="209" fontId="11" fillId="21" borderId="84" xfId="1" applyNumberFormat="1" applyFont="1" applyFill="1" applyBorder="1" applyAlignment="1">
      <alignment vertical="center"/>
    </xf>
    <xf numFmtId="209" fontId="11" fillId="21" borderId="85" xfId="1" applyNumberFormat="1" applyFont="1" applyFill="1" applyBorder="1" applyAlignment="1">
      <alignment vertical="center"/>
    </xf>
    <xf numFmtId="202" fontId="2" fillId="21" borderId="86" xfId="1" applyNumberFormat="1" applyFont="1" applyFill="1" applyBorder="1" applyAlignment="1">
      <alignment horizontal="center" vertical="center"/>
    </xf>
    <xf numFmtId="189" fontId="2" fillId="12" borderId="86" xfId="1" applyNumberFormat="1" applyFont="1" applyFill="1" applyBorder="1" applyAlignment="1">
      <alignment horizontal="center" vertical="center"/>
    </xf>
    <xf numFmtId="10" fontId="2" fillId="21" borderId="86" xfId="1" applyNumberFormat="1" applyFont="1" applyFill="1" applyBorder="1" applyAlignment="1">
      <alignment horizontal="center" vertical="center"/>
    </xf>
    <xf numFmtId="0" fontId="21" fillId="11" borderId="0" xfId="1" applyFont="1" applyFill="1" applyAlignment="1">
      <alignment vertical="center"/>
    </xf>
    <xf numFmtId="209" fontId="11" fillId="21" borderId="90" xfId="1" applyNumberFormat="1" applyFont="1" applyFill="1" applyBorder="1" applyAlignment="1">
      <alignment vertical="center"/>
    </xf>
    <xf numFmtId="209" fontId="11" fillId="21" borderId="28" xfId="1" applyNumberFormat="1" applyFont="1" applyFill="1" applyBorder="1" applyAlignment="1">
      <alignment vertical="center"/>
    </xf>
    <xf numFmtId="202" fontId="2" fillId="21" borderId="8" xfId="1" applyNumberFormat="1" applyFont="1" applyFill="1" applyBorder="1" applyAlignment="1">
      <alignment horizontal="center" vertical="center"/>
    </xf>
    <xf numFmtId="189" fontId="2" fillId="12" borderId="8" xfId="1" applyNumberFormat="1" applyFont="1" applyFill="1" applyBorder="1" applyAlignment="1">
      <alignment horizontal="center" vertical="center"/>
    </xf>
    <xf numFmtId="10" fontId="2" fillId="21" borderId="8" xfId="1" applyNumberFormat="1" applyFont="1" applyFill="1" applyBorder="1" applyAlignment="1">
      <alignment horizontal="center" vertical="center"/>
    </xf>
    <xf numFmtId="209" fontId="11" fillId="21" borderId="16" xfId="1" applyNumberFormat="1" applyFont="1" applyFill="1" applyBorder="1" applyAlignment="1">
      <alignment vertical="center"/>
    </xf>
    <xf numFmtId="209" fontId="11" fillId="21" borderId="91" xfId="1" applyNumberFormat="1" applyFont="1" applyFill="1" applyBorder="1" applyAlignment="1">
      <alignment vertical="center"/>
    </xf>
    <xf numFmtId="202" fontId="2" fillId="21" borderId="92" xfId="1" applyNumberFormat="1" applyFont="1" applyFill="1" applyBorder="1" applyAlignment="1">
      <alignment horizontal="center" vertical="center"/>
    </xf>
    <xf numFmtId="189" fontId="2" fillId="12" borderId="92" xfId="1" applyNumberFormat="1" applyFont="1" applyFill="1" applyBorder="1" applyAlignment="1">
      <alignment horizontal="center" vertical="center"/>
    </xf>
    <xf numFmtId="10" fontId="2" fillId="21" borderId="92" xfId="1" applyNumberFormat="1" applyFont="1" applyFill="1" applyBorder="1" applyAlignment="1">
      <alignment horizontal="center" vertical="center"/>
    </xf>
    <xf numFmtId="0" fontId="39" fillId="11" borderId="0" xfId="1" applyFont="1" applyFill="1" applyAlignment="1">
      <alignment vertical="center"/>
    </xf>
    <xf numFmtId="183" fontId="28" fillId="0" borderId="8" xfId="3" applyNumberFormat="1" applyFont="1" applyFill="1" applyBorder="1" applyAlignment="1">
      <alignment vertical="center"/>
    </xf>
    <xf numFmtId="185" fontId="5" fillId="11" borderId="0" xfId="1" applyNumberFormat="1" applyFont="1" applyFill="1" applyAlignment="1">
      <alignment horizontal="center" vertical="center"/>
    </xf>
    <xf numFmtId="0" fontId="5" fillId="11" borderId="0" xfId="1" applyFont="1" applyFill="1" applyAlignment="1">
      <alignment vertical="center"/>
    </xf>
    <xf numFmtId="177" fontId="10" fillId="0" borderId="0" xfId="1" applyNumberFormat="1" applyFont="1" applyFill="1" applyAlignment="1">
      <alignment vertical="center"/>
    </xf>
    <xf numFmtId="0" fontId="27" fillId="11" borderId="0" xfId="1" applyFont="1" applyFill="1" applyBorder="1" applyAlignment="1">
      <alignment horizontal="left" vertical="center"/>
    </xf>
    <xf numFmtId="14" fontId="2" fillId="6" borderId="8" xfId="1" applyNumberFormat="1" applyFont="1" applyFill="1" applyBorder="1" applyAlignment="1">
      <alignment horizontal="center" vertical="center"/>
    </xf>
    <xf numFmtId="0" fontId="21" fillId="11" borderId="0" xfId="1" applyFont="1" applyFill="1" applyAlignment="1">
      <alignment horizontal="left" vertical="center"/>
    </xf>
    <xf numFmtId="0" fontId="18" fillId="6" borderId="0" xfId="1" applyFont="1" applyFill="1" applyAlignment="1">
      <alignment vertical="center"/>
    </xf>
    <xf numFmtId="0" fontId="21" fillId="11" borderId="0" xfId="1" applyFont="1" applyFill="1" applyAlignment="1">
      <alignment horizontal="center" vertical="center"/>
    </xf>
    <xf numFmtId="194" fontId="21" fillId="11" borderId="0" xfId="1" applyNumberFormat="1" applyFont="1" applyFill="1" applyBorder="1" applyAlignment="1">
      <alignment horizontal="center" vertical="center"/>
    </xf>
    <xf numFmtId="194" fontId="21" fillId="11" borderId="0" xfId="3" applyNumberFormat="1" applyFont="1" applyFill="1" applyBorder="1" applyAlignment="1">
      <alignment horizontal="center" vertical="center"/>
    </xf>
    <xf numFmtId="202" fontId="2" fillId="0" borderId="78" xfId="1" applyNumberFormat="1" applyFont="1" applyFill="1" applyBorder="1" applyAlignment="1">
      <alignment horizontal="center" vertical="center" wrapText="1"/>
    </xf>
    <xf numFmtId="176" fontId="21" fillId="11" borderId="0" xfId="1" applyNumberFormat="1" applyFont="1" applyFill="1" applyBorder="1" applyAlignment="1">
      <alignment horizontal="center" vertical="center"/>
    </xf>
    <xf numFmtId="178" fontId="21" fillId="11" borderId="0" xfId="1" applyNumberFormat="1" applyFont="1" applyFill="1" applyAlignment="1">
      <alignment vertical="center"/>
    </xf>
    <xf numFmtId="0" fontId="2" fillId="11" borderId="0" xfId="1" applyFill="1" applyAlignment="1">
      <alignment horizontal="center" vertical="center"/>
    </xf>
    <xf numFmtId="185" fontId="21" fillId="11" borderId="0" xfId="1" applyNumberFormat="1" applyFont="1" applyFill="1" applyAlignment="1">
      <alignment vertical="center"/>
    </xf>
    <xf numFmtId="204" fontId="2" fillId="6" borderId="8" xfId="1" applyNumberFormat="1" applyFont="1" applyFill="1" applyBorder="1" applyAlignment="1">
      <alignment horizontal="right" vertical="center"/>
    </xf>
    <xf numFmtId="202" fontId="2" fillId="6" borderId="8" xfId="1" applyNumberFormat="1" applyFont="1" applyFill="1" applyBorder="1" applyAlignment="1">
      <alignment horizontal="center" vertical="center"/>
    </xf>
    <xf numFmtId="202" fontId="28" fillId="0" borderId="0" xfId="1" applyNumberFormat="1" applyFont="1" applyFill="1" applyBorder="1" applyAlignment="1">
      <alignment horizontal="center" vertical="center" wrapText="1"/>
    </xf>
    <xf numFmtId="42" fontId="5" fillId="0" borderId="0" xfId="1" applyNumberFormat="1" applyFont="1" applyFill="1" applyBorder="1" applyAlignment="1">
      <alignment horizontal="center" vertical="center"/>
    </xf>
    <xf numFmtId="189" fontId="5" fillId="0" borderId="0" xfId="1" applyNumberFormat="1" applyFont="1" applyFill="1" applyBorder="1" applyAlignment="1">
      <alignment horizontal="center" vertical="center"/>
    </xf>
    <xf numFmtId="185" fontId="21" fillId="0" borderId="0" xfId="1" applyNumberFormat="1" applyFont="1" applyFill="1" applyAlignment="1">
      <alignment horizontal="center" vertical="center"/>
    </xf>
    <xf numFmtId="0" fontId="21" fillId="0" borderId="0" xfId="1" applyFont="1" applyFill="1" applyAlignment="1">
      <alignment vertical="center"/>
    </xf>
    <xf numFmtId="202" fontId="18" fillId="0" borderId="0" xfId="1" applyNumberFormat="1" applyFont="1" applyAlignment="1">
      <alignment vertical="center"/>
    </xf>
    <xf numFmtId="14" fontId="41" fillId="0" borderId="0" xfId="1" applyNumberFormat="1" applyFont="1" applyAlignment="1">
      <alignment horizontal="center" vertical="center"/>
    </xf>
    <xf numFmtId="9" fontId="21" fillId="11" borderId="0" xfId="5" applyFont="1" applyFill="1" applyBorder="1" applyAlignment="1">
      <alignment horizontal="left" vertical="center"/>
    </xf>
    <xf numFmtId="176" fontId="21" fillId="11" borderId="0" xfId="3" applyNumberFormat="1" applyFont="1" applyFill="1" applyBorder="1" applyAlignment="1">
      <alignment horizontal="center" vertical="center"/>
    </xf>
    <xf numFmtId="203" fontId="2" fillId="0" borderId="8" xfId="1" applyNumberFormat="1" applyFont="1" applyFill="1" applyBorder="1" applyAlignment="1">
      <alignment horizontal="right" vertical="center" wrapText="1"/>
    </xf>
    <xf numFmtId="183" fontId="28" fillId="6" borderId="8" xfId="3" applyNumberFormat="1" applyFont="1" applyFill="1" applyBorder="1" applyAlignment="1">
      <alignment horizontal="left" vertical="center"/>
    </xf>
    <xf numFmtId="176" fontId="21" fillId="11" borderId="0" xfId="3" applyFont="1" applyFill="1" applyAlignment="1">
      <alignment vertical="center"/>
    </xf>
    <xf numFmtId="176" fontId="5" fillId="11" borderId="0" xfId="3" applyFont="1" applyFill="1" applyBorder="1" applyAlignment="1">
      <alignment horizontal="center" vertical="center"/>
    </xf>
    <xf numFmtId="183" fontId="28" fillId="0" borderId="8" xfId="3" applyNumberFormat="1" applyFont="1" applyFill="1" applyBorder="1" applyAlignment="1">
      <alignment horizontal="left" vertical="center"/>
    </xf>
    <xf numFmtId="203" fontId="2" fillId="6" borderId="8" xfId="1" applyNumberFormat="1" applyFont="1" applyFill="1" applyBorder="1" applyAlignment="1">
      <alignment horizontal="right" vertical="center" wrapText="1"/>
    </xf>
    <xf numFmtId="203" fontId="2" fillId="6" borderId="8" xfId="1" applyNumberFormat="1" applyFont="1" applyFill="1" applyBorder="1" applyAlignment="1">
      <alignment horizontal="center" vertical="center" wrapText="1"/>
    </xf>
    <xf numFmtId="4" fontId="2" fillId="11" borderId="0" xfId="1" applyNumberFormat="1" applyFill="1" applyAlignment="1">
      <alignment vertical="center"/>
    </xf>
    <xf numFmtId="203" fontId="2" fillId="0" borderId="12" xfId="1" applyNumberFormat="1" applyFont="1" applyFill="1" applyBorder="1" applyAlignment="1">
      <alignment horizontal="right" vertical="center" wrapText="1"/>
    </xf>
    <xf numFmtId="203" fontId="28" fillId="0" borderId="12" xfId="1" applyNumberFormat="1" applyFont="1" applyFill="1" applyBorder="1" applyAlignment="1">
      <alignment horizontal="center" vertical="center" wrapText="1"/>
    </xf>
    <xf numFmtId="203" fontId="42" fillId="0" borderId="12" xfId="1" applyNumberFormat="1" applyFont="1" applyFill="1" applyBorder="1" applyAlignment="1">
      <alignment horizontal="center" vertical="center" wrapText="1"/>
    </xf>
    <xf numFmtId="202" fontId="2" fillId="0" borderId="0" xfId="1" applyNumberFormat="1" applyFont="1" applyFill="1" applyBorder="1" applyAlignment="1">
      <alignment horizontal="center" vertical="center"/>
    </xf>
    <xf numFmtId="203" fontId="2" fillId="0" borderId="0" xfId="1" applyNumberFormat="1" applyFont="1" applyFill="1" applyBorder="1" applyAlignment="1">
      <alignment horizontal="right" vertical="center" wrapText="1"/>
    </xf>
    <xf numFmtId="203" fontId="2" fillId="0" borderId="0" xfId="1" applyNumberFormat="1" applyFont="1" applyFill="1" applyBorder="1" applyAlignment="1">
      <alignment horizontal="center" vertical="center" wrapText="1"/>
    </xf>
    <xf numFmtId="0" fontId="2" fillId="0" borderId="0" xfId="1" applyFont="1" applyFill="1" applyBorder="1" applyAlignment="1">
      <alignment vertical="center"/>
    </xf>
    <xf numFmtId="202" fontId="2" fillId="0" borderId="0" xfId="1" applyNumberFormat="1" applyFont="1" applyFill="1" applyBorder="1" applyAlignment="1">
      <alignment horizontal="right" vertical="center"/>
    </xf>
    <xf numFmtId="14" fontId="2" fillId="0" borderId="0" xfId="1" applyNumberFormat="1" applyFont="1" applyFill="1" applyBorder="1" applyAlignment="1">
      <alignment horizontal="center" vertical="center"/>
    </xf>
    <xf numFmtId="183" fontId="2" fillId="0" borderId="0" xfId="1" applyNumberFormat="1" applyFont="1" applyFill="1" applyBorder="1" applyAlignment="1">
      <alignment horizontal="center" vertical="center"/>
    </xf>
    <xf numFmtId="1" fontId="21" fillId="11" borderId="0" xfId="1" applyNumberFormat="1" applyFont="1" applyFill="1" applyAlignment="1">
      <alignment vertical="center"/>
    </xf>
    <xf numFmtId="14" fontId="5" fillId="11" borderId="0" xfId="3" applyNumberFormat="1" applyFont="1" applyFill="1" applyBorder="1" applyAlignment="1">
      <alignment horizontal="center" vertical="center"/>
    </xf>
    <xf numFmtId="202" fontId="2" fillId="0" borderId="63" xfId="1" applyNumberFormat="1" applyFont="1" applyFill="1" applyBorder="1" applyAlignment="1">
      <alignment horizontal="right" vertical="center"/>
    </xf>
    <xf numFmtId="0" fontId="11" fillId="0" borderId="78" xfId="1" applyFont="1" applyFill="1" applyBorder="1" applyAlignment="1">
      <alignment vertical="center"/>
    </xf>
    <xf numFmtId="0" fontId="11" fillId="17" borderId="0" xfId="1" applyFont="1" applyFill="1" applyBorder="1" applyAlignment="1">
      <alignment vertical="center"/>
    </xf>
    <xf numFmtId="0" fontId="28" fillId="17" borderId="0" xfId="1" applyFont="1" applyFill="1" applyBorder="1" applyAlignment="1">
      <alignment vertical="center"/>
    </xf>
    <xf numFmtId="202" fontId="28" fillId="17" borderId="0" xfId="1" applyNumberFormat="1" applyFont="1" applyFill="1" applyBorder="1" applyAlignment="1">
      <alignment horizontal="right" vertical="center"/>
    </xf>
    <xf numFmtId="183" fontId="28" fillId="17" borderId="0" xfId="1" applyNumberFormat="1" applyFont="1" applyFill="1" applyBorder="1" applyAlignment="1">
      <alignment horizontal="right" vertical="center"/>
    </xf>
    <xf numFmtId="14" fontId="28" fillId="17" borderId="0" xfId="1" applyNumberFormat="1" applyFont="1" applyFill="1" applyBorder="1" applyAlignment="1">
      <alignment horizontal="center" vertical="center"/>
    </xf>
    <xf numFmtId="10" fontId="28" fillId="17" borderId="0" xfId="1" applyNumberFormat="1" applyFont="1" applyFill="1" applyBorder="1" applyAlignment="1">
      <alignment horizontal="center" vertical="center"/>
    </xf>
    <xf numFmtId="183" fontId="28" fillId="17" borderId="0" xfId="3" applyNumberFormat="1" applyFont="1" applyFill="1" applyBorder="1" applyAlignment="1">
      <alignment horizontal="left" vertical="center"/>
    </xf>
    <xf numFmtId="0" fontId="11" fillId="0" borderId="0" xfId="1" applyFont="1" applyFill="1" applyBorder="1" applyAlignment="1">
      <alignment vertical="center"/>
    </xf>
    <xf numFmtId="202" fontId="5" fillId="0" borderId="78" xfId="1" applyNumberFormat="1" applyFont="1" applyBorder="1" applyAlignment="1">
      <alignment horizontal="center" vertical="center"/>
    </xf>
    <xf numFmtId="0" fontId="41" fillId="0" borderId="0" xfId="1" applyFont="1" applyFill="1" applyBorder="1" applyAlignment="1">
      <alignment horizontal="center" vertical="center"/>
    </xf>
    <xf numFmtId="0" fontId="41" fillId="0" borderId="0" xfId="1" applyFont="1" applyBorder="1" applyAlignment="1">
      <alignment horizontal="center" vertical="center"/>
    </xf>
    <xf numFmtId="185" fontId="21" fillId="11" borderId="0" xfId="3" applyNumberFormat="1" applyFont="1" applyFill="1" applyAlignment="1">
      <alignment horizontal="center" vertical="center"/>
    </xf>
    <xf numFmtId="183" fontId="41" fillId="0" borderId="0" xfId="1" applyNumberFormat="1" applyFont="1" applyAlignment="1">
      <alignment horizontal="center" vertical="center"/>
    </xf>
    <xf numFmtId="176" fontId="41" fillId="0" borderId="0" xfId="1" applyNumberFormat="1" applyFont="1" applyBorder="1" applyAlignment="1">
      <alignment horizontal="left" vertical="center"/>
    </xf>
    <xf numFmtId="176" fontId="2" fillId="0" borderId="0" xfId="1" applyNumberFormat="1" applyFont="1" applyBorder="1" applyAlignment="1">
      <alignment vertical="center"/>
    </xf>
    <xf numFmtId="176" fontId="2" fillId="0" borderId="0" xfId="1" applyNumberFormat="1" applyFont="1" applyAlignment="1">
      <alignment vertical="center"/>
    </xf>
    <xf numFmtId="210" fontId="41" fillId="0" borderId="0" xfId="1" applyNumberFormat="1" applyFont="1" applyBorder="1" applyAlignment="1">
      <alignment horizontal="left" vertical="center"/>
    </xf>
    <xf numFmtId="176" fontId="21" fillId="11" borderId="95" xfId="3" applyNumberFormat="1" applyFont="1" applyFill="1" applyBorder="1" applyAlignment="1">
      <alignment horizontal="center" vertical="center"/>
    </xf>
    <xf numFmtId="185" fontId="21" fillId="11" borderId="96" xfId="1" applyNumberFormat="1" applyFont="1" applyFill="1" applyBorder="1" applyAlignment="1">
      <alignment horizontal="center" vertical="center"/>
    </xf>
    <xf numFmtId="213" fontId="21" fillId="11" borderId="97" xfId="3" applyNumberFormat="1" applyFont="1" applyFill="1" applyBorder="1" applyAlignment="1">
      <alignment horizontal="left" vertical="center"/>
    </xf>
    <xf numFmtId="185" fontId="21" fillId="11" borderId="98" xfId="1" applyNumberFormat="1" applyFont="1" applyFill="1" applyBorder="1" applyAlignment="1">
      <alignment horizontal="center" vertical="center"/>
    </xf>
    <xf numFmtId="185" fontId="45" fillId="11" borderId="0" xfId="1" applyNumberFormat="1" applyFont="1" applyFill="1" applyBorder="1" applyAlignment="1">
      <alignment horizontal="center" vertical="center"/>
    </xf>
    <xf numFmtId="49" fontId="2" fillId="0" borderId="8" xfId="1" applyNumberFormat="1" applyFont="1" applyFill="1" applyBorder="1" applyAlignment="1">
      <alignment horizontal="center" vertical="center"/>
    </xf>
    <xf numFmtId="49" fontId="28" fillId="0" borderId="8" xfId="1" applyNumberFormat="1" applyFont="1" applyFill="1" applyBorder="1" applyAlignment="1">
      <alignment vertical="center" wrapText="1"/>
    </xf>
    <xf numFmtId="202" fontId="2" fillId="22" borderId="8" xfId="1" applyNumberFormat="1" applyFont="1" applyFill="1" applyBorder="1" applyAlignment="1">
      <alignment horizontal="right" vertical="center"/>
    </xf>
    <xf numFmtId="189" fontId="2" fillId="22" borderId="8" xfId="1" applyNumberFormat="1" applyFont="1" applyFill="1" applyBorder="1" applyAlignment="1">
      <alignment horizontal="center" vertical="center"/>
    </xf>
    <xf numFmtId="49" fontId="2" fillId="0" borderId="8" xfId="1" applyNumberFormat="1" applyFont="1" applyFill="1" applyBorder="1" applyAlignment="1">
      <alignment vertical="center" wrapText="1"/>
    </xf>
    <xf numFmtId="0" fontId="21" fillId="11" borderId="0" xfId="3" applyNumberFormat="1" applyFont="1" applyFill="1" applyBorder="1" applyAlignment="1">
      <alignment horizontal="left" vertical="center"/>
    </xf>
    <xf numFmtId="0" fontId="21" fillId="11" borderId="0" xfId="1" applyNumberFormat="1" applyFont="1" applyFill="1" applyAlignment="1">
      <alignment horizontal="left" vertical="center"/>
    </xf>
    <xf numFmtId="0" fontId="47" fillId="11" borderId="0" xfId="1" applyNumberFormat="1" applyFont="1" applyFill="1" applyAlignment="1">
      <alignment horizontal="left" vertical="center"/>
    </xf>
    <xf numFmtId="209" fontId="10" fillId="0" borderId="0" xfId="1" applyNumberFormat="1" applyFont="1" applyFill="1" applyBorder="1" applyAlignment="1">
      <alignment horizontal="right" vertical="center"/>
    </xf>
    <xf numFmtId="176" fontId="5" fillId="0" borderId="0" xfId="3" applyFont="1" applyFill="1" applyBorder="1" applyAlignment="1">
      <alignment horizontal="right" vertical="center"/>
    </xf>
    <xf numFmtId="0" fontId="5" fillId="11" borderId="0" xfId="1" applyFont="1" applyFill="1" applyBorder="1" applyAlignment="1">
      <alignment vertical="center"/>
    </xf>
    <xf numFmtId="0" fontId="7" fillId="11" borderId="0" xfId="1" applyFont="1" applyFill="1"/>
    <xf numFmtId="0" fontId="43" fillId="11" borderId="0" xfId="1" applyFont="1" applyFill="1"/>
    <xf numFmtId="202" fontId="34" fillId="0" borderId="0" xfId="1" applyNumberFormat="1" applyFont="1" applyBorder="1" applyAlignment="1">
      <alignment horizontal="center" vertical="center"/>
    </xf>
    <xf numFmtId="202" fontId="5" fillId="0" borderId="0" xfId="1" applyNumberFormat="1" applyFont="1" applyFill="1" applyBorder="1" applyAlignment="1">
      <alignment horizontal="right" vertical="center"/>
    </xf>
    <xf numFmtId="0" fontId="10" fillId="0" borderId="0" xfId="1" applyFont="1" applyFill="1" applyBorder="1" applyAlignment="1">
      <alignment horizontal="left" vertical="center" wrapText="1"/>
    </xf>
    <xf numFmtId="14" fontId="2" fillId="0" borderId="0" xfId="1" applyNumberFormat="1" applyFont="1" applyFill="1" applyBorder="1" applyAlignment="1">
      <alignment horizontal="center" vertical="center" wrapText="1"/>
    </xf>
    <xf numFmtId="209" fontId="2" fillId="0" borderId="8" xfId="1" applyNumberFormat="1" applyFont="1" applyFill="1" applyBorder="1" applyAlignment="1">
      <alignment horizontal="center" vertical="center"/>
    </xf>
    <xf numFmtId="0" fontId="29" fillId="0" borderId="8" xfId="1" applyFont="1" applyFill="1" applyBorder="1" applyAlignment="1">
      <alignment horizontal="center" vertical="center" wrapText="1"/>
    </xf>
    <xf numFmtId="0" fontId="2" fillId="0" borderId="8" xfId="1" applyFont="1" applyFill="1" applyBorder="1" applyAlignment="1">
      <alignment horizontal="center" vertical="center" wrapText="1"/>
    </xf>
    <xf numFmtId="189" fontId="2" fillId="6" borderId="8" xfId="1" applyNumberFormat="1" applyFont="1" applyFill="1" applyBorder="1" applyAlignment="1">
      <alignment horizontal="center" vertical="center" wrapText="1"/>
    </xf>
    <xf numFmtId="214" fontId="2" fillId="0" borderId="8" xfId="1" applyNumberFormat="1" applyFont="1" applyFill="1" applyBorder="1" applyAlignment="1">
      <alignment horizontal="center" vertical="center"/>
    </xf>
    <xf numFmtId="0" fontId="46" fillId="0" borderId="8" xfId="1" applyFont="1" applyFill="1" applyBorder="1" applyAlignment="1">
      <alignment horizontal="center" vertical="center" wrapText="1"/>
    </xf>
    <xf numFmtId="14" fontId="2" fillId="6" borderId="8" xfId="1" applyNumberFormat="1" applyFont="1" applyFill="1" applyBorder="1" applyAlignment="1">
      <alignment horizontal="center" vertical="center" wrapText="1"/>
    </xf>
    <xf numFmtId="0" fontId="2" fillId="6" borderId="8" xfId="1" applyFont="1" applyFill="1" applyBorder="1" applyAlignment="1">
      <alignment horizontal="center" vertical="center" wrapText="1"/>
    </xf>
    <xf numFmtId="209" fontId="46" fillId="0" borderId="8" xfId="1" applyNumberFormat="1" applyFont="1" applyFill="1" applyBorder="1" applyAlignment="1">
      <alignment horizontal="center" vertical="center"/>
    </xf>
    <xf numFmtId="209" fontId="2" fillId="0" borderId="0" xfId="1" applyNumberFormat="1" applyFont="1" applyFill="1" applyBorder="1" applyAlignment="1">
      <alignment horizontal="center" vertical="center"/>
    </xf>
    <xf numFmtId="0" fontId="29" fillId="0" borderId="0" xfId="1" applyFont="1" applyFill="1" applyBorder="1" applyAlignment="1">
      <alignment horizontal="center" vertical="center" wrapText="1"/>
    </xf>
    <xf numFmtId="215" fontId="29" fillId="0" borderId="0" xfId="3" applyNumberFormat="1" applyFont="1" applyFill="1" applyBorder="1" applyAlignment="1">
      <alignment horizontal="right" vertical="center" wrapText="1"/>
    </xf>
    <xf numFmtId="14" fontId="29" fillId="0" borderId="0" xfId="1" applyNumberFormat="1" applyFont="1" applyFill="1" applyBorder="1" applyAlignment="1">
      <alignment horizontal="center" vertical="center" wrapText="1"/>
    </xf>
    <xf numFmtId="176" fontId="39" fillId="0" borderId="0" xfId="1" applyNumberFormat="1" applyFont="1" applyFill="1" applyBorder="1" applyAlignment="1">
      <alignment horizontal="left" vertical="center"/>
    </xf>
    <xf numFmtId="185" fontId="21" fillId="11" borderId="0" xfId="1" applyNumberFormat="1" applyFont="1" applyFill="1" applyBorder="1" applyAlignment="1">
      <alignment horizontal="left" vertical="center"/>
    </xf>
    <xf numFmtId="176" fontId="0" fillId="11" borderId="0" xfId="3" applyFont="1" applyFill="1" applyAlignment="1">
      <alignment horizontal="left" vertical="center"/>
    </xf>
    <xf numFmtId="0" fontId="2" fillId="11" borderId="0" xfId="1" applyFont="1" applyFill="1" applyAlignment="1">
      <alignment horizontal="left" vertical="center"/>
    </xf>
    <xf numFmtId="14" fontId="2" fillId="11" borderId="0" xfId="1" applyNumberFormat="1" applyFont="1" applyFill="1" applyAlignment="1">
      <alignment horizontal="left" vertical="center"/>
    </xf>
    <xf numFmtId="21" fontId="2" fillId="11" borderId="0" xfId="1" applyNumberFormat="1" applyFont="1" applyFill="1" applyAlignment="1">
      <alignment horizontal="left" vertical="center"/>
    </xf>
    <xf numFmtId="203" fontId="2" fillId="0" borderId="28" xfId="1" applyNumberFormat="1" applyFont="1" applyFill="1" applyBorder="1" applyAlignment="1">
      <alignment horizontal="right" vertical="center" wrapText="1"/>
    </xf>
    <xf numFmtId="209" fontId="2" fillId="6" borderId="8" xfId="1" applyNumberFormat="1" applyFont="1" applyFill="1" applyBorder="1" applyAlignment="1">
      <alignment horizontal="center" vertical="center"/>
    </xf>
    <xf numFmtId="202" fontId="5" fillId="0" borderId="0" xfId="1" applyNumberFormat="1" applyFont="1" applyBorder="1" applyAlignment="1">
      <alignment horizontal="center" vertical="center"/>
    </xf>
    <xf numFmtId="203" fontId="2" fillId="0" borderId="23" xfId="1" applyNumberFormat="1" applyFont="1" applyFill="1" applyBorder="1" applyAlignment="1">
      <alignment horizontal="right" vertical="center" wrapText="1"/>
    </xf>
    <xf numFmtId="203" fontId="2" fillId="6" borderId="23" xfId="1" applyNumberFormat="1" applyFont="1" applyFill="1" applyBorder="1" applyAlignment="1">
      <alignment horizontal="center" vertical="center" wrapText="1"/>
    </xf>
    <xf numFmtId="209" fontId="2" fillId="6" borderId="0" xfId="1" applyNumberFormat="1" applyFont="1" applyFill="1" applyBorder="1" applyAlignment="1">
      <alignment horizontal="center" vertical="center"/>
    </xf>
    <xf numFmtId="0" fontId="2" fillId="6" borderId="0" xfId="1" applyFont="1" applyFill="1" applyBorder="1" applyAlignment="1">
      <alignment horizontal="center" vertical="center" wrapText="1"/>
    </xf>
    <xf numFmtId="14" fontId="2" fillId="6" borderId="0" xfId="1" applyNumberFormat="1" applyFont="1" applyFill="1" applyBorder="1" applyAlignment="1">
      <alignment horizontal="center" vertical="center" wrapText="1"/>
    </xf>
    <xf numFmtId="176" fontId="2" fillId="0" borderId="0" xfId="1" applyNumberFormat="1" applyFont="1" applyFill="1" applyBorder="1" applyAlignment="1">
      <alignment horizontal="left" vertical="center"/>
    </xf>
    <xf numFmtId="216" fontId="21" fillId="11" borderId="0" xfId="1" applyNumberFormat="1" applyFont="1" applyFill="1" applyBorder="1" applyAlignment="1">
      <alignment horizontal="center" vertical="center"/>
    </xf>
    <xf numFmtId="194" fontId="29" fillId="0" borderId="8" xfId="3" applyNumberFormat="1" applyFont="1" applyFill="1" applyBorder="1" applyAlignment="1">
      <alignment vertical="center" wrapText="1"/>
    </xf>
    <xf numFmtId="176" fontId="0" fillId="11" borderId="0" xfId="3" applyFont="1" applyFill="1" applyBorder="1" applyAlignment="1">
      <alignment vertical="center"/>
    </xf>
    <xf numFmtId="0" fontId="2" fillId="11" borderId="0" xfId="1" applyFont="1" applyFill="1" applyBorder="1" applyAlignment="1">
      <alignment vertical="center"/>
    </xf>
    <xf numFmtId="176" fontId="0" fillId="11" borderId="0" xfId="3" applyFont="1" applyFill="1" applyBorder="1" applyAlignment="1">
      <alignment horizontal="center" vertical="center"/>
    </xf>
    <xf numFmtId="0" fontId="2" fillId="11" borderId="0" xfId="1" applyFont="1" applyFill="1" applyBorder="1" applyAlignment="1">
      <alignment horizontal="center" vertical="center"/>
    </xf>
    <xf numFmtId="0" fontId="2" fillId="0" borderId="12" xfId="1" applyFont="1" applyFill="1" applyBorder="1" applyAlignment="1">
      <alignment horizontal="centerContinuous" vertical="center" wrapText="1"/>
    </xf>
    <xf numFmtId="0" fontId="2" fillId="0" borderId="28" xfId="1" applyFont="1" applyFill="1" applyBorder="1" applyAlignment="1">
      <alignment horizontal="centerContinuous" vertical="center" wrapText="1"/>
    </xf>
    <xf numFmtId="14" fontId="2" fillId="2" borderId="8" xfId="1" applyNumberFormat="1" applyFont="1" applyFill="1" applyBorder="1" applyAlignment="1" applyProtection="1">
      <alignment horizontal="center" vertical="center" wrapText="1"/>
    </xf>
    <xf numFmtId="9" fontId="2" fillId="0" borderId="8" xfId="1" applyNumberFormat="1" applyFont="1" applyFill="1" applyBorder="1" applyAlignment="1" applyProtection="1">
      <alignment horizontal="center" vertical="center" wrapText="1"/>
      <protection locked="0"/>
    </xf>
    <xf numFmtId="10" fontId="2" fillId="0" borderId="8" xfId="1" applyNumberFormat="1" applyFont="1" applyFill="1" applyBorder="1" applyAlignment="1" applyProtection="1">
      <alignment horizontal="center" vertical="center" wrapText="1"/>
      <protection locked="0"/>
    </xf>
    <xf numFmtId="10" fontId="2" fillId="0" borderId="8" xfId="5" applyNumberFormat="1" applyFont="1" applyFill="1" applyBorder="1" applyAlignment="1">
      <alignment horizontal="right" vertical="center" wrapText="1"/>
    </xf>
    <xf numFmtId="191" fontId="2" fillId="0" borderId="8" xfId="1" applyNumberFormat="1" applyFont="1" applyFill="1" applyBorder="1" applyAlignment="1">
      <alignment horizontal="center" vertical="center" wrapText="1"/>
    </xf>
    <xf numFmtId="191" fontId="10" fillId="0" borderId="8" xfId="1" applyNumberFormat="1" applyFont="1" applyFill="1" applyBorder="1" applyAlignment="1">
      <alignment horizontal="center" vertical="center" wrapText="1"/>
    </xf>
    <xf numFmtId="10" fontId="2" fillId="0" borderId="8" xfId="5" applyNumberFormat="1" applyFont="1" applyFill="1" applyBorder="1" applyAlignment="1">
      <alignment horizontal="right" vertical="center"/>
    </xf>
    <xf numFmtId="10" fontId="2" fillId="0" borderId="0" xfId="1" applyNumberFormat="1" applyFont="1" applyFill="1" applyBorder="1" applyAlignment="1" applyProtection="1">
      <alignment horizontal="center" vertical="center" wrapText="1"/>
      <protection locked="0"/>
    </xf>
    <xf numFmtId="10" fontId="2" fillId="0" borderId="0" xfId="5" applyNumberFormat="1" applyFont="1" applyFill="1" applyBorder="1" applyAlignment="1">
      <alignment horizontal="right" vertical="center"/>
    </xf>
    <xf numFmtId="10" fontId="5" fillId="0" borderId="0" xfId="5" applyNumberFormat="1" applyFont="1" applyFill="1" applyBorder="1" applyAlignment="1" applyProtection="1">
      <alignment horizontal="right" vertical="center" wrapText="1"/>
      <protection locked="0"/>
    </xf>
    <xf numFmtId="10" fontId="2" fillId="0" borderId="0" xfId="5" applyNumberFormat="1" applyFont="1" applyFill="1" applyBorder="1" applyAlignment="1" applyProtection="1">
      <alignment horizontal="right" vertical="center"/>
      <protection locked="0"/>
    </xf>
    <xf numFmtId="191" fontId="2" fillId="0" borderId="0" xfId="1" applyNumberFormat="1" applyFont="1" applyFill="1" applyBorder="1" applyAlignment="1">
      <alignment horizontal="center" vertical="center" wrapText="1"/>
    </xf>
    <xf numFmtId="0" fontId="2" fillId="8" borderId="12" xfId="1" applyFont="1" applyFill="1" applyBorder="1" applyAlignment="1">
      <alignment horizontal="centerContinuous" vertical="center" wrapText="1"/>
    </xf>
    <xf numFmtId="0" fontId="2" fillId="8" borderId="63" xfId="1" applyFont="1" applyFill="1" applyBorder="1" applyAlignment="1">
      <alignment horizontal="centerContinuous" vertical="center" wrapText="1"/>
    </xf>
    <xf numFmtId="189" fontId="2" fillId="8" borderId="8" xfId="1" applyNumberFormat="1" applyFont="1" applyFill="1" applyBorder="1" applyAlignment="1" applyProtection="1">
      <alignment horizontal="center" vertical="center" wrapText="1"/>
      <protection locked="0"/>
    </xf>
    <xf numFmtId="189" fontId="2" fillId="8" borderId="8" xfId="5" applyNumberFormat="1" applyFont="1" applyFill="1" applyBorder="1" applyAlignment="1">
      <alignment horizontal="center" vertical="center" wrapText="1"/>
    </xf>
    <xf numFmtId="9" fontId="2" fillId="8" borderId="8" xfId="5" applyFont="1" applyFill="1" applyBorder="1" applyAlignment="1" applyProtection="1">
      <alignment horizontal="center" vertical="center" wrapText="1"/>
      <protection locked="0"/>
    </xf>
    <xf numFmtId="191" fontId="25" fillId="8" borderId="8" xfId="1" applyNumberFormat="1" applyFont="1" applyFill="1" applyBorder="1" applyAlignment="1">
      <alignment horizontal="left" vertical="center" wrapText="1"/>
    </xf>
    <xf numFmtId="0" fontId="2" fillId="8" borderId="27" xfId="1" applyFont="1" applyFill="1" applyBorder="1" applyAlignment="1">
      <alignment horizontal="centerContinuous" vertical="center" wrapText="1"/>
    </xf>
    <xf numFmtId="0" fontId="2" fillId="8" borderId="78" xfId="1" applyFont="1" applyFill="1" applyBorder="1" applyAlignment="1">
      <alignment horizontal="centerContinuous" vertical="center" wrapText="1"/>
    </xf>
    <xf numFmtId="189" fontId="2" fillId="8" borderId="48" xfId="1" applyNumberFormat="1" applyFont="1" applyFill="1" applyBorder="1" applyAlignment="1" applyProtection="1">
      <alignment horizontal="center" vertical="center" wrapText="1"/>
      <protection locked="0"/>
    </xf>
    <xf numFmtId="189" fontId="2" fillId="8" borderId="48" xfId="5" applyNumberFormat="1" applyFont="1" applyFill="1" applyBorder="1" applyAlignment="1">
      <alignment horizontal="center" vertical="center" wrapText="1"/>
    </xf>
    <xf numFmtId="9" fontId="2" fillId="8" borderId="48" xfId="5" applyFont="1" applyFill="1" applyBorder="1" applyAlignment="1" applyProtection="1">
      <alignment horizontal="center" vertical="center" wrapText="1"/>
      <protection locked="0"/>
    </xf>
    <xf numFmtId="191" fontId="25" fillId="8" borderId="48" xfId="1" applyNumberFormat="1" applyFont="1" applyFill="1" applyBorder="1" applyAlignment="1">
      <alignment horizontal="left" vertical="center" wrapText="1"/>
    </xf>
    <xf numFmtId="0" fontId="2" fillId="0" borderId="84" xfId="1" applyFont="1" applyFill="1" applyBorder="1" applyAlignment="1">
      <alignment horizontal="centerContinuous" vertical="center" wrapText="1"/>
    </xf>
    <xf numFmtId="0" fontId="2" fillId="0" borderId="99" xfId="1" applyFont="1" applyFill="1" applyBorder="1" applyAlignment="1">
      <alignment horizontal="centerContinuous" vertical="center" wrapText="1"/>
    </xf>
    <xf numFmtId="204" fontId="2" fillId="0" borderId="86" xfId="1" applyNumberFormat="1" applyFont="1" applyFill="1" applyBorder="1" applyAlignment="1" applyProtection="1">
      <alignment horizontal="right" vertical="center" wrapText="1"/>
      <protection locked="0"/>
    </xf>
    <xf numFmtId="189" fontId="2" fillId="0" borderId="86" xfId="1" applyNumberFormat="1" applyFont="1" applyFill="1" applyBorder="1" applyAlignment="1" applyProtection="1">
      <alignment horizontal="center" vertical="center" wrapText="1"/>
      <protection locked="0"/>
    </xf>
    <xf numFmtId="189" fontId="2" fillId="0" borderId="86" xfId="5" applyNumberFormat="1" applyFont="1" applyFill="1" applyBorder="1" applyAlignment="1">
      <alignment horizontal="center" vertical="center" wrapText="1"/>
    </xf>
    <xf numFmtId="9" fontId="2" fillId="0" borderId="86" xfId="5" applyFont="1" applyFill="1" applyBorder="1" applyAlignment="1" applyProtection="1">
      <alignment horizontal="center" vertical="center" wrapText="1"/>
      <protection locked="0"/>
    </xf>
    <xf numFmtId="191" fontId="25" fillId="0" borderId="100" xfId="1" applyNumberFormat="1" applyFont="1" applyFill="1" applyBorder="1" applyAlignment="1">
      <alignment horizontal="left" vertical="center" wrapText="1"/>
    </xf>
    <xf numFmtId="185" fontId="2" fillId="11" borderId="0" xfId="1" applyNumberFormat="1" applyFill="1" applyBorder="1" applyAlignment="1">
      <alignment vertical="center"/>
    </xf>
    <xf numFmtId="0" fontId="2" fillId="0" borderId="90" xfId="1" applyFont="1" applyFill="1" applyBorder="1" applyAlignment="1">
      <alignment horizontal="centerContinuous" vertical="center" wrapText="1"/>
    </xf>
    <xf numFmtId="0" fontId="2" fillId="0" borderId="63" xfId="1" applyFont="1" applyFill="1" applyBorder="1" applyAlignment="1">
      <alignment horizontal="centerContinuous" vertical="center" wrapText="1"/>
    </xf>
    <xf numFmtId="204" fontId="2" fillId="0" borderId="8" xfId="1" applyNumberFormat="1" applyFont="1" applyFill="1" applyBorder="1" applyAlignment="1" applyProtection="1">
      <alignment horizontal="right" vertical="center" wrapText="1"/>
      <protection locked="0"/>
    </xf>
    <xf numFmtId="189" fontId="2" fillId="0" borderId="8" xfId="1" applyNumberFormat="1" applyFont="1" applyFill="1" applyBorder="1" applyAlignment="1" applyProtection="1">
      <alignment horizontal="center" vertical="center" wrapText="1"/>
      <protection locked="0"/>
    </xf>
    <xf numFmtId="9" fontId="2" fillId="0" borderId="8" xfId="5" applyFont="1" applyFill="1" applyBorder="1" applyAlignment="1" applyProtection="1">
      <alignment horizontal="center" vertical="center" wrapText="1"/>
      <protection locked="0"/>
    </xf>
    <xf numFmtId="191" fontId="25" fillId="0" borderId="101" xfId="1" applyNumberFormat="1" applyFont="1" applyFill="1" applyBorder="1" applyAlignment="1">
      <alignment horizontal="left" vertical="center" wrapText="1"/>
    </xf>
    <xf numFmtId="189" fontId="2" fillId="0" borderId="8" xfId="5" applyNumberFormat="1" applyFont="1" applyFill="1" applyBorder="1" applyAlignment="1">
      <alignment horizontal="center" vertical="center" wrapText="1"/>
    </xf>
    <xf numFmtId="205" fontId="2" fillId="0" borderId="8" xfId="5" applyNumberFormat="1" applyFont="1" applyFill="1" applyBorder="1" applyAlignment="1" applyProtection="1">
      <alignment horizontal="center" vertical="center" wrapText="1"/>
      <protection locked="0"/>
    </xf>
    <xf numFmtId="194" fontId="0" fillId="11" borderId="0" xfId="3" applyNumberFormat="1" applyFont="1" applyFill="1" applyBorder="1" applyAlignment="1">
      <alignment vertical="center"/>
    </xf>
    <xf numFmtId="0" fontId="2" fillId="0" borderId="102" xfId="1" applyFont="1" applyFill="1" applyBorder="1" applyAlignment="1">
      <alignment horizontal="centerContinuous" vertical="center" wrapText="1"/>
    </xf>
    <xf numFmtId="0" fontId="2" fillId="0" borderId="103" xfId="1" applyFont="1" applyFill="1" applyBorder="1" applyAlignment="1">
      <alignment horizontal="centerContinuous" vertical="center" wrapText="1"/>
    </xf>
    <xf numFmtId="204" fontId="2" fillId="0" borderId="105" xfId="1" applyNumberFormat="1" applyFont="1" applyFill="1" applyBorder="1" applyAlignment="1" applyProtection="1">
      <alignment horizontal="right" vertical="center" wrapText="1"/>
      <protection locked="0"/>
    </xf>
    <xf numFmtId="189" fontId="2" fillId="0" borderId="105" xfId="1" applyNumberFormat="1" applyFont="1" applyFill="1" applyBorder="1" applyAlignment="1" applyProtection="1">
      <alignment horizontal="center" vertical="center" wrapText="1"/>
      <protection locked="0"/>
    </xf>
    <xf numFmtId="189" fontId="2" fillId="0" borderId="105" xfId="5" applyNumberFormat="1" applyFont="1" applyFill="1" applyBorder="1" applyAlignment="1">
      <alignment horizontal="center" vertical="center"/>
    </xf>
    <xf numFmtId="205" fontId="2" fillId="0" borderId="105" xfId="3" applyNumberFormat="1" applyFont="1" applyFill="1" applyBorder="1" applyAlignment="1" applyProtection="1">
      <alignment horizontal="center" vertical="center" wrapText="1"/>
      <protection locked="0"/>
    </xf>
    <xf numFmtId="191" fontId="10" fillId="0" borderId="106" xfId="1" applyNumberFormat="1" applyFont="1" applyFill="1" applyBorder="1" applyAlignment="1">
      <alignment horizontal="left" vertical="center" wrapText="1"/>
    </xf>
    <xf numFmtId="0" fontId="2" fillId="0" borderId="107" xfId="1" applyFont="1" applyFill="1" applyBorder="1" applyAlignment="1">
      <alignment horizontal="centerContinuous" vertical="center" wrapText="1"/>
    </xf>
    <xf numFmtId="204" fontId="5" fillId="7" borderId="9" xfId="3" applyNumberFormat="1" applyFont="1" applyFill="1" applyBorder="1" applyAlignment="1" applyProtection="1">
      <alignment horizontal="center" vertical="center" wrapText="1"/>
      <protection locked="0"/>
    </xf>
    <xf numFmtId="14" fontId="2" fillId="0" borderId="9" xfId="1" applyNumberFormat="1" applyFont="1" applyFill="1" applyBorder="1" applyAlignment="1" applyProtection="1">
      <alignment horizontal="center" vertical="center" wrapText="1"/>
      <protection locked="0"/>
    </xf>
    <xf numFmtId="14" fontId="2" fillId="0" borderId="9" xfId="5" applyNumberFormat="1" applyFont="1" applyFill="1" applyBorder="1" applyAlignment="1">
      <alignment horizontal="center" vertical="center"/>
    </xf>
    <xf numFmtId="9" fontId="2" fillId="0" borderId="9" xfId="5" applyFont="1" applyFill="1" applyBorder="1" applyAlignment="1" applyProtection="1">
      <alignment horizontal="center" vertical="center" wrapText="1"/>
      <protection locked="0"/>
    </xf>
    <xf numFmtId="10" fontId="2" fillId="0" borderId="9" xfId="5" applyNumberFormat="1" applyFont="1" applyFill="1" applyBorder="1" applyAlignment="1" applyProtection="1">
      <alignment horizontal="center" vertical="center"/>
      <protection locked="0"/>
    </xf>
    <xf numFmtId="191" fontId="10" fillId="0" borderId="9" xfId="1" applyNumberFormat="1" applyFont="1" applyFill="1" applyBorder="1" applyAlignment="1">
      <alignment horizontal="left" vertical="center" wrapText="1"/>
    </xf>
    <xf numFmtId="0" fontId="28" fillId="0" borderId="12" xfId="1" applyFont="1" applyFill="1" applyBorder="1" applyAlignment="1">
      <alignment horizontal="center" vertical="center" wrapText="1"/>
    </xf>
    <xf numFmtId="202" fontId="28" fillId="0" borderId="8" xfId="3" applyNumberFormat="1" applyFont="1" applyFill="1" applyBorder="1" applyAlignment="1" applyProtection="1">
      <alignment horizontal="center" vertical="center" wrapText="1"/>
      <protection locked="0"/>
    </xf>
    <xf numFmtId="191" fontId="10" fillId="0" borderId="8" xfId="1" applyNumberFormat="1" applyFont="1" applyFill="1" applyBorder="1" applyAlignment="1">
      <alignment horizontal="left" vertical="center" wrapText="1"/>
    </xf>
    <xf numFmtId="204" fontId="5" fillId="7" borderId="8" xfId="3" applyNumberFormat="1" applyFont="1" applyFill="1" applyBorder="1" applyAlignment="1" applyProtection="1">
      <alignment horizontal="center" vertical="center" wrapText="1"/>
      <protection locked="0"/>
    </xf>
    <xf numFmtId="14" fontId="2" fillId="0" borderId="8" xfId="1" applyNumberFormat="1" applyFont="1" applyFill="1" applyBorder="1" applyAlignment="1" applyProtection="1">
      <alignment horizontal="center" vertical="center" wrapText="1"/>
      <protection locked="0"/>
    </xf>
    <xf numFmtId="14" fontId="2" fillId="0" borderId="8" xfId="5" applyNumberFormat="1" applyFont="1" applyFill="1" applyBorder="1" applyAlignment="1">
      <alignment horizontal="center" vertical="center"/>
    </xf>
    <xf numFmtId="10" fontId="2" fillId="0" borderId="8" xfId="5" applyNumberFormat="1" applyFont="1" applyFill="1" applyBorder="1" applyAlignment="1" applyProtection="1">
      <alignment horizontal="center" vertical="center"/>
      <protection locked="0"/>
    </xf>
    <xf numFmtId="204" fontId="5" fillId="0" borderId="0" xfId="3" applyNumberFormat="1" applyFont="1" applyFill="1" applyBorder="1" applyAlignment="1" applyProtection="1">
      <alignment horizontal="center" vertical="center" wrapText="1"/>
      <protection locked="0"/>
    </xf>
    <xf numFmtId="14" fontId="2" fillId="0" borderId="0" xfId="1" applyNumberFormat="1" applyFont="1" applyFill="1" applyBorder="1" applyAlignment="1" applyProtection="1">
      <alignment horizontal="center" vertical="center" wrapText="1"/>
      <protection locked="0"/>
    </xf>
    <xf numFmtId="14" fontId="2" fillId="0" borderId="0" xfId="5" applyNumberFormat="1" applyFont="1" applyFill="1" applyBorder="1" applyAlignment="1">
      <alignment horizontal="center" vertical="center"/>
    </xf>
    <xf numFmtId="9" fontId="2" fillId="0" borderId="0" xfId="5" applyFont="1" applyFill="1" applyBorder="1" applyAlignment="1" applyProtection="1">
      <alignment horizontal="center" vertical="center" wrapText="1"/>
      <protection locked="0"/>
    </xf>
    <xf numFmtId="10" fontId="2" fillId="0" borderId="0" xfId="5" applyNumberFormat="1" applyFont="1" applyFill="1" applyBorder="1" applyAlignment="1" applyProtection="1">
      <alignment horizontal="center" vertical="center"/>
      <protection locked="0"/>
    </xf>
    <xf numFmtId="191" fontId="10" fillId="0" borderId="0" xfId="1" applyNumberFormat="1" applyFont="1" applyFill="1" applyBorder="1" applyAlignment="1">
      <alignment horizontal="left" vertical="center" wrapText="1"/>
    </xf>
    <xf numFmtId="204" fontId="21" fillId="11" borderId="0" xfId="1" applyNumberFormat="1" applyFont="1" applyFill="1" applyBorder="1" applyAlignment="1">
      <alignment horizontal="left" vertical="center"/>
    </xf>
    <xf numFmtId="211" fontId="2" fillId="0" borderId="8" xfId="5" applyNumberFormat="1" applyFont="1" applyFill="1" applyBorder="1" applyAlignment="1" applyProtection="1">
      <alignment horizontal="center" vertical="center" wrapText="1"/>
      <protection locked="0"/>
    </xf>
    <xf numFmtId="204" fontId="2" fillId="0" borderId="48" xfId="3" applyNumberFormat="1" applyFont="1" applyFill="1" applyBorder="1" applyAlignment="1" applyProtection="1">
      <alignment horizontal="center" vertical="center" wrapText="1"/>
      <protection locked="0"/>
    </xf>
    <xf numFmtId="189" fontId="2" fillId="0" borderId="48" xfId="1" applyNumberFormat="1" applyFont="1" applyFill="1" applyBorder="1" applyAlignment="1" applyProtection="1">
      <alignment horizontal="center" vertical="center" wrapText="1"/>
      <protection locked="0"/>
    </xf>
    <xf numFmtId="189" fontId="2" fillId="0" borderId="48" xfId="5" applyNumberFormat="1" applyFont="1" applyFill="1" applyBorder="1" applyAlignment="1">
      <alignment horizontal="center" vertical="center" wrapText="1"/>
    </xf>
    <xf numFmtId="211" fontId="2" fillId="0" borderId="48" xfId="5" applyNumberFormat="1" applyFont="1" applyFill="1" applyBorder="1" applyAlignment="1" applyProtection="1">
      <alignment horizontal="center" vertical="center" wrapText="1"/>
      <protection locked="0"/>
    </xf>
    <xf numFmtId="183" fontId="10" fillId="0" borderId="25" xfId="5" applyNumberFormat="1" applyFont="1" applyFill="1" applyBorder="1" applyAlignment="1" applyProtection="1">
      <alignment horizontal="center" vertical="center" wrapText="1"/>
      <protection locked="0"/>
    </xf>
    <xf numFmtId="191" fontId="10" fillId="0" borderId="48" xfId="1" applyNumberFormat="1" applyFont="1" applyFill="1" applyBorder="1" applyAlignment="1">
      <alignment horizontal="left" vertical="center" wrapText="1"/>
    </xf>
    <xf numFmtId="0" fontId="6" fillId="0" borderId="99" xfId="1" applyFont="1" applyFill="1" applyBorder="1" applyAlignment="1">
      <alignment vertical="center" wrapText="1"/>
    </xf>
    <xf numFmtId="191" fontId="48" fillId="19" borderId="100" xfId="1" applyNumberFormat="1" applyFont="1" applyFill="1" applyBorder="1" applyAlignment="1">
      <alignment horizontal="left" vertical="center" wrapText="1"/>
    </xf>
    <xf numFmtId="183" fontId="41" fillId="0" borderId="28" xfId="1" applyNumberFormat="1" applyFont="1" applyFill="1" applyBorder="1" applyAlignment="1">
      <alignment horizontal="center" vertical="center" wrapText="1"/>
    </xf>
    <xf numFmtId="183" fontId="2" fillId="0" borderId="8" xfId="5" applyNumberFormat="1" applyFont="1" applyFill="1" applyBorder="1" applyAlignment="1" applyProtection="1">
      <alignment horizontal="center" vertical="center"/>
      <protection locked="0"/>
    </xf>
    <xf numFmtId="191" fontId="9" fillId="0" borderId="101" xfId="1" applyNumberFormat="1" applyFont="1" applyFill="1" applyBorder="1" applyAlignment="1">
      <alignment horizontal="left" vertical="center" wrapText="1"/>
    </xf>
    <xf numFmtId="191" fontId="9" fillId="5" borderId="101" xfId="1" applyNumberFormat="1" applyFont="1" applyFill="1" applyBorder="1" applyAlignment="1">
      <alignment horizontal="left" vertical="center" wrapText="1"/>
    </xf>
    <xf numFmtId="191" fontId="49" fillId="5" borderId="101" xfId="1" applyNumberFormat="1" applyFont="1" applyFill="1" applyBorder="1" applyAlignment="1">
      <alignment horizontal="left" vertical="center" wrapText="1"/>
    </xf>
    <xf numFmtId="191" fontId="10" fillId="0" borderId="101" xfId="1" applyNumberFormat="1" applyFont="1" applyFill="1" applyBorder="1" applyAlignment="1">
      <alignment horizontal="left" vertical="center" wrapText="1"/>
    </xf>
    <xf numFmtId="183" fontId="41" fillId="0" borderId="88" xfId="1" applyNumberFormat="1" applyFont="1" applyFill="1" applyBorder="1" applyAlignment="1">
      <alignment horizontal="center" vertical="center" wrapText="1"/>
    </xf>
    <xf numFmtId="183" fontId="41" fillId="0" borderId="104" xfId="1" applyNumberFormat="1" applyFont="1" applyFill="1" applyBorder="1" applyAlignment="1">
      <alignment horizontal="center" vertical="center" wrapText="1"/>
    </xf>
    <xf numFmtId="183" fontId="2" fillId="0" borderId="105" xfId="5" applyNumberFormat="1" applyFont="1" applyFill="1" applyBorder="1" applyAlignment="1" applyProtection="1">
      <alignment horizontal="center" vertical="center"/>
      <protection locked="0"/>
    </xf>
    <xf numFmtId="191" fontId="12" fillId="0" borderId="106" xfId="1" applyNumberFormat="1" applyFont="1" applyFill="1" applyBorder="1" applyAlignment="1">
      <alignment horizontal="left" vertical="center" wrapText="1"/>
    </xf>
    <xf numFmtId="189" fontId="2" fillId="0" borderId="25" xfId="1" applyNumberFormat="1" applyFont="1" applyFill="1" applyBorder="1" applyAlignment="1" applyProtection="1">
      <alignment horizontal="center" vertical="center" wrapText="1"/>
      <protection locked="0"/>
    </xf>
    <xf numFmtId="183" fontId="2" fillId="0" borderId="25" xfId="5" applyNumberFormat="1" applyFont="1" applyFill="1" applyBorder="1" applyAlignment="1" applyProtection="1">
      <alignment horizontal="center" vertical="center"/>
      <protection locked="0"/>
    </xf>
    <xf numFmtId="191" fontId="5" fillId="19" borderId="89" xfId="1" applyNumberFormat="1" applyFont="1" applyFill="1" applyBorder="1" applyAlignment="1">
      <alignment horizontal="left" vertical="center" wrapText="1"/>
    </xf>
    <xf numFmtId="0" fontId="10" fillId="13" borderId="7" xfId="1" applyFont="1" applyFill="1" applyBorder="1" applyAlignment="1">
      <alignment horizontal="center" vertical="center" wrapText="1"/>
    </xf>
    <xf numFmtId="183" fontId="41" fillId="0" borderId="112" xfId="1" applyNumberFormat="1" applyFont="1" applyFill="1" applyBorder="1" applyAlignment="1">
      <alignment horizontal="center" vertical="center" wrapText="1"/>
    </xf>
    <xf numFmtId="204" fontId="11" fillId="0" borderId="113" xfId="3" applyNumberFormat="1" applyFont="1" applyFill="1" applyBorder="1" applyAlignment="1" applyProtection="1">
      <alignment horizontal="center" vertical="center" wrapText="1"/>
      <protection locked="0"/>
    </xf>
    <xf numFmtId="189" fontId="2" fillId="0" borderId="114" xfId="1" applyNumberFormat="1" applyFont="1" applyFill="1" applyBorder="1" applyAlignment="1" applyProtection="1">
      <alignment horizontal="center" vertical="center" wrapText="1"/>
      <protection locked="0"/>
    </xf>
    <xf numFmtId="10" fontId="5" fillId="0" borderId="114" xfId="5" applyNumberFormat="1" applyFont="1" applyFill="1" applyBorder="1" applyAlignment="1" applyProtection="1">
      <alignment horizontal="center" vertical="center" wrapText="1"/>
      <protection locked="0"/>
    </xf>
    <xf numFmtId="183" fontId="2" fillId="0" borderId="114" xfId="5" applyNumberFormat="1" applyFont="1" applyFill="1" applyBorder="1" applyAlignment="1" applyProtection="1">
      <alignment horizontal="center" vertical="center"/>
      <protection locked="0"/>
    </xf>
    <xf numFmtId="191" fontId="5" fillId="19" borderId="115" xfId="1" applyNumberFormat="1" applyFont="1" applyFill="1" applyBorder="1" applyAlignment="1">
      <alignment horizontal="left" vertical="center" wrapText="1"/>
    </xf>
    <xf numFmtId="183" fontId="6" fillId="0" borderId="117" xfId="1" applyNumberFormat="1" applyFont="1" applyFill="1" applyBorder="1" applyAlignment="1">
      <alignment horizontal="center" vertical="center" wrapText="1"/>
    </xf>
    <xf numFmtId="189" fontId="2" fillId="0" borderId="110" xfId="1" applyNumberFormat="1" applyFont="1" applyFill="1" applyBorder="1" applyAlignment="1" applyProtection="1">
      <alignment horizontal="center" vertical="center" wrapText="1"/>
      <protection locked="0"/>
    </xf>
    <xf numFmtId="183" fontId="2" fillId="0" borderId="110" xfId="5" applyNumberFormat="1" applyFont="1" applyFill="1" applyBorder="1" applyAlignment="1" applyProtection="1">
      <alignment horizontal="center" vertical="center"/>
      <protection locked="0"/>
    </xf>
    <xf numFmtId="191" fontId="48" fillId="19" borderId="87" xfId="1" applyNumberFormat="1" applyFont="1" applyFill="1" applyBorder="1" applyAlignment="1">
      <alignment horizontal="left" vertical="center" wrapText="1"/>
    </xf>
    <xf numFmtId="183" fontId="2" fillId="0" borderId="28" xfId="1" applyNumberFormat="1" applyFont="1" applyFill="1" applyBorder="1" applyAlignment="1">
      <alignment horizontal="center" vertical="center" wrapText="1"/>
    </xf>
    <xf numFmtId="204" fontId="2" fillId="0" borderId="8" xfId="3" applyNumberFormat="1" applyFont="1" applyFill="1" applyBorder="1" applyAlignment="1" applyProtection="1">
      <alignment horizontal="center" vertical="center" wrapText="1"/>
      <protection locked="0"/>
    </xf>
    <xf numFmtId="183" fontId="2" fillId="0" borderId="74" xfId="1" applyNumberFormat="1" applyFont="1" applyFill="1" applyBorder="1" applyAlignment="1">
      <alignment horizontal="center" vertical="center" wrapText="1"/>
    </xf>
    <xf numFmtId="191" fontId="10" fillId="0" borderId="89" xfId="1" applyNumberFormat="1" applyFont="1" applyFill="1" applyBorder="1" applyAlignment="1">
      <alignment horizontal="left" vertical="center" wrapText="1"/>
    </xf>
    <xf numFmtId="183" fontId="2" fillId="0" borderId="104" xfId="1" applyNumberFormat="1" applyFont="1" applyFill="1" applyBorder="1" applyAlignment="1">
      <alignment horizontal="center" vertical="center" wrapText="1"/>
    </xf>
    <xf numFmtId="183" fontId="2" fillId="0" borderId="92" xfId="5" applyNumberFormat="1" applyFont="1" applyFill="1" applyBorder="1" applyAlignment="1" applyProtection="1">
      <alignment horizontal="center" vertical="center"/>
      <protection locked="0"/>
    </xf>
    <xf numFmtId="191" fontId="10" fillId="0" borderId="94" xfId="1" applyNumberFormat="1" applyFont="1" applyFill="1" applyBorder="1" applyAlignment="1">
      <alignment horizontal="left" vertical="center" wrapText="1"/>
    </xf>
    <xf numFmtId="183" fontId="2" fillId="0" borderId="112" xfId="1" applyNumberFormat="1" applyFont="1" applyFill="1" applyBorder="1" applyAlignment="1">
      <alignment horizontal="center" vertical="center" wrapText="1"/>
    </xf>
    <xf numFmtId="204" fontId="11" fillId="0" borderId="118" xfId="3" applyNumberFormat="1" applyFont="1" applyFill="1" applyBorder="1" applyAlignment="1" applyProtection="1">
      <alignment horizontal="center" vertical="center" wrapText="1"/>
      <protection locked="0"/>
    </xf>
    <xf numFmtId="191" fontId="48" fillId="19" borderId="115" xfId="1" applyNumberFormat="1" applyFont="1" applyFill="1" applyBorder="1" applyAlignment="1">
      <alignment horizontal="left" vertical="center" wrapText="1"/>
    </xf>
    <xf numFmtId="189" fontId="2" fillId="6" borderId="114" xfId="1" applyNumberFormat="1" applyFont="1" applyFill="1" applyBorder="1" applyAlignment="1" applyProtection="1">
      <alignment horizontal="center" vertical="center" wrapText="1"/>
      <protection locked="0"/>
    </xf>
    <xf numFmtId="183" fontId="6" fillId="0" borderId="85" xfId="1" applyNumberFormat="1" applyFont="1" applyFill="1" applyBorder="1" applyAlignment="1">
      <alignment horizontal="center" vertical="center" wrapText="1"/>
    </xf>
    <xf numFmtId="183" fontId="2" fillId="0" borderId="86" xfId="5" applyNumberFormat="1" applyFont="1" applyFill="1" applyBorder="1" applyAlignment="1" applyProtection="1">
      <alignment horizontal="center" vertical="center"/>
      <protection locked="0"/>
    </xf>
    <xf numFmtId="183" fontId="6" fillId="0" borderId="24" xfId="1" applyNumberFormat="1" applyFont="1" applyFill="1" applyBorder="1" applyAlignment="1">
      <alignment horizontal="center" vertical="center" wrapText="1"/>
    </xf>
    <xf numFmtId="189" fontId="2" fillId="0" borderId="9" xfId="1" applyNumberFormat="1" applyFont="1" applyFill="1" applyBorder="1" applyAlignment="1" applyProtection="1">
      <alignment horizontal="center" vertical="center" wrapText="1"/>
      <protection locked="0"/>
    </xf>
    <xf numFmtId="183" fontId="2" fillId="0" borderId="9" xfId="5" applyNumberFormat="1" applyFont="1" applyFill="1" applyBorder="1" applyAlignment="1" applyProtection="1">
      <alignment horizontal="center" vertical="center"/>
      <protection locked="0"/>
    </xf>
    <xf numFmtId="191" fontId="48" fillId="0" borderId="119" xfId="1" applyNumberFormat="1" applyFont="1" applyFill="1" applyBorder="1" applyAlignment="1">
      <alignment horizontal="left" vertical="center" wrapText="1"/>
    </xf>
    <xf numFmtId="204" fontId="2" fillId="0" borderId="9" xfId="3" applyNumberFormat="1" applyFont="1" applyFill="1" applyBorder="1" applyAlignment="1" applyProtection="1">
      <alignment horizontal="center" vertical="center" wrapText="1"/>
      <protection locked="0"/>
    </xf>
    <xf numFmtId="183" fontId="6" fillId="0" borderId="74" xfId="1" applyNumberFormat="1" applyFont="1" applyFill="1" applyBorder="1" applyAlignment="1">
      <alignment horizontal="center" vertical="center" wrapText="1"/>
    </xf>
    <xf numFmtId="14" fontId="2" fillId="0" borderId="48" xfId="1" applyNumberFormat="1" applyFont="1" applyFill="1" applyBorder="1" applyAlignment="1" applyProtection="1">
      <alignment horizontal="center" vertical="center" wrapText="1"/>
      <protection locked="0"/>
    </xf>
    <xf numFmtId="183" fontId="2" fillId="0" borderId="48" xfId="5" applyNumberFormat="1" applyFont="1" applyFill="1" applyBorder="1" applyAlignment="1" applyProtection="1">
      <alignment horizontal="center" vertical="center"/>
      <protection locked="0"/>
    </xf>
    <xf numFmtId="191" fontId="48" fillId="0" borderId="120" xfId="1" applyNumberFormat="1" applyFont="1" applyFill="1" applyBorder="1" applyAlignment="1">
      <alignment horizontal="left" vertical="center" wrapText="1"/>
    </xf>
    <xf numFmtId="183" fontId="6" fillId="0" borderId="112" xfId="1" applyNumberFormat="1" applyFont="1" applyFill="1" applyBorder="1" applyAlignment="1">
      <alignment horizontal="center" vertical="center" wrapText="1"/>
    </xf>
    <xf numFmtId="14" fontId="2" fillId="0" borderId="114" xfId="1" applyNumberFormat="1" applyFont="1" applyFill="1" applyBorder="1" applyAlignment="1" applyProtection="1">
      <alignment horizontal="center" vertical="center" wrapText="1"/>
      <protection locked="0"/>
    </xf>
    <xf numFmtId="10" fontId="5" fillId="0" borderId="28" xfId="5" applyNumberFormat="1" applyFont="1" applyFill="1" applyBorder="1" applyAlignment="1" applyProtection="1">
      <alignment horizontal="right" vertical="center" wrapText="1"/>
      <protection locked="0"/>
    </xf>
    <xf numFmtId="0" fontId="10" fillId="13" borderId="14" xfId="1" applyFont="1" applyFill="1" applyBorder="1" applyAlignment="1">
      <alignment horizontal="center" vertical="center" wrapText="1"/>
    </xf>
    <xf numFmtId="183" fontId="6" fillId="0" borderId="121" xfId="1" applyNumberFormat="1" applyFont="1" applyFill="1" applyBorder="1" applyAlignment="1">
      <alignment horizontal="center" vertical="center" wrapText="1"/>
    </xf>
    <xf numFmtId="0" fontId="10" fillId="0" borderId="9" xfId="1" applyFont="1" applyFill="1" applyBorder="1" applyAlignment="1">
      <alignment vertical="center" wrapText="1"/>
    </xf>
    <xf numFmtId="0" fontId="5" fillId="5" borderId="9" xfId="1" applyFont="1" applyFill="1" applyBorder="1" applyAlignment="1">
      <alignment horizontal="center" vertical="center" wrapText="1"/>
    </xf>
    <xf numFmtId="204" fontId="11" fillId="0" borderId="9" xfId="1" applyNumberFormat="1" applyFont="1" applyFill="1" applyBorder="1" applyAlignment="1" applyProtection="1">
      <alignment horizontal="center" vertical="center" wrapText="1"/>
      <protection locked="0"/>
    </xf>
    <xf numFmtId="10" fontId="2" fillId="0" borderId="9" xfId="5" applyNumberFormat="1" applyFont="1" applyFill="1" applyBorder="1" applyAlignment="1">
      <alignment horizontal="right" vertical="center"/>
    </xf>
    <xf numFmtId="10" fontId="2" fillId="0" borderId="9" xfId="5" applyNumberFormat="1" applyFont="1" applyFill="1" applyBorder="1" applyAlignment="1" applyProtection="1">
      <alignment horizontal="right" vertical="center"/>
      <protection locked="0"/>
    </xf>
    <xf numFmtId="191" fontId="2" fillId="0" borderId="9" xfId="1" applyNumberFormat="1" applyFont="1" applyFill="1" applyBorder="1" applyAlignment="1">
      <alignment horizontal="center" vertical="center" wrapText="1"/>
    </xf>
    <xf numFmtId="210" fontId="21" fillId="11" borderId="0" xfId="1" applyNumberFormat="1" applyFont="1" applyFill="1" applyBorder="1" applyAlignment="1">
      <alignment horizontal="left" vertical="center"/>
    </xf>
    <xf numFmtId="14" fontId="2" fillId="0" borderId="8" xfId="5" applyNumberFormat="1" applyFont="1" applyFill="1" applyBorder="1" applyAlignment="1">
      <alignment horizontal="center" vertical="center" wrapText="1"/>
    </xf>
    <xf numFmtId="0" fontId="2" fillId="0" borderId="63" xfId="1" applyFont="1" applyFill="1" applyBorder="1" applyAlignment="1">
      <alignment vertical="center" wrapText="1"/>
    </xf>
    <xf numFmtId="0" fontId="2" fillId="2" borderId="12" xfId="1" applyFont="1" applyFill="1" applyBorder="1" applyAlignment="1">
      <alignment vertical="center" wrapText="1"/>
    </xf>
    <xf numFmtId="14" fontId="2" fillId="0" borderId="110" xfId="5" applyNumberFormat="1" applyFont="1" applyFill="1" applyBorder="1" applyAlignment="1">
      <alignment horizontal="center" vertical="center"/>
    </xf>
    <xf numFmtId="9" fontId="2" fillId="0" borderId="110" xfId="5" applyFont="1" applyFill="1" applyBorder="1" applyAlignment="1" applyProtection="1">
      <alignment horizontal="center" vertical="center" wrapText="1"/>
      <protection locked="0"/>
    </xf>
    <xf numFmtId="191" fontId="10" fillId="0" borderId="87" xfId="1" applyNumberFormat="1" applyFont="1" applyFill="1" applyBorder="1" applyAlignment="1">
      <alignment horizontal="left" vertical="center" wrapText="1"/>
    </xf>
    <xf numFmtId="14" fontId="2" fillId="0" borderId="92" xfId="1" applyNumberFormat="1" applyFont="1" applyFill="1" applyBorder="1" applyAlignment="1" applyProtection="1">
      <alignment horizontal="center" vertical="center" wrapText="1"/>
      <protection locked="0"/>
    </xf>
    <xf numFmtId="14" fontId="2" fillId="0" borderId="92" xfId="5" applyNumberFormat="1" applyFont="1" applyFill="1" applyBorder="1" applyAlignment="1">
      <alignment horizontal="center" vertical="center"/>
    </xf>
    <xf numFmtId="9" fontId="2" fillId="0" borderId="92" xfId="5" applyFont="1" applyFill="1" applyBorder="1" applyAlignment="1" applyProtection="1">
      <alignment horizontal="center" vertical="center" wrapText="1"/>
      <protection locked="0"/>
    </xf>
    <xf numFmtId="0" fontId="2" fillId="0" borderId="24" xfId="1" applyFont="1" applyFill="1" applyBorder="1" applyAlignment="1">
      <alignment horizontal="center" vertical="center" wrapText="1"/>
    </xf>
    <xf numFmtId="0" fontId="18" fillId="11" borderId="0" xfId="1" applyFont="1" applyFill="1" applyAlignment="1">
      <alignment vertical="center"/>
    </xf>
    <xf numFmtId="10" fontId="2" fillId="9" borderId="8" xfId="1" applyNumberFormat="1" applyFont="1" applyFill="1" applyBorder="1" applyAlignment="1">
      <alignment horizontal="center" vertical="center"/>
    </xf>
    <xf numFmtId="183" fontId="46" fillId="0" borderId="8" xfId="3" applyNumberFormat="1" applyFont="1" applyFill="1" applyBorder="1" applyAlignment="1">
      <alignment horizontal="left" vertical="center"/>
    </xf>
    <xf numFmtId="183" fontId="46" fillId="4" borderId="8" xfId="3" applyNumberFormat="1" applyFont="1" applyFill="1" applyBorder="1" applyAlignment="1">
      <alignment horizontal="left" vertical="center"/>
    </xf>
    <xf numFmtId="0" fontId="2" fillId="0" borderId="63" xfId="1" applyFont="1" applyFill="1" applyBorder="1" applyAlignment="1">
      <alignment horizontal="left" vertical="center" wrapText="1"/>
    </xf>
    <xf numFmtId="0" fontId="18" fillId="0" borderId="88" xfId="1" applyFont="1" applyFill="1" applyBorder="1" applyAlignment="1">
      <alignment vertical="center"/>
    </xf>
    <xf numFmtId="0" fontId="2" fillId="0" borderId="12" xfId="1" applyNumberFormat="1" applyFont="1" applyFill="1" applyBorder="1" applyAlignment="1">
      <alignment vertical="center"/>
    </xf>
    <xf numFmtId="0" fontId="2" fillId="0" borderId="63" xfId="1" applyNumberFormat="1" applyFont="1" applyFill="1" applyBorder="1" applyAlignment="1">
      <alignment horizontal="centerContinuous" vertical="center"/>
    </xf>
    <xf numFmtId="0" fontId="2" fillId="0" borderId="63" xfId="1" applyNumberFormat="1" applyFont="1" applyFill="1" applyBorder="1" applyAlignment="1">
      <alignment vertical="center"/>
    </xf>
    <xf numFmtId="0" fontId="2" fillId="0" borderId="28" xfId="1" applyNumberFormat="1" applyFont="1" applyFill="1" applyBorder="1" applyAlignment="1">
      <alignment vertical="center"/>
    </xf>
    <xf numFmtId="0" fontId="2" fillId="0" borderId="28" xfId="1" applyFont="1" applyFill="1" applyBorder="1" applyAlignment="1">
      <alignment vertical="center" wrapText="1"/>
    </xf>
    <xf numFmtId="180" fontId="2" fillId="0" borderId="44" xfId="1" applyNumberFormat="1" applyFont="1" applyFill="1" applyBorder="1" applyAlignment="1">
      <alignment vertical="center"/>
    </xf>
    <xf numFmtId="180" fontId="2" fillId="0" borderId="9" xfId="1" applyNumberFormat="1" applyFont="1" applyFill="1" applyBorder="1" applyAlignment="1">
      <alignment vertical="center"/>
    </xf>
    <xf numFmtId="180" fontId="2" fillId="0" borderId="8" xfId="1" applyNumberFormat="1" applyFont="1" applyFill="1" applyBorder="1" applyAlignment="1">
      <alignment vertical="center"/>
    </xf>
    <xf numFmtId="180" fontId="2" fillId="8" borderId="8" xfId="1" applyNumberFormat="1" applyFont="1" applyFill="1" applyBorder="1" applyAlignment="1">
      <alignment vertical="center"/>
    </xf>
    <xf numFmtId="180" fontId="2" fillId="0" borderId="39" xfId="1" applyNumberFormat="1" applyFont="1" applyFill="1" applyBorder="1" applyAlignment="1">
      <alignment vertical="center"/>
    </xf>
    <xf numFmtId="180" fontId="2" fillId="0" borderId="43" xfId="1" applyNumberFormat="1" applyFont="1" applyFill="1" applyBorder="1" applyAlignment="1">
      <alignment vertical="center"/>
    </xf>
    <xf numFmtId="180" fontId="2" fillId="0" borderId="25" xfId="1" applyNumberFormat="1" applyFont="1" applyFill="1" applyBorder="1" applyAlignment="1">
      <alignment vertical="center"/>
    </xf>
    <xf numFmtId="180" fontId="2" fillId="0" borderId="48" xfId="1" applyNumberFormat="1" applyFont="1" applyFill="1" applyBorder="1" applyAlignment="1">
      <alignment vertical="center"/>
    </xf>
    <xf numFmtId="180" fontId="2" fillId="0" borderId="39" xfId="1" applyNumberFormat="1" applyFont="1" applyBorder="1" applyAlignment="1">
      <alignment vertical="center"/>
    </xf>
    <xf numFmtId="180" fontId="2" fillId="0" borderId="9" xfId="1" applyNumberFormat="1" applyFont="1" applyBorder="1" applyAlignment="1">
      <alignment vertical="center"/>
    </xf>
    <xf numFmtId="180" fontId="2" fillId="8" borderId="9" xfId="1" applyNumberFormat="1" applyFont="1" applyFill="1" applyBorder="1" applyAlignment="1">
      <alignment vertical="center"/>
    </xf>
    <xf numFmtId="180" fontId="2" fillId="0" borderId="8" xfId="1" applyNumberFormat="1" applyFont="1" applyBorder="1" applyAlignment="1">
      <alignment vertical="center"/>
    </xf>
    <xf numFmtId="180" fontId="2" fillId="0" borderId="31" xfId="1" applyNumberFormat="1" applyFont="1" applyBorder="1" applyAlignment="1">
      <alignment vertical="center"/>
    </xf>
    <xf numFmtId="180" fontId="26" fillId="18" borderId="82" xfId="1" applyNumberFormat="1" applyFont="1" applyFill="1" applyBorder="1" applyAlignment="1">
      <alignment vertical="center"/>
    </xf>
    <xf numFmtId="180" fontId="2" fillId="0" borderId="39" xfId="1" applyNumberFormat="1" applyFont="1" applyFill="1" applyBorder="1" applyAlignment="1">
      <alignment horizontal="right" vertical="center"/>
    </xf>
    <xf numFmtId="180" fontId="5" fillId="0" borderId="39" xfId="1" applyNumberFormat="1" applyFont="1" applyFill="1" applyBorder="1" applyAlignment="1">
      <alignment horizontal="right" vertical="center"/>
    </xf>
    <xf numFmtId="180" fontId="2" fillId="0" borderId="9" xfId="1" applyNumberFormat="1" applyFont="1" applyFill="1" applyBorder="1" applyAlignment="1">
      <alignment horizontal="right" vertical="center"/>
    </xf>
    <xf numFmtId="180" fontId="5" fillId="0" borderId="9" xfId="1" applyNumberFormat="1" applyFont="1" applyFill="1" applyBorder="1" applyAlignment="1">
      <alignment horizontal="right" vertical="center"/>
    </xf>
    <xf numFmtId="180" fontId="2" fillId="0" borderId="9" xfId="1" applyNumberFormat="1" applyFont="1" applyBorder="1" applyAlignment="1">
      <alignment horizontal="right" vertical="center"/>
    </xf>
    <xf numFmtId="180" fontId="2" fillId="8" borderId="8" xfId="1" applyNumberFormat="1" applyFont="1" applyFill="1" applyBorder="1" applyAlignment="1">
      <alignment horizontal="right" vertical="center"/>
    </xf>
    <xf numFmtId="180" fontId="5" fillId="8" borderId="8" xfId="1" applyNumberFormat="1" applyFont="1" applyFill="1" applyBorder="1" applyAlignment="1">
      <alignment horizontal="right" vertical="center"/>
    </xf>
    <xf numFmtId="180" fontId="2" fillId="0" borderId="8" xfId="1" applyNumberFormat="1" applyFont="1" applyFill="1" applyBorder="1" applyAlignment="1">
      <alignment horizontal="right" vertical="center"/>
    </xf>
    <xf numFmtId="180" fontId="5" fillId="0" borderId="8" xfId="1" applyNumberFormat="1" applyFont="1" applyFill="1" applyBorder="1" applyAlignment="1">
      <alignment horizontal="right" vertical="center"/>
    </xf>
    <xf numFmtId="180" fontId="2" fillId="0" borderId="8" xfId="1" applyNumberFormat="1" applyFont="1" applyBorder="1" applyAlignment="1">
      <alignment horizontal="right" vertical="center"/>
    </xf>
    <xf numFmtId="180" fontId="2" fillId="0" borderId="12" xfId="1" applyNumberFormat="1" applyFont="1" applyFill="1" applyBorder="1" applyAlignment="1">
      <alignment horizontal="right" vertical="center"/>
    </xf>
    <xf numFmtId="180" fontId="2" fillId="0" borderId="31" xfId="1" applyNumberFormat="1" applyFont="1" applyFill="1" applyBorder="1" applyAlignment="1">
      <alignment horizontal="right" vertical="center"/>
    </xf>
    <xf numFmtId="180" fontId="5" fillId="0" borderId="31" xfId="1" applyNumberFormat="1" applyFont="1" applyFill="1" applyBorder="1" applyAlignment="1">
      <alignment horizontal="right" vertical="center"/>
    </xf>
    <xf numFmtId="180" fontId="2" fillId="0" borderId="31" xfId="1" applyNumberFormat="1" applyFont="1" applyBorder="1" applyAlignment="1">
      <alignment horizontal="right" vertical="center"/>
    </xf>
    <xf numFmtId="180" fontId="46" fillId="0" borderId="67" xfId="3" applyNumberFormat="1" applyFont="1" applyFill="1" applyBorder="1" applyAlignment="1">
      <alignment horizontal="right" vertical="center"/>
    </xf>
    <xf numFmtId="180" fontId="46" fillId="0" borderId="39" xfId="3" applyNumberFormat="1" applyFont="1" applyFill="1" applyBorder="1" applyAlignment="1">
      <alignment horizontal="right" vertical="center"/>
    </xf>
    <xf numFmtId="222" fontId="2" fillId="2" borderId="8" xfId="1" applyNumberFormat="1" applyFont="1" applyFill="1" applyBorder="1" applyAlignment="1">
      <alignment horizontal="center" vertical="center" wrapText="1"/>
    </xf>
    <xf numFmtId="180" fontId="2" fillId="0" borderId="8" xfId="3" applyNumberFormat="1" applyFont="1" applyFill="1" applyBorder="1" applyAlignment="1">
      <alignment vertical="center"/>
    </xf>
    <xf numFmtId="222" fontId="5" fillId="2" borderId="8" xfId="1" applyNumberFormat="1" applyFont="1" applyFill="1" applyBorder="1" applyAlignment="1">
      <alignment horizontal="center" vertical="center"/>
    </xf>
    <xf numFmtId="211" fontId="2" fillId="0" borderId="100" xfId="5" applyNumberFormat="1" applyFont="1" applyFill="1" applyBorder="1" applyAlignment="1" applyProtection="1">
      <alignment horizontal="center" vertical="center" wrapText="1"/>
      <protection locked="0"/>
    </xf>
    <xf numFmtId="9" fontId="2" fillId="0" borderId="101" xfId="5" applyFont="1" applyFill="1" applyBorder="1" applyAlignment="1" applyProtection="1">
      <alignment horizontal="center" vertical="center" wrapText="1"/>
      <protection locked="0"/>
    </xf>
    <xf numFmtId="211" fontId="2" fillId="0" borderId="101" xfId="5" applyNumberFormat="1" applyFont="1" applyFill="1" applyBorder="1" applyAlignment="1" applyProtection="1">
      <alignment horizontal="center" vertical="center" wrapText="1"/>
      <protection locked="0"/>
    </xf>
    <xf numFmtId="9" fontId="2" fillId="0" borderId="106" xfId="5" applyFont="1" applyFill="1" applyBorder="1" applyAlignment="1" applyProtection="1">
      <alignment horizontal="center" vertical="center" wrapText="1"/>
      <protection locked="0"/>
    </xf>
    <xf numFmtId="188" fontId="63" fillId="0" borderId="0" xfId="1" applyNumberFormat="1" applyFont="1" applyBorder="1" applyAlignment="1">
      <alignment vertical="center"/>
    </xf>
    <xf numFmtId="10" fontId="46" fillId="0" borderId="32" xfId="5" applyNumberFormat="1" applyFont="1" applyFill="1" applyBorder="1" applyAlignment="1">
      <alignment horizontal="right" vertical="center" wrapText="1"/>
    </xf>
    <xf numFmtId="194" fontId="46" fillId="0" borderId="40" xfId="3" applyNumberFormat="1" applyFont="1" applyFill="1" applyBorder="1" applyAlignment="1">
      <alignment vertical="center" wrapText="1"/>
    </xf>
    <xf numFmtId="196" fontId="63" fillId="0" borderId="0" xfId="1" applyNumberFormat="1" applyFont="1" applyBorder="1" applyAlignment="1">
      <alignment vertical="center"/>
    </xf>
    <xf numFmtId="183" fontId="46" fillId="0" borderId="8" xfId="3" applyNumberFormat="1" applyFont="1" applyFill="1" applyBorder="1" applyAlignment="1">
      <alignment horizontal="center" vertical="center"/>
    </xf>
    <xf numFmtId="183" fontId="46" fillId="0" borderId="8" xfId="3" applyNumberFormat="1" applyFont="1" applyFill="1" applyBorder="1" applyAlignment="1">
      <alignment vertical="center"/>
    </xf>
    <xf numFmtId="205" fontId="46" fillId="0" borderId="8" xfId="3" applyNumberFormat="1" applyFont="1" applyFill="1" applyBorder="1" applyAlignment="1">
      <alignment horizontal="center" vertical="center"/>
    </xf>
    <xf numFmtId="14" fontId="46" fillId="0" borderId="0" xfId="3" applyNumberFormat="1" applyFont="1" applyFill="1" applyBorder="1" applyAlignment="1">
      <alignment horizontal="center" vertical="center"/>
    </xf>
    <xf numFmtId="176" fontId="46" fillId="0" borderId="0" xfId="3" applyFont="1" applyFill="1" applyBorder="1" applyAlignment="1">
      <alignment horizontal="center" vertical="center"/>
    </xf>
    <xf numFmtId="194" fontId="46" fillId="0" borderId="0" xfId="3" applyNumberFormat="1" applyFont="1" applyFill="1" applyBorder="1" applyAlignment="1">
      <alignment horizontal="center" vertical="center"/>
    </xf>
    <xf numFmtId="176" fontId="46" fillId="0" borderId="8" xfId="3" applyFont="1" applyFill="1" applyBorder="1" applyAlignment="1">
      <alignment vertical="center"/>
    </xf>
    <xf numFmtId="183" fontId="46" fillId="5" borderId="8" xfId="3" applyNumberFormat="1" applyFont="1" applyFill="1" applyBorder="1" applyAlignment="1">
      <alignment horizontal="center" vertical="center"/>
    </xf>
    <xf numFmtId="183" fontId="46" fillId="6" borderId="8" xfId="3" applyNumberFormat="1" applyFont="1" applyFill="1" applyBorder="1" applyAlignment="1">
      <alignment horizontal="center" vertical="center"/>
    </xf>
    <xf numFmtId="183" fontId="46" fillId="6" borderId="8" xfId="3" applyNumberFormat="1" applyFont="1" applyFill="1" applyBorder="1" applyAlignment="1">
      <alignment horizontal="left" vertical="center"/>
    </xf>
    <xf numFmtId="183" fontId="46" fillId="0" borderId="0" xfId="3" applyNumberFormat="1" applyFont="1" applyFill="1" applyBorder="1" applyAlignment="1">
      <alignment horizontal="left" vertical="center"/>
    </xf>
    <xf numFmtId="212" fontId="2" fillId="0" borderId="0" xfId="1" applyNumberFormat="1" applyFont="1" applyFill="1" applyBorder="1" applyAlignment="1">
      <alignment horizontal="center" vertical="center" wrapText="1"/>
    </xf>
    <xf numFmtId="176" fontId="46" fillId="0" borderId="0" xfId="3" applyFont="1" applyFill="1" applyBorder="1" applyAlignment="1">
      <alignment horizontal="center" vertical="center" wrapText="1"/>
    </xf>
    <xf numFmtId="194" fontId="46" fillId="0" borderId="0" xfId="3" applyNumberFormat="1" applyFont="1" applyFill="1" applyBorder="1" applyAlignment="1">
      <alignment horizontal="center" vertical="center" wrapText="1"/>
    </xf>
    <xf numFmtId="215" fontId="46" fillId="0" borderId="0" xfId="3" applyNumberFormat="1" applyFont="1" applyFill="1" applyBorder="1" applyAlignment="1">
      <alignment horizontal="right" vertical="center" wrapText="1"/>
    </xf>
    <xf numFmtId="0" fontId="2" fillId="6" borderId="28" xfId="1" applyFont="1" applyFill="1" applyBorder="1" applyAlignment="1">
      <alignment horizontal="centerContinuous" vertical="center" wrapText="1"/>
    </xf>
    <xf numFmtId="194" fontId="46" fillId="0" borderId="8" xfId="3" applyNumberFormat="1" applyFont="1" applyFill="1" applyBorder="1" applyAlignment="1">
      <alignment vertical="center" wrapText="1"/>
    </xf>
    <xf numFmtId="194" fontId="46" fillId="0" borderId="0" xfId="3" applyNumberFormat="1" applyFont="1" applyFill="1" applyBorder="1" applyAlignment="1">
      <alignment vertical="center" wrapText="1"/>
    </xf>
    <xf numFmtId="222" fontId="2" fillId="2" borderId="8" xfId="1" applyNumberFormat="1" applyFont="1" applyFill="1" applyBorder="1" applyAlignment="1">
      <alignment horizontal="center" vertical="center"/>
    </xf>
    <xf numFmtId="14" fontId="2" fillId="2" borderId="8" xfId="1" applyNumberFormat="1" applyFont="1" applyFill="1" applyBorder="1" applyAlignment="1" applyProtection="1">
      <alignment horizontal="center" vertical="center"/>
      <protection locked="0"/>
    </xf>
    <xf numFmtId="190" fontId="2" fillId="2" borderId="8" xfId="1" applyNumberFormat="1" applyFont="1" applyFill="1" applyBorder="1" applyAlignment="1">
      <alignment horizontal="center" vertical="center"/>
    </xf>
    <xf numFmtId="9" fontId="46" fillId="0" borderId="8" xfId="5" applyFont="1" applyFill="1" applyBorder="1" applyAlignment="1" applyProtection="1">
      <alignment horizontal="center" vertical="center" wrapText="1"/>
      <protection locked="0"/>
    </xf>
    <xf numFmtId="0" fontId="2" fillId="0" borderId="0" xfId="1" applyFont="1" applyFill="1" applyBorder="1" applyAlignment="1">
      <alignment horizontal="left" vertical="center" wrapText="1"/>
    </xf>
    <xf numFmtId="190" fontId="2" fillId="2" borderId="12" xfId="1" applyNumberFormat="1" applyFont="1" applyFill="1" applyBorder="1" applyAlignment="1">
      <alignment horizontal="center" vertical="center"/>
    </xf>
    <xf numFmtId="204" fontId="46" fillId="8" borderId="8" xfId="3" applyNumberFormat="1" applyFont="1" applyFill="1" applyBorder="1" applyAlignment="1" applyProtection="1">
      <alignment horizontal="center" vertical="center" wrapText="1"/>
      <protection locked="0"/>
    </xf>
    <xf numFmtId="10" fontId="46" fillId="8" borderId="8" xfId="5" applyNumberFormat="1" applyFont="1" applyFill="1" applyBorder="1" applyAlignment="1" applyProtection="1">
      <alignment horizontal="center" vertical="center" wrapText="1"/>
      <protection locked="0"/>
    </xf>
    <xf numFmtId="204" fontId="46" fillId="8" borderId="48" xfId="3" applyNumberFormat="1" applyFont="1" applyFill="1" applyBorder="1" applyAlignment="1" applyProtection="1">
      <alignment horizontal="center" vertical="center" wrapText="1"/>
      <protection locked="0"/>
    </xf>
    <xf numFmtId="10" fontId="46" fillId="8" borderId="48" xfId="5" applyNumberFormat="1" applyFont="1" applyFill="1" applyBorder="1" applyAlignment="1" applyProtection="1">
      <alignment horizontal="center" vertical="center" wrapText="1"/>
      <protection locked="0"/>
    </xf>
    <xf numFmtId="204" fontId="46" fillId="0" borderId="86" xfId="3" applyNumberFormat="1" applyFont="1" applyFill="1" applyBorder="1" applyAlignment="1" applyProtection="1">
      <alignment horizontal="center" vertical="center" wrapText="1"/>
      <protection locked="0"/>
    </xf>
    <xf numFmtId="204" fontId="46" fillId="3" borderId="86" xfId="3" applyNumberFormat="1" applyFont="1" applyFill="1" applyBorder="1" applyAlignment="1" applyProtection="1">
      <alignment horizontal="center" vertical="center" wrapText="1"/>
      <protection locked="0"/>
    </xf>
    <xf numFmtId="10" fontId="46" fillId="0" borderId="86" xfId="5" applyNumberFormat="1" applyFont="1" applyFill="1" applyBorder="1" applyAlignment="1" applyProtection="1">
      <alignment horizontal="center" vertical="center" wrapText="1"/>
      <protection locked="0"/>
    </xf>
    <xf numFmtId="204" fontId="46" fillId="0" borderId="8" xfId="3" applyNumberFormat="1" applyFont="1" applyFill="1" applyBorder="1" applyAlignment="1" applyProtection="1">
      <alignment horizontal="center" vertical="center" wrapText="1"/>
      <protection locked="0"/>
    </xf>
    <xf numFmtId="204" fontId="46" fillId="3" borderId="8" xfId="3" applyNumberFormat="1" applyFont="1" applyFill="1" applyBorder="1" applyAlignment="1" applyProtection="1">
      <alignment horizontal="center" vertical="center" wrapText="1"/>
      <protection locked="0"/>
    </xf>
    <xf numFmtId="189" fontId="46" fillId="0" borderId="8" xfId="5" applyNumberFormat="1" applyFont="1" applyFill="1" applyBorder="1" applyAlignment="1">
      <alignment horizontal="center" vertical="center" wrapText="1"/>
    </xf>
    <xf numFmtId="10" fontId="46" fillId="0" borderId="8" xfId="5" applyNumberFormat="1" applyFont="1" applyFill="1" applyBorder="1" applyAlignment="1" applyProtection="1">
      <alignment horizontal="center" vertical="center" wrapText="1"/>
      <protection locked="0"/>
    </xf>
    <xf numFmtId="204" fontId="46" fillId="3" borderId="8" xfId="3" applyNumberFormat="1" applyFont="1" applyFill="1" applyBorder="1" applyAlignment="1" applyProtection="1">
      <alignment horizontal="right" vertical="center" wrapText="1"/>
      <protection locked="0"/>
    </xf>
    <xf numFmtId="194" fontId="46" fillId="0" borderId="8" xfId="3" applyNumberFormat="1" applyFont="1" applyFill="1" applyBorder="1" applyAlignment="1" applyProtection="1">
      <alignment horizontal="center" vertical="center" wrapText="1"/>
      <protection locked="0"/>
    </xf>
    <xf numFmtId="204" fontId="46" fillId="3" borderId="105" xfId="3" applyNumberFormat="1" applyFont="1" applyFill="1" applyBorder="1" applyAlignment="1" applyProtection="1">
      <alignment horizontal="right" vertical="center" wrapText="1"/>
      <protection locked="0"/>
    </xf>
    <xf numFmtId="194" fontId="46" fillId="0" borderId="105" xfId="3" applyNumberFormat="1" applyFont="1" applyFill="1" applyBorder="1" applyAlignment="1" applyProtection="1">
      <alignment horizontal="center" vertical="center" wrapText="1"/>
      <protection locked="0"/>
    </xf>
    <xf numFmtId="10" fontId="46" fillId="0" borderId="105" xfId="5" applyNumberFormat="1" applyFont="1" applyFill="1" applyBorder="1" applyAlignment="1" applyProtection="1">
      <alignment horizontal="center" vertical="center"/>
      <protection locked="0"/>
    </xf>
    <xf numFmtId="204" fontId="46" fillId="0" borderId="9" xfId="3" applyNumberFormat="1" applyFont="1" applyFill="1" applyBorder="1" applyAlignment="1" applyProtection="1">
      <alignment horizontal="center" vertical="center" wrapText="1"/>
      <protection locked="0"/>
    </xf>
    <xf numFmtId="202" fontId="46" fillId="0" borderId="8" xfId="3" applyNumberFormat="1" applyFont="1" applyFill="1" applyBorder="1" applyAlignment="1" applyProtection="1">
      <alignment horizontal="center" vertical="center" wrapText="1"/>
      <protection locked="0"/>
    </xf>
    <xf numFmtId="10" fontId="46" fillId="0" borderId="8" xfId="5" applyNumberFormat="1" applyFont="1" applyFill="1" applyBorder="1" applyAlignment="1" applyProtection="1">
      <alignment horizontal="center" vertical="center"/>
      <protection locked="0"/>
    </xf>
    <xf numFmtId="14" fontId="46" fillId="0" borderId="8" xfId="5" applyNumberFormat="1" applyFont="1" applyFill="1" applyBorder="1" applyAlignment="1">
      <alignment horizontal="center" vertical="center" wrapText="1"/>
    </xf>
    <xf numFmtId="204" fontId="46" fillId="0" borderId="0" xfId="3" applyNumberFormat="1" applyFont="1" applyFill="1" applyBorder="1" applyAlignment="1" applyProtection="1">
      <alignment horizontal="center" vertical="center" wrapText="1"/>
      <protection locked="0"/>
    </xf>
    <xf numFmtId="204" fontId="46" fillId="0" borderId="48" xfId="3" applyNumberFormat="1" applyFont="1" applyFill="1" applyBorder="1" applyAlignment="1" applyProtection="1">
      <alignment horizontal="center" vertical="center" wrapText="1"/>
      <protection locked="0"/>
    </xf>
    <xf numFmtId="189" fontId="46" fillId="0" borderId="86" xfId="5" applyNumberFormat="1" applyFont="1" applyFill="1" applyBorder="1" applyAlignment="1">
      <alignment horizontal="center" vertical="center" wrapText="1"/>
    </xf>
    <xf numFmtId="204" fontId="46" fillId="0" borderId="105" xfId="3" applyNumberFormat="1" applyFont="1" applyFill="1" applyBorder="1" applyAlignment="1" applyProtection="1">
      <alignment horizontal="center" vertical="center" wrapText="1"/>
      <protection locked="0"/>
    </xf>
    <xf numFmtId="189" fontId="46" fillId="0" borderId="105" xfId="5" applyNumberFormat="1" applyFont="1" applyFill="1" applyBorder="1" applyAlignment="1">
      <alignment horizontal="center" vertical="center" wrapText="1"/>
    </xf>
    <xf numFmtId="204" fontId="46" fillId="0" borderId="25" xfId="3" applyNumberFormat="1" applyFont="1" applyFill="1" applyBorder="1" applyAlignment="1" applyProtection="1">
      <alignment horizontal="center" vertical="center" wrapText="1"/>
      <protection locked="0"/>
    </xf>
    <xf numFmtId="189" fontId="46" fillId="0" borderId="25" xfId="5" applyNumberFormat="1" applyFont="1" applyFill="1" applyBorder="1" applyAlignment="1">
      <alignment horizontal="center" vertical="center" wrapText="1"/>
    </xf>
    <xf numFmtId="204" fontId="46" fillId="0" borderId="114" xfId="3" applyNumberFormat="1" applyFont="1" applyFill="1" applyBorder="1" applyAlignment="1" applyProtection="1">
      <alignment horizontal="center" vertical="center" wrapText="1"/>
      <protection locked="0"/>
    </xf>
    <xf numFmtId="189" fontId="46" fillId="0" borderId="114" xfId="5" applyNumberFormat="1" applyFont="1" applyFill="1" applyBorder="1" applyAlignment="1">
      <alignment horizontal="center" vertical="center" wrapText="1"/>
    </xf>
    <xf numFmtId="189" fontId="46" fillId="0" borderId="110" xfId="5" applyNumberFormat="1" applyFont="1" applyFill="1" applyBorder="1" applyAlignment="1">
      <alignment horizontal="center" vertical="center" wrapText="1"/>
    </xf>
    <xf numFmtId="204" fontId="46" fillId="0" borderId="112" xfId="3" applyNumberFormat="1" applyFont="1" applyFill="1" applyBorder="1" applyAlignment="1" applyProtection="1">
      <alignment horizontal="center" vertical="center" wrapText="1"/>
      <protection locked="0"/>
    </xf>
    <xf numFmtId="189" fontId="46" fillId="0" borderId="9" xfId="5" applyNumberFormat="1" applyFont="1" applyFill="1" applyBorder="1" applyAlignment="1">
      <alignment horizontal="center" vertical="center" wrapText="1"/>
    </xf>
    <xf numFmtId="14" fontId="46" fillId="0" borderId="114" xfId="5" applyNumberFormat="1" applyFont="1" applyFill="1" applyBorder="1" applyAlignment="1">
      <alignment horizontal="center" vertical="center" wrapText="1"/>
    </xf>
    <xf numFmtId="0" fontId="2" fillId="0" borderId="78" xfId="1" applyFont="1" applyFill="1" applyBorder="1" applyAlignment="1">
      <alignment horizontal="left" vertical="center" wrapText="1"/>
    </xf>
    <xf numFmtId="183" fontId="46" fillId="0" borderId="8" xfId="5" applyNumberFormat="1" applyFont="1" applyFill="1" applyBorder="1" applyAlignment="1" applyProtection="1">
      <alignment horizontal="center" vertical="center" wrapText="1"/>
      <protection locked="0"/>
    </xf>
    <xf numFmtId="190" fontId="46" fillId="0" borderId="8" xfId="5" applyNumberFormat="1" applyFont="1" applyFill="1" applyBorder="1" applyAlignment="1" applyProtection="1">
      <alignment horizontal="center" vertical="center"/>
      <protection locked="0"/>
    </xf>
    <xf numFmtId="204" fontId="46" fillId="13" borderId="110" xfId="3" applyNumberFormat="1" applyFont="1" applyFill="1" applyBorder="1" applyAlignment="1" applyProtection="1">
      <alignment horizontal="right" vertical="center" wrapText="1"/>
      <protection locked="0"/>
    </xf>
    <xf numFmtId="204" fontId="46" fillId="0" borderId="110" xfId="3" applyNumberFormat="1" applyFont="1" applyFill="1" applyBorder="1" applyAlignment="1" applyProtection="1">
      <alignment horizontal="center" vertical="center" wrapText="1"/>
      <protection locked="0"/>
    </xf>
    <xf numFmtId="10" fontId="46" fillId="0" borderId="110" xfId="5" applyNumberFormat="1" applyFont="1" applyFill="1" applyBorder="1" applyAlignment="1" applyProtection="1">
      <alignment horizontal="center" vertical="center"/>
      <protection locked="0"/>
    </xf>
    <xf numFmtId="204" fontId="46" fillId="13" borderId="92" xfId="3" applyNumberFormat="1" applyFont="1" applyFill="1" applyBorder="1" applyAlignment="1" applyProtection="1">
      <alignment horizontal="right" vertical="center" wrapText="1"/>
      <protection locked="0"/>
    </xf>
    <xf numFmtId="204" fontId="46" fillId="0" borderId="92" xfId="3" applyNumberFormat="1" applyFont="1" applyFill="1" applyBorder="1" applyAlignment="1" applyProtection="1">
      <alignment horizontal="center" vertical="center" wrapText="1"/>
      <protection locked="0"/>
    </xf>
    <xf numFmtId="10" fontId="46" fillId="0" borderId="92" xfId="5" applyNumberFormat="1" applyFont="1" applyFill="1" applyBorder="1" applyAlignment="1" applyProtection="1">
      <alignment horizontal="center" vertical="center"/>
      <protection locked="0"/>
    </xf>
    <xf numFmtId="10" fontId="46" fillId="0" borderId="9" xfId="5" applyNumberFormat="1" applyFont="1" applyFill="1" applyBorder="1" applyAlignment="1" applyProtection="1">
      <alignment horizontal="center" vertical="center"/>
      <protection locked="0"/>
    </xf>
    <xf numFmtId="0" fontId="2" fillId="0" borderId="12" xfId="1" applyFont="1" applyFill="1" applyBorder="1" applyAlignment="1">
      <alignment horizontal="left" vertical="center" indent="2"/>
    </xf>
    <xf numFmtId="204" fontId="5" fillId="8" borderId="8" xfId="1" applyNumberFormat="1" applyFont="1" applyFill="1" applyBorder="1" applyAlignment="1">
      <alignment horizontal="right" vertical="center"/>
    </xf>
    <xf numFmtId="198" fontId="2" fillId="10" borderId="8" xfId="3" applyNumberFormat="1" applyFont="1" applyFill="1" applyBorder="1" applyAlignment="1">
      <alignment horizontal="right" vertical="center"/>
    </xf>
    <xf numFmtId="198" fontId="2" fillId="6" borderId="8" xfId="3" applyNumberFormat="1" applyFont="1" applyFill="1" applyBorder="1" applyAlignment="1">
      <alignment horizontal="right" vertical="center"/>
    </xf>
    <xf numFmtId="2" fontId="21" fillId="11" borderId="0" xfId="1" applyNumberFormat="1" applyFont="1" applyFill="1" applyBorder="1" applyAlignment="1">
      <alignment horizontal="left" vertical="center"/>
    </xf>
    <xf numFmtId="183" fontId="41" fillId="0" borderId="117" xfId="1" applyNumberFormat="1" applyFont="1" applyFill="1" applyBorder="1" applyAlignment="1">
      <alignment horizontal="center" vertical="center" wrapText="1"/>
    </xf>
    <xf numFmtId="0" fontId="25" fillId="0" borderId="122" xfId="1" applyFont="1" applyFill="1" applyBorder="1" applyAlignment="1">
      <alignment horizontal="center" vertical="center" wrapText="1"/>
    </xf>
    <xf numFmtId="204" fontId="2" fillId="0" borderId="86" xfId="3" applyNumberFormat="1" applyFont="1" applyFill="1" applyBorder="1" applyAlignment="1" applyProtection="1">
      <alignment horizontal="center" vertical="center" wrapText="1"/>
      <protection locked="0"/>
    </xf>
    <xf numFmtId="14" fontId="2" fillId="0" borderId="110" xfId="1" applyNumberFormat="1" applyFont="1" applyFill="1" applyBorder="1" applyAlignment="1" applyProtection="1">
      <alignment horizontal="center" vertical="center" wrapText="1"/>
      <protection locked="0"/>
    </xf>
    <xf numFmtId="191" fontId="48" fillId="19" borderId="100" xfId="1" applyNumberFormat="1" applyFont="1" applyFill="1" applyBorder="1" applyAlignment="1">
      <alignment horizontal="left" vertical="top" wrapText="1"/>
    </xf>
    <xf numFmtId="191" fontId="2" fillId="0" borderId="101" xfId="1" applyNumberFormat="1" applyFont="1" applyFill="1" applyBorder="1" applyAlignment="1">
      <alignment horizontal="center" vertical="center" wrapText="1"/>
    </xf>
    <xf numFmtId="0" fontId="10" fillId="3" borderId="7" xfId="1" applyFont="1" applyFill="1" applyBorder="1" applyAlignment="1">
      <alignment horizontal="center" vertical="center" wrapText="1"/>
    </xf>
    <xf numFmtId="0" fontId="2" fillId="0" borderId="38" xfId="1" applyFont="1" applyFill="1" applyBorder="1" applyAlignment="1">
      <alignment horizontal="left" vertical="center"/>
    </xf>
    <xf numFmtId="180" fontId="2" fillId="6" borderId="8" xfId="1" applyNumberFormat="1" applyFont="1" applyFill="1" applyBorder="1" applyAlignment="1">
      <alignment vertical="center"/>
    </xf>
    <xf numFmtId="41" fontId="5" fillId="0" borderId="44" xfId="20" applyFont="1" applyFill="1" applyBorder="1" applyAlignment="1">
      <alignment vertical="center"/>
    </xf>
    <xf numFmtId="41" fontId="5" fillId="0" borderId="9" xfId="20" applyFont="1" applyFill="1" applyBorder="1" applyAlignment="1">
      <alignment horizontal="right" vertical="center"/>
    </xf>
    <xf numFmtId="41" fontId="5" fillId="0" borderId="8" xfId="20" applyFont="1" applyFill="1" applyBorder="1" applyAlignment="1">
      <alignment vertical="center"/>
    </xf>
    <xf numFmtId="41" fontId="2" fillId="8" borderId="8" xfId="20" applyFont="1" applyFill="1" applyBorder="1" applyAlignment="1">
      <alignment vertical="center"/>
    </xf>
    <xf numFmtId="41" fontId="5" fillId="6" borderId="8" xfId="20" applyFont="1" applyFill="1" applyBorder="1" applyAlignment="1">
      <alignment vertical="center"/>
    </xf>
    <xf numFmtId="41" fontId="5" fillId="0" borderId="39" xfId="20" applyFont="1" applyFill="1" applyBorder="1" applyAlignment="1">
      <alignment vertical="center"/>
    </xf>
    <xf numFmtId="41" fontId="5" fillId="0" borderId="43" xfId="20" applyFont="1" applyFill="1" applyBorder="1" applyAlignment="1">
      <alignment vertical="center"/>
    </xf>
    <xf numFmtId="41" fontId="5" fillId="0" borderId="9" xfId="20" applyFont="1" applyFill="1" applyBorder="1" applyAlignment="1">
      <alignment vertical="center"/>
    </xf>
    <xf numFmtId="41" fontId="5" fillId="0" borderId="25" xfId="20" applyFont="1" applyFill="1" applyBorder="1" applyAlignment="1">
      <alignment vertical="center"/>
    </xf>
    <xf numFmtId="41" fontId="5" fillId="0" borderId="48" xfId="20" applyFont="1" applyFill="1" applyBorder="1" applyAlignment="1">
      <alignment vertical="center"/>
    </xf>
    <xf numFmtId="41" fontId="2" fillId="8" borderId="9" xfId="20" applyFont="1" applyFill="1" applyBorder="1" applyAlignment="1">
      <alignment vertical="center"/>
    </xf>
    <xf numFmtId="41" fontId="5" fillId="8" borderId="8" xfId="20" applyFont="1" applyFill="1" applyBorder="1" applyAlignment="1">
      <alignment vertical="center"/>
    </xf>
    <xf numFmtId="41" fontId="5" fillId="0" borderId="31" xfId="20" applyFont="1" applyFill="1" applyBorder="1" applyAlignment="1">
      <alignment vertical="center"/>
    </xf>
    <xf numFmtId="41" fontId="2" fillId="0" borderId="44" xfId="20" applyFont="1" applyFill="1" applyBorder="1" applyAlignment="1">
      <alignment vertical="center"/>
    </xf>
    <xf numFmtId="41" fontId="2" fillId="0" borderId="61" xfId="20" applyFont="1" applyFill="1" applyBorder="1" applyAlignment="1">
      <alignment vertical="center"/>
    </xf>
    <xf numFmtId="41" fontId="2" fillId="0" borderId="9" xfId="20" applyFont="1" applyFill="1" applyBorder="1" applyAlignment="1">
      <alignment vertical="center"/>
    </xf>
    <xf numFmtId="41" fontId="2" fillId="0" borderId="10" xfId="20" applyFont="1" applyFill="1" applyBorder="1" applyAlignment="1">
      <alignment vertical="center"/>
    </xf>
    <xf numFmtId="41" fontId="2" fillId="0" borderId="8" xfId="20" applyFont="1" applyFill="1" applyBorder="1" applyAlignment="1">
      <alignment vertical="center"/>
    </xf>
    <xf numFmtId="41" fontId="2" fillId="0" borderId="12" xfId="20" applyFont="1" applyFill="1" applyBorder="1" applyAlignment="1">
      <alignment vertical="center"/>
    </xf>
    <xf numFmtId="41" fontId="2" fillId="8" borderId="12" xfId="20" applyFont="1" applyFill="1" applyBorder="1" applyAlignment="1">
      <alignment vertical="center"/>
    </xf>
    <xf numFmtId="41" fontId="2" fillId="6" borderId="12" xfId="20" applyFont="1" applyFill="1" applyBorder="1" applyAlignment="1">
      <alignment vertical="center"/>
    </xf>
    <xf numFmtId="41" fontId="2" fillId="0" borderId="39" xfId="20" applyFont="1" applyFill="1" applyBorder="1" applyAlignment="1">
      <alignment vertical="center"/>
    </xf>
    <xf numFmtId="41" fontId="2" fillId="0" borderId="67" xfId="20" applyFont="1" applyFill="1" applyBorder="1" applyAlignment="1">
      <alignment vertical="center"/>
    </xf>
    <xf numFmtId="41" fontId="2" fillId="0" borderId="43" xfId="20" applyFont="1" applyFill="1" applyBorder="1" applyAlignment="1">
      <alignment vertical="center"/>
    </xf>
    <xf numFmtId="41" fontId="2" fillId="0" borderId="71" xfId="20" applyFont="1" applyFill="1" applyBorder="1" applyAlignment="1">
      <alignment vertical="center"/>
    </xf>
    <xf numFmtId="41" fontId="2" fillId="0" borderId="25" xfId="20" applyFont="1" applyFill="1" applyBorder="1" applyAlignment="1">
      <alignment vertical="center"/>
    </xf>
    <xf numFmtId="41" fontId="2" fillId="0" borderId="65" xfId="20" applyFont="1" applyFill="1" applyBorder="1" applyAlignment="1">
      <alignment vertical="center"/>
    </xf>
    <xf numFmtId="41" fontId="2" fillId="0" borderId="48" xfId="20" applyFont="1" applyFill="1" applyBorder="1" applyAlignment="1">
      <alignment vertical="center"/>
    </xf>
    <xf numFmtId="41" fontId="2" fillId="0" borderId="27" xfId="20" applyFont="1" applyFill="1" applyBorder="1" applyAlignment="1">
      <alignment vertical="center"/>
    </xf>
    <xf numFmtId="41" fontId="2" fillId="0" borderId="39" xfId="20" applyFont="1" applyBorder="1" applyAlignment="1">
      <alignment vertical="center"/>
    </xf>
    <xf numFmtId="41" fontId="2" fillId="8" borderId="10" xfId="20" applyFont="1" applyFill="1" applyBorder="1" applyAlignment="1">
      <alignment vertical="center"/>
    </xf>
    <xf numFmtId="41" fontId="2" fillId="0" borderId="31" xfId="20" applyFont="1" applyFill="1" applyBorder="1" applyAlignment="1">
      <alignment vertical="center"/>
    </xf>
    <xf numFmtId="41" fontId="2" fillId="0" borderId="32" xfId="20" applyFont="1" applyFill="1" applyBorder="1" applyAlignment="1">
      <alignment vertical="center"/>
    </xf>
    <xf numFmtId="0" fontId="39" fillId="0" borderId="0" xfId="1" applyFont="1" applyFill="1" applyAlignment="1">
      <alignment vertical="center"/>
    </xf>
    <xf numFmtId="0" fontId="2" fillId="2" borderId="8" xfId="1" applyFont="1" applyFill="1" applyBorder="1" applyAlignment="1">
      <alignment horizontal="centerContinuous" vertical="center"/>
    </xf>
    <xf numFmtId="183" fontId="2" fillId="4" borderId="8" xfId="3" applyNumberFormat="1" applyFont="1" applyFill="1" applyBorder="1" applyAlignment="1">
      <alignment horizontal="left" vertical="center"/>
    </xf>
    <xf numFmtId="180" fontId="38" fillId="18" borderId="82" xfId="20" applyNumberFormat="1" applyFont="1" applyFill="1" applyBorder="1" applyAlignment="1">
      <alignment vertical="center"/>
    </xf>
    <xf numFmtId="41" fontId="2" fillId="0" borderId="0" xfId="20" applyFont="1" applyBorder="1" applyAlignment="1">
      <alignment vertical="center"/>
    </xf>
    <xf numFmtId="203" fontId="2" fillId="0" borderId="126" xfId="1" applyNumberFormat="1" applyFont="1" applyFill="1" applyBorder="1" applyAlignment="1">
      <alignment horizontal="center" vertical="center" wrapText="1"/>
    </xf>
    <xf numFmtId="203" fontId="2" fillId="0" borderId="74" xfId="1" applyNumberFormat="1" applyFont="1" applyFill="1" applyBorder="1" applyAlignment="1">
      <alignment horizontal="center" vertical="center" wrapText="1"/>
    </xf>
    <xf numFmtId="0" fontId="2" fillId="0" borderId="0" xfId="3" applyNumberFormat="1" applyFont="1" applyAlignment="1">
      <alignment vertical="center"/>
    </xf>
    <xf numFmtId="0" fontId="2" fillId="0" borderId="0" xfId="3" applyNumberFormat="1" applyFont="1" applyAlignment="1">
      <alignment horizontal="center" vertical="center"/>
    </xf>
    <xf numFmtId="202" fontId="18" fillId="0" borderId="0" xfId="1" applyNumberFormat="1" applyFont="1" applyFill="1" applyAlignment="1">
      <alignment vertical="center"/>
    </xf>
    <xf numFmtId="204" fontId="46" fillId="6" borderId="92" xfId="3" applyNumberFormat="1" applyFont="1" applyFill="1" applyBorder="1" applyAlignment="1" applyProtection="1">
      <alignment horizontal="right" vertical="center" wrapText="1"/>
      <protection locked="0"/>
    </xf>
    <xf numFmtId="204" fontId="46" fillId="6" borderId="92" xfId="3" applyNumberFormat="1" applyFont="1" applyFill="1" applyBorder="1" applyAlignment="1" applyProtection="1">
      <alignment horizontal="center" vertical="center" wrapText="1"/>
      <protection locked="0"/>
    </xf>
    <xf numFmtId="14" fontId="2" fillId="6" borderId="92" xfId="1" applyNumberFormat="1" applyFont="1" applyFill="1" applyBorder="1" applyAlignment="1" applyProtection="1">
      <alignment horizontal="center" vertical="center" wrapText="1"/>
      <protection locked="0"/>
    </xf>
    <xf numFmtId="14" fontId="2" fillId="6" borderId="92" xfId="5" applyNumberFormat="1" applyFont="1" applyFill="1" applyBorder="1" applyAlignment="1">
      <alignment horizontal="center" vertical="center"/>
    </xf>
    <xf numFmtId="9" fontId="2" fillId="6" borderId="92" xfId="5" applyFont="1" applyFill="1" applyBorder="1" applyAlignment="1" applyProtection="1">
      <alignment horizontal="center" vertical="center" wrapText="1"/>
      <protection locked="0"/>
    </xf>
    <xf numFmtId="10" fontId="46" fillId="6" borderId="92" xfId="5" applyNumberFormat="1" applyFont="1" applyFill="1" applyBorder="1" applyAlignment="1" applyProtection="1">
      <alignment horizontal="center" vertical="center"/>
      <protection locked="0"/>
    </xf>
    <xf numFmtId="191" fontId="10" fillId="6" borderId="94" xfId="1" applyNumberFormat="1" applyFont="1" applyFill="1" applyBorder="1" applyAlignment="1">
      <alignment horizontal="left" vertical="center" wrapText="1"/>
    </xf>
    <xf numFmtId="0" fontId="2" fillId="2" borderId="12" xfId="1" applyFont="1" applyFill="1" applyBorder="1" applyAlignment="1">
      <alignment horizontal="centerContinuous" vertical="center"/>
    </xf>
    <xf numFmtId="0" fontId="2" fillId="2" borderId="28" xfId="1" applyFont="1" applyFill="1" applyBorder="1" applyAlignment="1">
      <alignment horizontal="centerContinuous" vertical="center"/>
    </xf>
    <xf numFmtId="49" fontId="2" fillId="0" borderId="31" xfId="1" applyNumberFormat="1" applyFont="1" applyFill="1" applyBorder="1" applyAlignment="1" applyProtection="1">
      <alignment horizontal="center" vertical="center"/>
      <protection locked="0"/>
    </xf>
    <xf numFmtId="0" fontId="2" fillId="0" borderId="72" xfId="1" applyFont="1" applyBorder="1" applyAlignment="1">
      <alignment horizontal="center" vertical="center"/>
    </xf>
    <xf numFmtId="10" fontId="36" fillId="0" borderId="127" xfId="5" applyNumberFormat="1" applyFont="1" applyBorder="1" applyAlignment="1">
      <alignment horizontal="center" vertical="center"/>
    </xf>
    <xf numFmtId="224" fontId="2" fillId="6" borderId="12" xfId="1" applyNumberFormat="1" applyFont="1" applyFill="1" applyBorder="1" applyAlignment="1">
      <alignment horizontal="centerContinuous" vertical="center"/>
    </xf>
    <xf numFmtId="10" fontId="21" fillId="11" borderId="0" xfId="21" applyNumberFormat="1" applyFont="1" applyFill="1" applyBorder="1" applyAlignment="1">
      <alignment horizontal="center" vertical="center"/>
    </xf>
    <xf numFmtId="225" fontId="46" fillId="0" borderId="0" xfId="21" applyNumberFormat="1" applyFont="1" applyAlignment="1">
      <alignment horizontal="center" vertical="center"/>
    </xf>
    <xf numFmtId="49" fontId="2" fillId="0" borderId="8" xfId="1" applyNumberFormat="1" applyFont="1" applyFill="1" applyBorder="1" applyAlignment="1" applyProtection="1">
      <alignment horizontal="center" vertical="center"/>
      <protection locked="0"/>
    </xf>
    <xf numFmtId="10" fontId="46" fillId="0" borderId="12" xfId="5" applyNumberFormat="1" applyFont="1" applyFill="1" applyBorder="1" applyAlignment="1">
      <alignment horizontal="right" vertical="center" wrapText="1"/>
    </xf>
    <xf numFmtId="191" fontId="2" fillId="0" borderId="128" xfId="1" applyNumberFormat="1" applyFont="1" applyFill="1" applyBorder="1" applyAlignment="1">
      <alignment horizontal="center" vertical="center" wrapText="1"/>
    </xf>
    <xf numFmtId="0" fontId="10" fillId="0" borderId="0" xfId="1" applyFont="1" applyAlignment="1">
      <alignment vertical="center"/>
    </xf>
    <xf numFmtId="177" fontId="39" fillId="0" borderId="0" xfId="1" applyNumberFormat="1" applyFont="1" applyFill="1" applyAlignment="1">
      <alignment horizontal="centerContinuous" vertical="center"/>
    </xf>
    <xf numFmtId="226" fontId="2" fillId="0" borderId="0" xfId="21" applyNumberFormat="1" applyFont="1" applyFill="1" applyAlignment="1">
      <alignment horizontal="centerContinuous" vertical="center"/>
    </xf>
    <xf numFmtId="49" fontId="2" fillId="8" borderId="12" xfId="1" applyNumberFormat="1" applyFont="1" applyFill="1" applyBorder="1" applyAlignment="1">
      <alignment vertical="center"/>
    </xf>
    <xf numFmtId="49" fontId="2" fillId="8" borderId="28" xfId="1" applyNumberFormat="1" applyFont="1" applyFill="1" applyBorder="1" applyAlignment="1">
      <alignment vertical="center"/>
    </xf>
    <xf numFmtId="0" fontId="2" fillId="0" borderId="63" xfId="1" applyFont="1" applyFill="1" applyBorder="1" applyAlignment="1">
      <alignment horizontal="center" vertical="center" wrapText="1"/>
    </xf>
    <xf numFmtId="0" fontId="2" fillId="0" borderId="28" xfId="1" applyFont="1" applyFill="1" applyBorder="1" applyAlignment="1">
      <alignment horizontal="center" vertical="center" wrapText="1"/>
    </xf>
    <xf numFmtId="0" fontId="2" fillId="2" borderId="63" xfId="1" applyFon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10" xfId="1" applyFont="1" applyFill="1" applyBorder="1" applyAlignment="1">
      <alignment horizontal="center" vertical="center" wrapText="1"/>
    </xf>
    <xf numFmtId="0" fontId="2" fillId="0" borderId="23" xfId="1" applyFont="1" applyFill="1" applyBorder="1" applyAlignment="1">
      <alignment horizontal="center" vertical="center" wrapText="1"/>
    </xf>
    <xf numFmtId="0" fontId="10" fillId="13" borderId="5" xfId="1" applyFont="1" applyFill="1" applyBorder="1" applyAlignment="1">
      <alignment horizontal="center" vertical="center" wrapText="1"/>
    </xf>
    <xf numFmtId="10" fontId="5" fillId="0" borderId="110" xfId="5" applyNumberFormat="1" applyFont="1" applyFill="1" applyBorder="1" applyAlignment="1" applyProtection="1">
      <alignment horizontal="center" vertical="center" wrapText="1"/>
      <protection locked="0"/>
    </xf>
    <xf numFmtId="10" fontId="5" fillId="0" borderId="25" xfId="5" applyNumberFormat="1" applyFont="1" applyFill="1" applyBorder="1" applyAlignment="1" applyProtection="1">
      <alignment horizontal="center" vertical="center" wrapText="1"/>
      <protection locked="0"/>
    </xf>
    <xf numFmtId="0" fontId="2" fillId="0" borderId="12" xfId="1" applyFont="1" applyFill="1" applyBorder="1" applyAlignment="1">
      <alignment horizontal="center" vertical="center" wrapText="1"/>
    </xf>
    <xf numFmtId="204" fontId="11" fillId="0" borderId="109" xfId="3" applyNumberFormat="1" applyFont="1" applyFill="1" applyBorder="1" applyAlignment="1" applyProtection="1">
      <alignment horizontal="center" vertical="center" wrapText="1"/>
      <protection locked="0"/>
    </xf>
    <xf numFmtId="204" fontId="11" fillId="0" borderId="65" xfId="3" applyNumberFormat="1" applyFont="1" applyFill="1" applyBorder="1" applyAlignment="1" applyProtection="1">
      <alignment horizontal="center" vertical="center" wrapText="1"/>
      <protection locked="0"/>
    </xf>
    <xf numFmtId="0" fontId="2" fillId="0" borderId="63" xfId="1" applyFont="1" applyBorder="1" applyAlignment="1">
      <alignment vertical="center"/>
    </xf>
    <xf numFmtId="0" fontId="2" fillId="0" borderId="28" xfId="1" applyFont="1" applyBorder="1" applyAlignment="1">
      <alignment vertical="center"/>
    </xf>
    <xf numFmtId="0" fontId="2" fillId="2" borderId="8" xfId="1" applyFont="1" applyFill="1" applyBorder="1" applyAlignment="1">
      <alignment horizontal="center" vertical="center"/>
    </xf>
    <xf numFmtId="191" fontId="10" fillId="0" borderId="9" xfId="1" applyNumberFormat="1" applyFont="1" applyFill="1" applyBorder="1" applyAlignment="1">
      <alignment horizontal="center" vertical="center" wrapText="1"/>
    </xf>
    <xf numFmtId="9" fontId="46" fillId="0" borderId="9" xfId="5" applyFont="1" applyFill="1" applyBorder="1" applyAlignment="1" applyProtection="1">
      <alignment horizontal="center" vertical="center" wrapText="1"/>
      <protection locked="0"/>
    </xf>
    <xf numFmtId="14" fontId="46" fillId="0" borderId="48" xfId="5" applyNumberFormat="1" applyFont="1" applyFill="1" applyBorder="1" applyAlignment="1">
      <alignment horizontal="center" vertical="center" wrapText="1"/>
    </xf>
    <xf numFmtId="14" fontId="46" fillId="0" borderId="9" xfId="5" applyNumberFormat="1" applyFont="1" applyFill="1" applyBorder="1" applyAlignment="1">
      <alignment horizontal="center" vertical="center" wrapText="1"/>
    </xf>
    <xf numFmtId="0" fontId="2" fillId="2" borderId="12" xfId="1" applyFont="1" applyFill="1" applyBorder="1" applyAlignment="1">
      <alignment horizontal="center" vertical="center" wrapText="1"/>
    </xf>
    <xf numFmtId="0" fontId="2" fillId="0" borderId="99" xfId="1" applyFont="1" applyFill="1" applyBorder="1" applyAlignment="1">
      <alignment horizontal="center" vertical="center" wrapText="1"/>
    </xf>
    <xf numFmtId="0" fontId="2" fillId="0" borderId="85" xfId="1" applyFont="1" applyFill="1" applyBorder="1" applyAlignment="1">
      <alignment horizontal="center" vertical="center" wrapText="1"/>
    </xf>
    <xf numFmtId="0" fontId="2" fillId="2" borderId="12" xfId="1" applyFont="1" applyFill="1" applyBorder="1" applyAlignment="1">
      <alignment horizontal="center" vertical="center"/>
    </xf>
    <xf numFmtId="0" fontId="2" fillId="2" borderId="28" xfId="1" applyFont="1" applyFill="1" applyBorder="1" applyAlignment="1">
      <alignment horizontal="center" vertical="center"/>
    </xf>
    <xf numFmtId="202" fontId="5" fillId="0" borderId="48" xfId="1" applyNumberFormat="1" applyFont="1" applyBorder="1" applyAlignment="1">
      <alignment horizontal="center" vertical="center"/>
    </xf>
    <xf numFmtId="0" fontId="2" fillId="0" borderId="12" xfId="1" applyFont="1" applyFill="1" applyBorder="1" applyAlignment="1">
      <alignment vertical="center"/>
    </xf>
    <xf numFmtId="0" fontId="2" fillId="0" borderId="28" xfId="1" applyFont="1" applyFill="1" applyBorder="1" applyAlignment="1">
      <alignment vertical="center"/>
    </xf>
    <xf numFmtId="203" fontId="2" fillId="0" borderId="12" xfId="1" applyNumberFormat="1" applyFont="1" applyFill="1" applyBorder="1" applyAlignment="1">
      <alignment horizontal="center" vertical="center" wrapText="1"/>
    </xf>
    <xf numFmtId="203" fontId="2" fillId="0" borderId="8" xfId="1" applyNumberFormat="1" applyFont="1" applyFill="1" applyBorder="1" applyAlignment="1">
      <alignment horizontal="center" vertical="center" wrapText="1"/>
    </xf>
    <xf numFmtId="0" fontId="2" fillId="2" borderId="9" xfId="1" applyFont="1" applyFill="1" applyBorder="1" applyAlignment="1">
      <alignment horizontal="center" vertical="center"/>
    </xf>
    <xf numFmtId="0" fontId="27" fillId="15" borderId="23" xfId="1" applyFont="1" applyFill="1" applyBorder="1" applyAlignment="1">
      <alignment horizontal="left" vertical="center"/>
    </xf>
    <xf numFmtId="203" fontId="2" fillId="6" borderId="12" xfId="1" applyNumberFormat="1" applyFont="1" applyFill="1" applyBorder="1" applyAlignment="1">
      <alignment horizontal="center" vertical="center" wrapText="1"/>
    </xf>
    <xf numFmtId="0" fontId="2" fillId="0" borderId="47" xfId="1" applyFont="1" applyFill="1" applyBorder="1" applyAlignment="1">
      <alignment horizontal="left" vertical="center"/>
    </xf>
    <xf numFmtId="0" fontId="2" fillId="0" borderId="63" xfId="1" applyFont="1" applyFill="1" applyBorder="1" applyAlignment="1">
      <alignment horizontal="left" vertical="center"/>
    </xf>
    <xf numFmtId="0" fontId="2" fillId="0" borderId="28" xfId="1" applyFont="1" applyFill="1" applyBorder="1" applyAlignment="1">
      <alignment horizontal="left" vertical="center"/>
    </xf>
    <xf numFmtId="0" fontId="2" fillId="0" borderId="22" xfId="1" applyFont="1" applyFill="1" applyBorder="1" applyAlignment="1">
      <alignment horizontal="left" vertical="center"/>
    </xf>
    <xf numFmtId="0" fontId="2" fillId="0" borderId="24" xfId="1" applyFont="1" applyFill="1" applyBorder="1" applyAlignment="1">
      <alignment horizontal="left" vertical="center"/>
    </xf>
    <xf numFmtId="0" fontId="2" fillId="0" borderId="62" xfId="1" applyFont="1" applyBorder="1" applyAlignment="1">
      <alignment horizontal="center" vertical="center"/>
    </xf>
    <xf numFmtId="0" fontId="2" fillId="0" borderId="28" xfId="1" applyFont="1" applyFill="1" applyBorder="1" applyAlignment="1">
      <alignment horizontal="left" vertical="center" wrapText="1"/>
    </xf>
    <xf numFmtId="210" fontId="21" fillId="11" borderId="0" xfId="3" applyNumberFormat="1" applyFont="1" applyFill="1" applyBorder="1" applyAlignment="1">
      <alignment vertical="center"/>
    </xf>
    <xf numFmtId="49" fontId="2" fillId="8" borderId="28" xfId="1" applyNumberFormat="1" applyFont="1" applyFill="1" applyBorder="1" applyAlignment="1">
      <alignment vertical="center"/>
    </xf>
    <xf numFmtId="49" fontId="2" fillId="8" borderId="12" xfId="1" applyNumberFormat="1" applyFont="1" applyFill="1" applyBorder="1" applyAlignment="1">
      <alignment vertical="center"/>
    </xf>
    <xf numFmtId="49" fontId="2" fillId="8" borderId="63" xfId="1" applyNumberFormat="1" applyFont="1" applyFill="1" applyBorder="1" applyAlignment="1">
      <alignment vertical="center"/>
    </xf>
    <xf numFmtId="0" fontId="2" fillId="0" borderId="28" xfId="1" applyFont="1" applyFill="1" applyBorder="1" applyAlignment="1">
      <alignment vertical="center"/>
    </xf>
    <xf numFmtId="203" fontId="2" fillId="0" borderId="12" xfId="1" applyNumberFormat="1" applyFont="1" applyFill="1" applyBorder="1" applyAlignment="1">
      <alignment horizontal="center" vertical="center" wrapText="1"/>
    </xf>
    <xf numFmtId="177" fontId="2" fillId="0" borderId="46" xfId="1" applyNumberFormat="1" applyFont="1" applyFill="1" applyBorder="1" applyAlignment="1">
      <alignment horizontal="right" vertical="center"/>
    </xf>
    <xf numFmtId="49" fontId="2" fillId="11" borderId="63" xfId="1" applyNumberFormat="1" applyFont="1" applyFill="1" applyBorder="1" applyAlignment="1">
      <alignment vertical="center"/>
    </xf>
    <xf numFmtId="49" fontId="2" fillId="11" borderId="28" xfId="1" applyNumberFormat="1" applyFont="1" applyFill="1" applyBorder="1" applyAlignment="1">
      <alignment vertical="center"/>
    </xf>
    <xf numFmtId="41" fontId="2" fillId="11" borderId="9" xfId="20" applyFont="1" applyFill="1" applyBorder="1" applyAlignment="1">
      <alignment vertical="center"/>
    </xf>
    <xf numFmtId="41" fontId="2" fillId="11" borderId="10" xfId="20" applyFont="1" applyFill="1" applyBorder="1" applyAlignment="1">
      <alignment vertical="center"/>
    </xf>
    <xf numFmtId="180" fontId="2" fillId="11" borderId="9" xfId="1" applyNumberFormat="1" applyFont="1" applyFill="1" applyBorder="1" applyAlignment="1">
      <alignment vertical="center"/>
    </xf>
    <xf numFmtId="0" fontId="2" fillId="0" borderId="12" xfId="1" applyFont="1" applyFill="1" applyBorder="1" applyAlignment="1">
      <alignment vertical="center"/>
    </xf>
    <xf numFmtId="0" fontId="2" fillId="0" borderId="28" xfId="1" applyFont="1" applyFill="1" applyBorder="1" applyAlignment="1">
      <alignment vertical="center"/>
    </xf>
    <xf numFmtId="0" fontId="2" fillId="0" borderId="8" xfId="1" applyFont="1" applyBorder="1" applyAlignment="1">
      <alignment vertical="center"/>
    </xf>
    <xf numFmtId="49" fontId="2" fillId="6" borderId="0" xfId="1" applyNumberFormat="1" applyFont="1" applyFill="1" applyBorder="1" applyAlignment="1">
      <alignment vertical="center" wrapText="1"/>
    </xf>
    <xf numFmtId="210" fontId="66" fillId="11" borderId="0" xfId="3" applyNumberFormat="1" applyFont="1" applyFill="1" applyBorder="1" applyAlignment="1">
      <alignment vertical="center"/>
    </xf>
    <xf numFmtId="0" fontId="2" fillId="0" borderId="63" xfId="1" applyFont="1" applyFill="1" applyBorder="1" applyAlignment="1">
      <alignment horizontal="center" vertical="center" wrapText="1"/>
    </xf>
    <xf numFmtId="0" fontId="2" fillId="0" borderId="28" xfId="1" applyFont="1" applyFill="1" applyBorder="1" applyAlignment="1">
      <alignment horizontal="center" vertical="center" wrapText="1"/>
    </xf>
    <xf numFmtId="176" fontId="2" fillId="11" borderId="0" xfId="3" applyFont="1" applyFill="1" applyBorder="1" applyAlignment="1">
      <alignment horizontal="center" vertical="center"/>
    </xf>
    <xf numFmtId="203" fontId="2" fillId="6" borderId="12" xfId="1" applyNumberFormat="1" applyFont="1" applyFill="1" applyBorder="1" applyAlignment="1">
      <alignment horizontal="center" vertical="center" wrapText="1"/>
    </xf>
    <xf numFmtId="0" fontId="2" fillId="2" borderId="8" xfId="1" applyFont="1" applyFill="1" applyBorder="1" applyAlignment="1">
      <alignment horizontal="center" vertical="center"/>
    </xf>
    <xf numFmtId="228" fontId="2" fillId="2" borderId="57" xfId="1" applyNumberFormat="1" applyFont="1" applyFill="1" applyBorder="1" applyAlignment="1">
      <alignment horizontal="center" vertical="center"/>
    </xf>
    <xf numFmtId="229" fontId="2" fillId="2" borderId="57" xfId="1" applyNumberFormat="1" applyFont="1" applyFill="1" applyBorder="1" applyAlignment="1">
      <alignment horizontal="center" vertical="center"/>
    </xf>
    <xf numFmtId="229" fontId="2" fillId="19" borderId="57" xfId="1" applyNumberFormat="1" applyFont="1" applyFill="1" applyBorder="1" applyAlignment="1">
      <alignment horizontal="center" vertical="center"/>
    </xf>
    <xf numFmtId="228" fontId="2" fillId="19" borderId="57" xfId="1" applyNumberFormat="1" applyFont="1" applyFill="1" applyBorder="1" applyAlignment="1">
      <alignment horizontal="center" vertical="center"/>
    </xf>
    <xf numFmtId="0" fontId="10" fillId="13" borderId="4" xfId="1" applyFont="1" applyFill="1" applyBorder="1" applyAlignment="1">
      <alignment horizontal="center" vertical="center" wrapText="1"/>
    </xf>
    <xf numFmtId="204" fontId="11" fillId="0" borderId="109" xfId="3" applyNumberFormat="1" applyFont="1" applyFill="1" applyBorder="1" applyAlignment="1" applyProtection="1">
      <alignment horizontal="center" vertical="center" wrapText="1"/>
      <protection locked="0"/>
    </xf>
    <xf numFmtId="10" fontId="5" fillId="0" borderId="110" xfId="5" applyNumberFormat="1" applyFont="1" applyFill="1" applyBorder="1" applyAlignment="1" applyProtection="1">
      <alignment horizontal="center" vertical="center" wrapText="1"/>
      <protection locked="0"/>
    </xf>
    <xf numFmtId="0" fontId="2" fillId="2" borderId="8" xfId="1" applyFont="1" applyFill="1" applyBorder="1" applyAlignment="1">
      <alignment horizontal="center" vertical="center"/>
    </xf>
    <xf numFmtId="203" fontId="2" fillId="0" borderId="12" xfId="1" applyNumberFormat="1" applyFont="1" applyFill="1" applyBorder="1" applyAlignment="1">
      <alignment horizontal="center" vertical="center" wrapText="1"/>
    </xf>
    <xf numFmtId="0" fontId="2" fillId="2" borderId="9" xfId="1" applyFont="1" applyFill="1" applyBorder="1" applyAlignment="1">
      <alignment horizontal="centerContinuous" vertical="center"/>
    </xf>
    <xf numFmtId="203" fontId="2" fillId="6" borderId="12" xfId="1" applyNumberFormat="1" applyFont="1" applyFill="1" applyBorder="1" applyAlignment="1">
      <alignment horizontal="center" vertical="center" wrapText="1"/>
    </xf>
    <xf numFmtId="202" fontId="5" fillId="0" borderId="9" xfId="1" applyNumberFormat="1" applyFont="1" applyBorder="1" applyAlignment="1">
      <alignment horizontal="center" vertical="center"/>
    </xf>
    <xf numFmtId="0" fontId="2" fillId="0" borderId="47" xfId="1" applyFont="1" applyBorder="1" applyAlignment="1">
      <alignment horizontal="left" vertical="center" indent="1"/>
    </xf>
    <xf numFmtId="0" fontId="2" fillId="0" borderId="63" xfId="1" applyFont="1" applyBorder="1" applyAlignment="1">
      <alignment horizontal="left" vertical="center" indent="1"/>
    </xf>
    <xf numFmtId="0" fontId="2" fillId="0" borderId="28" xfId="1" applyFont="1" applyBorder="1" applyAlignment="1">
      <alignment horizontal="left" vertical="center" indent="1"/>
    </xf>
    <xf numFmtId="0" fontId="2" fillId="2" borderId="8" xfId="1" applyFont="1" applyFill="1" applyBorder="1" applyAlignment="1">
      <alignment horizontal="center" vertical="center"/>
    </xf>
    <xf numFmtId="0" fontId="27" fillId="15" borderId="23" xfId="1" applyFont="1" applyFill="1" applyBorder="1" applyAlignment="1">
      <alignment horizontal="left" vertical="center"/>
    </xf>
    <xf numFmtId="10" fontId="2" fillId="0" borderId="0" xfId="21" applyNumberFormat="1" applyFont="1" applyAlignment="1">
      <alignment vertical="center"/>
    </xf>
    <xf numFmtId="0" fontId="68" fillId="0" borderId="0" xfId="28" applyFill="1" applyAlignment="1">
      <alignment horizontal="left" vertical="center"/>
    </xf>
    <xf numFmtId="0" fontId="2" fillId="2" borderId="8" xfId="1" applyFont="1" applyFill="1" applyBorder="1" applyAlignment="1">
      <alignment horizontal="center" vertical="center"/>
    </xf>
    <xf numFmtId="0" fontId="2" fillId="0" borderId="28" xfId="1" applyFont="1" applyFill="1" applyBorder="1" applyAlignment="1">
      <alignment horizontal="left" vertical="center"/>
    </xf>
    <xf numFmtId="189" fontId="2" fillId="6" borderId="25" xfId="1" applyNumberFormat="1" applyFont="1" applyFill="1" applyBorder="1" applyAlignment="1">
      <alignment horizontal="center" vertical="center"/>
    </xf>
    <xf numFmtId="10" fontId="2" fillId="6" borderId="25" xfId="1" applyNumberFormat="1" applyFont="1" applyFill="1" applyBorder="1" applyAlignment="1">
      <alignment horizontal="center" vertical="center"/>
    </xf>
    <xf numFmtId="10" fontId="5" fillId="21" borderId="8" xfId="1" applyNumberFormat="1" applyFont="1" applyFill="1" applyBorder="1" applyAlignment="1">
      <alignment horizontal="center" vertical="center"/>
    </xf>
    <xf numFmtId="209" fontId="2" fillId="6" borderId="0" xfId="1" applyNumberFormat="1" applyFont="1" applyFill="1" applyBorder="1" applyAlignment="1">
      <alignment vertical="center"/>
    </xf>
    <xf numFmtId="209" fontId="2" fillId="6" borderId="88" xfId="1" applyNumberFormat="1" applyFont="1" applyFill="1" applyBorder="1" applyAlignment="1">
      <alignment vertical="center"/>
    </xf>
    <xf numFmtId="183" fontId="2" fillId="6" borderId="65" xfId="3" applyNumberFormat="1" applyFont="1" applyFill="1" applyBorder="1" applyAlignment="1">
      <alignment horizontal="center" vertical="center" wrapText="1"/>
    </xf>
    <xf numFmtId="0" fontId="2" fillId="6" borderId="28" xfId="1" applyFont="1" applyFill="1" applyBorder="1" applyAlignment="1">
      <alignment horizontal="left" vertical="center"/>
    </xf>
    <xf numFmtId="202" fontId="2" fillId="6" borderId="25" xfId="1" applyNumberFormat="1" applyFont="1" applyFill="1" applyBorder="1" applyAlignment="1">
      <alignment horizontal="right" vertical="center"/>
    </xf>
    <xf numFmtId="202" fontId="18" fillId="6" borderId="0" xfId="1" applyNumberFormat="1" applyFont="1" applyFill="1" applyAlignment="1">
      <alignment vertical="center"/>
    </xf>
    <xf numFmtId="0" fontId="2" fillId="6" borderId="0" xfId="1" applyFill="1" applyAlignment="1">
      <alignment vertical="center"/>
    </xf>
    <xf numFmtId="202" fontId="2" fillId="0" borderId="8" xfId="1" applyNumberFormat="1" applyFont="1" applyBorder="1" applyAlignment="1">
      <alignment vertical="center"/>
    </xf>
    <xf numFmtId="0" fontId="2" fillId="2" borderId="8" xfId="1" applyFont="1" applyFill="1" applyBorder="1" applyAlignment="1">
      <alignment horizontal="center" vertical="center"/>
    </xf>
    <xf numFmtId="234" fontId="2" fillId="0" borderId="0" xfId="3" applyNumberFormat="1" applyFont="1" applyFill="1" applyBorder="1" applyAlignment="1">
      <alignment horizontal="right" vertical="center" wrapText="1"/>
    </xf>
    <xf numFmtId="235" fontId="21" fillId="11" borderId="0" xfId="1" applyNumberFormat="1" applyFont="1" applyFill="1" applyBorder="1" applyAlignment="1">
      <alignment horizontal="centerContinuous" vertical="center"/>
    </xf>
    <xf numFmtId="236" fontId="2" fillId="0" borderId="0" xfId="20" applyNumberFormat="1" applyFont="1" applyAlignment="1">
      <alignment horizontal="center" vertical="center"/>
    </xf>
    <xf numFmtId="0" fontId="2" fillId="0" borderId="28" xfId="1" applyFont="1" applyFill="1" applyBorder="1" applyAlignment="1">
      <alignment horizontal="left" vertical="center"/>
    </xf>
    <xf numFmtId="10" fontId="5" fillId="21" borderId="86" xfId="1" applyNumberFormat="1" applyFont="1" applyFill="1" applyBorder="1" applyAlignment="1">
      <alignment horizontal="center" vertical="center"/>
    </xf>
    <xf numFmtId="10" fontId="5" fillId="21" borderId="92" xfId="1" applyNumberFormat="1" applyFont="1" applyFill="1" applyBorder="1" applyAlignment="1">
      <alignment horizontal="center" vertical="center" wrapText="1"/>
    </xf>
    <xf numFmtId="198" fontId="2" fillId="0" borderId="46" xfId="1" applyNumberFormat="1" applyFont="1" applyFill="1" applyBorder="1" applyAlignment="1">
      <alignment horizontal="right" vertical="center"/>
    </xf>
    <xf numFmtId="43" fontId="5" fillId="0" borderId="39" xfId="20" applyNumberFormat="1" applyFont="1" applyFill="1" applyBorder="1" applyAlignment="1">
      <alignment vertical="center"/>
    </xf>
    <xf numFmtId="0" fontId="2" fillId="0" borderId="63" xfId="1" applyFont="1" applyFill="1" applyBorder="1" applyAlignment="1">
      <alignment horizontal="center" vertical="center" wrapText="1"/>
    </xf>
    <xf numFmtId="0" fontId="2" fillId="0" borderId="28" xfId="1" applyFont="1" applyFill="1" applyBorder="1" applyAlignment="1">
      <alignment horizontal="center" vertical="center" wrapText="1"/>
    </xf>
    <xf numFmtId="237" fontId="2" fillId="2" borderId="19" xfId="1" applyNumberFormat="1" applyFont="1" applyFill="1" applyBorder="1" applyAlignment="1">
      <alignment horizontal="center" vertical="center"/>
    </xf>
    <xf numFmtId="0" fontId="2" fillId="0" borderId="0" xfId="1" applyFont="1" applyFill="1" applyBorder="1" applyAlignment="1">
      <alignment horizontal="center" vertical="center" wrapText="1"/>
    </xf>
    <xf numFmtId="204" fontId="5" fillId="7" borderId="0" xfId="3" applyNumberFormat="1" applyFont="1" applyFill="1" applyBorder="1" applyAlignment="1" applyProtection="1">
      <alignment horizontal="center" vertical="center" wrapText="1"/>
      <protection locked="0"/>
    </xf>
    <xf numFmtId="10" fontId="46" fillId="0" borderId="0" xfId="5" applyNumberFormat="1" applyFont="1" applyFill="1" applyBorder="1" applyAlignment="1" applyProtection="1">
      <alignment horizontal="center" vertical="center"/>
      <protection locked="0"/>
    </xf>
    <xf numFmtId="0" fontId="2" fillId="0" borderId="63" xfId="1" applyFont="1" applyFill="1" applyBorder="1" applyAlignment="1">
      <alignment horizontal="center" vertical="center" wrapText="1"/>
    </xf>
    <xf numFmtId="0" fontId="2" fillId="0" borderId="28" xfId="1" applyFont="1" applyFill="1" applyBorder="1" applyAlignment="1">
      <alignment horizontal="center" vertical="center" wrapText="1"/>
    </xf>
    <xf numFmtId="238" fontId="2" fillId="8" borderId="9" xfId="20" applyNumberFormat="1" applyFont="1" applyFill="1" applyBorder="1" applyAlignment="1">
      <alignment vertical="center"/>
    </xf>
    <xf numFmtId="0" fontId="2" fillId="2" borderId="9" xfId="1" applyFont="1" applyFill="1" applyBorder="1" applyAlignment="1">
      <alignment horizontal="center" vertical="center"/>
    </xf>
    <xf numFmtId="0" fontId="2" fillId="27" borderId="132" xfId="1" applyFont="1" applyFill="1" applyBorder="1" applyAlignment="1">
      <alignment vertical="center"/>
    </xf>
    <xf numFmtId="0" fontId="2" fillId="27" borderId="133" xfId="1" applyFont="1" applyFill="1" applyBorder="1" applyAlignment="1">
      <alignment horizontal="right" vertical="center"/>
    </xf>
    <xf numFmtId="217" fontId="46" fillId="27" borderId="133" xfId="3" applyNumberFormat="1" applyFont="1" applyFill="1" applyBorder="1" applyAlignment="1" applyProtection="1">
      <alignment horizontal="left" vertical="center" wrapText="1"/>
      <protection locked="0"/>
    </xf>
    <xf numFmtId="204" fontId="2" fillId="6" borderId="8" xfId="1" applyNumberFormat="1" applyFont="1" applyFill="1" applyBorder="1" applyAlignment="1">
      <alignment vertical="center"/>
    </xf>
    <xf numFmtId="0" fontId="2" fillId="2" borderId="8" xfId="1" applyFont="1" applyFill="1" applyBorder="1" applyAlignment="1">
      <alignment horizontal="center" vertical="center"/>
    </xf>
    <xf numFmtId="0" fontId="2" fillId="0" borderId="12" xfId="1" applyBorder="1" applyAlignment="1">
      <alignment vertical="center"/>
    </xf>
    <xf numFmtId="0" fontId="2" fillId="6" borderId="28" xfId="1" applyFill="1" applyBorder="1" applyAlignment="1">
      <alignment vertical="center"/>
    </xf>
    <xf numFmtId="202" fontId="2" fillId="0" borderId="8" xfId="1" applyNumberFormat="1" applyBorder="1" applyAlignment="1">
      <alignment horizontal="right" vertical="center"/>
    </xf>
    <xf numFmtId="204" fontId="2" fillId="0" borderId="8" xfId="1" applyNumberFormat="1" applyBorder="1" applyAlignment="1">
      <alignment vertical="center"/>
    </xf>
    <xf numFmtId="189" fontId="2" fillId="0" borderId="8" xfId="1" applyNumberFormat="1" applyBorder="1" applyAlignment="1">
      <alignment horizontal="center" vertical="center"/>
    </xf>
    <xf numFmtId="10" fontId="2" fillId="6" borderId="8" xfId="1" applyNumberFormat="1" applyFill="1" applyBorder="1" applyAlignment="1">
      <alignment horizontal="center" vertical="center"/>
    </xf>
    <xf numFmtId="0" fontId="2" fillId="0" borderId="12" xfId="1" applyBorder="1" applyAlignment="1">
      <alignment horizontal="left" vertical="center"/>
    </xf>
    <xf numFmtId="0" fontId="2" fillId="0" borderId="28" xfId="1" applyBorder="1" applyAlignment="1">
      <alignment vertical="center"/>
    </xf>
    <xf numFmtId="189" fontId="2" fillId="6" borderId="8" xfId="1" applyNumberFormat="1" applyFill="1" applyBorder="1" applyAlignment="1">
      <alignment horizontal="center" vertical="center"/>
    </xf>
    <xf numFmtId="0" fontId="2" fillId="4" borderId="12" xfId="1" applyFill="1" applyBorder="1" applyAlignment="1">
      <alignment vertical="center"/>
    </xf>
    <xf numFmtId="0" fontId="2" fillId="4" borderId="28" xfId="1" applyFill="1" applyBorder="1" applyAlignment="1">
      <alignment vertical="center"/>
    </xf>
    <xf numFmtId="202" fontId="2" fillId="4" borderId="8" xfId="1" applyNumberFormat="1" applyFill="1" applyBorder="1" applyAlignment="1">
      <alignment horizontal="right" vertical="center"/>
    </xf>
    <xf numFmtId="189" fontId="2" fillId="4" borderId="8" xfId="1" applyNumberFormat="1" applyFill="1" applyBorder="1" applyAlignment="1">
      <alignment horizontal="center" vertical="center"/>
    </xf>
    <xf numFmtId="10" fontId="2" fillId="4" borderId="8" xfId="1" applyNumberFormat="1" applyFill="1" applyBorder="1" applyAlignment="1">
      <alignment horizontal="center" vertical="center"/>
    </xf>
    <xf numFmtId="0" fontId="2" fillId="6" borderId="12" xfId="1" applyFill="1" applyBorder="1" applyAlignment="1">
      <alignment vertical="center"/>
    </xf>
    <xf numFmtId="202" fontId="2" fillId="6" borderId="8" xfId="1" applyNumberFormat="1" applyFill="1" applyBorder="1" applyAlignment="1">
      <alignment horizontal="right" vertical="center"/>
    </xf>
    <xf numFmtId="10" fontId="2" fillId="9" borderId="8" xfId="1" applyNumberFormat="1" applyFill="1" applyBorder="1" applyAlignment="1">
      <alignment horizontal="center" vertical="center"/>
    </xf>
    <xf numFmtId="14" fontId="2" fillId="6" borderId="8" xfId="1" applyNumberFormat="1" applyFill="1" applyBorder="1" applyAlignment="1">
      <alignment horizontal="center" vertical="center"/>
    </xf>
    <xf numFmtId="203" fontId="2" fillId="4" borderId="8" xfId="1" applyNumberFormat="1" applyFill="1" applyBorder="1" applyAlignment="1">
      <alignment horizontal="right" vertical="center" wrapText="1"/>
    </xf>
    <xf numFmtId="203" fontId="2" fillId="4" borderId="8" xfId="1" applyNumberFormat="1" applyFill="1" applyBorder="1" applyAlignment="1">
      <alignment horizontal="center" vertical="center" wrapText="1"/>
    </xf>
    <xf numFmtId="203" fontId="2" fillId="6" borderId="8" xfId="1" applyNumberFormat="1" applyFill="1" applyBorder="1" applyAlignment="1">
      <alignment horizontal="right" vertical="center" wrapText="1"/>
    </xf>
    <xf numFmtId="203" fontId="2" fillId="6" borderId="8" xfId="1" applyNumberFormat="1" applyFill="1" applyBorder="1" applyAlignment="1">
      <alignment horizontal="center" vertical="center" wrapText="1"/>
    </xf>
    <xf numFmtId="0" fontId="2" fillId="6" borderId="8" xfId="1" applyFill="1" applyBorder="1" applyAlignment="1">
      <alignment horizontal="center" vertical="center"/>
    </xf>
    <xf numFmtId="203" fontId="2" fillId="0" borderId="8" xfId="1" applyNumberFormat="1" applyBorder="1" applyAlignment="1">
      <alignment horizontal="right" vertical="center" wrapText="1"/>
    </xf>
    <xf numFmtId="203" fontId="2" fillId="0" borderId="8" xfId="1" applyNumberFormat="1" applyBorder="1" applyAlignment="1">
      <alignment horizontal="center" vertical="center" wrapText="1"/>
    </xf>
    <xf numFmtId="0" fontId="2" fillId="0" borderId="28" xfId="1" applyFont="1" applyFill="1" applyBorder="1" applyAlignment="1">
      <alignment horizontal="left" vertical="center"/>
    </xf>
    <xf numFmtId="0" fontId="2" fillId="0" borderId="12" xfId="1" applyFont="1" applyFill="1" applyBorder="1" applyAlignment="1">
      <alignment horizontal="center" vertical="center" wrapText="1"/>
    </xf>
    <xf numFmtId="0" fontId="2" fillId="0" borderId="63" xfId="1" applyFont="1" applyFill="1" applyBorder="1" applyAlignment="1">
      <alignment horizontal="center" vertical="center" wrapText="1"/>
    </xf>
    <xf numFmtId="0" fontId="2" fillId="0" borderId="28" xfId="1" applyFont="1" applyFill="1" applyBorder="1" applyAlignment="1">
      <alignment horizontal="center" vertical="center" wrapText="1"/>
    </xf>
    <xf numFmtId="0" fontId="2" fillId="0" borderId="27" xfId="1" applyFont="1" applyFill="1" applyBorder="1" applyAlignment="1">
      <alignment horizontal="center" vertical="center" wrapText="1"/>
    </xf>
    <xf numFmtId="0" fontId="2" fillId="0" borderId="78" xfId="1" applyFont="1" applyFill="1" applyBorder="1" applyAlignment="1">
      <alignment horizontal="center" vertical="center" wrapText="1"/>
    </xf>
    <xf numFmtId="0" fontId="2" fillId="0" borderId="108" xfId="1" applyFont="1" applyFill="1" applyBorder="1" applyAlignment="1">
      <alignment horizontal="center" vertical="center" wrapText="1"/>
    </xf>
    <xf numFmtId="0" fontId="2" fillId="0" borderId="65" xfId="1" applyFon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111" xfId="1" applyFont="1" applyFill="1" applyBorder="1" applyAlignment="1">
      <alignment horizontal="center" vertical="center" wrapText="1"/>
    </xf>
    <xf numFmtId="0" fontId="2" fillId="0" borderId="10" xfId="1" applyFont="1" applyFill="1" applyBorder="1" applyAlignment="1">
      <alignment horizontal="center" vertical="center" wrapText="1"/>
    </xf>
    <xf numFmtId="0" fontId="2" fillId="0" borderId="23" xfId="1" applyFont="1" applyFill="1" applyBorder="1" applyAlignment="1">
      <alignment horizontal="center" vertical="center" wrapText="1"/>
    </xf>
    <xf numFmtId="0" fontId="2" fillId="0" borderId="116" xfId="1" applyFont="1" applyFill="1" applyBorder="1" applyAlignment="1">
      <alignment horizontal="center" vertical="center" wrapText="1"/>
    </xf>
    <xf numFmtId="0" fontId="2" fillId="2" borderId="12" xfId="1" applyFont="1" applyFill="1" applyBorder="1" applyAlignment="1">
      <alignment horizontal="center" vertical="center" wrapText="1"/>
    </xf>
    <xf numFmtId="0" fontId="2" fillId="2" borderId="63" xfId="1" applyFont="1" applyFill="1" applyBorder="1" applyAlignment="1">
      <alignment horizontal="center" vertical="center" wrapText="1"/>
    </xf>
    <xf numFmtId="0" fontId="2" fillId="2" borderId="28" xfId="1" applyFont="1" applyFill="1" applyBorder="1" applyAlignment="1">
      <alignment horizontal="center" vertical="center" wrapText="1"/>
    </xf>
    <xf numFmtId="203" fontId="2" fillId="6" borderId="12" xfId="1" applyNumberFormat="1" applyFont="1" applyFill="1" applyBorder="1" applyAlignment="1">
      <alignment horizontal="center" vertical="center" wrapText="1"/>
    </xf>
    <xf numFmtId="203" fontId="2" fillId="6" borderId="28" xfId="1" applyNumberFormat="1" applyFont="1" applyFill="1" applyBorder="1" applyAlignment="1">
      <alignment horizontal="center" vertical="center" wrapText="1"/>
    </xf>
    <xf numFmtId="0" fontId="2" fillId="2" borderId="8" xfId="1" applyFont="1" applyFill="1" applyBorder="1" applyAlignment="1">
      <alignment horizontal="center" vertical="center"/>
    </xf>
    <xf numFmtId="202" fontId="5" fillId="0" borderId="48" xfId="1" applyNumberFormat="1" applyFont="1" applyBorder="1" applyAlignment="1">
      <alignment horizontal="center" vertical="center"/>
    </xf>
    <xf numFmtId="202" fontId="5" fillId="0" borderId="9" xfId="1" applyNumberFormat="1" applyFont="1" applyBorder="1" applyAlignment="1">
      <alignment horizontal="center" vertical="center"/>
    </xf>
    <xf numFmtId="0" fontId="27" fillId="15" borderId="23" xfId="1" applyFont="1" applyFill="1" applyBorder="1" applyAlignment="1">
      <alignment horizontal="left" vertical="center"/>
    </xf>
    <xf numFmtId="202" fontId="5" fillId="0" borderId="25" xfId="1" applyNumberFormat="1" applyFont="1" applyBorder="1" applyAlignment="1">
      <alignment horizontal="center" vertical="center"/>
    </xf>
    <xf numFmtId="203" fontId="2" fillId="0" borderId="12" xfId="1" applyNumberFormat="1" applyFont="1" applyFill="1" applyBorder="1" applyAlignment="1">
      <alignment horizontal="center" vertical="center" wrapText="1"/>
    </xf>
    <xf numFmtId="203" fontId="2" fillId="0" borderId="28" xfId="1" applyNumberFormat="1" applyFont="1" applyFill="1" applyBorder="1" applyAlignment="1">
      <alignment horizontal="center" vertical="center" wrapText="1"/>
    </xf>
    <xf numFmtId="203" fontId="2" fillId="0" borderId="8" xfId="1" applyNumberFormat="1" applyFont="1" applyFill="1" applyBorder="1" applyAlignment="1">
      <alignment horizontal="center" vertical="center" wrapText="1"/>
    </xf>
    <xf numFmtId="202" fontId="5" fillId="0" borderId="48" xfId="1" applyNumberFormat="1" applyFont="1" applyFill="1" applyBorder="1" applyAlignment="1">
      <alignment horizontal="center" vertical="center"/>
    </xf>
    <xf numFmtId="202" fontId="5" fillId="0" borderId="25" xfId="1" applyNumberFormat="1" applyFont="1" applyFill="1" applyBorder="1" applyAlignment="1">
      <alignment horizontal="center" vertical="center"/>
    </xf>
    <xf numFmtId="202" fontId="5" fillId="0" borderId="9" xfId="1" applyNumberFormat="1" applyFont="1" applyFill="1" applyBorder="1" applyAlignment="1">
      <alignment horizontal="center" vertical="center"/>
    </xf>
    <xf numFmtId="204" fontId="11" fillId="0" borderId="109" xfId="3" applyNumberFormat="1" applyFont="1" applyFill="1" applyBorder="1" applyAlignment="1" applyProtection="1">
      <alignment horizontal="center" vertical="center" wrapText="1"/>
      <protection locked="0"/>
    </xf>
    <xf numFmtId="204" fontId="11" fillId="0" borderId="65" xfId="3" applyNumberFormat="1" applyFont="1" applyFill="1" applyBorder="1" applyAlignment="1" applyProtection="1">
      <alignment horizontal="center" vertical="center" wrapText="1"/>
      <protection locked="0"/>
    </xf>
    <xf numFmtId="204" fontId="11" fillId="0" borderId="93" xfId="3" applyNumberFormat="1" applyFont="1" applyFill="1" applyBorder="1" applyAlignment="1" applyProtection="1">
      <alignment horizontal="center" vertical="center" wrapText="1"/>
      <protection locked="0"/>
    </xf>
    <xf numFmtId="0" fontId="2" fillId="0" borderId="103" xfId="1" applyFont="1" applyFill="1" applyBorder="1" applyAlignment="1">
      <alignment horizontal="center" vertical="center" wrapText="1"/>
    </xf>
    <xf numFmtId="0" fontId="2" fillId="0" borderId="104" xfId="1" applyFont="1" applyFill="1" applyBorder="1" applyAlignment="1">
      <alignment horizontal="center" vertical="center" wrapText="1"/>
    </xf>
    <xf numFmtId="0" fontId="2" fillId="8" borderId="63" xfId="1" applyFont="1" applyFill="1" applyBorder="1" applyAlignment="1">
      <alignment horizontal="center" vertical="center" wrapText="1"/>
    </xf>
    <xf numFmtId="0" fontId="2" fillId="8" borderId="28" xfId="1" applyFont="1" applyFill="1" applyBorder="1" applyAlignment="1">
      <alignment horizontal="center" vertical="center" wrapText="1"/>
    </xf>
    <xf numFmtId="0" fontId="2" fillId="8" borderId="78" xfId="1" applyFont="1" applyFill="1" applyBorder="1" applyAlignment="1">
      <alignment horizontal="center" vertical="center" wrapText="1"/>
    </xf>
    <xf numFmtId="0" fontId="2" fillId="8" borderId="74" xfId="1" applyFont="1" applyFill="1" applyBorder="1" applyAlignment="1">
      <alignment horizontal="center" vertical="center" wrapText="1"/>
    </xf>
    <xf numFmtId="0" fontId="2" fillId="0" borderId="99" xfId="1" applyFont="1" applyFill="1" applyBorder="1" applyAlignment="1">
      <alignment horizontal="center" vertical="center" wrapText="1"/>
    </xf>
    <xf numFmtId="0" fontId="2" fillId="0" borderId="85" xfId="1" applyFont="1" applyFill="1" applyBorder="1" applyAlignment="1">
      <alignment horizontal="center" vertical="center" wrapText="1"/>
    </xf>
    <xf numFmtId="0" fontId="2" fillId="13" borderId="16" xfId="1" applyFont="1" applyFill="1" applyBorder="1" applyAlignment="1">
      <alignment horizontal="left" vertical="center" wrapText="1"/>
    </xf>
    <xf numFmtId="0" fontId="2" fillId="13" borderId="91" xfId="1" applyFont="1" applyFill="1" applyBorder="1" applyAlignment="1">
      <alignment horizontal="left" vertical="center" wrapText="1"/>
    </xf>
    <xf numFmtId="203" fontId="2" fillId="0" borderId="102" xfId="1" applyNumberFormat="1" applyFont="1" applyFill="1" applyBorder="1" applyAlignment="1">
      <alignment horizontal="center" vertical="center" wrapText="1"/>
    </xf>
    <xf numFmtId="203" fontId="2" fillId="0" borderId="104" xfId="1" applyNumberFormat="1" applyFont="1" applyFill="1" applyBorder="1" applyAlignment="1">
      <alignment horizontal="center" vertical="center" wrapText="1"/>
    </xf>
    <xf numFmtId="203" fontId="2" fillId="0" borderId="90" xfId="1" applyNumberFormat="1" applyFont="1" applyFill="1" applyBorder="1" applyAlignment="1">
      <alignment horizontal="center" vertical="center" wrapText="1"/>
    </xf>
    <xf numFmtId="203" fontId="2" fillId="0" borderId="84" xfId="1" applyNumberFormat="1" applyFont="1" applyFill="1" applyBorder="1" applyAlignment="1">
      <alignment horizontal="center" vertical="center" wrapText="1"/>
    </xf>
    <xf numFmtId="203" fontId="2" fillId="0" borderId="85" xfId="1" applyNumberFormat="1" applyFont="1" applyFill="1" applyBorder="1" applyAlignment="1">
      <alignment horizontal="center" vertical="center" wrapText="1"/>
    </xf>
    <xf numFmtId="0" fontId="10" fillId="13" borderId="4" xfId="1" applyFont="1" applyFill="1" applyBorder="1" applyAlignment="1">
      <alignment horizontal="center" vertical="center" wrapText="1"/>
    </xf>
    <xf numFmtId="0" fontId="10" fillId="13" borderId="5" xfId="1" applyFont="1" applyFill="1" applyBorder="1" applyAlignment="1">
      <alignment horizontal="center" vertical="center" wrapText="1"/>
    </xf>
    <xf numFmtId="0" fontId="10" fillId="13" borderId="6" xfId="1" applyFont="1" applyFill="1" applyBorder="1" applyAlignment="1">
      <alignment horizontal="center" vertical="center" wrapText="1"/>
    </xf>
    <xf numFmtId="0" fontId="2" fillId="2" borderId="12" xfId="1" applyFont="1" applyFill="1" applyBorder="1" applyAlignment="1">
      <alignment horizontal="center" vertical="center"/>
    </xf>
    <xf numFmtId="0" fontId="2" fillId="2" borderId="28" xfId="1" applyFont="1" applyFill="1" applyBorder="1" applyAlignment="1">
      <alignment horizontal="center" vertical="center"/>
    </xf>
    <xf numFmtId="194" fontId="29" fillId="0" borderId="27" xfId="3" applyNumberFormat="1" applyFont="1" applyFill="1" applyBorder="1" applyAlignment="1">
      <alignment horizontal="center" vertical="center" wrapText="1"/>
    </xf>
    <xf numFmtId="194" fontId="29" fillId="0" borderId="10" xfId="3" applyNumberFormat="1" applyFont="1" applyFill="1" applyBorder="1" applyAlignment="1">
      <alignment horizontal="center" vertical="center" wrapText="1"/>
    </xf>
    <xf numFmtId="0" fontId="2" fillId="0" borderId="62" xfId="1" applyFont="1" applyBorder="1" applyAlignment="1">
      <alignment horizontal="left" vertical="center" indent="1"/>
    </xf>
    <xf numFmtId="0" fontId="2" fillId="0" borderId="64" xfId="1" applyFont="1" applyBorder="1" applyAlignment="1">
      <alignment horizontal="left" vertical="center" indent="1"/>
    </xf>
    <xf numFmtId="0" fontId="2" fillId="0" borderId="22" xfId="1" applyFont="1" applyBorder="1" applyAlignment="1">
      <alignment horizontal="left" vertical="center" indent="1"/>
    </xf>
    <xf numFmtId="0" fontId="2" fillId="0" borderId="63" xfId="1" applyFont="1" applyBorder="1" applyAlignment="1">
      <alignment horizontal="center" vertical="center"/>
    </xf>
    <xf numFmtId="0" fontId="2" fillId="0" borderId="28" xfId="1" applyFont="1" applyBorder="1" applyAlignment="1">
      <alignment horizontal="center" vertical="center"/>
    </xf>
    <xf numFmtId="0" fontId="2" fillId="0" borderId="123" xfId="1" applyFont="1" applyBorder="1" applyAlignment="1">
      <alignment vertical="center"/>
    </xf>
    <xf numFmtId="0" fontId="2" fillId="0" borderId="124" xfId="1" applyFont="1" applyBorder="1" applyAlignment="1">
      <alignment vertical="center"/>
    </xf>
    <xf numFmtId="218" fontId="10" fillId="27" borderId="133" xfId="1" applyNumberFormat="1" applyFont="1" applyFill="1" applyBorder="1" applyAlignment="1" applyProtection="1">
      <alignment horizontal="center" vertical="center"/>
      <protection locked="0"/>
    </xf>
    <xf numFmtId="219" fontId="10" fillId="27" borderId="133" xfId="1" applyNumberFormat="1" applyFont="1" applyFill="1" applyBorder="1" applyAlignment="1" applyProtection="1">
      <alignment horizontal="center" vertical="center"/>
      <protection locked="0"/>
    </xf>
    <xf numFmtId="219" fontId="10" fillId="27" borderId="134" xfId="1" applyNumberFormat="1" applyFont="1" applyFill="1" applyBorder="1" applyAlignment="1" applyProtection="1">
      <alignment horizontal="center" vertical="center"/>
      <protection locked="0"/>
    </xf>
    <xf numFmtId="0" fontId="2" fillId="2" borderId="23" xfId="1" applyFont="1" applyFill="1" applyBorder="1" applyAlignment="1">
      <alignment horizontal="center" vertical="center" wrapText="1"/>
    </xf>
    <xf numFmtId="0" fontId="2" fillId="2" borderId="24" xfId="1" applyFont="1" applyFill="1" applyBorder="1" applyAlignment="1">
      <alignment horizontal="center" vertical="center" wrapText="1"/>
    </xf>
    <xf numFmtId="10" fontId="10" fillId="0" borderId="48" xfId="5" applyNumberFormat="1" applyFont="1" applyFill="1" applyBorder="1" applyAlignment="1" applyProtection="1">
      <alignment horizontal="center" vertical="center" wrapText="1"/>
      <protection locked="0"/>
    </xf>
    <xf numFmtId="10" fontId="10" fillId="0" borderId="25" xfId="5" applyNumberFormat="1" applyFont="1" applyFill="1" applyBorder="1" applyAlignment="1" applyProtection="1">
      <alignment horizontal="center" vertical="center" wrapText="1"/>
      <protection locked="0"/>
    </xf>
    <xf numFmtId="10" fontId="10" fillId="0" borderId="9" xfId="5" applyNumberFormat="1" applyFont="1" applyFill="1" applyBorder="1" applyAlignment="1" applyProtection="1">
      <alignment horizontal="center" vertical="center" wrapText="1"/>
      <protection locked="0"/>
    </xf>
    <xf numFmtId="10" fontId="5" fillId="0" borderId="110" xfId="5" applyNumberFormat="1" applyFont="1" applyFill="1" applyBorder="1" applyAlignment="1" applyProtection="1">
      <alignment horizontal="center" vertical="center" wrapText="1"/>
      <protection locked="0"/>
    </xf>
    <xf numFmtId="10" fontId="5" fillId="0" borderId="25" xfId="5" applyNumberFormat="1" applyFont="1" applyFill="1" applyBorder="1" applyAlignment="1" applyProtection="1">
      <alignment horizontal="center" vertical="center" wrapText="1"/>
      <protection locked="0"/>
    </xf>
    <xf numFmtId="10" fontId="5" fillId="0" borderId="92" xfId="5" applyNumberFormat="1" applyFont="1" applyFill="1" applyBorder="1" applyAlignment="1" applyProtection="1">
      <alignment horizontal="center" vertical="center" wrapText="1"/>
      <protection locked="0"/>
    </xf>
    <xf numFmtId="191" fontId="10" fillId="0" borderId="48" xfId="1" applyNumberFormat="1" applyFont="1" applyFill="1" applyBorder="1" applyAlignment="1">
      <alignment horizontal="center" vertical="center" wrapText="1"/>
    </xf>
    <xf numFmtId="191" fontId="10" fillId="0" borderId="25" xfId="1" applyNumberFormat="1" applyFont="1" applyFill="1" applyBorder="1" applyAlignment="1">
      <alignment horizontal="center" vertical="center" wrapText="1"/>
    </xf>
    <xf numFmtId="191" fontId="10" fillId="0" borderId="9" xfId="1" applyNumberFormat="1" applyFont="1" applyFill="1" applyBorder="1" applyAlignment="1">
      <alignment horizontal="center" vertical="center" wrapText="1"/>
    </xf>
    <xf numFmtId="14" fontId="2" fillId="0" borderId="48" xfId="5" applyNumberFormat="1" applyFont="1" applyFill="1" applyBorder="1" applyAlignment="1">
      <alignment horizontal="center" vertical="center" wrapText="1"/>
    </xf>
    <xf numFmtId="14" fontId="2" fillId="0" borderId="25" xfId="5" applyNumberFormat="1" applyFont="1" applyFill="1" applyBorder="1" applyAlignment="1">
      <alignment horizontal="center" vertical="center" wrapText="1"/>
    </xf>
    <xf numFmtId="14" fontId="2" fillId="0" borderId="9" xfId="5" applyNumberFormat="1" applyFont="1" applyFill="1" applyBorder="1" applyAlignment="1">
      <alignment horizontal="center" vertical="center" wrapText="1"/>
    </xf>
    <xf numFmtId="9" fontId="46" fillId="0" borderId="48" xfId="5" applyFont="1" applyFill="1" applyBorder="1" applyAlignment="1" applyProtection="1">
      <alignment horizontal="center" vertical="center" wrapText="1"/>
      <protection locked="0"/>
    </xf>
    <xf numFmtId="9" fontId="46" fillId="0" borderId="25" xfId="5" applyFont="1" applyFill="1" applyBorder="1" applyAlignment="1" applyProtection="1">
      <alignment horizontal="center" vertical="center" wrapText="1"/>
      <protection locked="0"/>
    </xf>
    <xf numFmtId="9" fontId="46" fillId="0" borderId="9" xfId="5" applyFont="1" applyFill="1" applyBorder="1" applyAlignment="1" applyProtection="1">
      <alignment horizontal="center" vertical="center" wrapText="1"/>
      <protection locked="0"/>
    </xf>
    <xf numFmtId="204" fontId="11" fillId="0" borderId="110" xfId="3" applyNumberFormat="1" applyFont="1" applyFill="1" applyBorder="1" applyAlignment="1" applyProtection="1">
      <alignment horizontal="center" vertical="center" wrapText="1"/>
      <protection locked="0"/>
    </xf>
    <xf numFmtId="204" fontId="11" fillId="0" borderId="25" xfId="3" applyNumberFormat="1" applyFont="1" applyFill="1" applyBorder="1" applyAlignment="1" applyProtection="1">
      <alignment horizontal="center" vertical="center" wrapText="1"/>
      <protection locked="0"/>
    </xf>
    <xf numFmtId="204" fontId="11" fillId="0" borderId="9" xfId="3" applyNumberFormat="1" applyFont="1" applyFill="1" applyBorder="1" applyAlignment="1" applyProtection="1">
      <alignment horizontal="center" vertical="center" wrapText="1"/>
      <protection locked="0"/>
    </xf>
    <xf numFmtId="10" fontId="5" fillId="0" borderId="9" xfId="5" applyNumberFormat="1" applyFont="1" applyFill="1" applyBorder="1" applyAlignment="1" applyProtection="1">
      <alignment horizontal="center" vertical="center" wrapText="1"/>
      <protection locked="0"/>
    </xf>
    <xf numFmtId="204" fontId="11" fillId="0" borderId="92" xfId="3" applyNumberFormat="1" applyFont="1" applyFill="1" applyBorder="1" applyAlignment="1" applyProtection="1">
      <alignment horizontal="center" vertical="center" wrapText="1"/>
      <protection locked="0"/>
    </xf>
    <xf numFmtId="0" fontId="2" fillId="6" borderId="16" xfId="1" applyFont="1" applyFill="1" applyBorder="1" applyAlignment="1">
      <alignment horizontal="center" vertical="center" wrapText="1"/>
    </xf>
    <xf numFmtId="0" fontId="2" fillId="6" borderId="91" xfId="1" applyFont="1" applyFill="1" applyBorder="1" applyAlignment="1">
      <alignment horizontal="center" vertical="center" wrapText="1"/>
    </xf>
    <xf numFmtId="49" fontId="2" fillId="8" borderId="12" xfId="1" applyNumberFormat="1" applyFont="1" applyFill="1" applyBorder="1" applyAlignment="1">
      <alignment horizontal="left" vertical="center"/>
    </xf>
    <xf numFmtId="49" fontId="2" fillId="8" borderId="63" xfId="1" applyNumberFormat="1" applyFont="1" applyFill="1" applyBorder="1" applyAlignment="1">
      <alignment horizontal="left" vertical="center"/>
    </xf>
    <xf numFmtId="49" fontId="2" fillId="8" borderId="28" xfId="1" applyNumberFormat="1" applyFont="1" applyFill="1" applyBorder="1" applyAlignment="1">
      <alignment horizontal="left" vertical="center"/>
    </xf>
    <xf numFmtId="0" fontId="2" fillId="0" borderId="63" xfId="1" applyFont="1" applyBorder="1" applyAlignment="1">
      <alignment vertical="center"/>
    </xf>
    <xf numFmtId="0" fontId="2" fillId="0" borderId="28" xfId="1" applyFont="1" applyBorder="1" applyAlignment="1">
      <alignment vertical="center"/>
    </xf>
    <xf numFmtId="0" fontId="2" fillId="0" borderId="47" xfId="1" applyFont="1" applyBorder="1" applyAlignment="1">
      <alignment horizontal="left" vertical="center" indent="1"/>
    </xf>
    <xf numFmtId="0" fontId="2" fillId="0" borderId="63" xfId="1" applyFont="1" applyBorder="1" applyAlignment="1">
      <alignment horizontal="left" vertical="center" indent="1"/>
    </xf>
    <xf numFmtId="0" fontId="2" fillId="0" borderId="28" xfId="1" applyFont="1" applyBorder="1" applyAlignment="1">
      <alignment horizontal="left" vertical="center" indent="1"/>
    </xf>
    <xf numFmtId="0" fontId="2" fillId="13" borderId="15" xfId="1" applyFont="1" applyFill="1" applyBorder="1" applyAlignment="1">
      <alignment horizontal="left" vertical="center" wrapText="1"/>
    </xf>
    <xf numFmtId="0" fontId="2" fillId="13" borderId="117" xfId="1" applyFont="1" applyFill="1" applyBorder="1" applyAlignment="1">
      <alignment horizontal="left" vertical="center" wrapText="1"/>
    </xf>
    <xf numFmtId="0" fontId="2" fillId="0" borderId="125" xfId="1" applyFont="1" applyFill="1" applyBorder="1" applyAlignment="1">
      <alignment horizontal="center" vertical="center" wrapText="1"/>
    </xf>
    <xf numFmtId="0" fontId="2" fillId="0" borderId="74" xfId="1" applyFont="1" applyFill="1" applyBorder="1" applyAlignment="1">
      <alignment horizontal="center" vertical="center" wrapText="1"/>
    </xf>
    <xf numFmtId="14" fontId="46" fillId="0" borderId="48" xfId="5" applyNumberFormat="1" applyFont="1" applyFill="1" applyBorder="1" applyAlignment="1">
      <alignment horizontal="center" vertical="center" wrapText="1"/>
    </xf>
    <xf numFmtId="14" fontId="46" fillId="0" borderId="25" xfId="5" applyNumberFormat="1" applyFont="1" applyFill="1" applyBorder="1" applyAlignment="1">
      <alignment horizontal="center" vertical="center" wrapText="1"/>
    </xf>
    <xf numFmtId="14" fontId="46" fillId="0" borderId="9" xfId="5" applyNumberFormat="1" applyFont="1" applyFill="1" applyBorder="1" applyAlignment="1">
      <alignment horizontal="center" vertical="center" wrapText="1"/>
    </xf>
    <xf numFmtId="202" fontId="5" fillId="0" borderId="8" xfId="1" applyNumberFormat="1" applyFont="1" applyBorder="1" applyAlignment="1">
      <alignment horizontal="center" vertical="center"/>
    </xf>
    <xf numFmtId="0" fontId="2" fillId="2" borderId="9" xfId="1" applyFont="1" applyFill="1" applyBorder="1" applyAlignment="1">
      <alignment horizontal="center" vertical="center"/>
    </xf>
    <xf numFmtId="183" fontId="5" fillId="21" borderId="87" xfId="3" applyNumberFormat="1" applyFont="1" applyFill="1" applyBorder="1" applyAlignment="1">
      <alignment horizontal="center" vertical="center" wrapText="1"/>
    </xf>
    <xf numFmtId="183" fontId="5" fillId="21" borderId="89" xfId="3" applyNumberFormat="1" applyFont="1" applyFill="1" applyBorder="1" applyAlignment="1">
      <alignment horizontal="center" vertical="center" wrapText="1"/>
    </xf>
    <xf numFmtId="183" fontId="5" fillId="21" borderId="94" xfId="3" applyNumberFormat="1" applyFont="1" applyFill="1" applyBorder="1" applyAlignment="1">
      <alignment horizontal="center" vertical="center" wrapText="1"/>
    </xf>
    <xf numFmtId="202" fontId="5" fillId="6" borderId="48" xfId="1" applyNumberFormat="1" applyFont="1" applyFill="1" applyBorder="1" applyAlignment="1">
      <alignment horizontal="center" vertical="center"/>
    </xf>
    <xf numFmtId="202" fontId="5" fillId="6" borderId="25" xfId="1" applyNumberFormat="1" applyFont="1" applyFill="1" applyBorder="1" applyAlignment="1">
      <alignment horizontal="center" vertical="center"/>
    </xf>
    <xf numFmtId="0" fontId="2" fillId="2" borderId="131" xfId="1" applyFont="1" applyFill="1" applyBorder="1" applyAlignment="1">
      <alignment horizontal="center" vertical="center"/>
    </xf>
    <xf numFmtId="0" fontId="2" fillId="2" borderId="104" xfId="1" applyFont="1" applyFill="1" applyBorder="1" applyAlignment="1">
      <alignment horizontal="center" vertical="center"/>
    </xf>
    <xf numFmtId="0" fontId="2" fillId="0" borderId="47" xfId="1" applyFont="1" applyFill="1" applyBorder="1" applyAlignment="1">
      <alignment horizontal="left" vertical="center"/>
    </xf>
    <xf numFmtId="0" fontId="2" fillId="0" borderId="63" xfId="1" applyFont="1" applyFill="1" applyBorder="1" applyAlignment="1">
      <alignment horizontal="left" vertical="center"/>
    </xf>
    <xf numFmtId="0" fontId="2" fillId="0" borderId="28" xfId="1" applyFont="1" applyFill="1" applyBorder="1" applyAlignment="1">
      <alignment horizontal="left" vertical="center"/>
    </xf>
    <xf numFmtId="0" fontId="2" fillId="0" borderId="79" xfId="1" applyFont="1" applyFill="1" applyBorder="1" applyAlignment="1">
      <alignment horizontal="left" vertical="center"/>
    </xf>
    <xf numFmtId="0" fontId="2" fillId="0" borderId="80" xfId="1" applyFont="1" applyFill="1" applyBorder="1" applyAlignment="1">
      <alignment horizontal="left" vertical="center"/>
    </xf>
    <xf numFmtId="0" fontId="2" fillId="0" borderId="30" xfId="1" applyFont="1" applyFill="1" applyBorder="1" applyAlignment="1">
      <alignment horizontal="left" vertical="center"/>
    </xf>
    <xf numFmtId="201" fontId="23" fillId="0" borderId="0" xfId="1" applyNumberFormat="1" applyFont="1" applyAlignment="1">
      <alignment horizontal="left" vertical="center"/>
    </xf>
    <xf numFmtId="0" fontId="24" fillId="19" borderId="76" xfId="1" applyFont="1" applyFill="1" applyBorder="1" applyAlignment="1">
      <alignment horizontal="center" vertical="center"/>
    </xf>
    <xf numFmtId="0" fontId="24" fillId="19" borderId="56" xfId="1" applyFont="1" applyFill="1" applyBorder="1" applyAlignment="1">
      <alignment horizontal="center" vertical="center"/>
    </xf>
    <xf numFmtId="0" fontId="24" fillId="19" borderId="57" xfId="1" applyFont="1" applyFill="1" applyBorder="1" applyAlignment="1">
      <alignment horizontal="center" vertical="center"/>
    </xf>
    <xf numFmtId="0" fontId="2" fillId="0" borderId="66" xfId="1" applyFont="1" applyBorder="1" applyAlignment="1">
      <alignment horizontal="center" vertical="center"/>
    </xf>
    <xf numFmtId="0" fontId="2" fillId="0" borderId="38" xfId="1" applyFont="1" applyBorder="1" applyAlignment="1">
      <alignment horizontal="center" vertical="center"/>
    </xf>
    <xf numFmtId="0" fontId="2" fillId="0" borderId="39" xfId="1" applyFont="1" applyBorder="1" applyAlignment="1">
      <alignment horizontal="center" vertical="center"/>
    </xf>
    <xf numFmtId="0" fontId="2" fillId="0" borderId="22" xfId="1" applyFont="1" applyFill="1" applyBorder="1" applyAlignment="1">
      <alignment horizontal="left" vertical="center"/>
    </xf>
    <xf numFmtId="0" fontId="2" fillId="0" borderId="23" xfId="1" applyFont="1" applyFill="1" applyBorder="1" applyAlignment="1">
      <alignment horizontal="left" vertical="center"/>
    </xf>
    <xf numFmtId="0" fontId="2" fillId="0" borderId="24" xfId="1" applyFont="1" applyFill="1" applyBorder="1" applyAlignment="1">
      <alignment horizontal="left" vertical="center"/>
    </xf>
    <xf numFmtId="0" fontId="2" fillId="0" borderId="62" xfId="1" applyFont="1" applyBorder="1" applyAlignment="1">
      <alignment horizontal="center" vertical="center"/>
    </xf>
    <xf numFmtId="0" fontId="2" fillId="0" borderId="64" xfId="1" applyFont="1" applyBorder="1" applyAlignment="1">
      <alignment horizontal="center" vertical="center"/>
    </xf>
    <xf numFmtId="0" fontId="2" fillId="0" borderId="22" xfId="1" applyFont="1" applyBorder="1" applyAlignment="1">
      <alignment horizontal="center" vertical="center"/>
    </xf>
    <xf numFmtId="0" fontId="2" fillId="0" borderId="64" xfId="1" applyFont="1" applyFill="1" applyBorder="1" applyAlignment="1">
      <alignment horizontal="center" vertical="center"/>
    </xf>
    <xf numFmtId="0" fontId="24" fillId="2" borderId="76" xfId="1" applyFont="1" applyFill="1" applyBorder="1" applyAlignment="1">
      <alignment horizontal="center" vertical="center"/>
    </xf>
    <xf numFmtId="0" fontId="24" fillId="2" borderId="56" xfId="1" applyFont="1" applyFill="1" applyBorder="1" applyAlignment="1">
      <alignment horizontal="center" vertical="center"/>
    </xf>
    <xf numFmtId="0" fontId="24" fillId="2" borderId="57" xfId="1" applyFont="1" applyFill="1" applyBorder="1" applyAlignment="1">
      <alignment horizontal="center" vertical="center"/>
    </xf>
    <xf numFmtId="0" fontId="2" fillId="0" borderId="73" xfId="1" applyFont="1" applyFill="1" applyBorder="1" applyAlignment="1">
      <alignment horizontal="left" vertical="center" indent="1"/>
    </xf>
    <xf numFmtId="0" fontId="2" fillId="0" borderId="74" xfId="1" applyFont="1" applyFill="1" applyBorder="1" applyAlignment="1">
      <alignment horizontal="left" vertical="center" indent="1"/>
    </xf>
    <xf numFmtId="0" fontId="2" fillId="0" borderId="48" xfId="1" applyFont="1" applyFill="1" applyBorder="1" applyAlignment="1">
      <alignment horizontal="left" vertical="center" indent="1"/>
    </xf>
    <xf numFmtId="0" fontId="2" fillId="0" borderId="37" xfId="1" applyFont="1" applyBorder="1" applyAlignment="1">
      <alignment horizontal="center" vertical="center"/>
    </xf>
    <xf numFmtId="0" fontId="2" fillId="0" borderId="77" xfId="1" applyFont="1" applyBorder="1" applyAlignment="1">
      <alignment horizontal="center" vertical="center"/>
    </xf>
    <xf numFmtId="0" fontId="2" fillId="0" borderId="23" xfId="1" applyFont="1" applyBorder="1" applyAlignment="1">
      <alignment horizontal="left" vertical="center" indent="1"/>
    </xf>
    <xf numFmtId="0" fontId="2" fillId="0" borderId="24" xfId="1" applyFont="1" applyBorder="1" applyAlignment="1">
      <alignment horizontal="left" vertical="center" indent="1"/>
    </xf>
    <xf numFmtId="0" fontId="2" fillId="0" borderId="79" xfId="1" applyFont="1" applyBorder="1" applyAlignment="1">
      <alignment horizontal="left" vertical="center" indent="1"/>
    </xf>
    <xf numFmtId="0" fontId="2" fillId="0" borderId="80" xfId="1" applyFont="1" applyBorder="1" applyAlignment="1">
      <alignment horizontal="left" vertical="center" indent="1"/>
    </xf>
    <xf numFmtId="0" fontId="2" fillId="0" borderId="30" xfId="1" applyFont="1" applyBorder="1" applyAlignment="1">
      <alignment horizontal="left" vertical="center" indent="1"/>
    </xf>
    <xf numFmtId="0" fontId="26" fillId="18" borderId="3" xfId="1" applyFont="1" applyFill="1" applyBorder="1" applyAlignment="1">
      <alignment horizontal="left" vertical="center"/>
    </xf>
    <xf numFmtId="0" fontId="26" fillId="18" borderId="1" xfId="1" applyFont="1" applyFill="1" applyBorder="1" applyAlignment="1">
      <alignment horizontal="left" vertical="center"/>
    </xf>
    <xf numFmtId="0" fontId="2" fillId="0" borderId="37" xfId="1" applyFont="1" applyBorder="1" applyAlignment="1">
      <alignment horizontal="left" vertical="center" indent="1"/>
    </xf>
    <xf numFmtId="0" fontId="2" fillId="0" borderId="77" xfId="1" applyFont="1" applyBorder="1" applyAlignment="1">
      <alignment horizontal="left" vertical="center" indent="1"/>
    </xf>
    <xf numFmtId="0" fontId="2" fillId="0" borderId="38" xfId="1" applyFont="1" applyBorder="1" applyAlignment="1">
      <alignment horizontal="left" vertical="center" indent="1"/>
    </xf>
    <xf numFmtId="0" fontId="2" fillId="0" borderId="38" xfId="1" applyFont="1" applyBorder="1" applyAlignment="1">
      <alignment vertical="center"/>
    </xf>
    <xf numFmtId="49" fontId="2" fillId="11" borderId="27" xfId="1" applyNumberFormat="1" applyFont="1" applyFill="1" applyBorder="1" applyAlignment="1">
      <alignment horizontal="center" vertical="center"/>
    </xf>
    <xf numFmtId="49" fontId="2" fillId="11" borderId="74" xfId="1" applyNumberFormat="1" applyFont="1" applyFill="1" applyBorder="1" applyAlignment="1">
      <alignment horizontal="center" vertical="center"/>
    </xf>
    <xf numFmtId="49" fontId="2" fillId="11" borderId="10" xfId="1" applyNumberFormat="1" applyFont="1" applyFill="1" applyBorder="1" applyAlignment="1">
      <alignment horizontal="center" vertical="center"/>
    </xf>
    <xf numFmtId="49" fontId="2" fillId="11" borderId="24" xfId="1" applyNumberFormat="1" applyFont="1" applyFill="1" applyBorder="1" applyAlignment="1">
      <alignment horizontal="center" vertical="center"/>
    </xf>
    <xf numFmtId="49" fontId="2" fillId="8" borderId="27" xfId="1" applyNumberFormat="1" applyFont="1" applyFill="1" applyBorder="1" applyAlignment="1">
      <alignment vertical="center"/>
    </xf>
    <xf numFmtId="49" fontId="2" fillId="8" borderId="78" xfId="1" applyNumberFormat="1" applyFont="1" applyFill="1" applyBorder="1" applyAlignment="1">
      <alignment vertical="center"/>
    </xf>
    <xf numFmtId="49" fontId="2" fillId="8" borderId="65" xfId="1" applyNumberFormat="1" applyFont="1" applyFill="1" applyBorder="1" applyAlignment="1">
      <alignment vertical="center"/>
    </xf>
    <xf numFmtId="49" fontId="2" fillId="8" borderId="0" xfId="1" applyNumberFormat="1" applyFont="1" applyFill="1" applyBorder="1" applyAlignment="1">
      <alignment vertical="center"/>
    </xf>
    <xf numFmtId="49" fontId="2" fillId="8" borderId="10" xfId="1" applyNumberFormat="1" applyFont="1" applyFill="1" applyBorder="1" applyAlignment="1">
      <alignment vertical="center"/>
    </xf>
    <xf numFmtId="49" fontId="2" fillId="8" borderId="23" xfId="1" applyNumberFormat="1" applyFont="1" applyFill="1" applyBorder="1" applyAlignment="1">
      <alignment vertical="center"/>
    </xf>
    <xf numFmtId="49" fontId="2" fillId="8" borderId="28" xfId="1" applyNumberFormat="1" applyFont="1" applyFill="1" applyBorder="1" applyAlignment="1">
      <alignment vertical="center"/>
    </xf>
    <xf numFmtId="49" fontId="2" fillId="8" borderId="8" xfId="1" applyNumberFormat="1" applyFont="1" applyFill="1" applyBorder="1" applyAlignment="1">
      <alignment vertical="center"/>
    </xf>
    <xf numFmtId="0" fontId="2" fillId="0" borderId="13" xfId="1" applyFont="1" applyFill="1" applyBorder="1" applyAlignment="1">
      <alignment horizontal="left" vertical="center" wrapText="1"/>
    </xf>
    <xf numFmtId="0" fontId="2" fillId="0" borderId="28" xfId="1" applyFont="1" applyFill="1" applyBorder="1" applyAlignment="1">
      <alignment horizontal="left" vertical="center" wrapText="1"/>
    </xf>
    <xf numFmtId="0" fontId="2" fillId="0" borderId="8" xfId="1" applyFont="1" applyFill="1" applyBorder="1" applyAlignment="1">
      <alignment horizontal="left" vertical="center" wrapText="1"/>
    </xf>
    <xf numFmtId="0" fontId="19" fillId="0" borderId="0" xfId="1" applyFont="1" applyAlignment="1">
      <alignment horizontal="center" vertical="center"/>
    </xf>
    <xf numFmtId="187" fontId="22" fillId="0" borderId="0" xfId="1" applyNumberFormat="1" applyFont="1" applyAlignment="1">
      <alignment horizontal="center" vertical="center"/>
    </xf>
    <xf numFmtId="0" fontId="24" fillId="2" borderId="17" xfId="1" applyFont="1" applyFill="1" applyBorder="1" applyAlignment="1">
      <alignment horizontal="center" vertical="center" wrapText="1"/>
    </xf>
    <xf numFmtId="0" fontId="24" fillId="2" borderId="18" xfId="1" applyFont="1" applyFill="1" applyBorder="1" applyAlignment="1">
      <alignment horizontal="center" vertical="center" wrapText="1"/>
    </xf>
    <xf numFmtId="0" fontId="24" fillId="2" borderId="19" xfId="1" applyFont="1" applyFill="1" applyBorder="1" applyAlignment="1">
      <alignment horizontal="center" vertical="center" wrapText="1"/>
    </xf>
    <xf numFmtId="0" fontId="2" fillId="0" borderId="22" xfId="1" applyFont="1" applyFill="1" applyBorder="1" applyAlignment="1">
      <alignment horizontal="left" vertical="center" wrapText="1"/>
    </xf>
    <xf numFmtId="0" fontId="2" fillId="0" borderId="23" xfId="1" applyFont="1" applyFill="1" applyBorder="1" applyAlignment="1">
      <alignment horizontal="left" vertical="center" wrapText="1"/>
    </xf>
    <xf numFmtId="0" fontId="2" fillId="0" borderId="24" xfId="1" applyFont="1" applyFill="1" applyBorder="1" applyAlignment="1">
      <alignment horizontal="left" vertical="center" wrapText="1"/>
    </xf>
    <xf numFmtId="0" fontId="2" fillId="8" borderId="48" xfId="1" applyFont="1" applyFill="1" applyBorder="1" applyAlignment="1">
      <alignment horizontal="center" vertical="center"/>
    </xf>
    <xf numFmtId="0" fontId="2" fillId="8" borderId="9" xfId="1" applyFont="1" applyFill="1" applyBorder="1" applyAlignment="1">
      <alignment horizontal="center" vertical="center"/>
    </xf>
    <xf numFmtId="49" fontId="2" fillId="8" borderId="27" xfId="1" applyNumberFormat="1" applyFont="1" applyFill="1" applyBorder="1" applyAlignment="1">
      <alignment horizontal="center" vertical="center"/>
    </xf>
    <xf numFmtId="49" fontId="2" fillId="8" borderId="65" xfId="1" applyNumberFormat="1" applyFont="1" applyFill="1" applyBorder="1" applyAlignment="1">
      <alignment horizontal="center" vertical="center"/>
    </xf>
    <xf numFmtId="49" fontId="2" fillId="8" borderId="10" xfId="1" applyNumberFormat="1" applyFont="1" applyFill="1" applyBorder="1" applyAlignment="1">
      <alignment horizontal="center" vertical="center"/>
    </xf>
    <xf numFmtId="0" fontId="2" fillId="0" borderId="11" xfId="1" applyFont="1" applyBorder="1" applyAlignment="1">
      <alignment horizontal="left" vertical="center" indent="1"/>
    </xf>
    <xf numFmtId="0" fontId="2" fillId="0" borderId="9" xfId="1" applyFont="1" applyBorder="1" applyAlignment="1">
      <alignment horizontal="left" vertical="center" indent="1"/>
    </xf>
    <xf numFmtId="0" fontId="2" fillId="8" borderId="10" xfId="1" applyFont="1" applyFill="1" applyBorder="1" applyAlignment="1">
      <alignment horizontal="left" vertical="center"/>
    </xf>
    <xf numFmtId="0" fontId="2" fillId="8" borderId="23" xfId="1" applyFont="1" applyFill="1" applyBorder="1" applyAlignment="1">
      <alignment horizontal="left" vertical="center"/>
    </xf>
    <xf numFmtId="0" fontId="2" fillId="8" borderId="24" xfId="1" applyFont="1" applyFill="1" applyBorder="1" applyAlignment="1">
      <alignment horizontal="left" vertical="center"/>
    </xf>
    <xf numFmtId="0" fontId="2" fillId="0" borderId="29" xfId="1" applyFont="1" applyFill="1" applyBorder="1" applyAlignment="1">
      <alignment horizontal="left" vertical="center" wrapText="1"/>
    </xf>
    <xf numFmtId="0" fontId="2" fillId="0" borderId="30" xfId="1" applyFont="1" applyFill="1" applyBorder="1" applyAlignment="1">
      <alignment horizontal="left" vertical="center" wrapText="1"/>
    </xf>
    <xf numFmtId="0" fontId="2" fillId="0" borderId="31" xfId="1" applyFont="1" applyFill="1" applyBorder="1" applyAlignment="1">
      <alignment horizontal="left" vertical="center" wrapText="1"/>
    </xf>
    <xf numFmtId="0" fontId="27" fillId="15" borderId="0" xfId="1" applyFont="1" applyFill="1" applyBorder="1" applyAlignment="1">
      <alignment horizontal="left" vertical="center"/>
    </xf>
    <xf numFmtId="0" fontId="2" fillId="2" borderId="35" xfId="1" applyFont="1" applyFill="1" applyBorder="1" applyAlignment="1">
      <alignment horizontal="center" vertical="center" wrapText="1"/>
    </xf>
    <xf numFmtId="0" fontId="2" fillId="2" borderId="18" xfId="1" applyFont="1" applyFill="1" applyBorder="1" applyAlignment="1">
      <alignment horizontal="center" vertical="center" wrapText="1"/>
    </xf>
    <xf numFmtId="0" fontId="5" fillId="0" borderId="37" xfId="1" applyFont="1" applyFill="1" applyBorder="1" applyAlignment="1">
      <alignment horizontal="left" vertical="center" wrapText="1"/>
    </xf>
    <xf numFmtId="0" fontId="5" fillId="0" borderId="38" xfId="1" applyFont="1" applyFill="1" applyBorder="1" applyAlignment="1">
      <alignment horizontal="left" vertical="center" wrapText="1"/>
    </xf>
    <xf numFmtId="0" fontId="2" fillId="0" borderId="41" xfId="1" applyFont="1" applyFill="1" applyBorder="1" applyAlignment="1">
      <alignment horizontal="left" vertical="center" wrapText="1"/>
    </xf>
    <xf numFmtId="0" fontId="2" fillId="0" borderId="42" xfId="1" applyFont="1" applyFill="1" applyBorder="1" applyAlignment="1">
      <alignment horizontal="left" vertical="center" wrapText="1"/>
    </xf>
    <xf numFmtId="0" fontId="24" fillId="2" borderId="54" xfId="1" applyFont="1" applyFill="1" applyBorder="1" applyAlignment="1">
      <alignment horizontal="center" vertical="center"/>
    </xf>
    <xf numFmtId="0" fontId="24" fillId="2" borderId="55" xfId="1" applyFont="1" applyFill="1" applyBorder="1" applyAlignment="1">
      <alignment horizontal="center" vertical="center"/>
    </xf>
    <xf numFmtId="49" fontId="2" fillId="8" borderId="12" xfId="1" applyNumberFormat="1" applyFont="1" applyFill="1" applyBorder="1" applyAlignment="1">
      <alignment horizontal="center" vertical="center"/>
    </xf>
    <xf numFmtId="49" fontId="2" fillId="8" borderId="63" xfId="1" applyNumberFormat="1" applyFont="1" applyFill="1" applyBorder="1" applyAlignment="1">
      <alignment horizontal="center" vertical="center"/>
    </xf>
    <xf numFmtId="49" fontId="2" fillId="8" borderId="28" xfId="1" applyNumberFormat="1" applyFont="1" applyFill="1" applyBorder="1" applyAlignment="1">
      <alignment horizontal="center" vertical="center"/>
    </xf>
    <xf numFmtId="0" fontId="2" fillId="0" borderId="60" xfId="1" applyFont="1" applyBorder="1" applyAlignment="1">
      <alignment horizontal="center" vertical="center"/>
    </xf>
    <xf numFmtId="0" fontId="2" fillId="0" borderId="42" xfId="1" applyFont="1" applyBorder="1" applyAlignment="1">
      <alignment horizontal="center" vertical="center"/>
    </xf>
    <xf numFmtId="0" fontId="2" fillId="0" borderId="44" xfId="1" applyFont="1" applyBorder="1" applyAlignment="1">
      <alignment horizontal="center" vertical="center"/>
    </xf>
    <xf numFmtId="0" fontId="2" fillId="0" borderId="68" xfId="1" applyFont="1" applyFill="1" applyBorder="1" applyAlignment="1">
      <alignment horizontal="center" vertical="center"/>
    </xf>
    <xf numFmtId="0" fontId="2" fillId="0" borderId="69" xfId="1" applyFont="1" applyFill="1" applyBorder="1" applyAlignment="1">
      <alignment horizontal="center" vertical="center"/>
    </xf>
    <xf numFmtId="0" fontId="2" fillId="0" borderId="70" xfId="1" applyFont="1" applyFill="1" applyBorder="1" applyAlignment="1">
      <alignment horizontal="center" vertical="center"/>
    </xf>
    <xf numFmtId="0" fontId="2" fillId="0" borderId="11" xfId="1" applyFont="1" applyFill="1" applyBorder="1" applyAlignment="1">
      <alignment horizontal="left" vertical="center" indent="1"/>
    </xf>
    <xf numFmtId="0" fontId="2" fillId="0" borderId="24" xfId="1" applyFont="1" applyFill="1" applyBorder="1" applyAlignment="1">
      <alignment horizontal="left" vertical="center" indent="1"/>
    </xf>
    <xf numFmtId="0" fontId="2" fillId="0" borderId="9" xfId="1" applyFont="1" applyFill="1" applyBorder="1" applyAlignment="1">
      <alignment horizontal="left" vertical="center" indent="1"/>
    </xf>
    <xf numFmtId="0" fontId="2" fillId="0" borderId="63" xfId="1" applyFont="1" applyFill="1" applyBorder="1" applyAlignment="1">
      <alignment horizontal="center" vertical="center"/>
    </xf>
    <xf numFmtId="0" fontId="2" fillId="0" borderId="28" xfId="1" applyFont="1" applyFill="1" applyBorder="1" applyAlignment="1">
      <alignment horizontal="center" vertical="center"/>
    </xf>
    <xf numFmtId="0" fontId="2" fillId="0" borderId="13" xfId="1" applyFont="1" applyFill="1" applyBorder="1" applyAlignment="1">
      <alignment horizontal="left" vertical="center" indent="1"/>
    </xf>
    <xf numFmtId="0" fontId="2" fillId="0" borderId="28" xfId="1" applyFont="1" applyFill="1" applyBorder="1" applyAlignment="1">
      <alignment horizontal="left" vertical="center" indent="1"/>
    </xf>
    <xf numFmtId="0" fontId="2" fillId="0" borderId="8" xfId="1" applyFont="1" applyFill="1" applyBorder="1" applyAlignment="1">
      <alignment horizontal="left" vertical="center" indent="1"/>
    </xf>
    <xf numFmtId="0" fontId="2" fillId="0" borderId="47" xfId="1" applyFont="1" applyFill="1" applyBorder="1" applyAlignment="1">
      <alignment horizontal="left" vertical="center" wrapText="1" indent="1"/>
    </xf>
    <xf numFmtId="0" fontId="2" fillId="0" borderId="13" xfId="1" applyFont="1" applyBorder="1" applyAlignment="1">
      <alignment horizontal="left" vertical="center" indent="1"/>
    </xf>
    <xf numFmtId="0" fontId="2" fillId="0" borderId="8" xfId="1" applyFont="1" applyBorder="1" applyAlignment="1">
      <alignment horizontal="left" vertical="center" indent="1"/>
    </xf>
    <xf numFmtId="0" fontId="2" fillId="0" borderId="66" xfId="1" applyFont="1" applyFill="1" applyBorder="1" applyAlignment="1">
      <alignment horizontal="left" vertical="center" indent="1"/>
    </xf>
    <xf numFmtId="0" fontId="2" fillId="0" borderId="38" xfId="1" applyFont="1" applyFill="1" applyBorder="1" applyAlignment="1">
      <alignment horizontal="left" vertical="center" indent="1"/>
    </xf>
    <xf numFmtId="0" fontId="2" fillId="0" borderId="39" xfId="1" applyFont="1" applyFill="1" applyBorder="1" applyAlignment="1">
      <alignment horizontal="left" vertical="center" indent="1"/>
    </xf>
    <xf numFmtId="49" fontId="2" fillId="8" borderId="12" xfId="1" applyNumberFormat="1" applyFont="1" applyFill="1" applyBorder="1" applyAlignment="1">
      <alignment vertical="center"/>
    </xf>
    <xf numFmtId="49" fontId="2" fillId="8" borderId="63" xfId="1" applyNumberFormat="1" applyFont="1" applyFill="1" applyBorder="1" applyAlignment="1">
      <alignment vertical="center"/>
    </xf>
    <xf numFmtId="0" fontId="2" fillId="0" borderId="47" xfId="1" applyFont="1" applyFill="1" applyBorder="1" applyAlignment="1">
      <alignment horizontal="left" vertical="center" indent="1"/>
    </xf>
    <xf numFmtId="0" fontId="2" fillId="0" borderId="63" xfId="1" applyFont="1" applyFill="1" applyBorder="1" applyAlignment="1">
      <alignment horizontal="left" vertical="center" indent="1"/>
    </xf>
  </cellXfs>
  <cellStyles count="39">
    <cellStyle name="greyed" xfId="18" xr:uid="{00000000-0005-0000-0000-000000000000}"/>
    <cellStyle name="greyed 18" xfId="33" xr:uid="{00000000-0005-0000-0000-000001000000}"/>
    <cellStyle name="Heading 2" xfId="17" xr:uid="{00000000-0005-0000-0000-000002000000}"/>
    <cellStyle name="HeadingTable" xfId="27" xr:uid="{00000000-0005-0000-0000-000003000000}"/>
    <cellStyle name="HeadingTable 3" xfId="15" xr:uid="{00000000-0005-0000-0000-000004000000}"/>
    <cellStyle name="HeadingTable 3 7" xfId="36" xr:uid="{00000000-0005-0000-0000-000005000000}"/>
    <cellStyle name="highlightPercentage" xfId="26" xr:uid="{00000000-0005-0000-0000-000006000000}"/>
    <cellStyle name="highlightPercentage 15" xfId="35" xr:uid="{00000000-0005-0000-0000-000007000000}"/>
    <cellStyle name="inputExposure" xfId="25" xr:uid="{00000000-0005-0000-0000-000008000000}"/>
    <cellStyle name="inputExposure 13 9" xfId="34" xr:uid="{00000000-0005-0000-0000-000009000000}"/>
    <cellStyle name="optionalExposure 12" xfId="16" xr:uid="{00000000-0005-0000-0000-00000A000000}"/>
    <cellStyle name="optionalExposure 12 9" xfId="32" xr:uid="{00000000-0005-0000-0000-00000B000000}"/>
    <cellStyle name="showExposure" xfId="19" xr:uid="{00000000-0005-0000-0000-00000C000000}"/>
    <cellStyle name="showExposure 7" xfId="31" xr:uid="{00000000-0005-0000-0000-00000D000000}"/>
    <cellStyle name="백분율" xfId="21" builtinId="5"/>
    <cellStyle name="백분율 2" xfId="5" xr:uid="{00000000-0005-0000-0000-00000F000000}"/>
    <cellStyle name="백분율 4" xfId="12" xr:uid="{00000000-0005-0000-0000-000010000000}"/>
    <cellStyle name="쉼표 [0]" xfId="20" builtinId="6"/>
    <cellStyle name="쉼표 [0] 2" xfId="2" xr:uid="{00000000-0005-0000-0000-000012000000}"/>
    <cellStyle name="쉼표 [0] 2 10" xfId="10" xr:uid="{00000000-0005-0000-0000-000013000000}"/>
    <cellStyle name="쉼표 [0] 2 10 4 2" xfId="11" xr:uid="{00000000-0005-0000-0000-000014000000}"/>
    <cellStyle name="쉼표 [0] 3" xfId="3" xr:uid="{00000000-0005-0000-0000-000015000000}"/>
    <cellStyle name="쉼표 [0] 3 2" xfId="6" xr:uid="{00000000-0005-0000-0000-000016000000}"/>
    <cellStyle name="쉼표 [0] 3 3 2" xfId="24" xr:uid="{00000000-0005-0000-0000-000017000000}"/>
    <cellStyle name="쉼표 [0] 4" xfId="23" xr:uid="{00000000-0005-0000-0000-000018000000}"/>
    <cellStyle name="쉼표 [0] 5" xfId="30" xr:uid="{00000000-0005-0000-0000-000019000000}"/>
    <cellStyle name="쉼표 [0] 6" xfId="37" xr:uid="{00000000-0005-0000-0000-00001A000000}"/>
    <cellStyle name="쉼표 [0] 7" xfId="38" xr:uid="{00000000-0005-0000-0000-00001B000000}"/>
    <cellStyle name="통화 2" xfId="13" xr:uid="{00000000-0005-0000-0000-00001C000000}"/>
    <cellStyle name="표준" xfId="0" builtinId="0"/>
    <cellStyle name="표준 12 4 2 4" xfId="14" xr:uid="{00000000-0005-0000-0000-00001E000000}"/>
    <cellStyle name="표준 1241" xfId="8" xr:uid="{00000000-0005-0000-0000-00001F000000}"/>
    <cellStyle name="표준 1290" xfId="9" xr:uid="{00000000-0005-0000-0000-000020000000}"/>
    <cellStyle name="표준 1350" xfId="7" xr:uid="{00000000-0005-0000-0000-000021000000}"/>
    <cellStyle name="표준 2" xfId="1" xr:uid="{00000000-0005-0000-0000-000022000000}"/>
    <cellStyle name="표준 27" xfId="4" xr:uid="{00000000-0005-0000-0000-000023000000}"/>
    <cellStyle name="표준 3" xfId="22" xr:uid="{00000000-0005-0000-0000-000024000000}"/>
    <cellStyle name="표준 4" xfId="29" xr:uid="{00000000-0005-0000-0000-000025000000}"/>
    <cellStyle name="하이퍼링크" xfId="28" builtinId="8"/>
  </cellStyles>
  <dxfs count="10270">
    <dxf>
      <fill>
        <patternFill>
          <bgColor rgb="FFFFCCCC"/>
        </patternFill>
      </fill>
    </dxf>
    <dxf>
      <fill>
        <patternFill>
          <bgColor rgb="FFFFCCCC"/>
        </patternFill>
      </fill>
    </dxf>
    <dxf>
      <font>
        <b/>
        <i val="0"/>
        <color rgb="FFFF0000"/>
      </font>
    </dxf>
    <dxf>
      <font>
        <b/>
        <i val="0"/>
        <color rgb="FFFF0000"/>
      </font>
    </dxf>
    <dxf>
      <font>
        <b/>
        <i val="0"/>
        <color rgb="FFFF0000"/>
      </font>
    </dxf>
    <dxf>
      <fill>
        <patternFill>
          <bgColor rgb="FFFFCCCC"/>
        </patternFill>
      </fill>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b/>
        <i val="0"/>
      </font>
    </dxf>
    <dxf>
      <font>
        <b/>
        <i val="0"/>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ill>
        <gradientFill degree="90">
          <stop position="0">
            <color theme="0"/>
          </stop>
          <stop position="0.5">
            <color rgb="FFFFFF00"/>
          </stop>
          <stop position="1">
            <color theme="0"/>
          </stop>
        </gradientFill>
      </fill>
    </dxf>
    <dxf>
      <fill>
        <gradientFill degree="90">
          <stop position="0">
            <color theme="0"/>
          </stop>
          <stop position="0.5">
            <color rgb="FFFFFF00"/>
          </stop>
          <stop position="1">
            <color theme="0"/>
          </stop>
        </gradientFill>
      </fill>
    </dxf>
    <dxf>
      <font>
        <color rgb="FF00B0F0"/>
      </font>
    </dxf>
    <dxf>
      <font>
        <color rgb="FFFF0000"/>
      </font>
    </dxf>
    <dxf>
      <font>
        <color rgb="FF9C0006"/>
      </font>
    </dxf>
    <dxf>
      <font>
        <color rgb="FF9C0006"/>
      </font>
    </dxf>
    <dxf>
      <font>
        <color rgb="FF9C0006"/>
      </font>
    </dxf>
    <dxf>
      <font>
        <color rgb="FF9C0006"/>
      </font>
    </dxf>
    <dxf>
      <font>
        <b/>
        <i val="0"/>
        <color rgb="FFFF0000"/>
      </font>
      <fill>
        <patternFill>
          <bgColor rgb="FFFFFF00"/>
        </patternFill>
      </fill>
    </dxf>
    <dxf>
      <font>
        <b/>
        <i val="0"/>
        <color rgb="FFFF0000"/>
      </font>
      <fill>
        <patternFill>
          <bgColor rgb="FFFFFF00"/>
        </patternFill>
      </fill>
    </dxf>
    <dxf>
      <font>
        <color rgb="FF9C0006"/>
      </font>
    </dxf>
    <dxf>
      <font>
        <color rgb="FF00B0F0"/>
      </font>
    </dxf>
    <dxf>
      <font>
        <color rgb="FFFF0000"/>
      </font>
    </dxf>
    <dxf>
      <font>
        <b/>
        <i val="0"/>
      </font>
    </dxf>
    <dxf>
      <font>
        <color rgb="FF9C0006"/>
      </font>
    </dxf>
    <dxf>
      <font>
        <color theme="0"/>
      </font>
      <fill>
        <patternFill>
          <bgColor rgb="FFFF0000"/>
        </patternFill>
      </fill>
    </dxf>
    <dxf>
      <font>
        <b/>
        <i val="0"/>
      </font>
    </dxf>
    <dxf>
      <font>
        <color rgb="FF9C0006"/>
      </font>
    </dxf>
    <dxf>
      <font>
        <color rgb="FF9C0006"/>
      </font>
    </dxf>
    <dxf>
      <font>
        <b/>
        <i val="0"/>
      </font>
    </dxf>
    <dxf>
      <font>
        <color rgb="FF9C0006"/>
      </font>
    </dxf>
    <dxf>
      <font>
        <color rgb="FF9C0006"/>
      </font>
    </dxf>
    <dxf>
      <font>
        <color rgb="FF00B0F0"/>
      </font>
    </dxf>
    <dxf>
      <font>
        <color rgb="FFFF0000"/>
      </font>
    </dxf>
    <dxf>
      <font>
        <b/>
        <i val="0"/>
      </font>
    </dxf>
    <dxf>
      <font>
        <color rgb="FF9C0006"/>
      </font>
    </dxf>
    <dxf>
      <font>
        <color theme="0"/>
      </font>
      <fill>
        <patternFill>
          <bgColor rgb="FFFF0000"/>
        </patternFill>
      </fill>
    </dxf>
    <dxf>
      <fill>
        <gradientFill degree="90">
          <stop position="0">
            <color theme="0"/>
          </stop>
          <stop position="0.5">
            <color rgb="FFFFFF00"/>
          </stop>
          <stop position="1">
            <color theme="0"/>
          </stop>
        </gradientFill>
      </fill>
    </dxf>
  </dxfs>
  <tableStyles count="0" defaultTableStyle="TableStyleMedium2" defaultPivotStyle="PivotStyleLight16"/>
  <colors>
    <mruColors>
      <color rgb="FFFFCCCC"/>
      <color rgb="FFFF9999"/>
      <color rgb="FFFF7C8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0</xdr:colOff>
          <xdr:row>7</xdr:row>
          <xdr:rowOff>19050</xdr:rowOff>
        </xdr:from>
        <xdr:to>
          <xdr:col>15</xdr:col>
          <xdr:colOff>695325</xdr:colOff>
          <xdr:row>9</xdr:row>
          <xdr:rowOff>0</xdr:rowOff>
        </xdr:to>
        <xdr:sp macro="" textlink="">
          <xdr:nvSpPr>
            <xdr:cNvPr id="45116" name="Button 60" hidden="1">
              <a:extLst>
                <a:ext uri="{63B3BB69-23CF-44E3-9099-C40C66FF867C}">
                  <a14:compatExt spid="_x0000_s45116"/>
                </a:ext>
                <a:ext uri="{FF2B5EF4-FFF2-40B4-BE49-F238E27FC236}">
                  <a16:creationId xmlns:a16="http://schemas.microsoft.com/office/drawing/2014/main" id="{00000000-0008-0000-0300-00003C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ko-KR" altLang="en-US" sz="1400" b="1" i="0" u="none" strike="noStrike" baseline="0">
                  <a:solidFill>
                    <a:srgbClr val="008080"/>
                  </a:solidFill>
                  <a:latin typeface="돋움"/>
                  <a:ea typeface="돋움"/>
                </a:rPr>
                <a:t>칸밀기</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4028;&#51068;&#49436;&#48260;\research\&#47532;&#49436;&#52824;\&#53804;&#51088;&#51204;&#47029;&#54016;\&#44608;&#51068;&#54785;\1.%20Weekly%20Brief\Sheet%20-%20Long\Weekly%20Brief(100716%20-%20Long)_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KIdx"/>
      <sheetName val="Ex"/>
      <sheetName val="Cmd"/>
      <sheetName val="Econ-stats"/>
      <sheetName val="FPI"/>
      <sheetName val="data"/>
    </sheetNames>
    <sheetDataSet>
      <sheetData sheetId="0"/>
      <sheetData sheetId="1"/>
      <sheetData sheetId="2">
        <row r="1">
          <cell r="B1">
            <v>2</v>
          </cell>
          <cell r="D1">
            <v>4</v>
          </cell>
          <cell r="E1">
            <v>5</v>
          </cell>
          <cell r="F1">
            <v>6</v>
          </cell>
          <cell r="G1">
            <v>7</v>
          </cell>
          <cell r="I1">
            <v>9</v>
          </cell>
          <cell r="J1">
            <v>10</v>
          </cell>
          <cell r="K1">
            <v>11</v>
          </cell>
          <cell r="L1">
            <v>12</v>
          </cell>
          <cell r="M1">
            <v>13</v>
          </cell>
          <cell r="O1">
            <v>15</v>
          </cell>
          <cell r="P1">
            <v>16</v>
          </cell>
          <cell r="Q1">
            <v>17</v>
          </cell>
          <cell r="U1">
            <v>21</v>
          </cell>
          <cell r="V1">
            <v>22</v>
          </cell>
        </row>
        <row r="2">
          <cell r="B2" t="str">
            <v>달러 index</v>
          </cell>
          <cell r="D2" t="str">
            <v>달러/유로(우축)</v>
          </cell>
          <cell r="E2" t="str">
            <v>원/달러</v>
          </cell>
          <cell r="F2" t="str">
            <v>JPY/KRW</v>
          </cell>
          <cell r="G2" t="str">
            <v>외평채-미10년</v>
          </cell>
          <cell r="I2" t="str">
            <v>미10년</v>
          </cell>
          <cell r="J2" t="str">
            <v>위안/달러</v>
          </cell>
          <cell r="K2" t="str">
            <v>CD 3M</v>
          </cell>
          <cell r="L2" t="str">
            <v>국채 10년물</v>
          </cell>
          <cell r="M2" t="str">
            <v>국채 3년물</v>
          </cell>
          <cell r="O2" t="str">
            <v>스위스프랑</v>
          </cell>
          <cell r="P2" t="str">
            <v>호주달러</v>
          </cell>
          <cell r="Q2" t="str">
            <v>스위스프랑/호주달러</v>
          </cell>
          <cell r="U2" t="str">
            <v>미5년</v>
          </cell>
          <cell r="V2" t="str">
            <v>한국 CDS 5년</v>
          </cell>
          <cell r="W2" t="str">
            <v>SOVX (서유럽 15개국)</v>
          </cell>
        </row>
        <row r="3">
          <cell r="B3" t="str">
            <v>dxy Index</v>
          </cell>
          <cell r="D3" t="str">
            <v>eur curncy</v>
          </cell>
          <cell r="E3" t="str">
            <v>krw curncy</v>
          </cell>
          <cell r="F3" t="str">
            <v>jpykrw curncy</v>
          </cell>
          <cell r="I3" t="str">
            <v>USGG10YR Index</v>
          </cell>
          <cell r="J3" t="str">
            <v>CNY Curncy</v>
          </cell>
          <cell r="K3" t="str">
            <v>KSDACD3M index</v>
          </cell>
          <cell r="L3" t="str">
            <v>GVSK10YR Index</v>
          </cell>
          <cell r="M3" t="str">
            <v>GVSK3YR Index</v>
          </cell>
          <cell r="O3" t="str">
            <v>EURCHF Curncy</v>
          </cell>
          <cell r="P3" t="str">
            <v>AUD Curncy</v>
          </cell>
          <cell r="U3" t="str">
            <v>USGG5YR Index</v>
          </cell>
          <cell r="V3" t="str">
            <v>KOREA CDS USD SR 5Y Corp</v>
          </cell>
          <cell r="W3" t="str">
            <v>ITXSWE CORP</v>
          </cell>
        </row>
        <row r="4">
          <cell r="B4" t="str">
            <v>Px Last</v>
          </cell>
          <cell r="D4" t="str">
            <v>Px Last</v>
          </cell>
          <cell r="E4" t="str">
            <v>Px Last</v>
          </cell>
          <cell r="F4" t="str">
            <v>Px Last</v>
          </cell>
          <cell r="I4" t="str">
            <v>Px Last</v>
          </cell>
          <cell r="J4" t="str">
            <v>Px Last</v>
          </cell>
          <cell r="K4" t="str">
            <v>Px Last</v>
          </cell>
          <cell r="L4" t="str">
            <v>Px Last</v>
          </cell>
          <cell r="M4" t="str">
            <v>Px Last</v>
          </cell>
          <cell r="O4" t="str">
            <v>Px Last</v>
          </cell>
          <cell r="P4" t="str">
            <v>Px Last</v>
          </cell>
          <cell r="U4" t="str">
            <v>Px Last</v>
          </cell>
          <cell r="V4" t="str">
            <v>px last</v>
          </cell>
          <cell r="W4" t="str">
            <v>PX LAST</v>
          </cell>
        </row>
        <row r="5">
          <cell r="B5">
            <v>91.17</v>
          </cell>
          <cell r="C5">
            <v>117.97</v>
          </cell>
          <cell r="D5">
            <v>1.1833</v>
          </cell>
          <cell r="E5">
            <v>1010</v>
          </cell>
          <cell r="F5">
            <v>8.5629500000000007</v>
          </cell>
          <cell r="G5" t="e">
            <v>#VALUE!</v>
          </cell>
          <cell r="I5">
            <v>4.3910999999999998</v>
          </cell>
          <cell r="J5">
            <v>8.0701999999999998</v>
          </cell>
          <cell r="K5">
            <v>4.09</v>
          </cell>
          <cell r="L5">
            <v>5.6319999999999997</v>
          </cell>
          <cell r="M5">
            <v>5.1289999999999996</v>
          </cell>
          <cell r="O5">
            <v>1.5564</v>
          </cell>
          <cell r="P5">
            <v>0.73360000000000003</v>
          </cell>
          <cell r="Q5">
            <v>106.07960741548527</v>
          </cell>
          <cell r="U5">
            <v>4.3497000000000003</v>
          </cell>
          <cell r="V5">
            <v>25.082999999999998</v>
          </cell>
          <cell r="W5" t="str">
            <v>#N/A N/A</v>
          </cell>
        </row>
        <row r="6">
          <cell r="B6">
            <v>91.17</v>
          </cell>
          <cell r="D6">
            <v>1.1819999999999999</v>
          </cell>
          <cell r="E6">
            <v>1007.95</v>
          </cell>
          <cell r="F6">
            <v>8.5568200000000001</v>
          </cell>
          <cell r="G6" t="e">
            <v>#VALUE!</v>
          </cell>
          <cell r="I6">
            <v>4.3910999999999998</v>
          </cell>
          <cell r="J6">
            <v>8.0701999999999998</v>
          </cell>
          <cell r="K6">
            <v>4.0999999999999996</v>
          </cell>
          <cell r="L6">
            <v>5.7649999999999997</v>
          </cell>
          <cell r="M6">
            <v>5.194</v>
          </cell>
          <cell r="O6">
            <v>1.5539000000000001</v>
          </cell>
          <cell r="P6">
            <v>0.73360000000000003</v>
          </cell>
          <cell r="Q6">
            <v>105.90921483097055</v>
          </cell>
          <cell r="U6">
            <v>4.3497000000000003</v>
          </cell>
          <cell r="V6">
            <v>24.917000000000002</v>
          </cell>
          <cell r="W6" t="str">
            <v>#N/A N/A</v>
          </cell>
        </row>
        <row r="7">
          <cell r="B7">
            <v>89.84</v>
          </cell>
          <cell r="D7">
            <v>1.198</v>
          </cell>
          <cell r="E7">
            <v>1002.85</v>
          </cell>
          <cell r="F7">
            <v>8.6140699999999999</v>
          </cell>
          <cell r="G7" t="e">
            <v>#VALUE!</v>
          </cell>
          <cell r="I7">
            <v>4.3636999999999997</v>
          </cell>
          <cell r="J7">
            <v>8.0701999999999998</v>
          </cell>
          <cell r="K7">
            <v>4.1100000000000003</v>
          </cell>
          <cell r="L7">
            <v>5.7229999999999999</v>
          </cell>
          <cell r="M7">
            <v>5.1440000000000001</v>
          </cell>
          <cell r="O7">
            <v>1.5497000000000001</v>
          </cell>
          <cell r="P7">
            <v>0.73899999999999999</v>
          </cell>
          <cell r="Q7">
            <v>104.851150202977</v>
          </cell>
          <cell r="U7">
            <v>4.3000999999999996</v>
          </cell>
          <cell r="V7">
            <v>24.55</v>
          </cell>
          <cell r="W7" t="str">
            <v>#N/A N/A</v>
          </cell>
        </row>
        <row r="8">
          <cell r="B8">
            <v>89.14</v>
          </cell>
          <cell r="D8">
            <v>1.2126999999999999</v>
          </cell>
          <cell r="E8">
            <v>998.1</v>
          </cell>
          <cell r="F8">
            <v>8.6054200000000005</v>
          </cell>
          <cell r="G8" t="e">
            <v>#VALUE!</v>
          </cell>
          <cell r="I8">
            <v>4.3422000000000001</v>
          </cell>
          <cell r="J8">
            <v>8.0676000000000005</v>
          </cell>
          <cell r="K8">
            <v>4.12</v>
          </cell>
          <cell r="L8">
            <v>5.6379999999999999</v>
          </cell>
          <cell r="M8">
            <v>5.1070000000000002</v>
          </cell>
          <cell r="O8">
            <v>1.5472999999999999</v>
          </cell>
          <cell r="P8">
            <v>0.74790000000000001</v>
          </cell>
          <cell r="Q8">
            <v>103.44297365958015</v>
          </cell>
          <cell r="U8">
            <v>4.2752999999999997</v>
          </cell>
          <cell r="V8">
            <v>24.082999999999998</v>
          </cell>
          <cell r="W8" t="str">
            <v>#N/A N/A</v>
          </cell>
        </row>
        <row r="9">
          <cell r="B9">
            <v>89.33</v>
          </cell>
          <cell r="D9">
            <v>1.2097</v>
          </cell>
          <cell r="E9">
            <v>987.35</v>
          </cell>
          <cell r="F9">
            <v>8.5142100000000003</v>
          </cell>
          <cell r="G9" t="e">
            <v>#VALUE!</v>
          </cell>
          <cell r="I9">
            <v>4.3518999999999997</v>
          </cell>
          <cell r="J9">
            <v>8.0656999999999996</v>
          </cell>
          <cell r="K9">
            <v>4.13</v>
          </cell>
          <cell r="L9">
            <v>5.7620000000000005</v>
          </cell>
          <cell r="M9">
            <v>5.1630000000000003</v>
          </cell>
          <cell r="O9">
            <v>1.5448</v>
          </cell>
          <cell r="P9">
            <v>0.748</v>
          </cell>
          <cell r="Q9">
            <v>103.26203208556149</v>
          </cell>
          <cell r="U9">
            <v>4.2823000000000002</v>
          </cell>
          <cell r="V9">
            <v>23.178999999999998</v>
          </cell>
          <cell r="W9" t="str">
            <v>#N/A N/A</v>
          </cell>
        </row>
        <row r="10">
          <cell r="B10">
            <v>88.91</v>
          </cell>
          <cell r="D10">
            <v>1.2154</v>
          </cell>
          <cell r="E10">
            <v>987.9</v>
          </cell>
          <cell r="F10">
            <v>8.6392699999999998</v>
          </cell>
          <cell r="G10" t="e">
            <v>#VALUE!</v>
          </cell>
          <cell r="I10">
            <v>4.3733000000000004</v>
          </cell>
          <cell r="J10">
            <v>8.0668000000000006</v>
          </cell>
          <cell r="K10">
            <v>4.1399999999999997</v>
          </cell>
          <cell r="L10">
            <v>5.7610000000000001</v>
          </cell>
          <cell r="M10">
            <v>5.1669999999999998</v>
          </cell>
          <cell r="O10">
            <v>1.5417999999999998</v>
          </cell>
          <cell r="P10">
            <v>0.75329999999999997</v>
          </cell>
          <cell r="Q10">
            <v>102.33638656577723</v>
          </cell>
          <cell r="U10">
            <v>4.3140000000000001</v>
          </cell>
          <cell r="V10">
            <v>23.55</v>
          </cell>
          <cell r="W10" t="str">
            <v>#N/A N/A</v>
          </cell>
        </row>
        <row r="11">
          <cell r="B11">
            <v>88.91</v>
          </cell>
          <cell r="D11">
            <v>1.2154</v>
          </cell>
          <cell r="E11">
            <v>987.9</v>
          </cell>
          <cell r="F11">
            <v>8.6392699999999998</v>
          </cell>
          <cell r="G11" t="e">
            <v>#VALUE!</v>
          </cell>
          <cell r="I11">
            <v>4.3733000000000004</v>
          </cell>
          <cell r="J11">
            <v>8.0668000000000006</v>
          </cell>
          <cell r="K11">
            <v>4.1399999999999997</v>
          </cell>
          <cell r="L11">
            <v>5.7610000000000001</v>
          </cell>
          <cell r="M11">
            <v>5.1669999999999998</v>
          </cell>
          <cell r="O11">
            <v>1.5417999999999998</v>
          </cell>
          <cell r="P11">
            <v>0.75329999999999997</v>
          </cell>
          <cell r="Q11">
            <v>102.33638656577723</v>
          </cell>
          <cell r="U11">
            <v>4.3140000000000001</v>
          </cell>
          <cell r="V11">
            <v>23.55</v>
          </cell>
          <cell r="W11" t="str">
            <v>#N/A N/A</v>
          </cell>
        </row>
        <row r="12">
          <cell r="B12">
            <v>88.91</v>
          </cell>
          <cell r="D12">
            <v>1.2154</v>
          </cell>
          <cell r="E12">
            <v>987.9</v>
          </cell>
          <cell r="F12">
            <v>8.6392699999999998</v>
          </cell>
          <cell r="G12" t="e">
            <v>#VALUE!</v>
          </cell>
          <cell r="I12">
            <v>4.3733000000000004</v>
          </cell>
          <cell r="J12">
            <v>8.0668000000000006</v>
          </cell>
          <cell r="K12">
            <v>4.1399999999999997</v>
          </cell>
          <cell r="L12">
            <v>5.7610000000000001</v>
          </cell>
          <cell r="M12">
            <v>5.1669999999999998</v>
          </cell>
          <cell r="O12">
            <v>1.5417999999999998</v>
          </cell>
          <cell r="P12">
            <v>0.75329999999999997</v>
          </cell>
          <cell r="Q12">
            <v>102.33638656577723</v>
          </cell>
          <cell r="U12">
            <v>4.3140000000000001</v>
          </cell>
          <cell r="V12">
            <v>23.55</v>
          </cell>
          <cell r="W12" t="str">
            <v>#N/A N/A</v>
          </cell>
        </row>
        <row r="13">
          <cell r="B13">
            <v>89.25</v>
          </cell>
          <cell r="D13">
            <v>1.2081</v>
          </cell>
          <cell r="E13">
            <v>977.45</v>
          </cell>
          <cell r="F13">
            <v>8.5400399999999994</v>
          </cell>
          <cell r="G13" t="e">
            <v>#VALUE!</v>
          </cell>
          <cell r="I13">
            <v>4.3654000000000002</v>
          </cell>
          <cell r="J13">
            <v>8.0640999999999998</v>
          </cell>
          <cell r="K13">
            <v>4.1500000000000004</v>
          </cell>
          <cell r="L13">
            <v>5.681</v>
          </cell>
          <cell r="M13">
            <v>5.077</v>
          </cell>
          <cell r="O13">
            <v>1.5425</v>
          </cell>
          <cell r="P13">
            <v>0.75370000000000004</v>
          </cell>
          <cell r="Q13">
            <v>102.32851267082393</v>
          </cell>
          <cell r="U13">
            <v>4.2998000000000003</v>
          </cell>
          <cell r="V13">
            <v>22.917000000000002</v>
          </cell>
          <cell r="W13" t="str">
            <v>#N/A N/A</v>
          </cell>
        </row>
        <row r="14">
          <cell r="B14">
            <v>89.33</v>
          </cell>
          <cell r="D14">
            <v>1.2064999999999999</v>
          </cell>
          <cell r="E14">
            <v>982.05</v>
          </cell>
          <cell r="F14">
            <v>8.5704899999999995</v>
          </cell>
          <cell r="G14" t="e">
            <v>#VALUE!</v>
          </cell>
          <cell r="I14">
            <v>4.4242999999999997</v>
          </cell>
          <cell r="J14">
            <v>8.0656999999999996</v>
          </cell>
          <cell r="K14">
            <v>4.16</v>
          </cell>
          <cell r="L14">
            <v>5.6959999999999997</v>
          </cell>
          <cell r="M14">
            <v>5.15</v>
          </cell>
          <cell r="O14">
            <v>1.5451999999999999</v>
          </cell>
          <cell r="P14">
            <v>0.74919999999999998</v>
          </cell>
          <cell r="Q14">
            <v>103.12333155365722</v>
          </cell>
          <cell r="U14">
            <v>4.3564999999999996</v>
          </cell>
          <cell r="V14">
            <v>22.917000000000002</v>
          </cell>
          <cell r="W14" t="str">
            <v>#N/A N/A</v>
          </cell>
        </row>
        <row r="15">
          <cell r="B15">
            <v>88.99</v>
          </cell>
          <cell r="D15">
            <v>1.2134</v>
          </cell>
          <cell r="E15">
            <v>978.35</v>
          </cell>
          <cell r="F15">
            <v>8.5786300000000004</v>
          </cell>
          <cell r="G15" t="e">
            <v>#VALUE!</v>
          </cell>
          <cell r="I15">
            <v>4.4518000000000004</v>
          </cell>
          <cell r="J15">
            <v>8.0681999999999992</v>
          </cell>
          <cell r="K15">
            <v>4.17</v>
          </cell>
          <cell r="L15">
            <v>5.6980000000000004</v>
          </cell>
          <cell r="M15">
            <v>5.0960000000000001</v>
          </cell>
          <cell r="O15">
            <v>1.5444</v>
          </cell>
          <cell r="P15">
            <v>0.75670000000000004</v>
          </cell>
          <cell r="Q15">
            <v>102.04836791330779</v>
          </cell>
          <cell r="U15">
            <v>4.3886000000000003</v>
          </cell>
          <cell r="V15">
            <v>23.437999999999999</v>
          </cell>
          <cell r="W15" t="str">
            <v>#N/A N/A</v>
          </cell>
        </row>
        <row r="16">
          <cell r="B16">
            <v>89.44</v>
          </cell>
          <cell r="D16">
            <v>1.2031000000000001</v>
          </cell>
          <cell r="E16">
            <v>974.1</v>
          </cell>
          <cell r="F16">
            <v>8.5286500000000007</v>
          </cell>
          <cell r="G16" t="e">
            <v>#VALUE!</v>
          </cell>
          <cell r="I16">
            <v>4.4025999999999996</v>
          </cell>
          <cell r="J16">
            <v>8.0658999999999992</v>
          </cell>
          <cell r="K16">
            <v>4.17</v>
          </cell>
          <cell r="L16">
            <v>5.617</v>
          </cell>
          <cell r="M16">
            <v>5.0570000000000004</v>
          </cell>
          <cell r="O16">
            <v>1.5476999999999999</v>
          </cell>
          <cell r="P16">
            <v>0.75070000000000003</v>
          </cell>
          <cell r="Q16">
            <v>103.08378846410015</v>
          </cell>
          <cell r="U16">
            <v>4.3342999999999998</v>
          </cell>
          <cell r="V16">
            <v>23.292000000000002</v>
          </cell>
          <cell r="W16" t="str">
            <v>#N/A N/A</v>
          </cell>
        </row>
        <row r="17">
          <cell r="B17">
            <v>88.89</v>
          </cell>
          <cell r="D17">
            <v>1.2137</v>
          </cell>
          <cell r="E17">
            <v>987.65</v>
          </cell>
          <cell r="F17">
            <v>8.6476699999999997</v>
          </cell>
          <cell r="G17" t="e">
            <v>#VALUE!</v>
          </cell>
          <cell r="I17">
            <v>4.3533999999999997</v>
          </cell>
          <cell r="J17">
            <v>8.0683000000000007</v>
          </cell>
          <cell r="K17">
            <v>4.16</v>
          </cell>
          <cell r="L17">
            <v>5.5640000000000001</v>
          </cell>
          <cell r="M17">
            <v>4.9859999999999998</v>
          </cell>
          <cell r="O17">
            <v>1.5491999999999999</v>
          </cell>
          <cell r="P17">
            <v>0.75449999999999995</v>
          </cell>
          <cell r="Q17">
            <v>102.66401590457257</v>
          </cell>
          <cell r="U17">
            <v>4.2850000000000001</v>
          </cell>
          <cell r="V17">
            <v>23.625</v>
          </cell>
          <cell r="W17" t="str">
            <v>#N/A N/A</v>
          </cell>
        </row>
        <row r="18">
          <cell r="B18">
            <v>88.89</v>
          </cell>
          <cell r="D18">
            <v>1.2137</v>
          </cell>
          <cell r="E18">
            <v>987.65</v>
          </cell>
          <cell r="F18">
            <v>8.6476699999999997</v>
          </cell>
          <cell r="G18" t="e">
            <v>#VALUE!</v>
          </cell>
          <cell r="I18">
            <v>4.3533999999999997</v>
          </cell>
          <cell r="J18">
            <v>8.0683000000000007</v>
          </cell>
          <cell r="K18">
            <v>4.16</v>
          </cell>
          <cell r="L18">
            <v>5.5640000000000001</v>
          </cell>
          <cell r="M18">
            <v>4.9859999999999998</v>
          </cell>
          <cell r="O18">
            <v>1.5491999999999999</v>
          </cell>
          <cell r="P18">
            <v>0.75449999999999995</v>
          </cell>
          <cell r="Q18">
            <v>102.66401590457257</v>
          </cell>
          <cell r="U18">
            <v>4.2850000000000001</v>
          </cell>
          <cell r="V18">
            <v>23.625</v>
          </cell>
          <cell r="W18" t="str">
            <v>#N/A N/A</v>
          </cell>
        </row>
        <row r="19">
          <cell r="B19">
            <v>88.89</v>
          </cell>
          <cell r="D19">
            <v>1.2137</v>
          </cell>
          <cell r="E19">
            <v>987.65</v>
          </cell>
          <cell r="F19">
            <v>8.6476699999999997</v>
          </cell>
          <cell r="G19" t="e">
            <v>#VALUE!</v>
          </cell>
          <cell r="I19">
            <v>4.3533999999999997</v>
          </cell>
          <cell r="J19">
            <v>8.0683000000000007</v>
          </cell>
          <cell r="K19">
            <v>4.16</v>
          </cell>
          <cell r="L19">
            <v>5.5640000000000001</v>
          </cell>
          <cell r="M19">
            <v>4.9859999999999998</v>
          </cell>
          <cell r="O19">
            <v>1.5491999999999999</v>
          </cell>
          <cell r="P19">
            <v>0.75449999999999995</v>
          </cell>
          <cell r="Q19">
            <v>102.66401590457257</v>
          </cell>
          <cell r="U19">
            <v>4.2850000000000001</v>
          </cell>
          <cell r="V19">
            <v>23.625</v>
          </cell>
          <cell r="W19" t="str">
            <v>#N/A N/A</v>
          </cell>
        </row>
        <row r="20">
          <cell r="B20">
            <v>89.12</v>
          </cell>
          <cell r="D20">
            <v>1.2119</v>
          </cell>
          <cell r="E20">
            <v>982.45</v>
          </cell>
          <cell r="F20">
            <v>8.5488</v>
          </cell>
          <cell r="G20" t="e">
            <v>#VALUE!</v>
          </cell>
          <cell r="I20">
            <v>4.3533999999999997</v>
          </cell>
          <cell r="J20">
            <v>8.0660000000000007</v>
          </cell>
          <cell r="K20">
            <v>4.16</v>
          </cell>
          <cell r="L20">
            <v>5.5839999999999996</v>
          </cell>
          <cell r="M20">
            <v>5.032</v>
          </cell>
          <cell r="O20">
            <v>1.5506</v>
          </cell>
          <cell r="P20">
            <v>0.75380000000000003</v>
          </cell>
          <cell r="Q20">
            <v>102.85221544176173</v>
          </cell>
          <cell r="U20">
            <v>4.2850000000000001</v>
          </cell>
          <cell r="V20">
            <v>23.792000000000002</v>
          </cell>
          <cell r="W20" t="str">
            <v>#N/A N/A</v>
          </cell>
        </row>
        <row r="21">
          <cell r="B21">
            <v>89.3</v>
          </cell>
          <cell r="D21">
            <v>1.2076</v>
          </cell>
          <cell r="E21">
            <v>989.05</v>
          </cell>
          <cell r="F21">
            <v>8.5376999999999992</v>
          </cell>
          <cell r="G21" t="e">
            <v>#VALUE!</v>
          </cell>
          <cell r="I21">
            <v>4.3239999999999998</v>
          </cell>
          <cell r="J21">
            <v>8.0664999999999996</v>
          </cell>
          <cell r="K21">
            <v>4.16</v>
          </cell>
          <cell r="L21">
            <v>5.5969999999999995</v>
          </cell>
          <cell r="M21">
            <v>5.085</v>
          </cell>
          <cell r="O21">
            <v>1.5491999999999999</v>
          </cell>
          <cell r="P21">
            <v>0.751</v>
          </cell>
          <cell r="Q21">
            <v>103.14247669773636</v>
          </cell>
          <cell r="U21">
            <v>4.2638999999999996</v>
          </cell>
          <cell r="V21">
            <v>23.963999999999999</v>
          </cell>
          <cell r="W21" t="str">
            <v>#N/A N/A</v>
          </cell>
        </row>
        <row r="22">
          <cell r="B22">
            <v>89.25</v>
          </cell>
          <cell r="D22">
            <v>1.2086000000000001</v>
          </cell>
          <cell r="E22">
            <v>992.15</v>
          </cell>
          <cell r="F22">
            <v>8.6064399999999992</v>
          </cell>
          <cell r="G22" t="e">
            <v>#VALUE!</v>
          </cell>
          <cell r="I22">
            <v>4.3318000000000003</v>
          </cell>
          <cell r="J22">
            <v>8.0685000000000002</v>
          </cell>
          <cell r="K22">
            <v>4.16</v>
          </cell>
          <cell r="L22">
            <v>5.508</v>
          </cell>
          <cell r="M22">
            <v>5.0119999999999996</v>
          </cell>
          <cell r="O22">
            <v>1.5507</v>
          </cell>
          <cell r="P22">
            <v>0.74850000000000005</v>
          </cell>
          <cell r="Q22">
            <v>103.58717434869737</v>
          </cell>
          <cell r="U22">
            <v>4.2674000000000003</v>
          </cell>
          <cell r="V22">
            <v>24.678999999999998</v>
          </cell>
          <cell r="W22" t="str">
            <v>#N/A N/A</v>
          </cell>
        </row>
        <row r="23">
          <cell r="B23">
            <v>89.39</v>
          </cell>
          <cell r="D23">
            <v>1.2113</v>
          </cell>
          <cell r="E23">
            <v>985.05</v>
          </cell>
          <cell r="F23">
            <v>8.5463299999999993</v>
          </cell>
          <cell r="G23" t="e">
            <v>#VALUE!</v>
          </cell>
          <cell r="I23">
            <v>4.3728999999999996</v>
          </cell>
          <cell r="J23">
            <v>8.0672999999999995</v>
          </cell>
          <cell r="K23">
            <v>4.16</v>
          </cell>
          <cell r="L23">
            <v>5.5440000000000005</v>
          </cell>
          <cell r="M23">
            <v>5.0030000000000001</v>
          </cell>
          <cell r="O23">
            <v>1.5525</v>
          </cell>
          <cell r="P23">
            <v>0.74850000000000005</v>
          </cell>
          <cell r="Q23">
            <v>103.7074148296593</v>
          </cell>
          <cell r="U23">
            <v>4.3060999999999998</v>
          </cell>
          <cell r="V23">
            <v>24.25</v>
          </cell>
          <cell r="W23" t="str">
            <v>#N/A N/A</v>
          </cell>
        </row>
        <row r="24">
          <cell r="B24">
            <v>88.97</v>
          </cell>
          <cell r="D24">
            <v>1.2101</v>
          </cell>
          <cell r="E24">
            <v>986.7</v>
          </cell>
          <cell r="F24">
            <v>8.5517400000000006</v>
          </cell>
          <cell r="G24" t="e">
            <v>#VALUE!</v>
          </cell>
          <cell r="I24">
            <v>4.3493000000000004</v>
          </cell>
          <cell r="J24">
            <v>8.0601000000000003</v>
          </cell>
          <cell r="K24">
            <v>4.16</v>
          </cell>
          <cell r="L24">
            <v>5.524</v>
          </cell>
          <cell r="M24">
            <v>5.0490000000000004</v>
          </cell>
          <cell r="O24">
            <v>1.5514000000000001</v>
          </cell>
          <cell r="P24">
            <v>0.74680000000000002</v>
          </cell>
          <cell r="Q24">
            <v>103.86984467059455</v>
          </cell>
          <cell r="U24">
            <v>4.2850000000000001</v>
          </cell>
          <cell r="V24">
            <v>23.542000000000002</v>
          </cell>
          <cell r="W24" t="str">
            <v>#N/A N/A</v>
          </cell>
        </row>
        <row r="25">
          <cell r="B25">
            <v>88.97</v>
          </cell>
          <cell r="D25">
            <v>1.2101</v>
          </cell>
          <cell r="E25">
            <v>986.7</v>
          </cell>
          <cell r="F25">
            <v>8.5517400000000006</v>
          </cell>
          <cell r="G25" t="e">
            <v>#VALUE!</v>
          </cell>
          <cell r="I25">
            <v>4.3493000000000004</v>
          </cell>
          <cell r="J25">
            <v>8.0601000000000003</v>
          </cell>
          <cell r="K25">
            <v>4.16</v>
          </cell>
          <cell r="L25">
            <v>5.524</v>
          </cell>
          <cell r="M25">
            <v>5.0490000000000004</v>
          </cell>
          <cell r="O25">
            <v>1.5514000000000001</v>
          </cell>
          <cell r="P25">
            <v>0.74680000000000002</v>
          </cell>
          <cell r="Q25">
            <v>103.86984467059455</v>
          </cell>
          <cell r="U25">
            <v>4.2850000000000001</v>
          </cell>
          <cell r="V25">
            <v>23.542000000000002</v>
          </cell>
          <cell r="W25" t="str">
            <v>#N/A N/A</v>
          </cell>
        </row>
        <row r="26">
          <cell r="B26">
            <v>88.97</v>
          </cell>
          <cell r="D26">
            <v>1.2101</v>
          </cell>
          <cell r="E26">
            <v>986.7</v>
          </cell>
          <cell r="F26">
            <v>8.5517400000000006</v>
          </cell>
          <cell r="G26" t="e">
            <v>#VALUE!</v>
          </cell>
          <cell r="I26">
            <v>4.3493000000000004</v>
          </cell>
          <cell r="J26">
            <v>8.0601000000000003</v>
          </cell>
          <cell r="K26">
            <v>4.16</v>
          </cell>
          <cell r="L26">
            <v>5.524</v>
          </cell>
          <cell r="M26">
            <v>5.0490000000000004</v>
          </cell>
          <cell r="O26">
            <v>1.5514000000000001</v>
          </cell>
          <cell r="P26">
            <v>0.74680000000000002</v>
          </cell>
          <cell r="Q26">
            <v>103.86984467059455</v>
          </cell>
          <cell r="U26">
            <v>4.2850000000000001</v>
          </cell>
          <cell r="V26">
            <v>23.542000000000002</v>
          </cell>
          <cell r="W26" t="str">
            <v>#N/A N/A</v>
          </cell>
        </row>
        <row r="27">
          <cell r="B27">
            <v>87.95</v>
          </cell>
          <cell r="D27">
            <v>1.2294</v>
          </cell>
          <cell r="E27">
            <v>981.5</v>
          </cell>
          <cell r="F27">
            <v>8.5593400000000006</v>
          </cell>
          <cell r="G27" t="e">
            <v>#VALUE!</v>
          </cell>
          <cell r="I27">
            <v>4.3551000000000002</v>
          </cell>
          <cell r="J27">
            <v>8.0647000000000002</v>
          </cell>
          <cell r="K27">
            <v>4.16</v>
          </cell>
          <cell r="L27">
            <v>5.5090000000000003</v>
          </cell>
          <cell r="M27">
            <v>5.0259999999999998</v>
          </cell>
          <cell r="O27">
            <v>1.5470999999999999</v>
          </cell>
          <cell r="P27">
            <v>0.75319999999999998</v>
          </cell>
          <cell r="Q27">
            <v>102.70180562931492</v>
          </cell>
          <cell r="U27">
            <v>4.2885</v>
          </cell>
          <cell r="V27">
            <v>24.207999999999998</v>
          </cell>
          <cell r="W27" t="str">
            <v>#N/A N/A</v>
          </cell>
        </row>
        <row r="28">
          <cell r="B28">
            <v>88.06</v>
          </cell>
          <cell r="D28">
            <v>1.2292000000000001</v>
          </cell>
          <cell r="E28">
            <v>975.6</v>
          </cell>
          <cell r="F28">
            <v>8.5158799999999992</v>
          </cell>
          <cell r="G28" t="e">
            <v>#VALUE!</v>
          </cell>
          <cell r="I28">
            <v>4.3903999999999996</v>
          </cell>
          <cell r="J28">
            <v>8.0614000000000008</v>
          </cell>
          <cell r="K28">
            <v>4.16</v>
          </cell>
          <cell r="L28">
            <v>5.5529999999999999</v>
          </cell>
          <cell r="M28">
            <v>5.0510000000000002</v>
          </cell>
          <cell r="O28">
            <v>1.5474000000000001</v>
          </cell>
          <cell r="P28">
            <v>0.75139999999999996</v>
          </cell>
          <cell r="Q28">
            <v>102.96779345222254</v>
          </cell>
          <cell r="U28">
            <v>4.3167</v>
          </cell>
          <cell r="V28">
            <v>23.957999999999998</v>
          </cell>
          <cell r="W28" t="str">
            <v>#N/A N/A</v>
          </cell>
        </row>
        <row r="29">
          <cell r="B29">
            <v>88.33</v>
          </cell>
          <cell r="D29">
            <v>1.2270000000000001</v>
          </cell>
          <cell r="E29">
            <v>968.7</v>
          </cell>
          <cell r="F29">
            <v>8.3761299999999999</v>
          </cell>
          <cell r="G29" t="e">
            <v>#VALUE!</v>
          </cell>
          <cell r="I29">
            <v>4.4753999999999996</v>
          </cell>
          <cell r="J29">
            <v>8.0618999999999996</v>
          </cell>
          <cell r="K29">
            <v>4.16</v>
          </cell>
          <cell r="L29">
            <v>5.5209999999999999</v>
          </cell>
          <cell r="M29">
            <v>5.01</v>
          </cell>
          <cell r="O29">
            <v>1.5489999999999999</v>
          </cell>
          <cell r="P29">
            <v>0.75419999999999998</v>
          </cell>
          <cell r="Q29">
            <v>102.69159374171306</v>
          </cell>
          <cell r="U29">
            <v>4.4016999999999999</v>
          </cell>
          <cell r="V29">
            <v>23.821000000000002</v>
          </cell>
          <cell r="W29" t="str">
            <v>#N/A N/A</v>
          </cell>
        </row>
        <row r="30">
          <cell r="B30">
            <v>88.62</v>
          </cell>
          <cell r="D30">
            <v>1.2230000000000001</v>
          </cell>
          <cell r="E30">
            <v>969</v>
          </cell>
          <cell r="F30">
            <v>8.3322599999999998</v>
          </cell>
          <cell r="G30" t="e">
            <v>#VALUE!</v>
          </cell>
          <cell r="I30">
            <v>4.5171000000000001</v>
          </cell>
          <cell r="J30">
            <v>8.0619999999999994</v>
          </cell>
          <cell r="K30">
            <v>4.16</v>
          </cell>
          <cell r="L30">
            <v>5.4610000000000003</v>
          </cell>
          <cell r="M30">
            <v>4.9770000000000003</v>
          </cell>
          <cell r="O30">
            <v>1.5512999999999999</v>
          </cell>
          <cell r="P30">
            <v>0.75329999999999997</v>
          </cell>
          <cell r="Q30">
            <v>102.96694544006371</v>
          </cell>
          <cell r="U30">
            <v>4.4373000000000005</v>
          </cell>
          <cell r="V30">
            <v>23.219000000000001</v>
          </cell>
          <cell r="W30" t="str">
            <v>#N/A N/A</v>
          </cell>
        </row>
        <row r="31">
          <cell r="B31">
            <v>89.32</v>
          </cell>
          <cell r="D31">
            <v>1.2126999999999999</v>
          </cell>
          <cell r="E31">
            <v>970.8</v>
          </cell>
          <cell r="F31">
            <v>8.2775599999999994</v>
          </cell>
          <cell r="G31" t="e">
            <v>#VALUE!</v>
          </cell>
          <cell r="I31">
            <v>4.5091999999999999</v>
          </cell>
          <cell r="J31">
            <v>8.0616000000000003</v>
          </cell>
          <cell r="K31">
            <v>4.16</v>
          </cell>
          <cell r="L31">
            <v>5.4749999999999996</v>
          </cell>
          <cell r="M31">
            <v>4.9770000000000003</v>
          </cell>
          <cell r="O31">
            <v>1.5527</v>
          </cell>
          <cell r="P31">
            <v>0.75129999999999997</v>
          </cell>
          <cell r="Q31">
            <v>103.33422068414748</v>
          </cell>
          <cell r="U31">
            <v>4.4410999999999996</v>
          </cell>
          <cell r="V31">
            <v>22.687999999999999</v>
          </cell>
          <cell r="W31" t="str">
            <v>#N/A N/A</v>
          </cell>
        </row>
        <row r="32">
          <cell r="B32">
            <v>89.32</v>
          </cell>
          <cell r="D32">
            <v>1.2126999999999999</v>
          </cell>
          <cell r="E32">
            <v>970.8</v>
          </cell>
          <cell r="F32">
            <v>8.2775599999999994</v>
          </cell>
          <cell r="G32" t="e">
            <v>#VALUE!</v>
          </cell>
          <cell r="I32">
            <v>4.5091999999999999</v>
          </cell>
          <cell r="J32">
            <v>8.0616000000000003</v>
          </cell>
          <cell r="K32">
            <v>4.16</v>
          </cell>
          <cell r="L32">
            <v>5.4749999999999996</v>
          </cell>
          <cell r="M32">
            <v>4.9770000000000003</v>
          </cell>
          <cell r="O32">
            <v>1.5527</v>
          </cell>
          <cell r="P32">
            <v>0.75129999999999997</v>
          </cell>
          <cell r="Q32">
            <v>103.33422068414748</v>
          </cell>
          <cell r="U32">
            <v>4.4410999999999996</v>
          </cell>
          <cell r="V32">
            <v>22.687999999999999</v>
          </cell>
          <cell r="W32" t="str">
            <v>#N/A N/A</v>
          </cell>
        </row>
        <row r="33">
          <cell r="B33">
            <v>89.32</v>
          </cell>
          <cell r="D33">
            <v>1.2126999999999999</v>
          </cell>
          <cell r="E33">
            <v>970.8</v>
          </cell>
          <cell r="F33">
            <v>8.2775599999999994</v>
          </cell>
          <cell r="G33" t="e">
            <v>#VALUE!</v>
          </cell>
          <cell r="I33">
            <v>4.5091999999999999</v>
          </cell>
          <cell r="J33">
            <v>8.0616000000000003</v>
          </cell>
          <cell r="K33">
            <v>4.16</v>
          </cell>
          <cell r="L33">
            <v>5.4749999999999996</v>
          </cell>
          <cell r="M33">
            <v>4.9770000000000003</v>
          </cell>
          <cell r="O33">
            <v>1.5527</v>
          </cell>
          <cell r="P33">
            <v>0.75129999999999997</v>
          </cell>
          <cell r="Q33">
            <v>103.33422068414748</v>
          </cell>
          <cell r="U33">
            <v>4.4410999999999996</v>
          </cell>
          <cell r="V33">
            <v>22.687999999999999</v>
          </cell>
          <cell r="W33" t="str">
            <v>#N/A N/A</v>
          </cell>
        </row>
        <row r="34">
          <cell r="B34">
            <v>89.42</v>
          </cell>
          <cell r="D34">
            <v>1.2089000000000001</v>
          </cell>
          <cell r="E34">
            <v>970.8</v>
          </cell>
          <cell r="F34">
            <v>8.2566799999999994</v>
          </cell>
          <cell r="G34" t="e">
            <v>#VALUE!</v>
          </cell>
          <cell r="I34">
            <v>4.5251000000000001</v>
          </cell>
          <cell r="J34">
            <v>8.0616000000000003</v>
          </cell>
          <cell r="K34">
            <v>4.16</v>
          </cell>
          <cell r="L34">
            <v>5.4749999999999996</v>
          </cell>
          <cell r="M34">
            <v>4.9770000000000003</v>
          </cell>
          <cell r="O34">
            <v>1.5556000000000001</v>
          </cell>
          <cell r="P34">
            <v>0.74860000000000004</v>
          </cell>
          <cell r="Q34">
            <v>103.90061448036334</v>
          </cell>
          <cell r="U34">
            <v>4.4554</v>
          </cell>
          <cell r="V34">
            <v>22.25</v>
          </cell>
          <cell r="W34" t="str">
            <v>#N/A N/A</v>
          </cell>
        </row>
        <row r="35">
          <cell r="B35">
            <v>88.96</v>
          </cell>
          <cell r="D35">
            <v>1.2173</v>
          </cell>
          <cell r="E35">
            <v>964.65</v>
          </cell>
          <cell r="F35">
            <v>8.2551000000000005</v>
          </cell>
          <cell r="G35" t="e">
            <v>#VALUE!</v>
          </cell>
          <cell r="I35">
            <v>4.5152000000000001</v>
          </cell>
          <cell r="J35">
            <v>8.0616000000000003</v>
          </cell>
          <cell r="K35">
            <v>4.18</v>
          </cell>
          <cell r="L35">
            <v>5.4569999999999999</v>
          </cell>
          <cell r="M35">
            <v>4.9779999999999998</v>
          </cell>
          <cell r="O35">
            <v>1.5531999999999999</v>
          </cell>
          <cell r="P35">
            <v>0.75719999999999998</v>
          </cell>
          <cell r="Q35">
            <v>102.5620707871104</v>
          </cell>
          <cell r="U35">
            <v>4.4519000000000002</v>
          </cell>
          <cell r="V35">
            <v>22.082999999999998</v>
          </cell>
          <cell r="W35" t="str">
            <v>#N/A N/A</v>
          </cell>
        </row>
        <row r="36">
          <cell r="B36">
            <v>89.51</v>
          </cell>
          <cell r="D36">
            <v>1.2081</v>
          </cell>
          <cell r="E36">
            <v>962.1</v>
          </cell>
          <cell r="F36">
            <v>8.1533899999999999</v>
          </cell>
          <cell r="G36" t="e">
            <v>#VALUE!</v>
          </cell>
          <cell r="I36">
            <v>4.5551000000000004</v>
          </cell>
          <cell r="J36">
            <v>8.0616000000000003</v>
          </cell>
          <cell r="K36">
            <v>4.2</v>
          </cell>
          <cell r="L36">
            <v>5.39</v>
          </cell>
          <cell r="M36">
            <v>4.9089999999999998</v>
          </cell>
          <cell r="O36">
            <v>1.5542</v>
          </cell>
          <cell r="P36">
            <v>0.75339999999999996</v>
          </cell>
          <cell r="Q36">
            <v>103.14573931510486</v>
          </cell>
          <cell r="U36">
            <v>4.4984000000000002</v>
          </cell>
          <cell r="V36">
            <v>22.125</v>
          </cell>
          <cell r="W36" t="str">
            <v>#N/A N/A</v>
          </cell>
        </row>
        <row r="37">
          <cell r="B37">
            <v>89.41</v>
          </cell>
          <cell r="D37">
            <v>1.2101999999999999</v>
          </cell>
          <cell r="E37">
            <v>972.3</v>
          </cell>
          <cell r="F37">
            <v>8.2102599999999999</v>
          </cell>
          <cell r="G37" t="e">
            <v>#VALUE!</v>
          </cell>
          <cell r="I37">
            <v>4.5571000000000002</v>
          </cell>
          <cell r="J37">
            <v>8.0616000000000003</v>
          </cell>
          <cell r="K37">
            <v>4.21</v>
          </cell>
          <cell r="L37">
            <v>5.4039999999999999</v>
          </cell>
          <cell r="M37">
            <v>4.9559999999999995</v>
          </cell>
          <cell r="O37">
            <v>1.5545</v>
          </cell>
          <cell r="P37">
            <v>0.75439999999999996</v>
          </cell>
          <cell r="Q37">
            <v>103.02889713679745</v>
          </cell>
          <cell r="U37">
            <v>4.4984999999999999</v>
          </cell>
          <cell r="V37">
            <v>22</v>
          </cell>
          <cell r="W37" t="str">
            <v>#N/A N/A</v>
          </cell>
        </row>
        <row r="38">
          <cell r="B38">
            <v>89.89</v>
          </cell>
          <cell r="D38">
            <v>1.2010000000000001</v>
          </cell>
          <cell r="E38">
            <v>970.15</v>
          </cell>
          <cell r="F38">
            <v>8.1463599999999996</v>
          </cell>
          <cell r="G38" t="e">
            <v>#VALUE!</v>
          </cell>
          <cell r="I38">
            <v>4.5232000000000001</v>
          </cell>
          <cell r="J38">
            <v>8.0616000000000003</v>
          </cell>
          <cell r="K38">
            <v>4.22</v>
          </cell>
          <cell r="L38">
            <v>5.4480000000000004</v>
          </cell>
          <cell r="M38">
            <v>4.9980000000000002</v>
          </cell>
          <cell r="O38">
            <v>1.5558999999999998</v>
          </cell>
          <cell r="P38">
            <v>0.74939999999999996</v>
          </cell>
          <cell r="Q38">
            <v>103.80971443821723</v>
          </cell>
          <cell r="U38">
            <v>4.4809000000000001</v>
          </cell>
          <cell r="V38">
            <v>21.917000000000002</v>
          </cell>
          <cell r="W38" t="str">
            <v>#N/A N/A</v>
          </cell>
        </row>
        <row r="39">
          <cell r="B39">
            <v>89.89</v>
          </cell>
          <cell r="D39">
            <v>1.2010000000000001</v>
          </cell>
          <cell r="E39">
            <v>970.15</v>
          </cell>
          <cell r="F39">
            <v>8.1463599999999996</v>
          </cell>
          <cell r="G39" t="e">
            <v>#VALUE!</v>
          </cell>
          <cell r="I39">
            <v>4.5232000000000001</v>
          </cell>
          <cell r="J39">
            <v>8.0616000000000003</v>
          </cell>
          <cell r="K39">
            <v>4.22</v>
          </cell>
          <cell r="L39">
            <v>5.4480000000000004</v>
          </cell>
          <cell r="M39">
            <v>4.9980000000000002</v>
          </cell>
          <cell r="O39">
            <v>1.5558999999999998</v>
          </cell>
          <cell r="P39">
            <v>0.74939999999999996</v>
          </cell>
          <cell r="Q39">
            <v>103.80971443821723</v>
          </cell>
          <cell r="U39">
            <v>4.4809000000000001</v>
          </cell>
          <cell r="V39">
            <v>21.917000000000002</v>
          </cell>
          <cell r="W39" t="str">
            <v>#N/A N/A</v>
          </cell>
        </row>
        <row r="40">
          <cell r="B40">
            <v>89.89</v>
          </cell>
          <cell r="D40">
            <v>1.2010000000000001</v>
          </cell>
          <cell r="E40">
            <v>970.15</v>
          </cell>
          <cell r="F40">
            <v>8.1463599999999996</v>
          </cell>
          <cell r="G40" t="e">
            <v>#VALUE!</v>
          </cell>
          <cell r="I40">
            <v>4.5232000000000001</v>
          </cell>
          <cell r="J40">
            <v>8.0616000000000003</v>
          </cell>
          <cell r="K40">
            <v>4.22</v>
          </cell>
          <cell r="L40">
            <v>5.4480000000000004</v>
          </cell>
          <cell r="M40">
            <v>4.9980000000000002</v>
          </cell>
          <cell r="O40">
            <v>1.5558999999999998</v>
          </cell>
          <cell r="P40">
            <v>0.74939999999999996</v>
          </cell>
          <cell r="Q40">
            <v>103.80971443821723</v>
          </cell>
          <cell r="U40">
            <v>4.4809000000000001</v>
          </cell>
          <cell r="V40">
            <v>21.917000000000002</v>
          </cell>
          <cell r="W40" t="str">
            <v>#N/A N/A</v>
          </cell>
        </row>
        <row r="41">
          <cell r="B41">
            <v>90.29</v>
          </cell>
          <cell r="D41">
            <v>1.1962999999999999</v>
          </cell>
          <cell r="E41">
            <v>963.1</v>
          </cell>
          <cell r="F41">
            <v>8.0970200000000006</v>
          </cell>
          <cell r="G41" t="e">
            <v>#VALUE!</v>
          </cell>
          <cell r="I41">
            <v>4.5431999999999997</v>
          </cell>
          <cell r="J41">
            <v>8.0555000000000003</v>
          </cell>
          <cell r="K41">
            <v>4.24</v>
          </cell>
          <cell r="L41">
            <v>5.3890000000000002</v>
          </cell>
          <cell r="M41">
            <v>4.99</v>
          </cell>
          <cell r="O41">
            <v>1.5579000000000001</v>
          </cell>
          <cell r="P41">
            <v>0.7419</v>
          </cell>
          <cell r="Q41">
            <v>104.99393449251922</v>
          </cell>
          <cell r="U41">
            <v>4.5061</v>
          </cell>
          <cell r="V41">
            <v>22.062999999999999</v>
          </cell>
          <cell r="W41" t="str">
            <v>#N/A N/A</v>
          </cell>
        </row>
        <row r="42">
          <cell r="B42">
            <v>90.24</v>
          </cell>
          <cell r="D42">
            <v>1.1975</v>
          </cell>
          <cell r="E42">
            <v>968.25</v>
          </cell>
          <cell r="F42">
            <v>8.19787</v>
          </cell>
          <cell r="G42" t="e">
            <v>#VALUE!</v>
          </cell>
          <cell r="I42">
            <v>4.5651999999999999</v>
          </cell>
          <cell r="J42">
            <v>8.0565999999999995</v>
          </cell>
          <cell r="K42">
            <v>4.25</v>
          </cell>
          <cell r="L42">
            <v>5.4320000000000004</v>
          </cell>
          <cell r="M42">
            <v>4.9939999999999998</v>
          </cell>
          <cell r="O42">
            <v>1.5544</v>
          </cell>
          <cell r="P42">
            <v>0.74309999999999998</v>
          </cell>
          <cell r="Q42">
            <v>104.58888440317588</v>
          </cell>
          <cell r="U42">
            <v>4.5133999999999999</v>
          </cell>
          <cell r="V42">
            <v>22.106999999999999</v>
          </cell>
          <cell r="W42" t="str">
            <v>#N/A N/A</v>
          </cell>
        </row>
        <row r="43">
          <cell r="B43">
            <v>90.43</v>
          </cell>
          <cell r="D43">
            <v>1.1943999999999999</v>
          </cell>
          <cell r="E43">
            <v>971.5</v>
          </cell>
          <cell r="F43">
            <v>8.1888100000000001</v>
          </cell>
          <cell r="G43" t="e">
            <v>#VALUE!</v>
          </cell>
          <cell r="I43">
            <v>4.5872999999999999</v>
          </cell>
          <cell r="J43">
            <v>8.0545000000000009</v>
          </cell>
          <cell r="K43">
            <v>4.26</v>
          </cell>
          <cell r="L43">
            <v>5.4329999999999998</v>
          </cell>
          <cell r="M43">
            <v>4.9470000000000001</v>
          </cell>
          <cell r="O43">
            <v>1.5550999999999999</v>
          </cell>
          <cell r="P43">
            <v>0.74070000000000003</v>
          </cell>
          <cell r="Q43">
            <v>104.97502362629945</v>
          </cell>
          <cell r="U43">
            <v>4.5423</v>
          </cell>
          <cell r="V43">
            <v>22.969000000000001</v>
          </cell>
          <cell r="W43" t="str">
            <v>#N/A N/A</v>
          </cell>
        </row>
        <row r="44">
          <cell r="B44">
            <v>90.29</v>
          </cell>
          <cell r="D44">
            <v>1.1974</v>
          </cell>
          <cell r="E44">
            <v>972.75</v>
          </cell>
          <cell r="F44">
            <v>8.1895100000000003</v>
          </cell>
          <cell r="G44" t="e">
            <v>#VALUE!</v>
          </cell>
          <cell r="I44">
            <v>4.5431999999999997</v>
          </cell>
          <cell r="J44">
            <v>8.0536999999999992</v>
          </cell>
          <cell r="K44">
            <v>4.26</v>
          </cell>
          <cell r="L44">
            <v>5.3140000000000001</v>
          </cell>
          <cell r="M44">
            <v>4.9190000000000005</v>
          </cell>
          <cell r="O44">
            <v>1.5568</v>
          </cell>
          <cell r="P44">
            <v>0.73980000000000001</v>
          </cell>
          <cell r="Q44">
            <v>105.2176263855096</v>
          </cell>
          <cell r="U44">
            <v>4.5388000000000002</v>
          </cell>
          <cell r="V44">
            <v>23.138999999999999</v>
          </cell>
          <cell r="W44" t="str">
            <v>#N/A N/A</v>
          </cell>
        </row>
        <row r="45">
          <cell r="B45">
            <v>90.55</v>
          </cell>
          <cell r="D45">
            <v>1.1919</v>
          </cell>
          <cell r="E45">
            <v>967.8</v>
          </cell>
          <cell r="F45">
            <v>8.2364200000000007</v>
          </cell>
          <cell r="G45" t="e">
            <v>#VALUE!</v>
          </cell>
          <cell r="I45">
            <v>4.5845000000000002</v>
          </cell>
          <cell r="J45">
            <v>8.0504999999999995</v>
          </cell>
          <cell r="K45">
            <v>4.26</v>
          </cell>
          <cell r="L45">
            <v>5.2780000000000005</v>
          </cell>
          <cell r="M45">
            <v>4.8559999999999999</v>
          </cell>
          <cell r="O45">
            <v>1.5554999999999999</v>
          </cell>
          <cell r="P45">
            <v>0.73740000000000006</v>
          </cell>
          <cell r="Q45">
            <v>105.47192839707078</v>
          </cell>
          <cell r="U45">
            <v>4.5861000000000001</v>
          </cell>
          <cell r="V45">
            <v>23.35</v>
          </cell>
          <cell r="W45" t="str">
            <v>#N/A N/A</v>
          </cell>
        </row>
        <row r="46">
          <cell r="B46">
            <v>90.55</v>
          </cell>
          <cell r="D46">
            <v>1.1919</v>
          </cell>
          <cell r="E46">
            <v>967.8</v>
          </cell>
          <cell r="F46">
            <v>8.2364200000000007</v>
          </cell>
          <cell r="G46" t="e">
            <v>#VALUE!</v>
          </cell>
          <cell r="I46">
            <v>4.5845000000000002</v>
          </cell>
          <cell r="J46">
            <v>8.0504999999999995</v>
          </cell>
          <cell r="K46">
            <v>4.26</v>
          </cell>
          <cell r="L46">
            <v>5.2780000000000005</v>
          </cell>
          <cell r="M46">
            <v>4.8559999999999999</v>
          </cell>
          <cell r="O46">
            <v>1.5554999999999999</v>
          </cell>
          <cell r="P46">
            <v>0.73740000000000006</v>
          </cell>
          <cell r="Q46">
            <v>105.47192839707078</v>
          </cell>
          <cell r="U46">
            <v>4.5861000000000001</v>
          </cell>
          <cell r="V46">
            <v>23.35</v>
          </cell>
          <cell r="W46" t="str">
            <v>#N/A N/A</v>
          </cell>
        </row>
        <row r="47">
          <cell r="B47">
            <v>90.55</v>
          </cell>
          <cell r="D47">
            <v>1.1919</v>
          </cell>
          <cell r="E47">
            <v>967.8</v>
          </cell>
          <cell r="F47">
            <v>8.2364200000000007</v>
          </cell>
          <cell r="G47" t="e">
            <v>#VALUE!</v>
          </cell>
          <cell r="I47">
            <v>4.5845000000000002</v>
          </cell>
          <cell r="J47">
            <v>8.0504999999999995</v>
          </cell>
          <cell r="K47">
            <v>4.26</v>
          </cell>
          <cell r="L47">
            <v>5.2780000000000005</v>
          </cell>
          <cell r="M47">
            <v>4.8559999999999999</v>
          </cell>
          <cell r="O47">
            <v>1.5554999999999999</v>
          </cell>
          <cell r="P47">
            <v>0.73740000000000006</v>
          </cell>
          <cell r="Q47">
            <v>105.47192839707078</v>
          </cell>
          <cell r="U47">
            <v>4.5861000000000001</v>
          </cell>
          <cell r="V47">
            <v>23.35</v>
          </cell>
          <cell r="W47" t="str">
            <v>#N/A N/A</v>
          </cell>
        </row>
        <row r="48">
          <cell r="B48">
            <v>90.54</v>
          </cell>
          <cell r="D48">
            <v>1.1901999999999999</v>
          </cell>
          <cell r="E48">
            <v>976.75</v>
          </cell>
          <cell r="F48">
            <v>8.2982899999999997</v>
          </cell>
          <cell r="G48" t="e">
            <v>#VALUE!</v>
          </cell>
          <cell r="I48">
            <v>4.5766</v>
          </cell>
          <cell r="J48">
            <v>8.0457999999999998</v>
          </cell>
          <cell r="K48">
            <v>4.26</v>
          </cell>
          <cell r="L48">
            <v>5.3</v>
          </cell>
          <cell r="M48">
            <v>4.915</v>
          </cell>
          <cell r="O48">
            <v>1.5562</v>
          </cell>
          <cell r="P48">
            <v>0.73909999999999998</v>
          </cell>
          <cell r="Q48">
            <v>105.27668786361792</v>
          </cell>
          <cell r="U48">
            <v>4.5682</v>
          </cell>
          <cell r="V48">
            <v>23.280999999999999</v>
          </cell>
          <cell r="W48" t="str">
            <v>#N/A N/A</v>
          </cell>
        </row>
        <row r="49">
          <cell r="B49">
            <v>90.54</v>
          </cell>
          <cell r="D49">
            <v>1.1897</v>
          </cell>
          <cell r="E49">
            <v>969.9</v>
          </cell>
          <cell r="F49">
            <v>8.2455200000000008</v>
          </cell>
          <cell r="G49" t="e">
            <v>#VALUE!</v>
          </cell>
          <cell r="I49">
            <v>4.6101999999999999</v>
          </cell>
          <cell r="J49">
            <v>8.0485000000000007</v>
          </cell>
          <cell r="K49">
            <v>4.26</v>
          </cell>
          <cell r="L49">
            <v>5.2460000000000004</v>
          </cell>
          <cell r="M49">
            <v>4.8369999999999997</v>
          </cell>
          <cell r="O49">
            <v>1.5584</v>
          </cell>
          <cell r="P49">
            <v>0.73919999999999997</v>
          </cell>
          <cell r="Q49">
            <v>105.41125541125542</v>
          </cell>
          <cell r="U49">
            <v>4.5900999999999996</v>
          </cell>
          <cell r="V49">
            <v>23.375</v>
          </cell>
          <cell r="W49" t="str">
            <v>#N/A N/A</v>
          </cell>
        </row>
        <row r="50">
          <cell r="B50">
            <v>90.72</v>
          </cell>
          <cell r="D50">
            <v>1.1884000000000001</v>
          </cell>
          <cell r="E50">
            <v>974.1</v>
          </cell>
          <cell r="F50">
            <v>8.2582299999999993</v>
          </cell>
          <cell r="G50" t="e">
            <v>#VALUE!</v>
          </cell>
          <cell r="I50">
            <v>4.5964</v>
          </cell>
          <cell r="J50">
            <v>8.0469000000000008</v>
          </cell>
          <cell r="K50">
            <v>4.26</v>
          </cell>
          <cell r="L50">
            <v>5.2439999999999998</v>
          </cell>
          <cell r="M50">
            <v>4.819</v>
          </cell>
          <cell r="O50">
            <v>1.5571000000000002</v>
          </cell>
          <cell r="P50">
            <v>0.73809999999999998</v>
          </cell>
          <cell r="Q50">
            <v>105.48028722395341</v>
          </cell>
          <cell r="U50">
            <v>4.5937999999999999</v>
          </cell>
          <cell r="V50">
            <v>22.286000000000001</v>
          </cell>
          <cell r="W50" t="str">
            <v>#N/A N/A</v>
          </cell>
        </row>
        <row r="51">
          <cell r="B51">
            <v>90.73</v>
          </cell>
          <cell r="D51">
            <v>1.1880999999999999</v>
          </cell>
          <cell r="E51">
            <v>974.55</v>
          </cell>
          <cell r="F51">
            <v>8.2596000000000007</v>
          </cell>
          <cell r="G51" t="e">
            <v>#VALUE!</v>
          </cell>
          <cell r="I51">
            <v>4.5824999999999996</v>
          </cell>
          <cell r="J51">
            <v>8.0494000000000003</v>
          </cell>
          <cell r="K51">
            <v>4.26</v>
          </cell>
          <cell r="L51">
            <v>5.2190000000000003</v>
          </cell>
          <cell r="M51">
            <v>4.82</v>
          </cell>
          <cell r="O51">
            <v>1.5592000000000001</v>
          </cell>
          <cell r="P51">
            <v>0.73809999999999998</v>
          </cell>
          <cell r="Q51">
            <v>105.62254437068148</v>
          </cell>
          <cell r="U51">
            <v>4.5758999999999999</v>
          </cell>
          <cell r="V51">
            <v>23.030999999999999</v>
          </cell>
          <cell r="W51" t="str">
            <v>#N/A N/A</v>
          </cell>
        </row>
        <row r="52">
          <cell r="B52">
            <v>90.64</v>
          </cell>
          <cell r="D52">
            <v>1.1909000000000001</v>
          </cell>
          <cell r="E52">
            <v>972.8</v>
          </cell>
          <cell r="F52">
            <v>8.2235099999999992</v>
          </cell>
          <cell r="G52" t="e">
            <v>#VALUE!</v>
          </cell>
          <cell r="I52">
            <v>4.5372000000000003</v>
          </cell>
          <cell r="J52">
            <v>8.0482999999999993</v>
          </cell>
          <cell r="K52">
            <v>4.26</v>
          </cell>
          <cell r="L52">
            <v>5.226</v>
          </cell>
          <cell r="M52">
            <v>4.843</v>
          </cell>
          <cell r="O52">
            <v>1.5634000000000001</v>
          </cell>
          <cell r="P52">
            <v>0.7379</v>
          </cell>
          <cell r="Q52">
            <v>105.93576365361162</v>
          </cell>
          <cell r="U52">
            <v>4.5475000000000003</v>
          </cell>
          <cell r="V52">
            <v>22.893000000000001</v>
          </cell>
          <cell r="W52" t="str">
            <v>#N/A N/A</v>
          </cell>
        </row>
        <row r="53">
          <cell r="B53">
            <v>90.64</v>
          </cell>
          <cell r="D53">
            <v>1.1909000000000001</v>
          </cell>
          <cell r="E53">
            <v>972.8</v>
          </cell>
          <cell r="F53">
            <v>8.2235099999999992</v>
          </cell>
          <cell r="G53" t="e">
            <v>#VALUE!</v>
          </cell>
          <cell r="I53">
            <v>4.5372000000000003</v>
          </cell>
          <cell r="J53">
            <v>8.0482999999999993</v>
          </cell>
          <cell r="K53">
            <v>4.26</v>
          </cell>
          <cell r="L53">
            <v>5.226</v>
          </cell>
          <cell r="M53">
            <v>4.843</v>
          </cell>
          <cell r="O53">
            <v>1.5634000000000001</v>
          </cell>
          <cell r="P53">
            <v>0.7379</v>
          </cell>
          <cell r="Q53">
            <v>105.93576365361162</v>
          </cell>
          <cell r="U53">
            <v>4.5475000000000003</v>
          </cell>
          <cell r="V53">
            <v>22.893000000000001</v>
          </cell>
          <cell r="W53" t="str">
            <v>#N/A N/A</v>
          </cell>
        </row>
        <row r="54">
          <cell r="B54">
            <v>90.64</v>
          </cell>
          <cell r="D54">
            <v>1.1909000000000001</v>
          </cell>
          <cell r="E54">
            <v>972.8</v>
          </cell>
          <cell r="F54">
            <v>8.2235099999999992</v>
          </cell>
          <cell r="G54" t="e">
            <v>#VALUE!</v>
          </cell>
          <cell r="I54">
            <v>4.5372000000000003</v>
          </cell>
          <cell r="J54">
            <v>8.0482999999999993</v>
          </cell>
          <cell r="K54">
            <v>4.26</v>
          </cell>
          <cell r="L54">
            <v>5.226</v>
          </cell>
          <cell r="M54">
            <v>4.843</v>
          </cell>
          <cell r="O54">
            <v>1.5634000000000001</v>
          </cell>
          <cell r="P54">
            <v>0.7379</v>
          </cell>
          <cell r="Q54">
            <v>105.93576365361162</v>
          </cell>
          <cell r="U54">
            <v>4.5475000000000003</v>
          </cell>
          <cell r="V54">
            <v>22.893000000000001</v>
          </cell>
          <cell r="W54" t="str">
            <v>#N/A N/A</v>
          </cell>
        </row>
        <row r="55">
          <cell r="B55">
            <v>90.42</v>
          </cell>
          <cell r="D55">
            <v>1.1947000000000001</v>
          </cell>
          <cell r="E55">
            <v>967.75</v>
          </cell>
          <cell r="F55">
            <v>8.1856600000000004</v>
          </cell>
          <cell r="G55" t="e">
            <v>#VALUE!</v>
          </cell>
          <cell r="I55">
            <v>4.5372000000000003</v>
          </cell>
          <cell r="J55">
            <v>8.0474999999999994</v>
          </cell>
          <cell r="K55">
            <v>4.26</v>
          </cell>
          <cell r="L55">
            <v>5.2270000000000003</v>
          </cell>
          <cell r="M55">
            <v>4.835</v>
          </cell>
          <cell r="O55">
            <v>1.5609999999999999</v>
          </cell>
          <cell r="P55">
            <v>0.74170000000000003</v>
          </cell>
          <cell r="Q55">
            <v>105.23122556289604</v>
          </cell>
          <cell r="U55">
            <v>4.5476000000000001</v>
          </cell>
          <cell r="V55">
            <v>22.95</v>
          </cell>
          <cell r="W55" t="str">
            <v>#N/A N/A</v>
          </cell>
        </row>
        <row r="56">
          <cell r="B56">
            <v>90.55</v>
          </cell>
          <cell r="D56">
            <v>1.1914</v>
          </cell>
          <cell r="E56">
            <v>968.55</v>
          </cell>
          <cell r="F56">
            <v>8.1519200000000005</v>
          </cell>
          <cell r="G56" t="e">
            <v>#VALUE!</v>
          </cell>
          <cell r="I56">
            <v>4.5648</v>
          </cell>
          <cell r="J56">
            <v>8.0465</v>
          </cell>
          <cell r="K56">
            <v>4.26</v>
          </cell>
          <cell r="L56">
            <v>5.218</v>
          </cell>
          <cell r="M56">
            <v>4.8410000000000002</v>
          </cell>
          <cell r="O56">
            <v>1.5585</v>
          </cell>
          <cell r="P56">
            <v>0.73899999999999999</v>
          </cell>
          <cell r="Q56">
            <v>105.44654939106901</v>
          </cell>
          <cell r="U56">
            <v>4.5876000000000001</v>
          </cell>
          <cell r="V56">
            <v>22.943999999999999</v>
          </cell>
          <cell r="W56" t="str">
            <v>#N/A N/A</v>
          </cell>
        </row>
        <row r="57">
          <cell r="B57">
            <v>90.67</v>
          </cell>
          <cell r="D57">
            <v>1.1911</v>
          </cell>
          <cell r="E57">
            <v>974.6</v>
          </cell>
          <cell r="F57">
            <v>8.2232599999999998</v>
          </cell>
          <cell r="G57" t="e">
            <v>#VALUE!</v>
          </cell>
          <cell r="I57">
            <v>4.5214999999999996</v>
          </cell>
          <cell r="J57">
            <v>8.0474999999999994</v>
          </cell>
          <cell r="K57">
            <v>4.26</v>
          </cell>
          <cell r="L57">
            <v>5.1980000000000004</v>
          </cell>
          <cell r="M57">
            <v>4.8259999999999996</v>
          </cell>
          <cell r="O57">
            <v>1.5611999999999999</v>
          </cell>
          <cell r="P57">
            <v>0.73640000000000005</v>
          </cell>
          <cell r="Q57">
            <v>106.00217273221074</v>
          </cell>
          <cell r="U57">
            <v>4.5621999999999998</v>
          </cell>
          <cell r="V57">
            <v>22.893000000000001</v>
          </cell>
          <cell r="W57" t="str">
            <v>#N/A N/A</v>
          </cell>
        </row>
        <row r="58">
          <cell r="B58">
            <v>90.39</v>
          </cell>
          <cell r="D58">
            <v>1.1922999999999999</v>
          </cell>
          <cell r="E58">
            <v>969.1</v>
          </cell>
          <cell r="F58">
            <v>8.2767199999999992</v>
          </cell>
          <cell r="G58" t="e">
            <v>#VALUE!</v>
          </cell>
          <cell r="I58">
            <v>4.5548999999999999</v>
          </cell>
          <cell r="J58">
            <v>8.048</v>
          </cell>
          <cell r="K58">
            <v>4.26</v>
          </cell>
          <cell r="L58">
            <v>5.1740000000000004</v>
          </cell>
          <cell r="M58">
            <v>4.8259999999999996</v>
          </cell>
          <cell r="O58">
            <v>1.5601</v>
          </cell>
          <cell r="P58">
            <v>0.74009999999999998</v>
          </cell>
          <cell r="Q58">
            <v>105.39791920010811</v>
          </cell>
          <cell r="U58">
            <v>4.6132999999999997</v>
          </cell>
          <cell r="V58">
            <v>22.928999999999998</v>
          </cell>
          <cell r="W58" t="str">
            <v>#N/A N/A</v>
          </cell>
        </row>
        <row r="59">
          <cell r="B59">
            <v>90.61</v>
          </cell>
          <cell r="D59">
            <v>1.1878</v>
          </cell>
          <cell r="E59">
            <v>966.4</v>
          </cell>
          <cell r="F59">
            <v>8.2651299999999992</v>
          </cell>
          <cell r="G59" t="e">
            <v>#VALUE!</v>
          </cell>
          <cell r="I59">
            <v>4.5727000000000002</v>
          </cell>
          <cell r="J59">
            <v>8.0424000000000007</v>
          </cell>
          <cell r="K59">
            <v>4.26</v>
          </cell>
          <cell r="L59">
            <v>5.1920000000000002</v>
          </cell>
          <cell r="M59">
            <v>4.8239999999999998</v>
          </cell>
          <cell r="O59">
            <v>1.5634000000000001</v>
          </cell>
          <cell r="P59">
            <v>0.73960000000000004</v>
          </cell>
          <cell r="Q59">
            <v>105.69226608977826</v>
          </cell>
          <cell r="U59">
            <v>4.6379999999999999</v>
          </cell>
          <cell r="V59">
            <v>22.582999999999998</v>
          </cell>
          <cell r="W59" t="str">
            <v>#N/A N/A</v>
          </cell>
        </row>
        <row r="60">
          <cell r="B60">
            <v>90.61</v>
          </cell>
          <cell r="D60">
            <v>1.1878</v>
          </cell>
          <cell r="E60">
            <v>966.4</v>
          </cell>
          <cell r="F60">
            <v>8.2651299999999992</v>
          </cell>
          <cell r="G60" t="e">
            <v>#VALUE!</v>
          </cell>
          <cell r="I60">
            <v>4.5727000000000002</v>
          </cell>
          <cell r="J60">
            <v>8.0424000000000007</v>
          </cell>
          <cell r="K60">
            <v>4.26</v>
          </cell>
          <cell r="L60">
            <v>5.1920000000000002</v>
          </cell>
          <cell r="M60">
            <v>4.8239999999999998</v>
          </cell>
          <cell r="O60">
            <v>1.5634000000000001</v>
          </cell>
          <cell r="P60">
            <v>0.73960000000000004</v>
          </cell>
          <cell r="Q60">
            <v>105.69226608977826</v>
          </cell>
          <cell r="U60">
            <v>4.6379999999999999</v>
          </cell>
          <cell r="V60">
            <v>22.582999999999998</v>
          </cell>
          <cell r="W60" t="str">
            <v>#N/A N/A</v>
          </cell>
        </row>
        <row r="61">
          <cell r="B61">
            <v>90.61</v>
          </cell>
          <cell r="D61">
            <v>1.1878</v>
          </cell>
          <cell r="E61">
            <v>966.4</v>
          </cell>
          <cell r="F61">
            <v>8.2651299999999992</v>
          </cell>
          <cell r="G61" t="e">
            <v>#VALUE!</v>
          </cell>
          <cell r="I61">
            <v>4.5727000000000002</v>
          </cell>
          <cell r="J61">
            <v>8.0424000000000007</v>
          </cell>
          <cell r="K61">
            <v>4.26</v>
          </cell>
          <cell r="L61">
            <v>5.1920000000000002</v>
          </cell>
          <cell r="M61">
            <v>4.8239999999999998</v>
          </cell>
          <cell r="O61">
            <v>1.5634000000000001</v>
          </cell>
          <cell r="P61">
            <v>0.73960000000000004</v>
          </cell>
          <cell r="Q61">
            <v>105.69226608977826</v>
          </cell>
          <cell r="U61">
            <v>4.6379999999999999</v>
          </cell>
          <cell r="V61">
            <v>22.582999999999998</v>
          </cell>
          <cell r="W61" t="str">
            <v>#N/A N/A</v>
          </cell>
        </row>
        <row r="62">
          <cell r="B62">
            <v>90.63</v>
          </cell>
          <cell r="D62">
            <v>1.1853</v>
          </cell>
          <cell r="E62">
            <v>968.85</v>
          </cell>
          <cell r="F62">
            <v>8.3415499999999998</v>
          </cell>
          <cell r="G62" t="e">
            <v>#VALUE!</v>
          </cell>
          <cell r="I62">
            <v>4.5905000000000005</v>
          </cell>
          <cell r="J62">
            <v>8.0406999999999993</v>
          </cell>
          <cell r="K62">
            <v>4.26</v>
          </cell>
          <cell r="L62">
            <v>5.2130000000000001</v>
          </cell>
          <cell r="M62">
            <v>4.867</v>
          </cell>
          <cell r="O62">
            <v>1.5663</v>
          </cell>
          <cell r="P62">
            <v>0.73839999999999995</v>
          </cell>
          <cell r="Q62">
            <v>106.06040086673892</v>
          </cell>
          <cell r="U62">
            <v>4.6521999999999997</v>
          </cell>
          <cell r="V62">
            <v>22.875</v>
          </cell>
          <cell r="W62" t="str">
            <v>#N/A N/A</v>
          </cell>
        </row>
        <row r="63">
          <cell r="B63">
            <v>90.11</v>
          </cell>
          <cell r="D63">
            <v>1.1922999999999999</v>
          </cell>
          <cell r="E63">
            <v>971</v>
          </cell>
          <cell r="F63">
            <v>8.3840599999999998</v>
          </cell>
          <cell r="G63" t="e">
            <v>#VALUE!</v>
          </cell>
          <cell r="I63">
            <v>4.5510000000000002</v>
          </cell>
          <cell r="J63">
            <v>8.0402000000000005</v>
          </cell>
          <cell r="K63">
            <v>4.26</v>
          </cell>
          <cell r="L63">
            <v>5.2439999999999998</v>
          </cell>
          <cell r="M63">
            <v>4.9059999999999997</v>
          </cell>
          <cell r="O63">
            <v>1.5636999999999999</v>
          </cell>
          <cell r="P63">
            <v>0.74329999999999996</v>
          </cell>
          <cell r="Q63">
            <v>105.18633122561549</v>
          </cell>
          <cell r="U63">
            <v>4.5990000000000002</v>
          </cell>
          <cell r="V63">
            <v>23.042000000000002</v>
          </cell>
          <cell r="W63" t="str">
            <v>#N/A N/A</v>
          </cell>
        </row>
        <row r="64">
          <cell r="B64">
            <v>90.22</v>
          </cell>
          <cell r="D64">
            <v>1.1913</v>
          </cell>
          <cell r="E64">
            <v>971</v>
          </cell>
          <cell r="F64">
            <v>8.3645600000000009</v>
          </cell>
          <cell r="G64" t="e">
            <v>#VALUE!</v>
          </cell>
          <cell r="I64">
            <v>4.5845000000000002</v>
          </cell>
          <cell r="J64">
            <v>8.0368999999999993</v>
          </cell>
          <cell r="K64">
            <v>4.26</v>
          </cell>
          <cell r="L64">
            <v>5.2439999999999998</v>
          </cell>
          <cell r="M64">
            <v>4.9059999999999997</v>
          </cell>
          <cell r="O64">
            <v>1.5653000000000001</v>
          </cell>
          <cell r="P64">
            <v>0.745</v>
          </cell>
          <cell r="Q64">
            <v>105.05369127516779</v>
          </cell>
          <cell r="U64">
            <v>4.6238000000000001</v>
          </cell>
          <cell r="V64">
            <v>23.036000000000001</v>
          </cell>
          <cell r="W64" t="str">
            <v>#N/A N/A</v>
          </cell>
        </row>
        <row r="65">
          <cell r="B65">
            <v>89.56</v>
          </cell>
          <cell r="D65">
            <v>1.2012</v>
          </cell>
          <cell r="E65">
            <v>969.2</v>
          </cell>
          <cell r="F65">
            <v>8.3476199999999992</v>
          </cell>
          <cell r="G65" t="e">
            <v>#VALUE!</v>
          </cell>
          <cell r="I65">
            <v>4.6281999999999996</v>
          </cell>
          <cell r="J65">
            <v>8.0366</v>
          </cell>
          <cell r="K65">
            <v>4.26</v>
          </cell>
          <cell r="L65">
            <v>5.3109999999999999</v>
          </cell>
          <cell r="M65">
            <v>4.9219999999999997</v>
          </cell>
          <cell r="O65">
            <v>1.5636000000000001</v>
          </cell>
          <cell r="P65">
            <v>0.74680000000000002</v>
          </cell>
          <cell r="Q65">
            <v>104.68666309587573</v>
          </cell>
          <cell r="U65">
            <v>4.6593999999999998</v>
          </cell>
          <cell r="V65">
            <v>23.05</v>
          </cell>
          <cell r="W65" t="str">
            <v>#N/A N/A</v>
          </cell>
        </row>
        <row r="66">
          <cell r="B66">
            <v>89.66</v>
          </cell>
          <cell r="D66">
            <v>1.2024999999999999</v>
          </cell>
          <cell r="E66">
            <v>971.35</v>
          </cell>
          <cell r="F66">
            <v>8.3410600000000006</v>
          </cell>
          <cell r="G66" t="e">
            <v>#VALUE!</v>
          </cell>
          <cell r="I66">
            <v>4.6801000000000004</v>
          </cell>
          <cell r="J66">
            <v>8.0366999999999997</v>
          </cell>
          <cell r="K66">
            <v>4.26</v>
          </cell>
          <cell r="L66">
            <v>5.3419999999999996</v>
          </cell>
          <cell r="M66">
            <v>4.9400000000000004</v>
          </cell>
          <cell r="O66">
            <v>1.5626</v>
          </cell>
          <cell r="P66">
            <v>0.74399999999999999</v>
          </cell>
          <cell r="Q66">
            <v>105.01344086021504</v>
          </cell>
          <cell r="U66">
            <v>4.7023999999999999</v>
          </cell>
          <cell r="V66">
            <v>23.042000000000002</v>
          </cell>
          <cell r="W66" t="str">
            <v>#N/A N/A</v>
          </cell>
        </row>
        <row r="67">
          <cell r="B67">
            <v>89.66</v>
          </cell>
          <cell r="D67">
            <v>1.2024999999999999</v>
          </cell>
          <cell r="E67">
            <v>971.35</v>
          </cell>
          <cell r="F67">
            <v>8.3410600000000006</v>
          </cell>
          <cell r="G67" t="e">
            <v>#VALUE!</v>
          </cell>
          <cell r="I67">
            <v>4.6801000000000004</v>
          </cell>
          <cell r="J67">
            <v>8.0366999999999997</v>
          </cell>
          <cell r="K67">
            <v>4.26</v>
          </cell>
          <cell r="L67">
            <v>5.3419999999999996</v>
          </cell>
          <cell r="M67">
            <v>4.9400000000000004</v>
          </cell>
          <cell r="O67">
            <v>1.5626</v>
          </cell>
          <cell r="P67">
            <v>0.74399999999999999</v>
          </cell>
          <cell r="Q67">
            <v>105.01344086021504</v>
          </cell>
          <cell r="U67">
            <v>4.7023999999999999</v>
          </cell>
          <cell r="V67">
            <v>23.042000000000002</v>
          </cell>
          <cell r="W67" t="str">
            <v>#N/A N/A</v>
          </cell>
        </row>
        <row r="68">
          <cell r="B68">
            <v>89.66</v>
          </cell>
          <cell r="D68">
            <v>1.2024999999999999</v>
          </cell>
          <cell r="E68">
            <v>971.35</v>
          </cell>
          <cell r="F68">
            <v>8.3410600000000006</v>
          </cell>
          <cell r="G68" t="e">
            <v>#VALUE!</v>
          </cell>
          <cell r="I68">
            <v>4.6801000000000004</v>
          </cell>
          <cell r="J68">
            <v>8.0366999999999997</v>
          </cell>
          <cell r="K68">
            <v>4.26</v>
          </cell>
          <cell r="L68">
            <v>5.3419999999999996</v>
          </cell>
          <cell r="M68">
            <v>4.9400000000000004</v>
          </cell>
          <cell r="O68">
            <v>1.5626</v>
          </cell>
          <cell r="P68">
            <v>0.74399999999999999</v>
          </cell>
          <cell r="Q68">
            <v>105.01344086021504</v>
          </cell>
          <cell r="U68">
            <v>4.7023999999999999</v>
          </cell>
          <cell r="V68">
            <v>23.042000000000002</v>
          </cell>
          <cell r="W68" t="str">
            <v>#N/A N/A</v>
          </cell>
        </row>
        <row r="69">
          <cell r="B69">
            <v>89.89</v>
          </cell>
          <cell r="D69">
            <v>1.1996</v>
          </cell>
          <cell r="E69">
            <v>974.95</v>
          </cell>
          <cell r="F69">
            <v>8.2872199999999996</v>
          </cell>
          <cell r="G69" t="e">
            <v>#VALUE!</v>
          </cell>
          <cell r="I69">
            <v>4.7504</v>
          </cell>
          <cell r="J69">
            <v>8.0365000000000002</v>
          </cell>
          <cell r="K69">
            <v>4.2699999999999996</v>
          </cell>
          <cell r="L69">
            <v>5.3419999999999996</v>
          </cell>
          <cell r="M69">
            <v>4.9400000000000004</v>
          </cell>
          <cell r="O69">
            <v>1.56</v>
          </cell>
          <cell r="P69">
            <v>0.73980000000000001</v>
          </cell>
          <cell r="Q69">
            <v>105.433901054339</v>
          </cell>
          <cell r="U69">
            <v>4.7597000000000005</v>
          </cell>
          <cell r="V69">
            <v>23.082999999999998</v>
          </cell>
          <cell r="W69" t="str">
            <v>#N/A N/A</v>
          </cell>
        </row>
        <row r="70">
          <cell r="B70">
            <v>90.77</v>
          </cell>
          <cell r="D70">
            <v>1.1889000000000001</v>
          </cell>
          <cell r="E70">
            <v>976.75</v>
          </cell>
          <cell r="F70">
            <v>8.2925799999999992</v>
          </cell>
          <cell r="G70" t="e">
            <v>#VALUE!</v>
          </cell>
          <cell r="I70">
            <v>4.7222999999999997</v>
          </cell>
          <cell r="J70">
            <v>8.0424000000000007</v>
          </cell>
          <cell r="K70">
            <v>4.2699999999999996</v>
          </cell>
          <cell r="L70">
            <v>5.5030000000000001</v>
          </cell>
          <cell r="M70">
            <v>5.0590000000000002</v>
          </cell>
          <cell r="O70">
            <v>1.5604</v>
          </cell>
          <cell r="P70">
            <v>0.73370000000000002</v>
          </cell>
          <cell r="Q70">
            <v>106.33774022079869</v>
          </cell>
          <cell r="U70">
            <v>4.7454999999999998</v>
          </cell>
          <cell r="V70">
            <v>23.138999999999999</v>
          </cell>
          <cell r="W70" t="str">
            <v>#N/A N/A</v>
          </cell>
        </row>
        <row r="71">
          <cell r="B71">
            <v>90.62</v>
          </cell>
          <cell r="D71">
            <v>1.1929000000000001</v>
          </cell>
          <cell r="E71">
            <v>982.05</v>
          </cell>
          <cell r="F71">
            <v>8.3370099999999994</v>
          </cell>
          <cell r="G71" t="e">
            <v>#VALUE!</v>
          </cell>
          <cell r="I71">
            <v>4.7263000000000002</v>
          </cell>
          <cell r="J71">
            <v>8.0480999999999998</v>
          </cell>
          <cell r="K71">
            <v>4.2699999999999996</v>
          </cell>
          <cell r="L71">
            <v>5.4850000000000003</v>
          </cell>
          <cell r="M71">
            <v>5.0199999999999996</v>
          </cell>
          <cell r="O71">
            <v>1.5596999999999999</v>
          </cell>
          <cell r="P71">
            <v>0.73360000000000003</v>
          </cell>
          <cell r="Q71">
            <v>106.30452562704468</v>
          </cell>
          <cell r="U71">
            <v>4.7384000000000004</v>
          </cell>
          <cell r="V71">
            <v>23.207999999999998</v>
          </cell>
          <cell r="W71" t="str">
            <v>#N/A N/A</v>
          </cell>
        </row>
        <row r="72">
          <cell r="B72">
            <v>90.75</v>
          </cell>
          <cell r="D72">
            <v>1.1910000000000001</v>
          </cell>
          <cell r="E72">
            <v>982.15</v>
          </cell>
          <cell r="F72">
            <v>8.3071099999999998</v>
          </cell>
          <cell r="G72" t="e">
            <v>#VALUE!</v>
          </cell>
          <cell r="I72">
            <v>4.7243000000000004</v>
          </cell>
          <cell r="J72">
            <v>8.0489999999999995</v>
          </cell>
          <cell r="K72">
            <v>4.2699999999999996</v>
          </cell>
          <cell r="L72">
            <v>5.4459999999999997</v>
          </cell>
          <cell r="M72">
            <v>4.9630000000000001</v>
          </cell>
          <cell r="O72">
            <v>1.5653999999999999</v>
          </cell>
          <cell r="P72">
            <v>0.73370000000000002</v>
          </cell>
          <cell r="Q72">
            <v>106.67847894234698</v>
          </cell>
          <cell r="U72">
            <v>4.7385000000000002</v>
          </cell>
          <cell r="V72">
            <v>23.594000000000001</v>
          </cell>
          <cell r="W72" t="str">
            <v>#N/A N/A</v>
          </cell>
        </row>
        <row r="73">
          <cell r="B73">
            <v>90.85</v>
          </cell>
          <cell r="D73">
            <v>1.1894</v>
          </cell>
          <cell r="E73">
            <v>980.1</v>
          </cell>
          <cell r="F73">
            <v>8.2319800000000001</v>
          </cell>
          <cell r="G73" t="e">
            <v>#VALUE!</v>
          </cell>
          <cell r="I73">
            <v>4.7567000000000004</v>
          </cell>
          <cell r="J73">
            <v>8.0504999999999995</v>
          </cell>
          <cell r="K73">
            <v>4.2699999999999996</v>
          </cell>
          <cell r="L73">
            <v>5.3289999999999997</v>
          </cell>
          <cell r="M73">
            <v>4.8929999999999998</v>
          </cell>
          <cell r="O73">
            <v>1.569</v>
          </cell>
          <cell r="P73">
            <v>0.73099999999999998</v>
          </cell>
          <cell r="Q73">
            <v>107.31874145006839</v>
          </cell>
          <cell r="U73">
            <v>4.7638999999999996</v>
          </cell>
          <cell r="V73">
            <v>23.457999999999998</v>
          </cell>
          <cell r="W73" t="str">
            <v>#N/A N/A</v>
          </cell>
        </row>
        <row r="74">
          <cell r="B74">
            <v>90.85</v>
          </cell>
          <cell r="D74">
            <v>1.1894</v>
          </cell>
          <cell r="E74">
            <v>980.1</v>
          </cell>
          <cell r="F74">
            <v>8.2319800000000001</v>
          </cell>
          <cell r="G74" t="e">
            <v>#VALUE!</v>
          </cell>
          <cell r="I74">
            <v>4.7567000000000004</v>
          </cell>
          <cell r="J74">
            <v>8.0504999999999995</v>
          </cell>
          <cell r="K74">
            <v>4.2699999999999996</v>
          </cell>
          <cell r="L74">
            <v>5.3289999999999997</v>
          </cell>
          <cell r="M74">
            <v>4.8929999999999998</v>
          </cell>
          <cell r="O74">
            <v>1.569</v>
          </cell>
          <cell r="P74">
            <v>0.73099999999999998</v>
          </cell>
          <cell r="Q74">
            <v>107.31874145006839</v>
          </cell>
          <cell r="U74">
            <v>4.7638999999999996</v>
          </cell>
          <cell r="V74">
            <v>23.457999999999998</v>
          </cell>
          <cell r="W74" t="str">
            <v>#N/A N/A</v>
          </cell>
        </row>
        <row r="75">
          <cell r="B75">
            <v>90.85</v>
          </cell>
          <cell r="D75">
            <v>1.1894</v>
          </cell>
          <cell r="E75">
            <v>980.1</v>
          </cell>
          <cell r="F75">
            <v>8.2319800000000001</v>
          </cell>
          <cell r="G75" t="e">
            <v>#VALUE!</v>
          </cell>
          <cell r="I75">
            <v>4.7567000000000004</v>
          </cell>
          <cell r="J75">
            <v>8.0504999999999995</v>
          </cell>
          <cell r="K75">
            <v>4.2699999999999996</v>
          </cell>
          <cell r="L75">
            <v>5.3289999999999997</v>
          </cell>
          <cell r="M75">
            <v>4.8929999999999998</v>
          </cell>
          <cell r="O75">
            <v>1.569</v>
          </cell>
          <cell r="P75">
            <v>0.73099999999999998</v>
          </cell>
          <cell r="Q75">
            <v>107.31874145006839</v>
          </cell>
          <cell r="U75">
            <v>4.7638999999999996</v>
          </cell>
          <cell r="V75">
            <v>23.457999999999998</v>
          </cell>
          <cell r="W75" t="str">
            <v>#N/A N/A</v>
          </cell>
        </row>
        <row r="76">
          <cell r="B76">
            <v>90.54</v>
          </cell>
          <cell r="D76">
            <v>1.1934</v>
          </cell>
          <cell r="E76">
            <v>980.75</v>
          </cell>
          <cell r="F76">
            <v>8.2332900000000002</v>
          </cell>
          <cell r="G76" t="e">
            <v>#VALUE!</v>
          </cell>
          <cell r="I76">
            <v>4.7667999999999999</v>
          </cell>
          <cell r="J76">
            <v>8.0504999999999995</v>
          </cell>
          <cell r="K76">
            <v>4.2699999999999996</v>
          </cell>
          <cell r="L76">
            <v>5.4210000000000003</v>
          </cell>
          <cell r="M76">
            <v>4.9349999999999996</v>
          </cell>
          <cell r="O76">
            <v>1.57</v>
          </cell>
          <cell r="P76">
            <v>0.7329</v>
          </cell>
          <cell r="Q76">
            <v>107.10874607722747</v>
          </cell>
          <cell r="U76">
            <v>4.7640000000000002</v>
          </cell>
          <cell r="V76">
            <v>23.457999999999998</v>
          </cell>
          <cell r="W76" t="str">
            <v>#N/A N/A</v>
          </cell>
        </row>
        <row r="77">
          <cell r="B77">
            <v>90</v>
          </cell>
          <cell r="D77">
            <v>1.2016</v>
          </cell>
          <cell r="E77">
            <v>977</v>
          </cell>
          <cell r="F77">
            <v>8.3191400000000009</v>
          </cell>
          <cell r="G77" t="e">
            <v>#VALUE!</v>
          </cell>
          <cell r="I77">
            <v>4.6924000000000001</v>
          </cell>
          <cell r="J77">
            <v>8.0472999999999999</v>
          </cell>
          <cell r="K77">
            <v>4.2699999999999996</v>
          </cell>
          <cell r="L77">
            <v>5.3979999999999997</v>
          </cell>
          <cell r="M77">
            <v>4.9260000000000002</v>
          </cell>
          <cell r="O77">
            <v>1.5642</v>
          </cell>
          <cell r="P77">
            <v>0.73609999999999998</v>
          </cell>
          <cell r="Q77">
            <v>106.2491509305801</v>
          </cell>
          <cell r="U77">
            <v>4.6707000000000001</v>
          </cell>
          <cell r="V77">
            <v>23.393000000000001</v>
          </cell>
          <cell r="W77" t="str">
            <v>#N/A N/A</v>
          </cell>
        </row>
        <row r="78">
          <cell r="B78">
            <v>89.7</v>
          </cell>
          <cell r="D78">
            <v>1.2050000000000001</v>
          </cell>
          <cell r="E78">
            <v>974.85</v>
          </cell>
          <cell r="F78">
            <v>8.3061399999999992</v>
          </cell>
          <cell r="G78" t="e">
            <v>#VALUE!</v>
          </cell>
          <cell r="I78">
            <v>4.7266000000000004</v>
          </cell>
          <cell r="J78">
            <v>8.0376999999999992</v>
          </cell>
          <cell r="K78">
            <v>4.2699999999999996</v>
          </cell>
          <cell r="L78">
            <v>5.3810000000000002</v>
          </cell>
          <cell r="M78">
            <v>4.8899999999999997</v>
          </cell>
          <cell r="O78">
            <v>1.5653999999999999</v>
          </cell>
          <cell r="P78">
            <v>0.7379</v>
          </cell>
          <cell r="Q78">
            <v>106.07128337173057</v>
          </cell>
          <cell r="U78">
            <v>4.6886999999999999</v>
          </cell>
          <cell r="V78">
            <v>23.125</v>
          </cell>
          <cell r="W78" t="str">
            <v>#N/A N/A</v>
          </cell>
        </row>
        <row r="79">
          <cell r="B79">
            <v>89.07</v>
          </cell>
          <cell r="D79">
            <v>1.2174</v>
          </cell>
          <cell r="E79">
            <v>975.1</v>
          </cell>
          <cell r="F79">
            <v>8.3384599999999995</v>
          </cell>
          <cell r="G79" t="e">
            <v>#VALUE!</v>
          </cell>
          <cell r="I79">
            <v>4.6403999999999996</v>
          </cell>
          <cell r="J79">
            <v>8.0389999999999997</v>
          </cell>
          <cell r="K79">
            <v>4.2699999999999996</v>
          </cell>
          <cell r="L79">
            <v>5.423</v>
          </cell>
          <cell r="M79">
            <v>4.9169999999999998</v>
          </cell>
          <cell r="O79">
            <v>1.5695999999999999</v>
          </cell>
          <cell r="P79">
            <v>0.73760000000000003</v>
          </cell>
          <cell r="Q79">
            <v>106.39913232104121</v>
          </cell>
          <cell r="U79">
            <v>4.5885999999999996</v>
          </cell>
          <cell r="V79">
            <v>22.687999999999999</v>
          </cell>
          <cell r="W79" t="str">
            <v>#N/A N/A</v>
          </cell>
        </row>
        <row r="80">
          <cell r="B80">
            <v>88.92</v>
          </cell>
          <cell r="D80">
            <v>1.2187999999999999</v>
          </cell>
          <cell r="E80">
            <v>971.25</v>
          </cell>
          <cell r="F80">
            <v>8.3775399999999998</v>
          </cell>
          <cell r="G80" t="e">
            <v>#VALUE!</v>
          </cell>
          <cell r="I80">
            <v>4.6704999999999997</v>
          </cell>
          <cell r="J80">
            <v>8.0315999999999992</v>
          </cell>
          <cell r="K80">
            <v>4.2699999999999996</v>
          </cell>
          <cell r="L80">
            <v>5.4290000000000003</v>
          </cell>
          <cell r="M80">
            <v>4.8979999999999997</v>
          </cell>
          <cell r="O80">
            <v>1.5725</v>
          </cell>
          <cell r="P80">
            <v>0.72899999999999998</v>
          </cell>
          <cell r="Q80">
            <v>107.85322359396434</v>
          </cell>
          <cell r="U80">
            <v>4.6172000000000004</v>
          </cell>
          <cell r="V80">
            <v>22.457999999999998</v>
          </cell>
          <cell r="W80" t="str">
            <v>#N/A N/A</v>
          </cell>
        </row>
        <row r="81">
          <cell r="B81">
            <v>88.92</v>
          </cell>
          <cell r="D81">
            <v>1.2187999999999999</v>
          </cell>
          <cell r="E81">
            <v>971.25</v>
          </cell>
          <cell r="F81">
            <v>8.3775399999999998</v>
          </cell>
          <cell r="G81" t="e">
            <v>#VALUE!</v>
          </cell>
          <cell r="I81">
            <v>4.6704999999999997</v>
          </cell>
          <cell r="J81">
            <v>8.0315999999999992</v>
          </cell>
          <cell r="K81">
            <v>4.2699999999999996</v>
          </cell>
          <cell r="L81">
            <v>5.4290000000000003</v>
          </cell>
          <cell r="M81">
            <v>4.8979999999999997</v>
          </cell>
          <cell r="O81">
            <v>1.5725</v>
          </cell>
          <cell r="P81">
            <v>0.72899999999999998</v>
          </cell>
          <cell r="Q81">
            <v>107.85322359396434</v>
          </cell>
          <cell r="U81">
            <v>4.6172000000000004</v>
          </cell>
          <cell r="V81">
            <v>22.457999999999998</v>
          </cell>
          <cell r="W81" t="str">
            <v>#N/A N/A</v>
          </cell>
        </row>
        <row r="82">
          <cell r="B82">
            <v>88.92</v>
          </cell>
          <cell r="D82">
            <v>1.2187999999999999</v>
          </cell>
          <cell r="E82">
            <v>971.25</v>
          </cell>
          <cell r="F82">
            <v>8.3775399999999998</v>
          </cell>
          <cell r="G82" t="e">
            <v>#VALUE!</v>
          </cell>
          <cell r="I82">
            <v>4.6704999999999997</v>
          </cell>
          <cell r="J82">
            <v>8.0315999999999992</v>
          </cell>
          <cell r="K82">
            <v>4.2699999999999996</v>
          </cell>
          <cell r="L82">
            <v>5.4290000000000003</v>
          </cell>
          <cell r="M82">
            <v>4.8979999999999997</v>
          </cell>
          <cell r="O82">
            <v>1.5725</v>
          </cell>
          <cell r="P82">
            <v>0.72899999999999998</v>
          </cell>
          <cell r="Q82">
            <v>107.85322359396434</v>
          </cell>
          <cell r="U82">
            <v>4.6172000000000004</v>
          </cell>
          <cell r="V82">
            <v>22.457999999999998</v>
          </cell>
          <cell r="W82" t="str">
            <v>#N/A N/A</v>
          </cell>
        </row>
        <row r="83">
          <cell r="B83">
            <v>89.13</v>
          </cell>
          <cell r="D83">
            <v>1.2158</v>
          </cell>
          <cell r="E83">
            <v>967.05</v>
          </cell>
          <cell r="F83">
            <v>8.3108400000000007</v>
          </cell>
          <cell r="G83" t="e">
            <v>#VALUE!</v>
          </cell>
          <cell r="I83">
            <v>4.6565000000000003</v>
          </cell>
          <cell r="J83">
            <v>8.0241000000000007</v>
          </cell>
          <cell r="K83">
            <v>4.2699999999999996</v>
          </cell>
          <cell r="L83">
            <v>5.4719999999999995</v>
          </cell>
          <cell r="M83">
            <v>4.9169999999999998</v>
          </cell>
          <cell r="O83">
            <v>1.5712999999999999</v>
          </cell>
          <cell r="P83">
            <v>0.72219999999999995</v>
          </cell>
          <cell r="Q83">
            <v>108.78565494322902</v>
          </cell>
          <cell r="U83">
            <v>4.6101000000000001</v>
          </cell>
          <cell r="V83">
            <v>22.707999999999998</v>
          </cell>
          <cell r="W83" t="str">
            <v>#N/A N/A</v>
          </cell>
        </row>
        <row r="84">
          <cell r="B84">
            <v>89.62</v>
          </cell>
          <cell r="D84">
            <v>1.2088000000000001</v>
          </cell>
          <cell r="E84">
            <v>968.3</v>
          </cell>
          <cell r="F84">
            <v>8.2626500000000007</v>
          </cell>
          <cell r="G84" t="e">
            <v>#VALUE!</v>
          </cell>
          <cell r="I84">
            <v>4.7167000000000003</v>
          </cell>
          <cell r="J84">
            <v>8.0276999999999994</v>
          </cell>
          <cell r="K84">
            <v>4.2699999999999996</v>
          </cell>
          <cell r="L84">
            <v>5.4710000000000001</v>
          </cell>
          <cell r="M84">
            <v>4.923</v>
          </cell>
          <cell r="O84">
            <v>1.5745</v>
          </cell>
          <cell r="P84">
            <v>0.71689999999999998</v>
          </cell>
          <cell r="Q84">
            <v>109.81308411214954</v>
          </cell>
          <cell r="U84">
            <v>4.6890999999999998</v>
          </cell>
          <cell r="V84">
            <v>22.917000000000002</v>
          </cell>
          <cell r="W84" t="str">
            <v>#N/A N/A</v>
          </cell>
        </row>
        <row r="85">
          <cell r="B85">
            <v>89.72</v>
          </cell>
          <cell r="D85">
            <v>1.2082999999999999</v>
          </cell>
          <cell r="E85">
            <v>973.55</v>
          </cell>
          <cell r="F85">
            <v>8.3373299999999997</v>
          </cell>
          <cell r="G85" t="e">
            <v>#VALUE!</v>
          </cell>
          <cell r="I85">
            <v>4.6985999999999999</v>
          </cell>
          <cell r="J85">
            <v>8.0282</v>
          </cell>
          <cell r="K85">
            <v>4.2699999999999996</v>
          </cell>
          <cell r="L85">
            <v>5.4749999999999996</v>
          </cell>
          <cell r="M85">
            <v>4.9349999999999996</v>
          </cell>
          <cell r="O85">
            <v>1.5758999999999999</v>
          </cell>
          <cell r="P85">
            <v>0.71919999999999995</v>
          </cell>
          <cell r="Q85">
            <v>109.55923248053392</v>
          </cell>
          <cell r="U85">
            <v>4.6856</v>
          </cell>
          <cell r="V85">
            <v>23.571000000000002</v>
          </cell>
          <cell r="W85" t="str">
            <v>#N/A N/A</v>
          </cell>
        </row>
        <row r="86">
          <cell r="B86">
            <v>90.46</v>
          </cell>
          <cell r="D86">
            <v>1.1981999999999999</v>
          </cell>
          <cell r="E86">
            <v>975.5</v>
          </cell>
          <cell r="F86">
            <v>8.2892499999999991</v>
          </cell>
          <cell r="G86" t="e">
            <v>#VALUE!</v>
          </cell>
          <cell r="I86">
            <v>4.7328999999999999</v>
          </cell>
          <cell r="J86">
            <v>8.0276999999999994</v>
          </cell>
          <cell r="K86">
            <v>4.2699999999999996</v>
          </cell>
          <cell r="L86">
            <v>5.4710000000000001</v>
          </cell>
          <cell r="M86">
            <v>4.9320000000000004</v>
          </cell>
          <cell r="O86">
            <v>1.5766</v>
          </cell>
          <cell r="P86">
            <v>0.7147</v>
          </cell>
          <cell r="Q86">
            <v>110.29802714425634</v>
          </cell>
          <cell r="U86">
            <v>4.7289000000000003</v>
          </cell>
          <cell r="V86">
            <v>23.375</v>
          </cell>
          <cell r="W86" t="str">
            <v>#N/A N/A</v>
          </cell>
        </row>
        <row r="87">
          <cell r="B87">
            <v>90.07</v>
          </cell>
          <cell r="D87">
            <v>1.2039</v>
          </cell>
          <cell r="E87">
            <v>979.5</v>
          </cell>
          <cell r="F87">
            <v>8.3365299999999998</v>
          </cell>
          <cell r="G87" t="e">
            <v>#VALUE!</v>
          </cell>
          <cell r="I87">
            <v>4.6685999999999996</v>
          </cell>
          <cell r="J87">
            <v>8.0299999999999994</v>
          </cell>
          <cell r="K87">
            <v>4.2699999999999996</v>
          </cell>
          <cell r="L87">
            <v>5.4930000000000003</v>
          </cell>
          <cell r="M87">
            <v>4.952</v>
          </cell>
          <cell r="O87">
            <v>1.5767</v>
          </cell>
          <cell r="P87">
            <v>0.71079999999999999</v>
          </cell>
          <cell r="Q87">
            <v>110.91024198086663</v>
          </cell>
          <cell r="U87">
            <v>4.657</v>
          </cell>
          <cell r="V87">
            <v>23.4</v>
          </cell>
          <cell r="W87" t="str">
            <v>#N/A N/A</v>
          </cell>
        </row>
        <row r="88">
          <cell r="B88">
            <v>90.07</v>
          </cell>
          <cell r="D88">
            <v>1.2039</v>
          </cell>
          <cell r="E88">
            <v>979.5</v>
          </cell>
          <cell r="F88">
            <v>8.3365299999999998</v>
          </cell>
          <cell r="G88" t="e">
            <v>#VALUE!</v>
          </cell>
          <cell r="I88">
            <v>4.6685999999999996</v>
          </cell>
          <cell r="J88">
            <v>8.0299999999999994</v>
          </cell>
          <cell r="K88">
            <v>4.2699999999999996</v>
          </cell>
          <cell r="L88">
            <v>5.4930000000000003</v>
          </cell>
          <cell r="M88">
            <v>4.952</v>
          </cell>
          <cell r="O88">
            <v>1.5767</v>
          </cell>
          <cell r="P88">
            <v>0.71079999999999999</v>
          </cell>
          <cell r="Q88">
            <v>110.91024198086663</v>
          </cell>
          <cell r="U88">
            <v>4.657</v>
          </cell>
          <cell r="V88">
            <v>23.4</v>
          </cell>
          <cell r="W88" t="str">
            <v>#N/A N/A</v>
          </cell>
        </row>
        <row r="89">
          <cell r="B89">
            <v>90.07</v>
          </cell>
          <cell r="D89">
            <v>1.2039</v>
          </cell>
          <cell r="E89">
            <v>979.5</v>
          </cell>
          <cell r="F89">
            <v>8.3365299999999998</v>
          </cell>
          <cell r="G89" t="e">
            <v>#VALUE!</v>
          </cell>
          <cell r="I89">
            <v>4.6685999999999996</v>
          </cell>
          <cell r="J89">
            <v>8.0299999999999994</v>
          </cell>
          <cell r="K89">
            <v>4.2699999999999996</v>
          </cell>
          <cell r="L89">
            <v>5.4930000000000003</v>
          </cell>
          <cell r="M89">
            <v>4.952</v>
          </cell>
          <cell r="O89">
            <v>1.5767</v>
          </cell>
          <cell r="P89">
            <v>0.71079999999999999</v>
          </cell>
          <cell r="Q89">
            <v>110.91024198086663</v>
          </cell>
          <cell r="U89">
            <v>4.657</v>
          </cell>
          <cell r="V89">
            <v>23.4</v>
          </cell>
          <cell r="W89" t="str">
            <v>#N/A N/A</v>
          </cell>
        </row>
        <row r="90">
          <cell r="B90">
            <v>90.07</v>
          </cell>
          <cell r="D90">
            <v>1.2014</v>
          </cell>
          <cell r="E90">
            <v>975.65</v>
          </cell>
          <cell r="F90">
            <v>8.3664199999999997</v>
          </cell>
          <cell r="G90" t="e">
            <v>#VALUE!</v>
          </cell>
          <cell r="I90">
            <v>4.7027999999999999</v>
          </cell>
          <cell r="J90">
            <v>8.0213999999999999</v>
          </cell>
          <cell r="K90">
            <v>4.2699999999999996</v>
          </cell>
          <cell r="L90">
            <v>5.4980000000000002</v>
          </cell>
          <cell r="M90">
            <v>4.952</v>
          </cell>
          <cell r="O90">
            <v>1.5731000000000002</v>
          </cell>
          <cell r="P90">
            <v>0.7056</v>
          </cell>
          <cell r="Q90">
            <v>111.47250566893425</v>
          </cell>
          <cell r="U90">
            <v>4.6894999999999998</v>
          </cell>
          <cell r="V90">
            <v>24.106999999999999</v>
          </cell>
          <cell r="W90" t="str">
            <v>#N/A N/A</v>
          </cell>
        </row>
        <row r="91">
          <cell r="B91">
            <v>90.25</v>
          </cell>
          <cell r="D91">
            <v>1.2077</v>
          </cell>
          <cell r="E91">
            <v>976.75</v>
          </cell>
          <cell r="F91">
            <v>8.3310200000000005</v>
          </cell>
          <cell r="G91" t="e">
            <v>#VALUE!</v>
          </cell>
          <cell r="I91">
            <v>4.7797000000000001</v>
          </cell>
          <cell r="J91">
            <v>8.0206</v>
          </cell>
          <cell r="K91">
            <v>4.2699999999999996</v>
          </cell>
          <cell r="L91">
            <v>5.4530000000000003</v>
          </cell>
          <cell r="M91">
            <v>4.9420000000000002</v>
          </cell>
          <cell r="O91">
            <v>1.5708</v>
          </cell>
          <cell r="P91">
            <v>0.70850000000000002</v>
          </cell>
          <cell r="Q91">
            <v>110.85391672547635</v>
          </cell>
          <cell r="U91">
            <v>4.78</v>
          </cell>
          <cell r="V91">
            <v>24</v>
          </cell>
          <cell r="W91" t="str">
            <v>#N/A N/A</v>
          </cell>
        </row>
        <row r="92">
          <cell r="B92">
            <v>90.21</v>
          </cell>
          <cell r="D92">
            <v>1.2030000000000001</v>
          </cell>
          <cell r="E92">
            <v>975.15</v>
          </cell>
          <cell r="F92">
            <v>8.2787199999999999</v>
          </cell>
          <cell r="G92" t="e">
            <v>#VALUE!</v>
          </cell>
          <cell r="I92">
            <v>4.8041</v>
          </cell>
          <cell r="J92">
            <v>8.0259</v>
          </cell>
          <cell r="K92">
            <v>4.2699999999999996</v>
          </cell>
          <cell r="L92">
            <v>5.4340000000000002</v>
          </cell>
          <cell r="M92">
            <v>4.9080000000000004</v>
          </cell>
          <cell r="O92">
            <v>1.5748</v>
          </cell>
          <cell r="P92">
            <v>0.70569999999999999</v>
          </cell>
          <cell r="Q92">
            <v>111.57715743233669</v>
          </cell>
          <cell r="U92">
            <v>4.7946999999999997</v>
          </cell>
          <cell r="V92">
            <v>23.957999999999998</v>
          </cell>
          <cell r="W92" t="str">
            <v>#N/A N/A</v>
          </cell>
        </row>
        <row r="93">
          <cell r="B93">
            <v>89.39</v>
          </cell>
          <cell r="D93">
            <v>1.2132000000000001</v>
          </cell>
          <cell r="E93">
            <v>976.1</v>
          </cell>
          <cell r="F93">
            <v>8.31325</v>
          </cell>
          <cell r="G93" t="e">
            <v>#VALUE!</v>
          </cell>
          <cell r="I93">
            <v>4.8551000000000002</v>
          </cell>
          <cell r="J93">
            <v>8.0267999999999997</v>
          </cell>
          <cell r="K93">
            <v>4.2699999999999996</v>
          </cell>
          <cell r="L93">
            <v>5.4130000000000003</v>
          </cell>
          <cell r="M93">
            <v>4.9119999999999999</v>
          </cell>
          <cell r="O93">
            <v>1.5758000000000001</v>
          </cell>
          <cell r="P93">
            <v>0.71399999999999997</v>
          </cell>
          <cell r="Q93">
            <v>110.35014005602241</v>
          </cell>
          <cell r="U93">
            <v>4.8281999999999998</v>
          </cell>
          <cell r="V93">
            <v>24</v>
          </cell>
          <cell r="W93" t="str">
            <v>#N/A N/A</v>
          </cell>
        </row>
        <row r="94">
          <cell r="B94">
            <v>89.73</v>
          </cell>
          <cell r="D94">
            <v>1.2139</v>
          </cell>
          <cell r="E94">
            <v>971.65</v>
          </cell>
          <cell r="F94">
            <v>8.2693600000000007</v>
          </cell>
          <cell r="G94" t="e">
            <v>#VALUE!</v>
          </cell>
          <cell r="I94">
            <v>4.8472</v>
          </cell>
          <cell r="J94">
            <v>8.0172000000000008</v>
          </cell>
          <cell r="K94">
            <v>4.2699999999999996</v>
          </cell>
          <cell r="L94">
            <v>5.4530000000000003</v>
          </cell>
          <cell r="M94">
            <v>5.0060000000000002</v>
          </cell>
          <cell r="O94">
            <v>1.5813999999999999</v>
          </cell>
          <cell r="P94">
            <v>0.71640000000000004</v>
          </cell>
          <cell r="Q94">
            <v>110.37130094919038</v>
          </cell>
          <cell r="U94">
            <v>4.8103999999999996</v>
          </cell>
          <cell r="V94">
            <v>23.917000000000002</v>
          </cell>
          <cell r="W94" t="str">
            <v>#N/A N/A</v>
          </cell>
        </row>
        <row r="95">
          <cell r="B95">
            <v>89.73</v>
          </cell>
          <cell r="D95">
            <v>1.2139</v>
          </cell>
          <cell r="E95">
            <v>971.65</v>
          </cell>
          <cell r="F95">
            <v>8.2693600000000007</v>
          </cell>
          <cell r="G95" t="e">
            <v>#VALUE!</v>
          </cell>
          <cell r="I95">
            <v>4.8472</v>
          </cell>
          <cell r="J95">
            <v>8.0172000000000008</v>
          </cell>
          <cell r="K95">
            <v>4.2699999999999996</v>
          </cell>
          <cell r="L95">
            <v>5.4530000000000003</v>
          </cell>
          <cell r="M95">
            <v>5.0060000000000002</v>
          </cell>
          <cell r="O95">
            <v>1.5813999999999999</v>
          </cell>
          <cell r="P95">
            <v>0.71640000000000004</v>
          </cell>
          <cell r="Q95">
            <v>110.37130094919038</v>
          </cell>
          <cell r="U95">
            <v>4.8103999999999996</v>
          </cell>
          <cell r="V95">
            <v>23.917000000000002</v>
          </cell>
          <cell r="W95" t="str">
            <v>#N/A N/A</v>
          </cell>
        </row>
        <row r="96">
          <cell r="B96">
            <v>89.73</v>
          </cell>
          <cell r="D96">
            <v>1.2139</v>
          </cell>
          <cell r="E96">
            <v>971.65</v>
          </cell>
          <cell r="F96">
            <v>8.2693600000000007</v>
          </cell>
          <cell r="G96" t="e">
            <v>#VALUE!</v>
          </cell>
          <cell r="I96">
            <v>4.8472</v>
          </cell>
          <cell r="J96">
            <v>8.0172000000000008</v>
          </cell>
          <cell r="K96">
            <v>4.2699999999999996</v>
          </cell>
          <cell r="L96">
            <v>5.4530000000000003</v>
          </cell>
          <cell r="M96">
            <v>5.0060000000000002</v>
          </cell>
          <cell r="O96">
            <v>1.5813999999999999</v>
          </cell>
          <cell r="P96">
            <v>0.71640000000000004</v>
          </cell>
          <cell r="Q96">
            <v>110.37130094919038</v>
          </cell>
          <cell r="U96">
            <v>4.8103999999999996</v>
          </cell>
          <cell r="V96">
            <v>23.917000000000002</v>
          </cell>
          <cell r="W96" t="str">
            <v>#N/A N/A</v>
          </cell>
        </row>
        <row r="97">
          <cell r="B97">
            <v>89.63</v>
          </cell>
          <cell r="D97">
            <v>1.2126000000000001</v>
          </cell>
          <cell r="E97">
            <v>970.8</v>
          </cell>
          <cell r="F97">
            <v>8.2365399999999998</v>
          </cell>
          <cell r="G97" t="e">
            <v>#VALUE!</v>
          </cell>
          <cell r="I97">
            <v>4.8615000000000004</v>
          </cell>
          <cell r="J97">
            <v>8.0198999999999998</v>
          </cell>
          <cell r="K97">
            <v>4.2699999999999996</v>
          </cell>
          <cell r="L97">
            <v>5.4909999999999997</v>
          </cell>
          <cell r="M97">
            <v>4.9939999999999998</v>
          </cell>
          <cell r="O97">
            <v>1.5815999999999999</v>
          </cell>
          <cell r="P97">
            <v>0.71750000000000003</v>
          </cell>
          <cell r="Q97">
            <v>110.21602787456446</v>
          </cell>
          <cell r="U97">
            <v>4.8281999999999998</v>
          </cell>
          <cell r="V97">
            <v>23.861000000000001</v>
          </cell>
          <cell r="W97" t="str">
            <v>#N/A N/A</v>
          </cell>
        </row>
        <row r="98">
          <cell r="B98">
            <v>88.83</v>
          </cell>
          <cell r="D98">
            <v>1.2254</v>
          </cell>
          <cell r="E98">
            <v>963.2</v>
          </cell>
          <cell r="F98">
            <v>8.1971000000000007</v>
          </cell>
          <cell r="G98" t="e">
            <v>#VALUE!</v>
          </cell>
          <cell r="I98">
            <v>4.8636999999999997</v>
          </cell>
          <cell r="J98">
            <v>8.0167999999999999</v>
          </cell>
          <cell r="K98">
            <v>4.28</v>
          </cell>
          <cell r="L98">
            <v>5.5179999999999998</v>
          </cell>
          <cell r="M98">
            <v>5.0110000000000001</v>
          </cell>
          <cell r="O98">
            <v>1.5811999999999999</v>
          </cell>
          <cell r="P98">
            <v>0.72119999999999995</v>
          </cell>
          <cell r="Q98">
            <v>109.6228508042152</v>
          </cell>
          <cell r="U98">
            <v>4.8139000000000003</v>
          </cell>
          <cell r="V98">
            <v>23.8</v>
          </cell>
          <cell r="W98" t="str">
            <v>#N/A N/A</v>
          </cell>
        </row>
        <row r="99">
          <cell r="B99">
            <v>88.63</v>
          </cell>
          <cell r="D99">
            <v>1.2288000000000001</v>
          </cell>
          <cell r="E99">
            <v>957.35</v>
          </cell>
          <cell r="F99">
            <v>8.1476600000000001</v>
          </cell>
          <cell r="G99" t="e">
            <v>#VALUE!</v>
          </cell>
          <cell r="I99">
            <v>4.8433000000000002</v>
          </cell>
          <cell r="J99">
            <v>8.0086999999999993</v>
          </cell>
          <cell r="K99">
            <v>4.29</v>
          </cell>
          <cell r="L99">
            <v>5.4980000000000002</v>
          </cell>
          <cell r="M99">
            <v>5</v>
          </cell>
          <cell r="O99">
            <v>1.5777000000000001</v>
          </cell>
          <cell r="P99">
            <v>0.72719999999999996</v>
          </cell>
          <cell r="Q99">
            <v>108.47772277227725</v>
          </cell>
          <cell r="U99">
            <v>4.7889999999999997</v>
          </cell>
          <cell r="V99">
            <v>23.7</v>
          </cell>
          <cell r="W99" t="str">
            <v>#N/A N/A</v>
          </cell>
        </row>
        <row r="100">
          <cell r="B100">
            <v>88.96</v>
          </cell>
          <cell r="D100">
            <v>1.2224999999999999</v>
          </cell>
          <cell r="E100">
            <v>953.5</v>
          </cell>
          <cell r="F100">
            <v>8.1006599999999995</v>
          </cell>
          <cell r="G100" t="e">
            <v>#VALUE!</v>
          </cell>
          <cell r="I100">
            <v>4.8986999999999998</v>
          </cell>
          <cell r="J100">
            <v>8.0079999999999991</v>
          </cell>
          <cell r="K100">
            <v>4.29</v>
          </cell>
          <cell r="L100">
            <v>5.4740000000000002</v>
          </cell>
          <cell r="M100">
            <v>4.9779999999999998</v>
          </cell>
          <cell r="O100">
            <v>1.5773000000000001</v>
          </cell>
          <cell r="P100">
            <v>0.73060000000000003</v>
          </cell>
          <cell r="Q100">
            <v>107.94552422666301</v>
          </cell>
          <cell r="U100">
            <v>4.8353999999999999</v>
          </cell>
          <cell r="V100">
            <v>23.356999999999999</v>
          </cell>
          <cell r="W100" t="str">
            <v>#N/A N/A</v>
          </cell>
        </row>
        <row r="101">
          <cell r="B101">
            <v>89.69</v>
          </cell>
          <cell r="D101">
            <v>1.2112000000000001</v>
          </cell>
          <cell r="E101">
            <v>953.3</v>
          </cell>
          <cell r="F101">
            <v>8.0596200000000007</v>
          </cell>
          <cell r="G101" t="e">
            <v>#VALUE!</v>
          </cell>
          <cell r="I101">
            <v>4.9774000000000003</v>
          </cell>
          <cell r="J101">
            <v>8.0111000000000008</v>
          </cell>
          <cell r="K101">
            <v>4.29</v>
          </cell>
          <cell r="L101">
            <v>5.4210000000000003</v>
          </cell>
          <cell r="M101">
            <v>4.9450000000000003</v>
          </cell>
          <cell r="O101">
            <v>1.5773999999999999</v>
          </cell>
          <cell r="P101">
            <v>0.72709999999999997</v>
          </cell>
          <cell r="Q101">
            <v>108.47201210287443</v>
          </cell>
          <cell r="U101">
            <v>4.9107000000000003</v>
          </cell>
          <cell r="V101">
            <v>23.143000000000001</v>
          </cell>
          <cell r="W101" t="str">
            <v>#N/A N/A</v>
          </cell>
        </row>
        <row r="102">
          <cell r="B102">
            <v>89.69</v>
          </cell>
          <cell r="D102">
            <v>1.2112000000000001</v>
          </cell>
          <cell r="E102">
            <v>953.3</v>
          </cell>
          <cell r="F102">
            <v>8.0596200000000007</v>
          </cell>
          <cell r="G102" t="e">
            <v>#VALUE!</v>
          </cell>
          <cell r="I102">
            <v>4.9774000000000003</v>
          </cell>
          <cell r="J102">
            <v>8.0111000000000008</v>
          </cell>
          <cell r="K102">
            <v>4.29</v>
          </cell>
          <cell r="L102">
            <v>5.4210000000000003</v>
          </cell>
          <cell r="M102">
            <v>4.9450000000000003</v>
          </cell>
          <cell r="O102">
            <v>1.5773999999999999</v>
          </cell>
          <cell r="P102">
            <v>0.72709999999999997</v>
          </cell>
          <cell r="Q102">
            <v>108.47201210287443</v>
          </cell>
          <cell r="U102">
            <v>4.9107000000000003</v>
          </cell>
          <cell r="V102">
            <v>23.143000000000001</v>
          </cell>
          <cell r="W102" t="str">
            <v>#N/A N/A</v>
          </cell>
        </row>
        <row r="103">
          <cell r="B103">
            <v>89.69</v>
          </cell>
          <cell r="D103">
            <v>1.2112000000000001</v>
          </cell>
          <cell r="E103">
            <v>953.3</v>
          </cell>
          <cell r="F103">
            <v>8.0596200000000007</v>
          </cell>
          <cell r="G103" t="e">
            <v>#VALUE!</v>
          </cell>
          <cell r="I103">
            <v>4.9774000000000003</v>
          </cell>
          <cell r="J103">
            <v>8.0111000000000008</v>
          </cell>
          <cell r="K103">
            <v>4.29</v>
          </cell>
          <cell r="L103">
            <v>5.4210000000000003</v>
          </cell>
          <cell r="M103">
            <v>4.9450000000000003</v>
          </cell>
          <cell r="O103">
            <v>1.5773999999999999</v>
          </cell>
          <cell r="P103">
            <v>0.72709999999999997</v>
          </cell>
          <cell r="Q103">
            <v>108.47201210287443</v>
          </cell>
          <cell r="U103">
            <v>4.9107000000000003</v>
          </cell>
          <cell r="V103">
            <v>23.143000000000001</v>
          </cell>
          <cell r="W103" t="str">
            <v>#N/A N/A</v>
          </cell>
        </row>
        <row r="104">
          <cell r="B104">
            <v>89.65</v>
          </cell>
          <cell r="D104">
            <v>1.2081</v>
          </cell>
          <cell r="E104">
            <v>953.8</v>
          </cell>
          <cell r="F104">
            <v>8.0404599999999995</v>
          </cell>
          <cell r="G104" t="e">
            <v>#VALUE!</v>
          </cell>
          <cell r="I104">
            <v>4.9526000000000003</v>
          </cell>
          <cell r="J104">
            <v>8.0063999999999993</v>
          </cell>
          <cell r="K104">
            <v>4.3</v>
          </cell>
          <cell r="L104">
            <v>5.4719999999999995</v>
          </cell>
          <cell r="M104">
            <v>4.984</v>
          </cell>
          <cell r="O104">
            <v>1.5775999999999999</v>
          </cell>
          <cell r="P104">
            <v>0.72719999999999996</v>
          </cell>
          <cell r="Q104">
            <v>108.47084708470847</v>
          </cell>
          <cell r="U104">
            <v>4.8784999999999998</v>
          </cell>
          <cell r="V104">
            <v>23.332999999999998</v>
          </cell>
          <cell r="W104" t="str">
            <v>#N/A N/A</v>
          </cell>
        </row>
        <row r="105">
          <cell r="B105">
            <v>89.44</v>
          </cell>
          <cell r="D105">
            <v>1.2132000000000001</v>
          </cell>
          <cell r="E105">
            <v>954.8</v>
          </cell>
          <cell r="F105">
            <v>8.0631699999999995</v>
          </cell>
          <cell r="G105" t="e">
            <v>#VALUE!</v>
          </cell>
          <cell r="I105">
            <v>4.9196999999999997</v>
          </cell>
          <cell r="J105">
            <v>8.0050000000000008</v>
          </cell>
          <cell r="K105">
            <v>4.3099999999999996</v>
          </cell>
          <cell r="L105">
            <v>5.5039999999999996</v>
          </cell>
          <cell r="M105">
            <v>4.9729999999999999</v>
          </cell>
          <cell r="O105">
            <v>1.5758999999999999</v>
          </cell>
          <cell r="P105">
            <v>0.73340000000000005</v>
          </cell>
          <cell r="Q105">
            <v>107.43796018543767</v>
          </cell>
          <cell r="U105">
            <v>4.8498000000000001</v>
          </cell>
          <cell r="V105">
            <v>23.625</v>
          </cell>
          <cell r="W105" t="str">
            <v>#N/A N/A</v>
          </cell>
        </row>
        <row r="106">
          <cell r="B106">
            <v>89.62</v>
          </cell>
          <cell r="D106">
            <v>1.2107000000000001</v>
          </cell>
          <cell r="E106">
            <v>960.4</v>
          </cell>
          <cell r="F106">
            <v>8.10806</v>
          </cell>
          <cell r="G106" t="e">
            <v>#VALUE!</v>
          </cell>
          <cell r="I106">
            <v>4.9777000000000005</v>
          </cell>
          <cell r="J106">
            <v>8.0120000000000005</v>
          </cell>
          <cell r="K106">
            <v>4.3499999999999996</v>
          </cell>
          <cell r="L106">
            <v>5.5129999999999999</v>
          </cell>
          <cell r="M106">
            <v>4.9790000000000001</v>
          </cell>
          <cell r="O106">
            <v>1.5728</v>
          </cell>
          <cell r="P106">
            <v>0.73199999999999998</v>
          </cell>
          <cell r="Q106">
            <v>107.43169398907104</v>
          </cell>
          <cell r="U106">
            <v>4.9073000000000002</v>
          </cell>
          <cell r="V106">
            <v>24</v>
          </cell>
          <cell r="W106" t="str">
            <v>#N/A N/A</v>
          </cell>
        </row>
        <row r="107">
          <cell r="B107">
            <v>89.59</v>
          </cell>
          <cell r="D107">
            <v>1.2103999999999999</v>
          </cell>
          <cell r="E107">
            <v>961.6</v>
          </cell>
          <cell r="F107">
            <v>8.1142500000000002</v>
          </cell>
          <cell r="G107" t="e">
            <v>#VALUE!</v>
          </cell>
          <cell r="I107">
            <v>5.0446999999999997</v>
          </cell>
          <cell r="J107">
            <v>8.0184999999999995</v>
          </cell>
          <cell r="K107">
            <v>4.3499999999999996</v>
          </cell>
          <cell r="L107">
            <v>5.5540000000000003</v>
          </cell>
          <cell r="M107">
            <v>5.0229999999999997</v>
          </cell>
          <cell r="O107">
            <v>1.571</v>
          </cell>
          <cell r="P107">
            <v>0.72689999999999999</v>
          </cell>
          <cell r="Q107">
            <v>108.06163158618791</v>
          </cell>
          <cell r="U107">
            <v>4.9653</v>
          </cell>
          <cell r="V107">
            <v>24.1</v>
          </cell>
          <cell r="W107" t="str">
            <v>#N/A N/A</v>
          </cell>
        </row>
        <row r="108">
          <cell r="B108">
            <v>89.59</v>
          </cell>
          <cell r="D108">
            <v>1.2115</v>
          </cell>
          <cell r="E108">
            <v>958.35</v>
          </cell>
          <cell r="F108">
            <v>8.0799199999999995</v>
          </cell>
          <cell r="G108" t="e">
            <v>#VALUE!</v>
          </cell>
          <cell r="I108">
            <v>5.0448000000000004</v>
          </cell>
          <cell r="J108">
            <v>8.0183999999999997</v>
          </cell>
          <cell r="K108">
            <v>4.3600000000000003</v>
          </cell>
          <cell r="L108">
            <v>5.593</v>
          </cell>
          <cell r="M108">
            <v>5.0670000000000002</v>
          </cell>
          <cell r="O108">
            <v>1.5727</v>
          </cell>
          <cell r="P108">
            <v>0.72860000000000003</v>
          </cell>
          <cell r="Q108">
            <v>107.92615975844085</v>
          </cell>
          <cell r="U108">
            <v>4.9653</v>
          </cell>
          <cell r="V108">
            <v>24.25</v>
          </cell>
          <cell r="W108" t="str">
            <v>#N/A N/A</v>
          </cell>
        </row>
        <row r="109">
          <cell r="B109">
            <v>89.59</v>
          </cell>
          <cell r="D109">
            <v>1.2115</v>
          </cell>
          <cell r="E109">
            <v>958.35</v>
          </cell>
          <cell r="F109">
            <v>8.0799199999999995</v>
          </cell>
          <cell r="G109" t="e">
            <v>#VALUE!</v>
          </cell>
          <cell r="I109">
            <v>5.0448000000000004</v>
          </cell>
          <cell r="J109">
            <v>8.0183999999999997</v>
          </cell>
          <cell r="K109">
            <v>4.3600000000000003</v>
          </cell>
          <cell r="L109">
            <v>5.593</v>
          </cell>
          <cell r="M109">
            <v>5.0670000000000002</v>
          </cell>
          <cell r="O109">
            <v>1.5727</v>
          </cell>
          <cell r="P109">
            <v>0.72860000000000003</v>
          </cell>
          <cell r="Q109">
            <v>107.92615975844085</v>
          </cell>
          <cell r="U109">
            <v>4.9653</v>
          </cell>
          <cell r="V109">
            <v>24.25</v>
          </cell>
          <cell r="W109" t="str">
            <v>#N/A N/A</v>
          </cell>
        </row>
        <row r="110">
          <cell r="B110">
            <v>89.59</v>
          </cell>
          <cell r="D110">
            <v>1.2115</v>
          </cell>
          <cell r="E110">
            <v>958.35</v>
          </cell>
          <cell r="F110">
            <v>8.0799199999999995</v>
          </cell>
          <cell r="G110" t="e">
            <v>#VALUE!</v>
          </cell>
          <cell r="I110">
            <v>5.0448000000000004</v>
          </cell>
          <cell r="J110">
            <v>8.0183999999999997</v>
          </cell>
          <cell r="K110">
            <v>4.3600000000000003</v>
          </cell>
          <cell r="L110">
            <v>5.593</v>
          </cell>
          <cell r="M110">
            <v>5.0670000000000002</v>
          </cell>
          <cell r="O110">
            <v>1.5727</v>
          </cell>
          <cell r="P110">
            <v>0.72860000000000003</v>
          </cell>
          <cell r="Q110">
            <v>107.92615975844085</v>
          </cell>
          <cell r="U110">
            <v>4.9653</v>
          </cell>
          <cell r="V110">
            <v>24.25</v>
          </cell>
          <cell r="W110" t="str">
            <v>#N/A N/A</v>
          </cell>
        </row>
        <row r="111">
          <cell r="B111">
            <v>88.64</v>
          </cell>
          <cell r="D111">
            <v>1.2265999999999999</v>
          </cell>
          <cell r="E111">
            <v>955.8</v>
          </cell>
          <cell r="F111">
            <v>8.1158199999999994</v>
          </cell>
          <cell r="G111" t="e">
            <v>#VALUE!</v>
          </cell>
          <cell r="I111">
            <v>5.0031999999999996</v>
          </cell>
          <cell r="J111">
            <v>8.0205000000000002</v>
          </cell>
          <cell r="K111">
            <v>4.3600000000000003</v>
          </cell>
          <cell r="L111">
            <v>5.5720000000000001</v>
          </cell>
          <cell r="M111">
            <v>5.0449999999999999</v>
          </cell>
          <cell r="O111">
            <v>1.5678000000000001</v>
          </cell>
          <cell r="P111">
            <v>0.73740000000000006</v>
          </cell>
          <cell r="Q111">
            <v>106.3059397884459</v>
          </cell>
          <cell r="U111">
            <v>4.9184000000000001</v>
          </cell>
          <cell r="V111">
            <v>24.25</v>
          </cell>
          <cell r="W111" t="str">
            <v>#N/A N/A</v>
          </cell>
        </row>
        <row r="112">
          <cell r="B112">
            <v>88.24</v>
          </cell>
          <cell r="D112">
            <v>1.2288000000000001</v>
          </cell>
          <cell r="E112">
            <v>953.8</v>
          </cell>
          <cell r="F112">
            <v>8.1067499999999999</v>
          </cell>
          <cell r="G112" t="e">
            <v>#VALUE!</v>
          </cell>
          <cell r="I112">
            <v>4.9824000000000002</v>
          </cell>
          <cell r="J112">
            <v>8.0239999999999991</v>
          </cell>
          <cell r="K112">
            <v>4.3600000000000003</v>
          </cell>
          <cell r="L112">
            <v>5.556</v>
          </cell>
          <cell r="M112">
            <v>5.0439999999999996</v>
          </cell>
          <cell r="O112">
            <v>1.5659999999999998</v>
          </cell>
          <cell r="P112">
            <v>0.73870000000000002</v>
          </cell>
          <cell r="Q112">
            <v>105.99702179504533</v>
          </cell>
          <cell r="U112">
            <v>4.8643000000000001</v>
          </cell>
          <cell r="V112">
            <v>23.917000000000002</v>
          </cell>
          <cell r="W112" t="str">
            <v>#N/A N/A</v>
          </cell>
        </row>
        <row r="113">
          <cell r="B113">
            <v>87.79</v>
          </cell>
          <cell r="D113">
            <v>1.2378</v>
          </cell>
          <cell r="E113">
            <v>945.55</v>
          </cell>
          <cell r="F113">
            <v>8.0533999999999999</v>
          </cell>
          <cell r="G113" t="e">
            <v>#VALUE!</v>
          </cell>
          <cell r="I113">
            <v>5.0221</v>
          </cell>
          <cell r="J113">
            <v>8.0135000000000005</v>
          </cell>
          <cell r="K113">
            <v>4.3600000000000003</v>
          </cell>
          <cell r="L113">
            <v>5.4829999999999997</v>
          </cell>
          <cell r="M113">
            <v>4.9960000000000004</v>
          </cell>
          <cell r="O113">
            <v>1.5681</v>
          </cell>
          <cell r="P113">
            <v>0.74680000000000002</v>
          </cell>
          <cell r="Q113">
            <v>104.98794858061061</v>
          </cell>
          <cell r="U113">
            <v>4.8932000000000002</v>
          </cell>
          <cell r="V113">
            <v>23.55</v>
          </cell>
          <cell r="W113" t="str">
            <v>#N/A N/A</v>
          </cell>
        </row>
        <row r="114">
          <cell r="B114">
            <v>88.25</v>
          </cell>
          <cell r="D114">
            <v>1.2318</v>
          </cell>
          <cell r="E114">
            <v>948.6</v>
          </cell>
          <cell r="F114">
            <v>8.0697600000000005</v>
          </cell>
          <cell r="G114" t="e">
            <v>#VALUE!</v>
          </cell>
          <cell r="I114">
            <v>5.0388999999999999</v>
          </cell>
          <cell r="J114">
            <v>8.0114999999999998</v>
          </cell>
          <cell r="K114">
            <v>4.3600000000000003</v>
          </cell>
          <cell r="L114">
            <v>5.4729999999999999</v>
          </cell>
          <cell r="M114">
            <v>4.9950000000000001</v>
          </cell>
          <cell r="O114">
            <v>1.5744</v>
          </cell>
          <cell r="P114">
            <v>0.73680000000000001</v>
          </cell>
          <cell r="Q114">
            <v>106.84039087947883</v>
          </cell>
          <cell r="U114">
            <v>4.9221000000000004</v>
          </cell>
          <cell r="V114">
            <v>23.375</v>
          </cell>
          <cell r="W114" t="str">
            <v>#N/A N/A</v>
          </cell>
        </row>
        <row r="115">
          <cell r="B115">
            <v>88.05</v>
          </cell>
          <cell r="D115">
            <v>1.2336</v>
          </cell>
          <cell r="E115">
            <v>948.5</v>
          </cell>
          <cell r="F115">
            <v>8.1085700000000003</v>
          </cell>
          <cell r="G115" t="e">
            <v>#VALUE!</v>
          </cell>
          <cell r="I115">
            <v>5.0079000000000002</v>
          </cell>
          <cell r="J115">
            <v>8.0169999999999995</v>
          </cell>
          <cell r="K115">
            <v>4.3600000000000003</v>
          </cell>
          <cell r="L115">
            <v>5.4329999999999998</v>
          </cell>
          <cell r="M115">
            <v>4.9539999999999997</v>
          </cell>
          <cell r="O115">
            <v>1.5737999999999999</v>
          </cell>
          <cell r="P115">
            <v>0.74429999999999996</v>
          </cell>
          <cell r="Q115">
            <v>105.72349858927852</v>
          </cell>
          <cell r="U115">
            <v>4.9077999999999999</v>
          </cell>
          <cell r="V115">
            <v>23.417000000000002</v>
          </cell>
          <cell r="W115" t="str">
            <v>#N/A N/A</v>
          </cell>
        </row>
        <row r="116">
          <cell r="B116">
            <v>88.05</v>
          </cell>
          <cell r="D116">
            <v>1.2336</v>
          </cell>
          <cell r="E116">
            <v>948.5</v>
          </cell>
          <cell r="F116">
            <v>8.1085700000000003</v>
          </cell>
          <cell r="G116" t="e">
            <v>#VALUE!</v>
          </cell>
          <cell r="I116">
            <v>5.0079000000000002</v>
          </cell>
          <cell r="J116">
            <v>8.0169999999999995</v>
          </cell>
          <cell r="K116">
            <v>4.3600000000000003</v>
          </cell>
          <cell r="L116">
            <v>5.4329999999999998</v>
          </cell>
          <cell r="M116">
            <v>4.9539999999999997</v>
          </cell>
          <cell r="O116">
            <v>1.5737999999999999</v>
          </cell>
          <cell r="P116">
            <v>0.74429999999999996</v>
          </cell>
          <cell r="Q116">
            <v>105.72349858927852</v>
          </cell>
          <cell r="U116">
            <v>4.9077999999999999</v>
          </cell>
          <cell r="V116">
            <v>23.417000000000002</v>
          </cell>
          <cell r="W116" t="str">
            <v>#N/A N/A</v>
          </cell>
        </row>
        <row r="117">
          <cell r="B117">
            <v>88.05</v>
          </cell>
          <cell r="D117">
            <v>1.2336</v>
          </cell>
          <cell r="E117">
            <v>948.5</v>
          </cell>
          <cell r="F117">
            <v>8.1085700000000003</v>
          </cell>
          <cell r="G117" t="e">
            <v>#VALUE!</v>
          </cell>
          <cell r="I117">
            <v>5.0079000000000002</v>
          </cell>
          <cell r="J117">
            <v>8.0169999999999995</v>
          </cell>
          <cell r="K117">
            <v>4.3600000000000003</v>
          </cell>
          <cell r="L117">
            <v>5.4329999999999998</v>
          </cell>
          <cell r="M117">
            <v>4.9539999999999997</v>
          </cell>
          <cell r="O117">
            <v>1.5737999999999999</v>
          </cell>
          <cell r="P117">
            <v>0.74429999999999996</v>
          </cell>
          <cell r="Q117">
            <v>105.72349858927852</v>
          </cell>
          <cell r="U117">
            <v>4.9077999999999999</v>
          </cell>
          <cell r="V117">
            <v>23.417000000000002</v>
          </cell>
          <cell r="W117" t="str">
            <v>#N/A N/A</v>
          </cell>
        </row>
        <row r="118">
          <cell r="B118">
            <v>87.45</v>
          </cell>
          <cell r="D118">
            <v>1.2394000000000001</v>
          </cell>
          <cell r="E118">
            <v>939.7</v>
          </cell>
          <cell r="F118">
            <v>8.2059099999999994</v>
          </cell>
          <cell r="G118" t="e">
            <v>#VALUE!</v>
          </cell>
          <cell r="I118">
            <v>4.9767999999999999</v>
          </cell>
          <cell r="J118">
            <v>8.0150000000000006</v>
          </cell>
          <cell r="K118">
            <v>4.3600000000000003</v>
          </cell>
          <cell r="L118">
            <v>5.3890000000000002</v>
          </cell>
          <cell r="M118">
            <v>4.9130000000000003</v>
          </cell>
          <cell r="O118">
            <v>1.5710999999999999</v>
          </cell>
          <cell r="P118">
            <v>0.74529999999999996</v>
          </cell>
          <cell r="Q118">
            <v>105.40050986180063</v>
          </cell>
          <cell r="U118">
            <v>4.8898000000000001</v>
          </cell>
          <cell r="V118">
            <v>23.5</v>
          </cell>
          <cell r="W118" t="str">
            <v>#N/A N/A</v>
          </cell>
        </row>
        <row r="119">
          <cell r="B119">
            <v>87.32</v>
          </cell>
          <cell r="D119">
            <v>1.2403999999999999</v>
          </cell>
          <cell r="E119">
            <v>945.1</v>
          </cell>
          <cell r="F119">
            <v>8.2221899999999994</v>
          </cell>
          <cell r="G119" t="e">
            <v>#VALUE!</v>
          </cell>
          <cell r="I119">
            <v>5.0667</v>
          </cell>
          <cell r="J119">
            <v>8.0139999999999993</v>
          </cell>
          <cell r="K119">
            <v>4.3600000000000003</v>
          </cell>
          <cell r="L119">
            <v>5.3819999999999997</v>
          </cell>
          <cell r="M119">
            <v>4.9180000000000001</v>
          </cell>
          <cell r="O119">
            <v>1.5746</v>
          </cell>
          <cell r="P119">
            <v>0.74519999999999997</v>
          </cell>
          <cell r="Q119">
            <v>105.64949006977993</v>
          </cell>
          <cell r="U119">
            <v>4.9695999999999998</v>
          </cell>
          <cell r="V119">
            <v>23.443999999999999</v>
          </cell>
          <cell r="W119" t="str">
            <v>#N/A N/A</v>
          </cell>
        </row>
        <row r="120">
          <cell r="B120">
            <v>87.22</v>
          </cell>
          <cell r="D120">
            <v>1.2464</v>
          </cell>
          <cell r="E120">
            <v>946.55</v>
          </cell>
          <cell r="F120">
            <v>8.2534799999999997</v>
          </cell>
          <cell r="G120" t="e">
            <v>#VALUE!</v>
          </cell>
          <cell r="I120">
            <v>5.1045999999999996</v>
          </cell>
          <cell r="J120">
            <v>8.0183</v>
          </cell>
          <cell r="K120">
            <v>4.3600000000000003</v>
          </cell>
          <cell r="L120">
            <v>5.367</v>
          </cell>
          <cell r="M120">
            <v>4.9080000000000004</v>
          </cell>
          <cell r="O120">
            <v>1.581</v>
          </cell>
          <cell r="P120">
            <v>0.754</v>
          </cell>
          <cell r="Q120">
            <v>104.84084880636604</v>
          </cell>
          <cell r="U120">
            <v>5.0133000000000001</v>
          </cell>
          <cell r="V120">
            <v>22.713999999999999</v>
          </cell>
          <cell r="W120" t="str">
            <v>#N/A N/A</v>
          </cell>
        </row>
        <row r="121">
          <cell r="B121">
            <v>86.63</v>
          </cell>
          <cell r="D121">
            <v>1.2544999999999999</v>
          </cell>
          <cell r="E121">
            <v>944.9</v>
          </cell>
          <cell r="F121">
            <v>8.2933199999999996</v>
          </cell>
          <cell r="G121" t="e">
            <v>#VALUE!</v>
          </cell>
          <cell r="I121">
            <v>5.0669000000000004</v>
          </cell>
          <cell r="J121">
            <v>8.0160999999999998</v>
          </cell>
          <cell r="K121">
            <v>4.3600000000000003</v>
          </cell>
          <cell r="L121">
            <v>5.3479999999999999</v>
          </cell>
          <cell r="M121">
            <v>4.9009999999999998</v>
          </cell>
          <cell r="O121">
            <v>1.5784</v>
          </cell>
          <cell r="P121">
            <v>0.75770000000000004</v>
          </cell>
          <cell r="Q121">
            <v>104.15731819981522</v>
          </cell>
          <cell r="U121">
            <v>4.9443000000000001</v>
          </cell>
          <cell r="V121">
            <v>22.5</v>
          </cell>
          <cell r="W121" t="str">
            <v>#N/A N/A</v>
          </cell>
        </row>
        <row r="122">
          <cell r="B122">
            <v>86.11</v>
          </cell>
          <cell r="D122">
            <v>1.2629000000000001</v>
          </cell>
          <cell r="E122">
            <v>943.2</v>
          </cell>
          <cell r="F122">
            <v>8.2885899999999992</v>
          </cell>
          <cell r="G122" t="e">
            <v>#VALUE!</v>
          </cell>
          <cell r="I122">
            <v>5.0505000000000004</v>
          </cell>
          <cell r="J122">
            <v>8.0139999999999993</v>
          </cell>
          <cell r="K122">
            <v>4.3600000000000003</v>
          </cell>
          <cell r="L122">
            <v>5.2569999999999997</v>
          </cell>
          <cell r="M122">
            <v>4.8490000000000002</v>
          </cell>
          <cell r="O122">
            <v>1.5667</v>
          </cell>
          <cell r="P122">
            <v>0.76029999999999998</v>
          </cell>
          <cell r="Q122">
            <v>103.03169801394188</v>
          </cell>
          <cell r="U122">
            <v>4.9105999999999996</v>
          </cell>
          <cell r="V122">
            <v>22.667000000000002</v>
          </cell>
          <cell r="W122" t="str">
            <v>#N/A N/A</v>
          </cell>
        </row>
        <row r="123">
          <cell r="B123">
            <v>86.11</v>
          </cell>
          <cell r="D123">
            <v>1.2629000000000001</v>
          </cell>
          <cell r="E123">
            <v>943.2</v>
          </cell>
          <cell r="F123">
            <v>8.2885899999999992</v>
          </cell>
          <cell r="G123" t="e">
            <v>#VALUE!</v>
          </cell>
          <cell r="I123">
            <v>5.0505000000000004</v>
          </cell>
          <cell r="J123">
            <v>8.0139999999999993</v>
          </cell>
          <cell r="K123">
            <v>4.3600000000000003</v>
          </cell>
          <cell r="L123">
            <v>5.2569999999999997</v>
          </cell>
          <cell r="M123">
            <v>4.8490000000000002</v>
          </cell>
          <cell r="O123">
            <v>1.5667</v>
          </cell>
          <cell r="P123">
            <v>0.76029999999999998</v>
          </cell>
          <cell r="Q123">
            <v>103.03169801394188</v>
          </cell>
          <cell r="U123">
            <v>4.9105999999999996</v>
          </cell>
          <cell r="V123">
            <v>22.667000000000002</v>
          </cell>
          <cell r="W123" t="str">
            <v>#N/A N/A</v>
          </cell>
        </row>
        <row r="124">
          <cell r="B124">
            <v>86.11</v>
          </cell>
          <cell r="D124">
            <v>1.2629000000000001</v>
          </cell>
          <cell r="E124">
            <v>943.2</v>
          </cell>
          <cell r="F124">
            <v>8.2885899999999992</v>
          </cell>
          <cell r="G124" t="e">
            <v>#VALUE!</v>
          </cell>
          <cell r="I124">
            <v>5.0505000000000004</v>
          </cell>
          <cell r="J124">
            <v>8.0139999999999993</v>
          </cell>
          <cell r="K124">
            <v>4.3600000000000003</v>
          </cell>
          <cell r="L124">
            <v>5.2569999999999997</v>
          </cell>
          <cell r="M124">
            <v>4.8490000000000002</v>
          </cell>
          <cell r="O124">
            <v>1.5667</v>
          </cell>
          <cell r="P124">
            <v>0.76029999999999998</v>
          </cell>
          <cell r="Q124">
            <v>103.03169801394188</v>
          </cell>
          <cell r="U124">
            <v>4.9105999999999996</v>
          </cell>
          <cell r="V124">
            <v>22.667000000000002</v>
          </cell>
          <cell r="W124" t="str">
            <v>#N/A N/A</v>
          </cell>
        </row>
        <row r="125">
          <cell r="B125">
            <v>85.97</v>
          </cell>
          <cell r="D125">
            <v>1.2618</v>
          </cell>
          <cell r="E125">
            <v>943.15</v>
          </cell>
          <cell r="F125">
            <v>8.3387100000000007</v>
          </cell>
          <cell r="G125" t="e">
            <v>#VALUE!</v>
          </cell>
          <cell r="I125">
            <v>5.1368999999999998</v>
          </cell>
          <cell r="J125">
            <v>8.0139999999999993</v>
          </cell>
          <cell r="K125">
            <v>4.3600000000000003</v>
          </cell>
          <cell r="L125">
            <v>5.2569999999999997</v>
          </cell>
          <cell r="M125">
            <v>4.8490000000000002</v>
          </cell>
          <cell r="O125">
            <v>1.5620000000000001</v>
          </cell>
          <cell r="P125">
            <v>0.76190000000000002</v>
          </cell>
          <cell r="Q125">
            <v>102.50689066806669</v>
          </cell>
          <cell r="U125">
            <v>5.0035999999999996</v>
          </cell>
          <cell r="V125">
            <v>22.7</v>
          </cell>
          <cell r="W125" t="str">
            <v>#N/A N/A</v>
          </cell>
        </row>
        <row r="126">
          <cell r="B126">
            <v>85.79</v>
          </cell>
          <cell r="D126">
            <v>1.2610999999999999</v>
          </cell>
          <cell r="E126">
            <v>940.15</v>
          </cell>
          <cell r="F126">
            <v>8.2796099999999999</v>
          </cell>
          <cell r="G126" t="e">
            <v>#VALUE!</v>
          </cell>
          <cell r="I126">
            <v>5.1074999999999999</v>
          </cell>
          <cell r="J126">
            <v>8.0139999999999993</v>
          </cell>
          <cell r="K126">
            <v>4.3600000000000003</v>
          </cell>
          <cell r="L126">
            <v>5.266</v>
          </cell>
          <cell r="M126">
            <v>4.8499999999999996</v>
          </cell>
          <cell r="O126">
            <v>1.5611000000000002</v>
          </cell>
          <cell r="P126">
            <v>0.76080000000000003</v>
          </cell>
          <cell r="Q126">
            <v>102.59595162986331</v>
          </cell>
          <cell r="U126">
            <v>4.9714</v>
          </cell>
          <cell r="V126">
            <v>22.625</v>
          </cell>
          <cell r="W126" t="str">
            <v>#N/A N/A</v>
          </cell>
        </row>
        <row r="127">
          <cell r="B127">
            <v>85.84</v>
          </cell>
          <cell r="D127">
            <v>1.2639</v>
          </cell>
          <cell r="E127">
            <v>934.3</v>
          </cell>
          <cell r="F127">
            <v>8.2295400000000001</v>
          </cell>
          <cell r="G127" t="e">
            <v>#VALUE!</v>
          </cell>
          <cell r="I127">
            <v>5.1414</v>
          </cell>
          <cell r="J127">
            <v>8.0139999999999993</v>
          </cell>
          <cell r="K127">
            <v>4.3600000000000003</v>
          </cell>
          <cell r="L127">
            <v>5.2839999999999998</v>
          </cell>
          <cell r="M127">
            <v>4.8650000000000002</v>
          </cell>
          <cell r="O127">
            <v>1.5605</v>
          </cell>
          <cell r="P127">
            <v>0.77080000000000004</v>
          </cell>
          <cell r="Q127">
            <v>101.22599896211727</v>
          </cell>
          <cell r="U127">
            <v>5.0072000000000001</v>
          </cell>
          <cell r="V127">
            <v>22.6</v>
          </cell>
          <cell r="W127" t="str">
            <v>#N/A N/A</v>
          </cell>
        </row>
        <row r="128">
          <cell r="B128">
            <v>85.36</v>
          </cell>
          <cell r="D128">
            <v>1.2684</v>
          </cell>
          <cell r="E128">
            <v>939.6</v>
          </cell>
          <cell r="F128">
            <v>8.2751300000000008</v>
          </cell>
          <cell r="G128" t="e">
            <v>#VALUE!</v>
          </cell>
          <cell r="I128">
            <v>5.1520999999999999</v>
          </cell>
          <cell r="J128">
            <v>8.0139999999999993</v>
          </cell>
          <cell r="K128">
            <v>4.3600000000000003</v>
          </cell>
          <cell r="L128">
            <v>5.2629999999999999</v>
          </cell>
          <cell r="M128">
            <v>4.8449999999999998</v>
          </cell>
          <cell r="O128">
            <v>1.5609999999999999</v>
          </cell>
          <cell r="P128">
            <v>0.77149999999999996</v>
          </cell>
          <cell r="Q128">
            <v>101.16655865197669</v>
          </cell>
          <cell r="U128">
            <v>5.0288000000000004</v>
          </cell>
          <cell r="V128">
            <v>22.75</v>
          </cell>
          <cell r="W128" t="str">
            <v>#N/A N/A</v>
          </cell>
        </row>
        <row r="129">
          <cell r="B129">
            <v>85.14</v>
          </cell>
          <cell r="D129">
            <v>1.2745</v>
          </cell>
          <cell r="E129">
            <v>939.6</v>
          </cell>
          <cell r="F129">
            <v>8.3557100000000002</v>
          </cell>
          <cell r="G129" t="e">
            <v>#VALUE!</v>
          </cell>
          <cell r="I129">
            <v>5.0997000000000003</v>
          </cell>
          <cell r="J129">
            <v>8.0139999999999993</v>
          </cell>
          <cell r="K129">
            <v>4.3600000000000003</v>
          </cell>
          <cell r="L129">
            <v>5.2629999999999999</v>
          </cell>
          <cell r="M129">
            <v>4.8449999999999998</v>
          </cell>
          <cell r="O129">
            <v>1.5602</v>
          </cell>
          <cell r="P129">
            <v>0.77159999999999995</v>
          </cell>
          <cell r="Q129">
            <v>101.10160705028512</v>
          </cell>
          <cell r="U129">
            <v>4.9786000000000001</v>
          </cell>
          <cell r="V129">
            <v>22.9</v>
          </cell>
          <cell r="W129" t="str">
            <v>#N/A N/A</v>
          </cell>
        </row>
        <row r="130">
          <cell r="B130">
            <v>85.14</v>
          </cell>
          <cell r="D130">
            <v>1.2745</v>
          </cell>
          <cell r="E130">
            <v>939.6</v>
          </cell>
          <cell r="F130">
            <v>8.3557100000000002</v>
          </cell>
          <cell r="G130" t="e">
            <v>#VALUE!</v>
          </cell>
          <cell r="I130">
            <v>5.0997000000000003</v>
          </cell>
          <cell r="J130">
            <v>8.0139999999999993</v>
          </cell>
          <cell r="K130">
            <v>4.3600000000000003</v>
          </cell>
          <cell r="L130">
            <v>5.2629999999999999</v>
          </cell>
          <cell r="M130">
            <v>4.8449999999999998</v>
          </cell>
          <cell r="O130">
            <v>1.5602</v>
          </cell>
          <cell r="P130">
            <v>0.77159999999999995</v>
          </cell>
          <cell r="Q130">
            <v>101.10160705028512</v>
          </cell>
          <cell r="U130">
            <v>4.9786000000000001</v>
          </cell>
          <cell r="V130">
            <v>22.9</v>
          </cell>
          <cell r="W130" t="str">
            <v>#N/A N/A</v>
          </cell>
        </row>
        <row r="131">
          <cell r="B131">
            <v>85.14</v>
          </cell>
          <cell r="D131">
            <v>1.2745</v>
          </cell>
          <cell r="E131">
            <v>939.6</v>
          </cell>
          <cell r="F131">
            <v>8.3557100000000002</v>
          </cell>
          <cell r="G131" t="e">
            <v>#VALUE!</v>
          </cell>
          <cell r="I131">
            <v>5.0997000000000003</v>
          </cell>
          <cell r="J131">
            <v>8.0139999999999993</v>
          </cell>
          <cell r="K131">
            <v>4.3600000000000003</v>
          </cell>
          <cell r="L131">
            <v>5.2629999999999999</v>
          </cell>
          <cell r="M131">
            <v>4.8449999999999998</v>
          </cell>
          <cell r="O131">
            <v>1.5602</v>
          </cell>
          <cell r="P131">
            <v>0.77159999999999995</v>
          </cell>
          <cell r="Q131">
            <v>101.10160705028512</v>
          </cell>
          <cell r="U131">
            <v>4.9786000000000001</v>
          </cell>
          <cell r="V131">
            <v>22.9</v>
          </cell>
          <cell r="W131" t="str">
            <v>#N/A N/A</v>
          </cell>
        </row>
        <row r="132">
          <cell r="B132">
            <v>85.23</v>
          </cell>
          <cell r="D132">
            <v>1.2713999999999999</v>
          </cell>
          <cell r="E132">
            <v>927.8</v>
          </cell>
          <cell r="F132">
            <v>8.3097899999999996</v>
          </cell>
          <cell r="G132" t="e">
            <v>#VALUE!</v>
          </cell>
          <cell r="I132">
            <v>5.1104000000000003</v>
          </cell>
          <cell r="J132">
            <v>8.0069999999999997</v>
          </cell>
          <cell r="K132">
            <v>4.3600000000000003</v>
          </cell>
          <cell r="L132">
            <v>5.2249999999999996</v>
          </cell>
          <cell r="M132">
            <v>4.8090000000000002</v>
          </cell>
          <cell r="O132">
            <v>1.5613999999999999</v>
          </cell>
          <cell r="P132">
            <v>0.76839999999999997</v>
          </cell>
          <cell r="Q132">
            <v>101.60072878709005</v>
          </cell>
          <cell r="U132">
            <v>4.9965999999999999</v>
          </cell>
          <cell r="V132">
            <v>22.5</v>
          </cell>
          <cell r="W132" t="str">
            <v>#N/A N/A</v>
          </cell>
        </row>
        <row r="133">
          <cell r="B133">
            <v>84.83</v>
          </cell>
          <cell r="D133">
            <v>1.2756000000000001</v>
          </cell>
          <cell r="E133">
            <v>932</v>
          </cell>
          <cell r="F133">
            <v>8.3779000000000003</v>
          </cell>
          <cell r="G133" t="e">
            <v>#VALUE!</v>
          </cell>
          <cell r="I133">
            <v>5.1211000000000002</v>
          </cell>
          <cell r="J133">
            <v>8.0044000000000004</v>
          </cell>
          <cell r="K133">
            <v>4.3600000000000003</v>
          </cell>
          <cell r="L133">
            <v>5.2309999999999999</v>
          </cell>
          <cell r="M133">
            <v>4.8109999999999999</v>
          </cell>
          <cell r="O133">
            <v>1.5577999999999999</v>
          </cell>
          <cell r="P133">
            <v>0.77259999999999995</v>
          </cell>
          <cell r="Q133">
            <v>100.81542842350504</v>
          </cell>
          <cell r="U133">
            <v>5.0073999999999996</v>
          </cell>
          <cell r="V133">
            <v>22.75</v>
          </cell>
          <cell r="W133" t="str">
            <v>#N/A N/A</v>
          </cell>
        </row>
        <row r="134">
          <cell r="B134">
            <v>84.5</v>
          </cell>
          <cell r="D134">
            <v>1.2785</v>
          </cell>
          <cell r="E134">
            <v>929.2</v>
          </cell>
          <cell r="F134">
            <v>8.4109499999999997</v>
          </cell>
          <cell r="G134" t="e">
            <v>#VALUE!</v>
          </cell>
          <cell r="I134">
            <v>5.1234000000000002</v>
          </cell>
          <cell r="J134">
            <v>8.0037000000000003</v>
          </cell>
          <cell r="K134">
            <v>4.3600000000000003</v>
          </cell>
          <cell r="L134">
            <v>5.2350000000000003</v>
          </cell>
          <cell r="M134">
            <v>4.8220000000000001</v>
          </cell>
          <cell r="O134">
            <v>1.5590000000000002</v>
          </cell>
          <cell r="P134">
            <v>0.77569999999999995</v>
          </cell>
          <cell r="Q134">
            <v>100.4898801082893</v>
          </cell>
          <cell r="U134">
            <v>5.0183</v>
          </cell>
          <cell r="V134">
            <v>22.393000000000001</v>
          </cell>
          <cell r="W134" t="str">
            <v>#N/A N/A</v>
          </cell>
        </row>
        <row r="135">
          <cell r="B135">
            <v>84.27</v>
          </cell>
          <cell r="D135">
            <v>1.2863</v>
          </cell>
          <cell r="E135">
            <v>935.6</v>
          </cell>
          <cell r="F135">
            <v>8.48597</v>
          </cell>
          <cell r="G135" t="e">
            <v>#VALUE!</v>
          </cell>
          <cell r="I135">
            <v>5.1509999999999998</v>
          </cell>
          <cell r="J135">
            <v>8.0038</v>
          </cell>
          <cell r="K135">
            <v>4.3600000000000003</v>
          </cell>
          <cell r="L135">
            <v>5.2229999999999999</v>
          </cell>
          <cell r="M135">
            <v>4.7859999999999996</v>
          </cell>
          <cell r="O135">
            <v>1.5567</v>
          </cell>
          <cell r="P135">
            <v>0.77790000000000004</v>
          </cell>
          <cell r="Q135">
            <v>100.0578480524489</v>
          </cell>
          <cell r="U135">
            <v>5.0327000000000002</v>
          </cell>
          <cell r="V135">
            <v>22.457999999999998</v>
          </cell>
          <cell r="W135" t="str">
            <v>#N/A N/A</v>
          </cell>
        </row>
        <row r="136">
          <cell r="B136">
            <v>83.91</v>
          </cell>
          <cell r="D136">
            <v>1.2894000000000001</v>
          </cell>
          <cell r="E136">
            <v>932.85</v>
          </cell>
          <cell r="F136">
            <v>8.4550900000000002</v>
          </cell>
          <cell r="G136" t="e">
            <v>#VALUE!</v>
          </cell>
          <cell r="I136">
            <v>5.1938000000000004</v>
          </cell>
          <cell r="J136">
            <v>8.0061</v>
          </cell>
          <cell r="K136">
            <v>4.3600000000000003</v>
          </cell>
          <cell r="L136">
            <v>5.17</v>
          </cell>
          <cell r="M136">
            <v>4.7720000000000002</v>
          </cell>
          <cell r="O136">
            <v>1.5482</v>
          </cell>
          <cell r="P136">
            <v>0.77110000000000001</v>
          </cell>
          <cell r="Q136">
            <v>100.3890545973285</v>
          </cell>
          <cell r="U136">
            <v>5.0799000000000003</v>
          </cell>
          <cell r="V136">
            <v>22.5</v>
          </cell>
          <cell r="W136" t="str">
            <v>#N/A N/A</v>
          </cell>
        </row>
        <row r="137">
          <cell r="B137">
            <v>83.91</v>
          </cell>
          <cell r="D137">
            <v>1.2894000000000001</v>
          </cell>
          <cell r="E137">
            <v>932.85</v>
          </cell>
          <cell r="F137">
            <v>8.4550900000000002</v>
          </cell>
          <cell r="G137" t="e">
            <v>#VALUE!</v>
          </cell>
          <cell r="I137">
            <v>5.1938000000000004</v>
          </cell>
          <cell r="J137">
            <v>8.0061</v>
          </cell>
          <cell r="K137">
            <v>4.3600000000000003</v>
          </cell>
          <cell r="L137">
            <v>5.17</v>
          </cell>
          <cell r="M137">
            <v>4.7720000000000002</v>
          </cell>
          <cell r="O137">
            <v>1.5482</v>
          </cell>
          <cell r="P137">
            <v>0.77110000000000001</v>
          </cell>
          <cell r="Q137">
            <v>100.3890545973285</v>
          </cell>
          <cell r="U137">
            <v>5.0799000000000003</v>
          </cell>
          <cell r="V137">
            <v>22.5</v>
          </cell>
          <cell r="W137" t="str">
            <v>#N/A N/A</v>
          </cell>
        </row>
        <row r="138">
          <cell r="B138">
            <v>83.91</v>
          </cell>
          <cell r="D138">
            <v>1.2894000000000001</v>
          </cell>
          <cell r="E138">
            <v>932.85</v>
          </cell>
          <cell r="F138">
            <v>8.4550900000000002</v>
          </cell>
          <cell r="G138" t="e">
            <v>#VALUE!</v>
          </cell>
          <cell r="I138">
            <v>5.1938000000000004</v>
          </cell>
          <cell r="J138">
            <v>8.0061</v>
          </cell>
          <cell r="K138">
            <v>4.3600000000000003</v>
          </cell>
          <cell r="L138">
            <v>5.17</v>
          </cell>
          <cell r="M138">
            <v>4.7720000000000002</v>
          </cell>
          <cell r="O138">
            <v>1.5482</v>
          </cell>
          <cell r="P138">
            <v>0.77110000000000001</v>
          </cell>
          <cell r="Q138">
            <v>100.3890545973285</v>
          </cell>
          <cell r="U138">
            <v>5.0799000000000003</v>
          </cell>
          <cell r="V138">
            <v>22.5</v>
          </cell>
          <cell r="W138" t="str">
            <v>#N/A N/A</v>
          </cell>
        </row>
        <row r="139">
          <cell r="B139">
            <v>84.54</v>
          </cell>
          <cell r="D139">
            <v>1.2791999999999999</v>
          </cell>
          <cell r="E139">
            <v>943.5</v>
          </cell>
          <cell r="F139">
            <v>8.5415500000000009</v>
          </cell>
          <cell r="G139" t="e">
            <v>#VALUE!</v>
          </cell>
          <cell r="I139">
            <v>5.1532999999999998</v>
          </cell>
          <cell r="J139">
            <v>8.0030000000000001</v>
          </cell>
          <cell r="K139">
            <v>4.3600000000000003</v>
          </cell>
          <cell r="L139">
            <v>5.2279999999999998</v>
          </cell>
          <cell r="M139">
            <v>4.8099999999999996</v>
          </cell>
          <cell r="O139">
            <v>1.5504</v>
          </cell>
          <cell r="P139">
            <v>0.76180000000000003</v>
          </cell>
          <cell r="Q139">
            <v>101.75899186138093</v>
          </cell>
          <cell r="U139">
            <v>5.0328999999999997</v>
          </cell>
          <cell r="V139">
            <v>22.917000000000002</v>
          </cell>
          <cell r="W139" t="str">
            <v>#N/A N/A</v>
          </cell>
        </row>
        <row r="140">
          <cell r="B140">
            <v>84.17</v>
          </cell>
          <cell r="D140">
            <v>1.2825</v>
          </cell>
          <cell r="E140">
            <v>945</v>
          </cell>
          <cell r="F140">
            <v>8.5870099999999994</v>
          </cell>
          <cell r="G140" t="e">
            <v>#VALUE!</v>
          </cell>
          <cell r="I140">
            <v>5.0946999999999996</v>
          </cell>
          <cell r="J140">
            <v>8.0030000000000001</v>
          </cell>
          <cell r="K140">
            <v>4.3600000000000003</v>
          </cell>
          <cell r="L140">
            <v>5.2279999999999998</v>
          </cell>
          <cell r="M140">
            <v>4.8099999999999996</v>
          </cell>
          <cell r="O140">
            <v>1.5533999999999999</v>
          </cell>
          <cell r="P140">
            <v>0.76629999999999998</v>
          </cell>
          <cell r="Q140">
            <v>101.35717082082736</v>
          </cell>
          <cell r="U140">
            <v>4.9787999999999997</v>
          </cell>
          <cell r="V140">
            <v>22.917000000000002</v>
          </cell>
          <cell r="W140" t="str">
            <v>#N/A N/A</v>
          </cell>
        </row>
        <row r="141">
          <cell r="B141">
            <v>84.85</v>
          </cell>
          <cell r="D141">
            <v>1.2748999999999999</v>
          </cell>
          <cell r="E141">
            <v>936.95</v>
          </cell>
          <cell r="F141">
            <v>8.4864800000000002</v>
          </cell>
          <cell r="G141" t="e">
            <v>#VALUE!</v>
          </cell>
          <cell r="I141">
            <v>5.1431000000000004</v>
          </cell>
          <cell r="J141">
            <v>8.0024999999999995</v>
          </cell>
          <cell r="K141">
            <v>4.3600000000000003</v>
          </cell>
          <cell r="L141">
            <v>5.2359999999999998</v>
          </cell>
          <cell r="M141">
            <v>4.7809999999999997</v>
          </cell>
          <cell r="O141">
            <v>1.5482</v>
          </cell>
          <cell r="P141">
            <v>0.76100000000000001</v>
          </cell>
          <cell r="Q141">
            <v>101.72141918528253</v>
          </cell>
          <cell r="U141">
            <v>5.0113000000000003</v>
          </cell>
          <cell r="V141">
            <v>22.6</v>
          </cell>
          <cell r="W141" t="str">
            <v>#N/A N/A</v>
          </cell>
        </row>
        <row r="142">
          <cell r="B142">
            <v>84.51</v>
          </cell>
          <cell r="D142">
            <v>1.2827</v>
          </cell>
          <cell r="E142">
            <v>947.1</v>
          </cell>
          <cell r="F142">
            <v>8.5524699999999996</v>
          </cell>
          <cell r="G142" t="e">
            <v>#VALUE!</v>
          </cell>
          <cell r="I142">
            <v>5.0605000000000002</v>
          </cell>
          <cell r="J142">
            <v>8.01</v>
          </cell>
          <cell r="K142">
            <v>4.3600000000000003</v>
          </cell>
          <cell r="L142">
            <v>5.226</v>
          </cell>
          <cell r="M142">
            <v>4.7560000000000002</v>
          </cell>
          <cell r="O142">
            <v>1.5503</v>
          </cell>
          <cell r="P142">
            <v>0.76690000000000003</v>
          </cell>
          <cell r="Q142">
            <v>101.07575955144085</v>
          </cell>
          <cell r="U142">
            <v>4.9427000000000003</v>
          </cell>
          <cell r="V142">
            <v>23.213999999999999</v>
          </cell>
          <cell r="W142" t="str">
            <v>#N/A N/A</v>
          </cell>
        </row>
        <row r="143">
          <cell r="B143">
            <v>84.88</v>
          </cell>
          <cell r="D143">
            <v>1.2758</v>
          </cell>
          <cell r="E143">
            <v>946.25</v>
          </cell>
          <cell r="F143">
            <v>8.4683200000000003</v>
          </cell>
          <cell r="G143" t="e">
            <v>#VALUE!</v>
          </cell>
          <cell r="I143">
            <v>5.0583999999999998</v>
          </cell>
          <cell r="J143">
            <v>8.0220000000000002</v>
          </cell>
          <cell r="K143">
            <v>4.3600000000000003</v>
          </cell>
          <cell r="L143">
            <v>5.1680000000000001</v>
          </cell>
          <cell r="M143">
            <v>4.7240000000000002</v>
          </cell>
          <cell r="O143">
            <v>1.5537999999999998</v>
          </cell>
          <cell r="P143">
            <v>0.75739999999999996</v>
          </cell>
          <cell r="Q143">
            <v>102.57459730657513</v>
          </cell>
          <cell r="U143">
            <v>4.9607999999999999</v>
          </cell>
          <cell r="V143">
            <v>22.888999999999999</v>
          </cell>
          <cell r="W143" t="str">
            <v>#N/A N/A</v>
          </cell>
        </row>
        <row r="144">
          <cell r="B144">
            <v>84.88</v>
          </cell>
          <cell r="D144">
            <v>1.2758</v>
          </cell>
          <cell r="E144">
            <v>946.25</v>
          </cell>
          <cell r="F144">
            <v>8.4683200000000003</v>
          </cell>
          <cell r="G144" t="e">
            <v>#VALUE!</v>
          </cell>
          <cell r="I144">
            <v>5.0583999999999998</v>
          </cell>
          <cell r="J144">
            <v>8.0220000000000002</v>
          </cell>
          <cell r="K144">
            <v>4.3600000000000003</v>
          </cell>
          <cell r="L144">
            <v>5.1680000000000001</v>
          </cell>
          <cell r="M144">
            <v>4.7240000000000002</v>
          </cell>
          <cell r="O144">
            <v>1.5537999999999998</v>
          </cell>
          <cell r="P144">
            <v>0.75739999999999996</v>
          </cell>
          <cell r="Q144">
            <v>102.57459730657513</v>
          </cell>
          <cell r="U144">
            <v>4.9607999999999999</v>
          </cell>
          <cell r="V144">
            <v>22.888999999999999</v>
          </cell>
          <cell r="W144" t="str">
            <v>#N/A N/A</v>
          </cell>
        </row>
        <row r="145">
          <cell r="B145">
            <v>84.88</v>
          </cell>
          <cell r="D145">
            <v>1.2758</v>
          </cell>
          <cell r="E145">
            <v>946.25</v>
          </cell>
          <cell r="F145">
            <v>8.4683200000000003</v>
          </cell>
          <cell r="G145" t="e">
            <v>#VALUE!</v>
          </cell>
          <cell r="I145">
            <v>5.0583999999999998</v>
          </cell>
          <cell r="J145">
            <v>8.0220000000000002</v>
          </cell>
          <cell r="K145">
            <v>4.3600000000000003</v>
          </cell>
          <cell r="L145">
            <v>5.1680000000000001</v>
          </cell>
          <cell r="M145">
            <v>4.7240000000000002</v>
          </cell>
          <cell r="O145">
            <v>1.5537999999999998</v>
          </cell>
          <cell r="P145">
            <v>0.75739999999999996</v>
          </cell>
          <cell r="Q145">
            <v>102.57459730657513</v>
          </cell>
          <cell r="U145">
            <v>4.9607999999999999</v>
          </cell>
          <cell r="V145">
            <v>22.888999999999999</v>
          </cell>
          <cell r="W145" t="str">
            <v>#N/A N/A</v>
          </cell>
        </row>
        <row r="146">
          <cell r="B146">
            <v>84.35</v>
          </cell>
          <cell r="D146">
            <v>1.2837000000000001</v>
          </cell>
          <cell r="E146">
            <v>952.2</v>
          </cell>
          <cell r="F146">
            <v>8.5181400000000007</v>
          </cell>
          <cell r="G146" t="e">
            <v>#VALUE!</v>
          </cell>
          <cell r="I146">
            <v>5.0382999999999996</v>
          </cell>
          <cell r="J146">
            <v>8.0259999999999998</v>
          </cell>
          <cell r="K146">
            <v>4.3600000000000003</v>
          </cell>
          <cell r="L146">
            <v>5.1689999999999996</v>
          </cell>
          <cell r="M146">
            <v>4.7480000000000002</v>
          </cell>
          <cell r="O146">
            <v>1.5484</v>
          </cell>
          <cell r="P146">
            <v>0.75180000000000002</v>
          </cell>
          <cell r="Q146">
            <v>102.97951582867783</v>
          </cell>
          <cell r="U146">
            <v>4.9390999999999998</v>
          </cell>
          <cell r="V146">
            <v>23.625</v>
          </cell>
          <cell r="W146" t="str">
            <v>#N/A N/A</v>
          </cell>
        </row>
        <row r="147">
          <cell r="B147">
            <v>84.35</v>
          </cell>
          <cell r="D147">
            <v>1.2852999999999999</v>
          </cell>
          <cell r="E147">
            <v>943.8</v>
          </cell>
          <cell r="F147">
            <v>8.4813100000000006</v>
          </cell>
          <cell r="G147" t="e">
            <v>#VALUE!</v>
          </cell>
          <cell r="I147">
            <v>5.0122999999999998</v>
          </cell>
          <cell r="J147">
            <v>8.0239999999999991</v>
          </cell>
          <cell r="K147">
            <v>4.3600000000000003</v>
          </cell>
          <cell r="L147">
            <v>5.1920000000000002</v>
          </cell>
          <cell r="M147">
            <v>4.7640000000000002</v>
          </cell>
          <cell r="O147">
            <v>1.5523</v>
          </cell>
          <cell r="P147">
            <v>0.75670000000000004</v>
          </cell>
          <cell r="Q147">
            <v>102.57037134927975</v>
          </cell>
          <cell r="U147">
            <v>4.9138999999999999</v>
          </cell>
          <cell r="V147">
            <v>24.167000000000002</v>
          </cell>
          <cell r="W147" t="str">
            <v>#N/A N/A</v>
          </cell>
        </row>
        <row r="148">
          <cell r="B148">
            <v>84.95</v>
          </cell>
          <cell r="D148">
            <v>1.2755000000000001</v>
          </cell>
          <cell r="E148">
            <v>949.6</v>
          </cell>
          <cell r="F148">
            <v>8.4236699999999995</v>
          </cell>
          <cell r="G148" t="e">
            <v>#VALUE!</v>
          </cell>
          <cell r="I148">
            <v>5.0362999999999998</v>
          </cell>
          <cell r="J148">
            <v>8.0265000000000004</v>
          </cell>
          <cell r="K148">
            <v>4.3600000000000003</v>
          </cell>
          <cell r="L148">
            <v>5.1870000000000003</v>
          </cell>
          <cell r="M148">
            <v>4.758</v>
          </cell>
          <cell r="O148">
            <v>1.5543</v>
          </cell>
          <cell r="P148">
            <v>0.75170000000000003</v>
          </cell>
          <cell r="Q148">
            <v>103.38565917254223</v>
          </cell>
          <cell r="U148">
            <v>4.9318999999999997</v>
          </cell>
          <cell r="V148">
            <v>25.5</v>
          </cell>
          <cell r="W148" t="str">
            <v>#N/A N/A</v>
          </cell>
        </row>
        <row r="149">
          <cell r="B149">
            <v>84.71</v>
          </cell>
          <cell r="D149">
            <v>1.2766</v>
          </cell>
          <cell r="E149">
            <v>949.15</v>
          </cell>
          <cell r="F149">
            <v>8.4779599999999995</v>
          </cell>
          <cell r="G149" t="e">
            <v>#VALUE!</v>
          </cell>
          <cell r="I149">
            <v>5.0682999999999998</v>
          </cell>
          <cell r="J149">
            <v>8.0239999999999991</v>
          </cell>
          <cell r="K149">
            <v>4.3600000000000003</v>
          </cell>
          <cell r="L149">
            <v>5.18</v>
          </cell>
          <cell r="M149">
            <v>4.75</v>
          </cell>
          <cell r="O149">
            <v>1.5567</v>
          </cell>
          <cell r="P149">
            <v>0.75760000000000005</v>
          </cell>
          <cell r="Q149">
            <v>102.73891235480464</v>
          </cell>
          <cell r="U149">
            <v>4.9645000000000001</v>
          </cell>
          <cell r="V149">
            <v>24.812999999999999</v>
          </cell>
          <cell r="W149" t="str">
            <v>#N/A N/A</v>
          </cell>
        </row>
        <row r="150">
          <cell r="B150">
            <v>85.16</v>
          </cell>
          <cell r="D150">
            <v>1.2718</v>
          </cell>
          <cell r="E150">
            <v>945.5</v>
          </cell>
          <cell r="F150">
            <v>8.3865499999999997</v>
          </cell>
          <cell r="G150" t="e">
            <v>#VALUE!</v>
          </cell>
          <cell r="I150">
            <v>5.0480999999999998</v>
          </cell>
          <cell r="J150">
            <v>8.0250000000000004</v>
          </cell>
          <cell r="K150">
            <v>4.3600000000000003</v>
          </cell>
          <cell r="L150">
            <v>5.19</v>
          </cell>
          <cell r="M150">
            <v>4.76</v>
          </cell>
          <cell r="O150">
            <v>1.5624</v>
          </cell>
          <cell r="P150">
            <v>0.75819999999999999</v>
          </cell>
          <cell r="Q150">
            <v>103.03350039567395</v>
          </cell>
          <cell r="U150">
            <v>4.9356</v>
          </cell>
          <cell r="V150">
            <v>24.667000000000002</v>
          </cell>
          <cell r="W150" t="str">
            <v>#N/A N/A</v>
          </cell>
        </row>
        <row r="151">
          <cell r="B151">
            <v>85.16</v>
          </cell>
          <cell r="D151">
            <v>1.2718</v>
          </cell>
          <cell r="E151">
            <v>945.5</v>
          </cell>
          <cell r="F151">
            <v>8.3865499999999997</v>
          </cell>
          <cell r="G151" t="e">
            <v>#VALUE!</v>
          </cell>
          <cell r="I151">
            <v>5.0480999999999998</v>
          </cell>
          <cell r="J151">
            <v>8.0250000000000004</v>
          </cell>
          <cell r="K151">
            <v>4.3600000000000003</v>
          </cell>
          <cell r="L151">
            <v>5.19</v>
          </cell>
          <cell r="M151">
            <v>4.76</v>
          </cell>
          <cell r="O151">
            <v>1.5624</v>
          </cell>
          <cell r="P151">
            <v>0.75819999999999999</v>
          </cell>
          <cell r="Q151">
            <v>103.03350039567395</v>
          </cell>
          <cell r="U151">
            <v>4.9356</v>
          </cell>
          <cell r="V151">
            <v>24.667000000000002</v>
          </cell>
          <cell r="W151" t="str">
            <v>#N/A N/A</v>
          </cell>
        </row>
        <row r="152">
          <cell r="B152">
            <v>85.16</v>
          </cell>
          <cell r="D152">
            <v>1.2718</v>
          </cell>
          <cell r="E152">
            <v>945.5</v>
          </cell>
          <cell r="F152">
            <v>8.3865499999999997</v>
          </cell>
          <cell r="G152" t="e">
            <v>#VALUE!</v>
          </cell>
          <cell r="I152">
            <v>5.0480999999999998</v>
          </cell>
          <cell r="J152">
            <v>8.0250000000000004</v>
          </cell>
          <cell r="K152">
            <v>4.3600000000000003</v>
          </cell>
          <cell r="L152">
            <v>5.19</v>
          </cell>
          <cell r="M152">
            <v>4.76</v>
          </cell>
          <cell r="O152">
            <v>1.5624</v>
          </cell>
          <cell r="P152">
            <v>0.75819999999999999</v>
          </cell>
          <cell r="Q152">
            <v>103.03350039567395</v>
          </cell>
          <cell r="U152">
            <v>4.9356</v>
          </cell>
          <cell r="V152">
            <v>24.667000000000002</v>
          </cell>
          <cell r="W152" t="str">
            <v>#N/A N/A</v>
          </cell>
        </row>
        <row r="153">
          <cell r="B153">
            <v>85.05</v>
          </cell>
          <cell r="D153">
            <v>1.2751000000000001</v>
          </cell>
          <cell r="E153">
            <v>947.5</v>
          </cell>
          <cell r="F153">
            <v>8.4124999999999996</v>
          </cell>
          <cell r="G153" t="e">
            <v>#VALUE!</v>
          </cell>
          <cell r="I153">
            <v>5.0480999999999998</v>
          </cell>
          <cell r="J153">
            <v>8.0211000000000006</v>
          </cell>
          <cell r="K153">
            <v>4.3600000000000003</v>
          </cell>
          <cell r="L153">
            <v>5.18</v>
          </cell>
          <cell r="M153">
            <v>4.75</v>
          </cell>
          <cell r="O153">
            <v>1.5621</v>
          </cell>
          <cell r="P153">
            <v>0.75849999999999995</v>
          </cell>
          <cell r="Q153">
            <v>102.97297297297298</v>
          </cell>
          <cell r="U153">
            <v>4.9356</v>
          </cell>
          <cell r="V153">
            <v>23.832999999999998</v>
          </cell>
          <cell r="W153" t="str">
            <v>#N/A N/A</v>
          </cell>
        </row>
        <row r="154">
          <cell r="B154">
            <v>84.28</v>
          </cell>
          <cell r="D154">
            <v>1.2885</v>
          </cell>
          <cell r="E154">
            <v>945.7</v>
          </cell>
          <cell r="F154">
            <v>8.4441299999999995</v>
          </cell>
          <cell r="G154" t="e">
            <v>#VALUE!</v>
          </cell>
          <cell r="I154">
            <v>5.0762</v>
          </cell>
          <cell r="J154">
            <v>8.032</v>
          </cell>
          <cell r="K154">
            <v>4.3600000000000003</v>
          </cell>
          <cell r="L154">
            <v>5.15</v>
          </cell>
          <cell r="M154">
            <v>4.72</v>
          </cell>
          <cell r="O154">
            <v>1.5584</v>
          </cell>
          <cell r="P154">
            <v>0.76339999999999997</v>
          </cell>
          <cell r="Q154">
            <v>102.06968823683522</v>
          </cell>
          <cell r="U154">
            <v>4.9748999999999999</v>
          </cell>
          <cell r="V154">
            <v>23.786000000000001</v>
          </cell>
          <cell r="W154" t="str">
            <v>#N/A N/A</v>
          </cell>
        </row>
        <row r="155">
          <cell r="B155">
            <v>84.72</v>
          </cell>
          <cell r="D155">
            <v>1.2828999999999999</v>
          </cell>
          <cell r="E155">
            <v>945.7</v>
          </cell>
          <cell r="F155">
            <v>8.4163200000000007</v>
          </cell>
          <cell r="G155" t="e">
            <v>#VALUE!</v>
          </cell>
          <cell r="I155">
            <v>5.1185999999999998</v>
          </cell>
          <cell r="J155">
            <v>8.0175000000000001</v>
          </cell>
          <cell r="K155">
            <v>4.3600000000000003</v>
          </cell>
          <cell r="L155">
            <v>5.15</v>
          </cell>
          <cell r="M155">
            <v>4.72</v>
          </cell>
          <cell r="O155">
            <v>1.5609</v>
          </cell>
          <cell r="P155">
            <v>0.75249999999999995</v>
          </cell>
          <cell r="Q155">
            <v>103.71428571428571</v>
          </cell>
          <cell r="U155">
            <v>5.0323000000000002</v>
          </cell>
          <cell r="V155">
            <v>24.062999999999999</v>
          </cell>
          <cell r="W155" t="str">
            <v>#N/A N/A</v>
          </cell>
        </row>
        <row r="156">
          <cell r="B156">
            <v>84.79</v>
          </cell>
          <cell r="D156">
            <v>1.2812999999999999</v>
          </cell>
          <cell r="E156">
            <v>947.25</v>
          </cell>
          <cell r="F156">
            <v>8.4177599999999995</v>
          </cell>
          <cell r="G156" t="e">
            <v>#VALUE!</v>
          </cell>
          <cell r="I156">
            <v>5.0983999999999998</v>
          </cell>
          <cell r="J156">
            <v>8.0204000000000004</v>
          </cell>
          <cell r="K156">
            <v>4.3600000000000003</v>
          </cell>
          <cell r="L156">
            <v>5.14</v>
          </cell>
          <cell r="M156">
            <v>4.71</v>
          </cell>
          <cell r="O156">
            <v>1.5627</v>
          </cell>
          <cell r="P156">
            <v>0.74739999999999995</v>
          </cell>
          <cell r="Q156">
            <v>104.54241370082956</v>
          </cell>
          <cell r="U156">
            <v>5.0179999999999998</v>
          </cell>
          <cell r="V156">
            <v>23.917000000000002</v>
          </cell>
          <cell r="W156" t="str">
            <v>#N/A N/A</v>
          </cell>
        </row>
        <row r="157">
          <cell r="B157">
            <v>84.04</v>
          </cell>
          <cell r="D157">
            <v>1.2934000000000001</v>
          </cell>
          <cell r="E157">
            <v>948</v>
          </cell>
          <cell r="F157">
            <v>8.4972899999999996</v>
          </cell>
          <cell r="G157" t="e">
            <v>#VALUE!</v>
          </cell>
          <cell r="I157">
            <v>4.9897999999999998</v>
          </cell>
          <cell r="J157">
            <v>8.0229999999999997</v>
          </cell>
          <cell r="K157">
            <v>4.3600000000000003</v>
          </cell>
          <cell r="L157">
            <v>5.17</v>
          </cell>
          <cell r="M157">
            <v>4.74</v>
          </cell>
          <cell r="O157">
            <v>1.5601</v>
          </cell>
          <cell r="P157">
            <v>0.752</v>
          </cell>
          <cell r="Q157">
            <v>103.73005319148936</v>
          </cell>
          <cell r="U157">
            <v>4.8962000000000003</v>
          </cell>
          <cell r="V157">
            <v>23.9</v>
          </cell>
          <cell r="W157" t="str">
            <v>#N/A N/A</v>
          </cell>
        </row>
        <row r="158">
          <cell r="B158">
            <v>84.04</v>
          </cell>
          <cell r="D158">
            <v>1.2934000000000001</v>
          </cell>
          <cell r="E158">
            <v>948</v>
          </cell>
          <cell r="F158">
            <v>8.4972899999999996</v>
          </cell>
          <cell r="G158" t="e">
            <v>#VALUE!</v>
          </cell>
          <cell r="I158">
            <v>4.9897999999999998</v>
          </cell>
          <cell r="J158">
            <v>8.0229999999999997</v>
          </cell>
          <cell r="K158">
            <v>4.3600000000000003</v>
          </cell>
          <cell r="L158">
            <v>5.17</v>
          </cell>
          <cell r="M158">
            <v>4.74</v>
          </cell>
          <cell r="O158">
            <v>1.5601</v>
          </cell>
          <cell r="P158">
            <v>0.752</v>
          </cell>
          <cell r="Q158">
            <v>103.73005319148936</v>
          </cell>
          <cell r="U158">
            <v>4.8962000000000003</v>
          </cell>
          <cell r="V158">
            <v>23.9</v>
          </cell>
          <cell r="W158" t="str">
            <v>#N/A N/A</v>
          </cell>
        </row>
        <row r="159">
          <cell r="B159">
            <v>84.04</v>
          </cell>
          <cell r="D159">
            <v>1.2934000000000001</v>
          </cell>
          <cell r="E159">
            <v>948</v>
          </cell>
          <cell r="F159">
            <v>8.4972899999999996</v>
          </cell>
          <cell r="G159" t="e">
            <v>#VALUE!</v>
          </cell>
          <cell r="I159">
            <v>4.9897999999999998</v>
          </cell>
          <cell r="J159">
            <v>8.0229999999999997</v>
          </cell>
          <cell r="K159">
            <v>4.3600000000000003</v>
          </cell>
          <cell r="L159">
            <v>5.17</v>
          </cell>
          <cell r="M159">
            <v>4.74</v>
          </cell>
          <cell r="O159">
            <v>1.5601</v>
          </cell>
          <cell r="P159">
            <v>0.752</v>
          </cell>
          <cell r="Q159">
            <v>103.73005319148936</v>
          </cell>
          <cell r="U159">
            <v>4.8962000000000003</v>
          </cell>
          <cell r="V159">
            <v>23.9</v>
          </cell>
          <cell r="W159" t="str">
            <v>#N/A N/A</v>
          </cell>
        </row>
        <row r="160">
          <cell r="B160">
            <v>84.14</v>
          </cell>
          <cell r="D160">
            <v>1.2963</v>
          </cell>
          <cell r="E160">
            <v>943</v>
          </cell>
          <cell r="F160">
            <v>8.4509600000000002</v>
          </cell>
          <cell r="G160" t="e">
            <v>#VALUE!</v>
          </cell>
          <cell r="I160">
            <v>5.0176999999999996</v>
          </cell>
          <cell r="J160">
            <v>8.0076999999999998</v>
          </cell>
          <cell r="K160">
            <v>4.3600000000000003</v>
          </cell>
          <cell r="L160">
            <v>5.17</v>
          </cell>
          <cell r="M160">
            <v>4.74</v>
          </cell>
          <cell r="O160">
            <v>1.5583</v>
          </cell>
          <cell r="P160">
            <v>0.75270000000000004</v>
          </cell>
          <cell r="Q160">
            <v>103.51401620831673</v>
          </cell>
          <cell r="U160">
            <v>4.9462999999999999</v>
          </cell>
          <cell r="V160">
            <v>23.7</v>
          </cell>
          <cell r="W160" t="str">
            <v>#N/A N/A</v>
          </cell>
        </row>
        <row r="161">
          <cell r="B161">
            <v>84.73</v>
          </cell>
          <cell r="D161">
            <v>1.2828999999999999</v>
          </cell>
          <cell r="E161">
            <v>942.95</v>
          </cell>
          <cell r="F161">
            <v>8.3273700000000002</v>
          </cell>
          <cell r="G161" t="e">
            <v>#VALUE!</v>
          </cell>
          <cell r="I161">
            <v>4.9996999999999998</v>
          </cell>
          <cell r="J161">
            <v>8.0140999999999991</v>
          </cell>
          <cell r="K161">
            <v>4.3600000000000003</v>
          </cell>
          <cell r="L161">
            <v>5.17</v>
          </cell>
          <cell r="M161">
            <v>4.74</v>
          </cell>
          <cell r="O161">
            <v>1.5596000000000001</v>
          </cell>
          <cell r="P161">
            <v>0.74050000000000005</v>
          </cell>
          <cell r="Q161">
            <v>105.30722484807562</v>
          </cell>
          <cell r="U161">
            <v>4.9427000000000003</v>
          </cell>
          <cell r="V161">
            <v>23.8</v>
          </cell>
          <cell r="W161" t="str">
            <v>#N/A N/A</v>
          </cell>
        </row>
        <row r="162">
          <cell r="B162">
            <v>84.99</v>
          </cell>
          <cell r="D162">
            <v>1.2801</v>
          </cell>
          <cell r="E162">
            <v>948.2</v>
          </cell>
          <cell r="F162">
            <v>8.3637599999999992</v>
          </cell>
          <cell r="G162" t="e">
            <v>#VALUE!</v>
          </cell>
          <cell r="I162">
            <v>5.0176999999999996</v>
          </cell>
          <cell r="J162">
            <v>8.0172000000000008</v>
          </cell>
          <cell r="K162">
            <v>4.3600000000000003</v>
          </cell>
          <cell r="L162">
            <v>5.19</v>
          </cell>
          <cell r="M162">
            <v>4.7699999999999996</v>
          </cell>
          <cell r="O162">
            <v>1.5628</v>
          </cell>
          <cell r="P162">
            <v>0.74160000000000004</v>
          </cell>
          <cell r="Q162">
            <v>105.36677454153181</v>
          </cell>
          <cell r="U162">
            <v>4.9607000000000001</v>
          </cell>
          <cell r="V162">
            <v>23.375</v>
          </cell>
          <cell r="W162" t="str">
            <v>#N/A N/A</v>
          </cell>
        </row>
        <row r="163">
          <cell r="B163">
            <v>85.84</v>
          </cell>
          <cell r="D163">
            <v>1.2654000000000001</v>
          </cell>
          <cell r="E163">
            <v>953.45</v>
          </cell>
          <cell r="F163">
            <v>8.3518699999999999</v>
          </cell>
          <cell r="G163" t="e">
            <v>#VALUE!</v>
          </cell>
          <cell r="I163">
            <v>4.9935999999999998</v>
          </cell>
          <cell r="J163">
            <v>8.0089000000000006</v>
          </cell>
          <cell r="K163">
            <v>4.41</v>
          </cell>
          <cell r="L163">
            <v>5.18</v>
          </cell>
          <cell r="M163">
            <v>4.8</v>
          </cell>
          <cell r="O163">
            <v>1.5588</v>
          </cell>
          <cell r="P163">
            <v>0.74260000000000004</v>
          </cell>
          <cell r="Q163">
            <v>104.95556154053325</v>
          </cell>
          <cell r="U163">
            <v>4.9427000000000003</v>
          </cell>
          <cell r="V163">
            <v>23.687999999999999</v>
          </cell>
          <cell r="W163" t="str">
            <v>#N/A N/A</v>
          </cell>
        </row>
        <row r="164">
          <cell r="B164">
            <v>85.72</v>
          </cell>
          <cell r="D164">
            <v>1.2645</v>
          </cell>
          <cell r="E164">
            <v>954.5</v>
          </cell>
          <cell r="F164">
            <v>8.3779500000000002</v>
          </cell>
          <cell r="G164" t="e">
            <v>#VALUE!</v>
          </cell>
          <cell r="I164">
            <v>4.9714</v>
          </cell>
          <cell r="J164">
            <v>8.0112000000000005</v>
          </cell>
          <cell r="K164">
            <v>4.41</v>
          </cell>
          <cell r="L164">
            <v>5.17</v>
          </cell>
          <cell r="M164">
            <v>4.82</v>
          </cell>
          <cell r="O164">
            <v>1.5569</v>
          </cell>
          <cell r="P164">
            <v>0.74970000000000003</v>
          </cell>
          <cell r="Q164">
            <v>103.83486728024542</v>
          </cell>
          <cell r="U164">
            <v>4.9355000000000002</v>
          </cell>
          <cell r="V164">
            <v>24.832999999999998</v>
          </cell>
          <cell r="W164" t="str">
            <v>#N/A N/A</v>
          </cell>
        </row>
        <row r="165">
          <cell r="B165">
            <v>85.72</v>
          </cell>
          <cell r="D165">
            <v>1.2645</v>
          </cell>
          <cell r="E165">
            <v>954.5</v>
          </cell>
          <cell r="F165">
            <v>8.3779500000000002</v>
          </cell>
          <cell r="G165" t="e">
            <v>#VALUE!</v>
          </cell>
          <cell r="I165">
            <v>4.9714</v>
          </cell>
          <cell r="J165">
            <v>8.0112000000000005</v>
          </cell>
          <cell r="K165">
            <v>4.41</v>
          </cell>
          <cell r="L165">
            <v>5.17</v>
          </cell>
          <cell r="M165">
            <v>4.82</v>
          </cell>
          <cell r="O165">
            <v>1.5569</v>
          </cell>
          <cell r="P165">
            <v>0.74970000000000003</v>
          </cell>
          <cell r="Q165">
            <v>103.83486728024542</v>
          </cell>
          <cell r="U165">
            <v>4.9355000000000002</v>
          </cell>
          <cell r="V165">
            <v>24.832999999999998</v>
          </cell>
          <cell r="W165" t="str">
            <v>#N/A N/A</v>
          </cell>
        </row>
        <row r="166">
          <cell r="B166">
            <v>85.72</v>
          </cell>
          <cell r="D166">
            <v>1.2645</v>
          </cell>
          <cell r="E166">
            <v>954.5</v>
          </cell>
          <cell r="F166">
            <v>8.3779500000000002</v>
          </cell>
          <cell r="G166" t="e">
            <v>#VALUE!</v>
          </cell>
          <cell r="I166">
            <v>4.9714</v>
          </cell>
          <cell r="J166">
            <v>8.0112000000000005</v>
          </cell>
          <cell r="K166">
            <v>4.41</v>
          </cell>
          <cell r="L166">
            <v>5.17</v>
          </cell>
          <cell r="M166">
            <v>4.82</v>
          </cell>
          <cell r="O166">
            <v>1.5569</v>
          </cell>
          <cell r="P166">
            <v>0.74970000000000003</v>
          </cell>
          <cell r="Q166">
            <v>103.83486728024542</v>
          </cell>
          <cell r="U166">
            <v>4.9355000000000002</v>
          </cell>
          <cell r="V166">
            <v>24.832999999999998</v>
          </cell>
          <cell r="W166" t="str">
            <v>#N/A N/A</v>
          </cell>
        </row>
        <row r="167">
          <cell r="B167">
            <v>85.85</v>
          </cell>
          <cell r="D167">
            <v>1.2596000000000001</v>
          </cell>
          <cell r="E167">
            <v>956.8</v>
          </cell>
          <cell r="F167">
            <v>8.37608</v>
          </cell>
          <cell r="G167" t="e">
            <v>#VALUE!</v>
          </cell>
          <cell r="I167">
            <v>4.9774000000000003</v>
          </cell>
          <cell r="J167">
            <v>8.0188000000000006</v>
          </cell>
          <cell r="K167">
            <v>4.41</v>
          </cell>
          <cell r="L167">
            <v>5.19</v>
          </cell>
          <cell r="M167">
            <v>4.84</v>
          </cell>
          <cell r="O167">
            <v>1.5539000000000001</v>
          </cell>
          <cell r="P167">
            <v>0.74670000000000003</v>
          </cell>
          <cell r="Q167">
            <v>104.05115843042721</v>
          </cell>
          <cell r="U167">
            <v>4.9427000000000003</v>
          </cell>
          <cell r="V167">
            <v>24.417000000000002</v>
          </cell>
          <cell r="W167" t="str">
            <v>#N/A N/A</v>
          </cell>
        </row>
        <row r="168">
          <cell r="B168">
            <v>86.48</v>
          </cell>
          <cell r="D168">
            <v>1.2567999999999999</v>
          </cell>
          <cell r="E168">
            <v>961.65</v>
          </cell>
          <cell r="F168">
            <v>8.3512799999999991</v>
          </cell>
          <cell r="G168" t="e">
            <v>#VALUE!</v>
          </cell>
          <cell r="I168">
            <v>4.9612999999999996</v>
          </cell>
          <cell r="J168">
            <v>8.0035000000000007</v>
          </cell>
          <cell r="K168">
            <v>4.41</v>
          </cell>
          <cell r="L168">
            <v>5.19</v>
          </cell>
          <cell r="M168">
            <v>4.84</v>
          </cell>
          <cell r="O168">
            <v>1.5543</v>
          </cell>
          <cell r="P168">
            <v>0.73909999999999998</v>
          </cell>
          <cell r="Q168">
            <v>105.14815315924776</v>
          </cell>
          <cell r="U168">
            <v>4.9248000000000003</v>
          </cell>
          <cell r="V168">
            <v>24.832999999999998</v>
          </cell>
          <cell r="W168" t="str">
            <v>#N/A N/A</v>
          </cell>
        </row>
        <row r="169">
          <cell r="B169">
            <v>86.14</v>
          </cell>
          <cell r="D169">
            <v>1.2627999999999999</v>
          </cell>
          <cell r="E169">
            <v>962.1</v>
          </cell>
          <cell r="F169">
            <v>8.3711800000000007</v>
          </cell>
          <cell r="G169" t="e">
            <v>#VALUE!</v>
          </cell>
          <cell r="I169">
            <v>5.0617000000000001</v>
          </cell>
          <cell r="J169">
            <v>8.0005000000000006</v>
          </cell>
          <cell r="K169">
            <v>4.41</v>
          </cell>
          <cell r="L169">
            <v>5.21</v>
          </cell>
          <cell r="M169">
            <v>4.8499999999999996</v>
          </cell>
          <cell r="O169">
            <v>1.5504</v>
          </cell>
          <cell r="P169">
            <v>0.73850000000000005</v>
          </cell>
          <cell r="Q169">
            <v>104.96953283683142</v>
          </cell>
          <cell r="U169">
            <v>5.0400999999999998</v>
          </cell>
          <cell r="V169">
            <v>25.428999999999998</v>
          </cell>
          <cell r="W169" t="str">
            <v>#N/A N/A</v>
          </cell>
        </row>
        <row r="170">
          <cell r="B170">
            <v>86.02</v>
          </cell>
          <cell r="D170">
            <v>1.2616000000000001</v>
          </cell>
          <cell r="E170">
            <v>959.6</v>
          </cell>
          <cell r="F170">
            <v>8.3381799999999995</v>
          </cell>
          <cell r="G170" t="e">
            <v>#VALUE!</v>
          </cell>
          <cell r="I170">
            <v>5.0940000000000003</v>
          </cell>
          <cell r="J170">
            <v>8.0015000000000001</v>
          </cell>
          <cell r="K170">
            <v>4.41</v>
          </cell>
          <cell r="L170">
            <v>5.25</v>
          </cell>
          <cell r="M170">
            <v>4.8899999999999997</v>
          </cell>
          <cell r="O170">
            <v>1.554</v>
          </cell>
          <cell r="P170">
            <v>0.73780000000000001</v>
          </cell>
          <cell r="Q170">
            <v>105.31309297912715</v>
          </cell>
          <cell r="U170">
            <v>5.0690999999999997</v>
          </cell>
          <cell r="V170">
            <v>24.9</v>
          </cell>
          <cell r="W170" t="str">
            <v>#N/A N/A</v>
          </cell>
        </row>
        <row r="171">
          <cell r="B171">
            <v>85.94</v>
          </cell>
          <cell r="D171">
            <v>1.2625</v>
          </cell>
          <cell r="E171">
            <v>955.75</v>
          </cell>
          <cell r="F171">
            <v>8.3003999999999998</v>
          </cell>
          <cell r="G171" t="e">
            <v>#VALUE!</v>
          </cell>
          <cell r="I171">
            <v>5.1264000000000003</v>
          </cell>
          <cell r="J171">
            <v>8.0020000000000007</v>
          </cell>
          <cell r="K171">
            <v>4.4400000000000004</v>
          </cell>
          <cell r="L171">
            <v>5.25</v>
          </cell>
          <cell r="M171">
            <v>4.8899999999999997</v>
          </cell>
          <cell r="O171">
            <v>1.5564</v>
          </cell>
          <cell r="P171">
            <v>0.73809999999999998</v>
          </cell>
          <cell r="Q171">
            <v>105.43286817504402</v>
          </cell>
          <cell r="U171">
            <v>5.0983000000000001</v>
          </cell>
          <cell r="V171">
            <v>24</v>
          </cell>
          <cell r="W171" t="str">
            <v>#N/A N/A</v>
          </cell>
        </row>
        <row r="172">
          <cell r="B172">
            <v>85.94</v>
          </cell>
          <cell r="D172">
            <v>1.2625</v>
          </cell>
          <cell r="E172">
            <v>955.75</v>
          </cell>
          <cell r="F172">
            <v>8.3003999999999998</v>
          </cell>
          <cell r="G172" t="e">
            <v>#VALUE!</v>
          </cell>
          <cell r="I172">
            <v>5.1264000000000003</v>
          </cell>
          <cell r="J172">
            <v>8.0020000000000007</v>
          </cell>
          <cell r="K172">
            <v>4.4400000000000004</v>
          </cell>
          <cell r="L172">
            <v>5.25</v>
          </cell>
          <cell r="M172">
            <v>4.8899999999999997</v>
          </cell>
          <cell r="O172">
            <v>1.5564</v>
          </cell>
          <cell r="P172">
            <v>0.73809999999999998</v>
          </cell>
          <cell r="Q172">
            <v>105.43286817504402</v>
          </cell>
          <cell r="U172">
            <v>5.0983000000000001</v>
          </cell>
          <cell r="V172">
            <v>24</v>
          </cell>
          <cell r="W172" t="str">
            <v>#N/A N/A</v>
          </cell>
        </row>
        <row r="173">
          <cell r="B173">
            <v>85.94</v>
          </cell>
          <cell r="D173">
            <v>1.2625</v>
          </cell>
          <cell r="E173">
            <v>955.75</v>
          </cell>
          <cell r="F173">
            <v>8.3003999999999998</v>
          </cell>
          <cell r="G173" t="e">
            <v>#VALUE!</v>
          </cell>
          <cell r="I173">
            <v>5.1264000000000003</v>
          </cell>
          <cell r="J173">
            <v>8.0020000000000007</v>
          </cell>
          <cell r="K173">
            <v>4.4400000000000004</v>
          </cell>
          <cell r="L173">
            <v>5.25</v>
          </cell>
          <cell r="M173">
            <v>4.8899999999999997</v>
          </cell>
          <cell r="O173">
            <v>1.5564</v>
          </cell>
          <cell r="P173">
            <v>0.73809999999999998</v>
          </cell>
          <cell r="Q173">
            <v>105.43286817504402</v>
          </cell>
          <cell r="U173">
            <v>5.0983000000000001</v>
          </cell>
          <cell r="V173">
            <v>24</v>
          </cell>
          <cell r="W173" t="str">
            <v>#N/A N/A</v>
          </cell>
        </row>
        <row r="174">
          <cell r="B174">
            <v>86.32</v>
          </cell>
          <cell r="D174">
            <v>1.2572999999999999</v>
          </cell>
          <cell r="E174">
            <v>961.25</v>
          </cell>
          <cell r="F174">
            <v>8.3369499999999999</v>
          </cell>
          <cell r="G174" t="e">
            <v>#VALUE!</v>
          </cell>
          <cell r="I174">
            <v>5.1345000000000001</v>
          </cell>
          <cell r="J174">
            <v>8.0060000000000002</v>
          </cell>
          <cell r="K174">
            <v>4.4800000000000004</v>
          </cell>
          <cell r="L174">
            <v>5.3</v>
          </cell>
          <cell r="M174">
            <v>4.9400000000000004</v>
          </cell>
          <cell r="O174">
            <v>1.5613999999999999</v>
          </cell>
          <cell r="P174">
            <v>0.7369</v>
          </cell>
          <cell r="Q174">
            <v>105.94381869995928</v>
          </cell>
          <cell r="U174">
            <v>5.1130000000000004</v>
          </cell>
          <cell r="V174">
            <v>24.6</v>
          </cell>
          <cell r="W174" t="str">
            <v>#N/A N/A</v>
          </cell>
        </row>
        <row r="175">
          <cell r="B175">
            <v>86.18</v>
          </cell>
          <cell r="D175">
            <v>1.2587999999999999</v>
          </cell>
          <cell r="E175">
            <v>956.65</v>
          </cell>
          <cell r="F175">
            <v>8.3295600000000007</v>
          </cell>
          <cell r="G175" t="e">
            <v>#VALUE!</v>
          </cell>
          <cell r="I175">
            <v>5.1486999999999998</v>
          </cell>
          <cell r="J175">
            <v>8.0029000000000003</v>
          </cell>
          <cell r="K175">
            <v>4.5</v>
          </cell>
          <cell r="L175">
            <v>5.31</v>
          </cell>
          <cell r="M175">
            <v>4.9400000000000004</v>
          </cell>
          <cell r="O175">
            <v>1.5588</v>
          </cell>
          <cell r="P175">
            <v>0.73809999999999998</v>
          </cell>
          <cell r="Q175">
            <v>105.59544777130469</v>
          </cell>
          <cell r="U175">
            <v>5.1276000000000002</v>
          </cell>
          <cell r="V175">
            <v>25.7</v>
          </cell>
          <cell r="W175" t="str">
            <v>#N/A N/A</v>
          </cell>
        </row>
        <row r="176">
          <cell r="B176">
            <v>85.78</v>
          </cell>
          <cell r="D176">
            <v>1.2662</v>
          </cell>
          <cell r="E176">
            <v>955.8</v>
          </cell>
          <cell r="F176">
            <v>8.3299599999999998</v>
          </cell>
          <cell r="G176" t="e">
            <v>#VALUE!</v>
          </cell>
          <cell r="I176">
            <v>5.1528</v>
          </cell>
          <cell r="J176">
            <v>7.9969999999999999</v>
          </cell>
          <cell r="K176">
            <v>4.51</v>
          </cell>
          <cell r="L176">
            <v>5.29</v>
          </cell>
          <cell r="M176">
            <v>4.9400000000000004</v>
          </cell>
          <cell r="O176">
            <v>1.5617000000000001</v>
          </cell>
          <cell r="P176">
            <v>0.73780000000000001</v>
          </cell>
          <cell r="Q176">
            <v>105.83491461100569</v>
          </cell>
          <cell r="U176">
            <v>5.1349999999999998</v>
          </cell>
          <cell r="V176">
            <v>25.5</v>
          </cell>
          <cell r="W176" t="str">
            <v>#N/A N/A</v>
          </cell>
        </row>
        <row r="177">
          <cell r="B177">
            <v>86.39</v>
          </cell>
          <cell r="D177">
            <v>1.2572000000000001</v>
          </cell>
          <cell r="E177">
            <v>955.2</v>
          </cell>
          <cell r="F177">
            <v>8.2167700000000004</v>
          </cell>
          <cell r="G177" t="e">
            <v>#VALUE!</v>
          </cell>
          <cell r="I177">
            <v>5.2080000000000002</v>
          </cell>
          <cell r="J177">
            <v>7.9963999999999995</v>
          </cell>
          <cell r="K177">
            <v>4.55</v>
          </cell>
          <cell r="L177">
            <v>5.3</v>
          </cell>
          <cell r="M177">
            <v>4.96</v>
          </cell>
          <cell r="O177">
            <v>1.5636000000000001</v>
          </cell>
          <cell r="P177">
            <v>0.7329</v>
          </cell>
          <cell r="Q177">
            <v>106.67212443716743</v>
          </cell>
          <cell r="U177">
            <v>5.1862000000000004</v>
          </cell>
          <cell r="V177">
            <v>25.213999999999999</v>
          </cell>
          <cell r="W177" t="str">
            <v>#N/A N/A</v>
          </cell>
        </row>
        <row r="178">
          <cell r="B178">
            <v>86.88</v>
          </cell>
          <cell r="D178">
            <v>1.2526999999999999</v>
          </cell>
          <cell r="E178">
            <v>956.05</v>
          </cell>
          <cell r="F178">
            <v>8.2219599999999993</v>
          </cell>
          <cell r="G178" t="e">
            <v>#VALUE!</v>
          </cell>
          <cell r="I178">
            <v>5.2222999999999997</v>
          </cell>
          <cell r="J178">
            <v>8.0001999999999995</v>
          </cell>
          <cell r="K178">
            <v>4.55</v>
          </cell>
          <cell r="L178">
            <v>5.36</v>
          </cell>
          <cell r="M178">
            <v>5.04</v>
          </cell>
          <cell r="O178">
            <v>1.5617999999999999</v>
          </cell>
          <cell r="P178">
            <v>0.73219999999999996</v>
          </cell>
          <cell r="Q178">
            <v>106.65118819994537</v>
          </cell>
          <cell r="U178">
            <v>5.2049000000000003</v>
          </cell>
          <cell r="V178">
            <v>26</v>
          </cell>
          <cell r="W178" t="str">
            <v>#N/A N/A</v>
          </cell>
        </row>
        <row r="179">
          <cell r="B179">
            <v>86.88</v>
          </cell>
          <cell r="D179">
            <v>1.2526999999999999</v>
          </cell>
          <cell r="E179">
            <v>956.05</v>
          </cell>
          <cell r="F179">
            <v>8.2219599999999993</v>
          </cell>
          <cell r="G179" t="e">
            <v>#VALUE!</v>
          </cell>
          <cell r="I179">
            <v>5.2222999999999997</v>
          </cell>
          <cell r="J179">
            <v>8.0001999999999995</v>
          </cell>
          <cell r="K179">
            <v>4.55</v>
          </cell>
          <cell r="L179">
            <v>5.36</v>
          </cell>
          <cell r="M179">
            <v>5.04</v>
          </cell>
          <cell r="O179">
            <v>1.5617999999999999</v>
          </cell>
          <cell r="P179">
            <v>0.73219999999999996</v>
          </cell>
          <cell r="Q179">
            <v>106.65118819994537</v>
          </cell>
          <cell r="U179">
            <v>5.2049000000000003</v>
          </cell>
          <cell r="V179">
            <v>26</v>
          </cell>
          <cell r="W179" t="str">
            <v>#N/A N/A</v>
          </cell>
        </row>
        <row r="180">
          <cell r="B180">
            <v>86.88</v>
          </cell>
          <cell r="D180">
            <v>1.2526999999999999</v>
          </cell>
          <cell r="E180">
            <v>956.05</v>
          </cell>
          <cell r="F180">
            <v>8.2219599999999993</v>
          </cell>
          <cell r="G180" t="e">
            <v>#VALUE!</v>
          </cell>
          <cell r="I180">
            <v>5.2222999999999997</v>
          </cell>
          <cell r="J180">
            <v>8.0001999999999995</v>
          </cell>
          <cell r="K180">
            <v>4.55</v>
          </cell>
          <cell r="L180">
            <v>5.36</v>
          </cell>
          <cell r="M180">
            <v>5.04</v>
          </cell>
          <cell r="O180">
            <v>1.5617999999999999</v>
          </cell>
          <cell r="P180">
            <v>0.73219999999999996</v>
          </cell>
          <cell r="Q180">
            <v>106.65118819994537</v>
          </cell>
          <cell r="U180">
            <v>5.2049000000000003</v>
          </cell>
          <cell r="V180">
            <v>26</v>
          </cell>
          <cell r="W180" t="str">
            <v>#N/A N/A</v>
          </cell>
        </row>
        <row r="181">
          <cell r="B181">
            <v>86.49</v>
          </cell>
          <cell r="D181">
            <v>1.2564</v>
          </cell>
          <cell r="E181">
            <v>959.5</v>
          </cell>
          <cell r="F181">
            <v>8.2456099999999992</v>
          </cell>
          <cell r="G181" t="e">
            <v>#VALUE!</v>
          </cell>
          <cell r="I181">
            <v>5.2325999999999997</v>
          </cell>
          <cell r="J181">
            <v>8.0020000000000007</v>
          </cell>
          <cell r="K181">
            <v>4.5599999999999996</v>
          </cell>
          <cell r="L181">
            <v>5.34</v>
          </cell>
          <cell r="M181">
            <v>5.03</v>
          </cell>
          <cell r="O181">
            <v>1.5634000000000001</v>
          </cell>
          <cell r="P181">
            <v>0.73170000000000002</v>
          </cell>
          <cell r="Q181">
            <v>106.83340166735</v>
          </cell>
          <cell r="U181">
            <v>5.2087000000000003</v>
          </cell>
          <cell r="V181">
            <v>27</v>
          </cell>
          <cell r="W181" t="str">
            <v>#N/A N/A</v>
          </cell>
        </row>
        <row r="182">
          <cell r="B182">
            <v>86.47</v>
          </cell>
          <cell r="D182">
            <v>1.2591999999999999</v>
          </cell>
          <cell r="E182">
            <v>958.8</v>
          </cell>
          <cell r="F182">
            <v>8.24526</v>
          </cell>
          <cell r="G182" t="e">
            <v>#VALUE!</v>
          </cell>
          <cell r="I182">
            <v>5.1997999999999998</v>
          </cell>
          <cell r="J182">
            <v>7.9983000000000004</v>
          </cell>
          <cell r="K182">
            <v>4.57</v>
          </cell>
          <cell r="L182">
            <v>5.34</v>
          </cell>
          <cell r="M182">
            <v>5.04</v>
          </cell>
          <cell r="O182">
            <v>1.5644</v>
          </cell>
          <cell r="P182">
            <v>0.73340000000000005</v>
          </cell>
          <cell r="Q182">
            <v>106.65394055085902</v>
          </cell>
          <cell r="U182">
            <v>5.1867999999999999</v>
          </cell>
          <cell r="V182">
            <v>27</v>
          </cell>
          <cell r="W182" t="str">
            <v>#N/A N/A</v>
          </cell>
        </row>
        <row r="183">
          <cell r="B183">
            <v>86.63</v>
          </cell>
          <cell r="D183">
            <v>1.2538</v>
          </cell>
          <cell r="E183">
            <v>957.7</v>
          </cell>
          <cell r="F183">
            <v>8.2257200000000008</v>
          </cell>
          <cell r="G183" t="e">
            <v>#VALUE!</v>
          </cell>
          <cell r="I183">
            <v>5.2428999999999997</v>
          </cell>
          <cell r="J183">
            <v>7.9984000000000002</v>
          </cell>
          <cell r="K183">
            <v>4.57</v>
          </cell>
          <cell r="L183">
            <v>5.34</v>
          </cell>
          <cell r="M183">
            <v>5.04</v>
          </cell>
          <cell r="O183">
            <v>1.5644</v>
          </cell>
          <cell r="P183">
            <v>0.7288</v>
          </cell>
          <cell r="Q183">
            <v>107.32711306256861</v>
          </cell>
          <cell r="U183">
            <v>5.2309999999999999</v>
          </cell>
          <cell r="V183">
            <v>27.55</v>
          </cell>
          <cell r="W183" t="str">
            <v>#N/A N/A</v>
          </cell>
        </row>
        <row r="184">
          <cell r="B184">
            <v>85.92</v>
          </cell>
          <cell r="D184">
            <v>1.254</v>
          </cell>
          <cell r="E184">
            <v>960.6</v>
          </cell>
          <cell r="F184">
            <v>8.2678499999999993</v>
          </cell>
          <cell r="G184" t="e">
            <v>#VALUE!</v>
          </cell>
          <cell r="I184">
            <v>5.1936</v>
          </cell>
          <cell r="J184">
            <v>7.9954999999999998</v>
          </cell>
          <cell r="K184">
            <v>4.5999999999999996</v>
          </cell>
          <cell r="L184">
            <v>5.3</v>
          </cell>
          <cell r="M184">
            <v>5.01</v>
          </cell>
          <cell r="O184">
            <v>1.5657000000000001</v>
          </cell>
          <cell r="P184">
            <v>0.73180000000000001</v>
          </cell>
          <cell r="Q184">
            <v>106.97594971303634</v>
          </cell>
          <cell r="U184">
            <v>5.1501000000000001</v>
          </cell>
          <cell r="V184">
            <v>27.428999999999998</v>
          </cell>
          <cell r="W184" t="str">
            <v>#N/A N/A</v>
          </cell>
        </row>
        <row r="185">
          <cell r="B185">
            <v>85.16</v>
          </cell>
          <cell r="D185">
            <v>1.2785</v>
          </cell>
          <cell r="E185">
            <v>948.7</v>
          </cell>
          <cell r="F185">
            <v>8.2872199999999996</v>
          </cell>
          <cell r="G185" t="e">
            <v>#VALUE!</v>
          </cell>
          <cell r="I185">
            <v>5.1364000000000001</v>
          </cell>
          <cell r="J185">
            <v>7.9943</v>
          </cell>
          <cell r="K185">
            <v>4.59</v>
          </cell>
          <cell r="L185">
            <v>5.2</v>
          </cell>
          <cell r="M185">
            <v>4.92</v>
          </cell>
          <cell r="O185">
            <v>1.5653999999999999</v>
          </cell>
          <cell r="P185">
            <v>0.74229999999999996</v>
          </cell>
          <cell r="Q185">
            <v>105.44254344604607</v>
          </cell>
          <cell r="U185">
            <v>5.0926</v>
          </cell>
          <cell r="V185">
            <v>25.312999999999999</v>
          </cell>
          <cell r="W185" t="str">
            <v>#N/A N/A</v>
          </cell>
        </row>
        <row r="186">
          <cell r="B186">
            <v>85.16</v>
          </cell>
          <cell r="D186">
            <v>1.2785</v>
          </cell>
          <cell r="E186">
            <v>948.7</v>
          </cell>
          <cell r="F186">
            <v>8.2872199999999996</v>
          </cell>
          <cell r="G186" t="e">
            <v>#VALUE!</v>
          </cell>
          <cell r="I186">
            <v>5.1364000000000001</v>
          </cell>
          <cell r="J186">
            <v>7.9943</v>
          </cell>
          <cell r="K186">
            <v>4.59</v>
          </cell>
          <cell r="L186">
            <v>5.2</v>
          </cell>
          <cell r="M186">
            <v>4.92</v>
          </cell>
          <cell r="O186">
            <v>1.5653999999999999</v>
          </cell>
          <cell r="P186">
            <v>0.74229999999999996</v>
          </cell>
          <cell r="Q186">
            <v>105.44254344604607</v>
          </cell>
          <cell r="U186">
            <v>5.0926</v>
          </cell>
          <cell r="V186">
            <v>25.312999999999999</v>
          </cell>
          <cell r="W186" t="str">
            <v>#N/A N/A</v>
          </cell>
        </row>
        <row r="187">
          <cell r="B187">
            <v>85.16</v>
          </cell>
          <cell r="D187">
            <v>1.2785</v>
          </cell>
          <cell r="E187">
            <v>948.7</v>
          </cell>
          <cell r="F187">
            <v>8.2872199999999996</v>
          </cell>
          <cell r="G187" t="e">
            <v>#VALUE!</v>
          </cell>
          <cell r="I187">
            <v>5.1364000000000001</v>
          </cell>
          <cell r="J187">
            <v>7.9943</v>
          </cell>
          <cell r="K187">
            <v>4.59</v>
          </cell>
          <cell r="L187">
            <v>5.2</v>
          </cell>
          <cell r="M187">
            <v>4.92</v>
          </cell>
          <cell r="O187">
            <v>1.5653999999999999</v>
          </cell>
          <cell r="P187">
            <v>0.74229999999999996</v>
          </cell>
          <cell r="Q187">
            <v>105.44254344604607</v>
          </cell>
          <cell r="U187">
            <v>5.0926</v>
          </cell>
          <cell r="V187">
            <v>25.312999999999999</v>
          </cell>
          <cell r="W187" t="str">
            <v>#N/A N/A</v>
          </cell>
        </row>
        <row r="188">
          <cell r="B188">
            <v>85.19</v>
          </cell>
          <cell r="D188">
            <v>1.2796000000000001</v>
          </cell>
          <cell r="E188">
            <v>944.85</v>
          </cell>
          <cell r="F188">
            <v>8.2300400000000007</v>
          </cell>
          <cell r="G188" t="e">
            <v>#VALUE!</v>
          </cell>
          <cell r="I188">
            <v>5.1486000000000001</v>
          </cell>
          <cell r="J188">
            <v>8.0027000000000008</v>
          </cell>
          <cell r="K188">
            <v>4.59</v>
          </cell>
          <cell r="L188">
            <v>5.19</v>
          </cell>
          <cell r="M188">
            <v>4.92</v>
          </cell>
          <cell r="O188">
            <v>1.5670999999999999</v>
          </cell>
          <cell r="P188">
            <v>0.74309999999999998</v>
          </cell>
          <cell r="Q188">
            <v>105.4434127304535</v>
          </cell>
          <cell r="U188">
            <v>5.1068999999999996</v>
          </cell>
          <cell r="V188">
            <v>25.213999999999999</v>
          </cell>
          <cell r="W188" t="str">
            <v>#N/A N/A</v>
          </cell>
        </row>
        <row r="189">
          <cell r="B189">
            <v>85.15</v>
          </cell>
          <cell r="D189">
            <v>1.2798</v>
          </cell>
          <cell r="E189">
            <v>943.4</v>
          </cell>
          <cell r="F189">
            <v>8.2306699999999999</v>
          </cell>
          <cell r="G189" t="e">
            <v>#VALUE!</v>
          </cell>
          <cell r="I189">
            <v>5.1486000000000001</v>
          </cell>
          <cell r="J189">
            <v>7.9995000000000003</v>
          </cell>
          <cell r="K189">
            <v>4.5999999999999996</v>
          </cell>
          <cell r="L189">
            <v>5.18</v>
          </cell>
          <cell r="M189">
            <v>4.8899999999999997</v>
          </cell>
          <cell r="O189">
            <v>1.5681</v>
          </cell>
          <cell r="P189">
            <v>0.74429999999999996</v>
          </cell>
          <cell r="Q189">
            <v>105.34058847239018</v>
          </cell>
          <cell r="U189">
            <v>5.1067999999999998</v>
          </cell>
          <cell r="V189">
            <v>25.5</v>
          </cell>
          <cell r="W189" t="str">
            <v>#N/A N/A</v>
          </cell>
        </row>
        <row r="190">
          <cell r="B190">
            <v>85.6</v>
          </cell>
          <cell r="D190">
            <v>1.2724</v>
          </cell>
          <cell r="E190">
            <v>946.8</v>
          </cell>
          <cell r="F190">
            <v>8.1867699999999992</v>
          </cell>
          <cell r="G190" t="e">
            <v>#VALUE!</v>
          </cell>
          <cell r="I190">
            <v>5.2203999999999997</v>
          </cell>
          <cell r="J190">
            <v>7.9958</v>
          </cell>
          <cell r="K190">
            <v>4.5999999999999996</v>
          </cell>
          <cell r="L190">
            <v>5.17</v>
          </cell>
          <cell r="M190">
            <v>4.8499999999999996</v>
          </cell>
          <cell r="O190">
            <v>1.5691999999999999</v>
          </cell>
          <cell r="P190">
            <v>0.74050000000000005</v>
          </cell>
          <cell r="Q190">
            <v>105.95543551654288</v>
          </cell>
          <cell r="U190">
            <v>5.1822999999999997</v>
          </cell>
          <cell r="V190">
            <v>25.856999999999999</v>
          </cell>
          <cell r="W190" t="str">
            <v>#N/A N/A</v>
          </cell>
        </row>
        <row r="191">
          <cell r="B191">
            <v>85.35</v>
          </cell>
          <cell r="D191">
            <v>1.2759</v>
          </cell>
          <cell r="E191">
            <v>949.8</v>
          </cell>
          <cell r="F191">
            <v>8.2480100000000007</v>
          </cell>
          <cell r="G191" t="e">
            <v>#VALUE!</v>
          </cell>
          <cell r="I191">
            <v>5.1792999999999996</v>
          </cell>
          <cell r="J191">
            <v>7.9924999999999997</v>
          </cell>
          <cell r="K191">
            <v>4.5999999999999996</v>
          </cell>
          <cell r="L191">
            <v>5.18</v>
          </cell>
          <cell r="M191">
            <v>4.8499999999999996</v>
          </cell>
          <cell r="O191">
            <v>1.5691999999999999</v>
          </cell>
          <cell r="P191">
            <v>0.74560000000000004</v>
          </cell>
          <cell r="Q191">
            <v>105.23068669527895</v>
          </cell>
          <cell r="U191">
            <v>5.1426999999999996</v>
          </cell>
          <cell r="V191">
            <v>27.125</v>
          </cell>
          <cell r="W191" t="str">
            <v>#N/A N/A</v>
          </cell>
        </row>
        <row r="192">
          <cell r="B192">
            <v>85.01</v>
          </cell>
          <cell r="D192">
            <v>1.2824</v>
          </cell>
          <cell r="E192">
            <v>947.9</v>
          </cell>
          <cell r="F192">
            <v>8.3196600000000007</v>
          </cell>
          <cell r="G192" t="e">
            <v>#VALUE!</v>
          </cell>
          <cell r="I192">
            <v>5.1261000000000001</v>
          </cell>
          <cell r="J192">
            <v>7.9859</v>
          </cell>
          <cell r="K192">
            <v>4.5999999999999996</v>
          </cell>
          <cell r="L192">
            <v>5.25</v>
          </cell>
          <cell r="M192">
            <v>4.93</v>
          </cell>
          <cell r="O192">
            <v>1.5667</v>
          </cell>
          <cell r="P192">
            <v>0.75149999999999995</v>
          </cell>
          <cell r="Q192">
            <v>104.23819028609449</v>
          </cell>
          <cell r="U192">
            <v>5.0957999999999997</v>
          </cell>
          <cell r="V192">
            <v>27.167000000000002</v>
          </cell>
          <cell r="W192" t="str">
            <v>#N/A N/A</v>
          </cell>
        </row>
        <row r="193">
          <cell r="B193">
            <v>85.01</v>
          </cell>
          <cell r="D193">
            <v>1.2824</v>
          </cell>
          <cell r="E193">
            <v>947.9</v>
          </cell>
          <cell r="F193">
            <v>8.3196600000000007</v>
          </cell>
          <cell r="G193" t="e">
            <v>#VALUE!</v>
          </cell>
          <cell r="I193">
            <v>5.1261000000000001</v>
          </cell>
          <cell r="J193">
            <v>7.9859</v>
          </cell>
          <cell r="K193">
            <v>4.5999999999999996</v>
          </cell>
          <cell r="L193">
            <v>5.25</v>
          </cell>
          <cell r="M193">
            <v>4.93</v>
          </cell>
          <cell r="O193">
            <v>1.5667</v>
          </cell>
          <cell r="P193">
            <v>0.75149999999999995</v>
          </cell>
          <cell r="Q193">
            <v>104.23819028609449</v>
          </cell>
          <cell r="U193">
            <v>5.0957999999999997</v>
          </cell>
          <cell r="V193">
            <v>27.167000000000002</v>
          </cell>
          <cell r="W193" t="str">
            <v>#N/A N/A</v>
          </cell>
        </row>
        <row r="194">
          <cell r="B194">
            <v>85.01</v>
          </cell>
          <cell r="D194">
            <v>1.2824</v>
          </cell>
          <cell r="E194">
            <v>947.9</v>
          </cell>
          <cell r="F194">
            <v>8.3196600000000007</v>
          </cell>
          <cell r="G194" t="e">
            <v>#VALUE!</v>
          </cell>
          <cell r="I194">
            <v>5.1261000000000001</v>
          </cell>
          <cell r="J194">
            <v>7.9859</v>
          </cell>
          <cell r="K194">
            <v>4.5999999999999996</v>
          </cell>
          <cell r="L194">
            <v>5.25</v>
          </cell>
          <cell r="M194">
            <v>4.93</v>
          </cell>
          <cell r="O194">
            <v>1.5667</v>
          </cell>
          <cell r="P194">
            <v>0.75149999999999995</v>
          </cell>
          <cell r="Q194">
            <v>104.23819028609449</v>
          </cell>
          <cell r="U194">
            <v>5.0957999999999997</v>
          </cell>
          <cell r="V194">
            <v>27.167000000000002</v>
          </cell>
          <cell r="W194" t="str">
            <v>#N/A N/A</v>
          </cell>
        </row>
        <row r="195">
          <cell r="B195">
            <v>85.5</v>
          </cell>
          <cell r="D195">
            <v>1.2737000000000001</v>
          </cell>
          <cell r="E195">
            <v>942</v>
          </cell>
          <cell r="F195">
            <v>8.2523</v>
          </cell>
          <cell r="G195" t="e">
            <v>#VALUE!</v>
          </cell>
          <cell r="I195">
            <v>5.1241000000000003</v>
          </cell>
          <cell r="J195">
            <v>7.99</v>
          </cell>
          <cell r="K195">
            <v>4.6100000000000003</v>
          </cell>
          <cell r="L195">
            <v>5.26</v>
          </cell>
          <cell r="M195">
            <v>4.95</v>
          </cell>
          <cell r="O195">
            <v>1.5676000000000001</v>
          </cell>
          <cell r="P195">
            <v>0.74760000000000004</v>
          </cell>
          <cell r="Q195">
            <v>104.84216158373462</v>
          </cell>
          <cell r="U195">
            <v>5.0922000000000001</v>
          </cell>
          <cell r="V195">
            <v>27.25</v>
          </cell>
          <cell r="W195" t="str">
            <v>#N/A N/A</v>
          </cell>
        </row>
        <row r="196">
          <cell r="B196">
            <v>85.36</v>
          </cell>
          <cell r="D196">
            <v>1.2745</v>
          </cell>
          <cell r="E196">
            <v>946.75</v>
          </cell>
          <cell r="F196">
            <v>8.2837499999999995</v>
          </cell>
          <cell r="G196" t="e">
            <v>#VALUE!</v>
          </cell>
          <cell r="I196">
            <v>5.0995999999999997</v>
          </cell>
          <cell r="J196">
            <v>7.9911000000000003</v>
          </cell>
          <cell r="K196">
            <v>4.62</v>
          </cell>
          <cell r="L196">
            <v>5.22</v>
          </cell>
          <cell r="M196">
            <v>4.92</v>
          </cell>
          <cell r="O196">
            <v>1.5668</v>
          </cell>
          <cell r="P196">
            <v>0.75170000000000003</v>
          </cell>
          <cell r="Q196">
            <v>104.21710788878542</v>
          </cell>
          <cell r="U196">
            <v>5.0705999999999998</v>
          </cell>
          <cell r="V196">
            <v>27.25</v>
          </cell>
          <cell r="W196" t="str">
            <v>#N/A N/A</v>
          </cell>
        </row>
        <row r="197">
          <cell r="B197">
            <v>85.91</v>
          </cell>
          <cell r="D197">
            <v>1.2699</v>
          </cell>
          <cell r="E197">
            <v>948.75</v>
          </cell>
          <cell r="F197">
            <v>8.2142900000000001</v>
          </cell>
          <cell r="G197" t="e">
            <v>#VALUE!</v>
          </cell>
          <cell r="I197">
            <v>5.0975999999999999</v>
          </cell>
          <cell r="J197">
            <v>7.9916999999999998</v>
          </cell>
          <cell r="K197">
            <v>4.63</v>
          </cell>
          <cell r="L197">
            <v>5.22</v>
          </cell>
          <cell r="M197">
            <v>4.9400000000000004</v>
          </cell>
          <cell r="O197">
            <v>1.5680000000000001</v>
          </cell>
          <cell r="P197">
            <v>0.75239999999999996</v>
          </cell>
          <cell r="Q197">
            <v>104.19989367357789</v>
          </cell>
          <cell r="U197">
            <v>5.0777000000000001</v>
          </cell>
          <cell r="V197">
            <v>26.071000000000002</v>
          </cell>
          <cell r="W197" t="str">
            <v>#N/A N/A</v>
          </cell>
        </row>
        <row r="198">
          <cell r="B198">
            <v>85.84</v>
          </cell>
          <cell r="D198">
            <v>1.2681</v>
          </cell>
          <cell r="E198">
            <v>949.3</v>
          </cell>
          <cell r="F198">
            <v>8.2253900000000009</v>
          </cell>
          <cell r="G198" t="e">
            <v>#VALUE!</v>
          </cell>
          <cell r="I198">
            <v>5.0629999999999997</v>
          </cell>
          <cell r="J198">
            <v>7.9923999999999999</v>
          </cell>
          <cell r="K198">
            <v>4.63</v>
          </cell>
          <cell r="L198">
            <v>5.2</v>
          </cell>
          <cell r="M198">
            <v>4.93</v>
          </cell>
          <cell r="O198">
            <v>1.5623</v>
          </cell>
          <cell r="P198">
            <v>0.754</v>
          </cell>
          <cell r="Q198">
            <v>103.60079575596816</v>
          </cell>
          <cell r="U198">
            <v>5.0309999999999997</v>
          </cell>
          <cell r="V198">
            <v>26.312999999999999</v>
          </cell>
          <cell r="W198" t="str">
            <v>#N/A N/A</v>
          </cell>
        </row>
        <row r="199">
          <cell r="B199">
            <v>86.1</v>
          </cell>
          <cell r="D199">
            <v>1.2642</v>
          </cell>
          <cell r="E199">
            <v>953.85</v>
          </cell>
          <cell r="F199">
            <v>8.1984600000000007</v>
          </cell>
          <cell r="G199" t="e">
            <v>#VALUE!</v>
          </cell>
          <cell r="I199">
            <v>5.0629</v>
          </cell>
          <cell r="J199">
            <v>7.9980000000000002</v>
          </cell>
          <cell r="K199">
            <v>4.6399999999999997</v>
          </cell>
          <cell r="L199">
            <v>5.19</v>
          </cell>
          <cell r="M199">
            <v>4.91</v>
          </cell>
          <cell r="O199">
            <v>1.5625</v>
          </cell>
          <cell r="P199">
            <v>0.75319999999999998</v>
          </cell>
          <cell r="Q199">
            <v>103.72411046202868</v>
          </cell>
          <cell r="U199">
            <v>5.0235000000000003</v>
          </cell>
          <cell r="V199">
            <v>26.8</v>
          </cell>
          <cell r="W199" t="str">
            <v>#N/A N/A</v>
          </cell>
        </row>
        <row r="200">
          <cell r="B200">
            <v>86.1</v>
          </cell>
          <cell r="D200">
            <v>1.2642</v>
          </cell>
          <cell r="E200">
            <v>953.85</v>
          </cell>
          <cell r="F200">
            <v>8.1984600000000007</v>
          </cell>
          <cell r="G200" t="e">
            <v>#VALUE!</v>
          </cell>
          <cell r="I200">
            <v>5.0629</v>
          </cell>
          <cell r="J200">
            <v>7.9980000000000002</v>
          </cell>
          <cell r="K200">
            <v>4.6399999999999997</v>
          </cell>
          <cell r="L200">
            <v>5.19</v>
          </cell>
          <cell r="M200">
            <v>4.91</v>
          </cell>
          <cell r="O200">
            <v>1.5625</v>
          </cell>
          <cell r="P200">
            <v>0.75319999999999998</v>
          </cell>
          <cell r="Q200">
            <v>103.72411046202868</v>
          </cell>
          <cell r="U200">
            <v>5.0235000000000003</v>
          </cell>
          <cell r="V200">
            <v>26.8</v>
          </cell>
          <cell r="W200" t="str">
            <v>#N/A N/A</v>
          </cell>
        </row>
        <row r="201">
          <cell r="B201">
            <v>86.1</v>
          </cell>
          <cell r="D201">
            <v>1.2642</v>
          </cell>
          <cell r="E201">
            <v>953.85</v>
          </cell>
          <cell r="F201">
            <v>8.1984600000000007</v>
          </cell>
          <cell r="G201" t="e">
            <v>#VALUE!</v>
          </cell>
          <cell r="I201">
            <v>5.0629</v>
          </cell>
          <cell r="J201">
            <v>7.9980000000000002</v>
          </cell>
          <cell r="K201">
            <v>4.6399999999999997</v>
          </cell>
          <cell r="L201">
            <v>5.19</v>
          </cell>
          <cell r="M201">
            <v>4.91</v>
          </cell>
          <cell r="O201">
            <v>1.5625</v>
          </cell>
          <cell r="P201">
            <v>0.75319999999999998</v>
          </cell>
          <cell r="Q201">
            <v>103.72411046202868</v>
          </cell>
          <cell r="U201">
            <v>5.0235000000000003</v>
          </cell>
          <cell r="V201">
            <v>26.8</v>
          </cell>
          <cell r="W201" t="str">
            <v>#N/A N/A</v>
          </cell>
        </row>
        <row r="202">
          <cell r="B202">
            <v>87.02</v>
          </cell>
          <cell r="D202">
            <v>1.2524999999999999</v>
          </cell>
          <cell r="E202">
            <v>953.85</v>
          </cell>
          <cell r="F202">
            <v>8.1400400000000008</v>
          </cell>
          <cell r="G202" t="e">
            <v>#VALUE!</v>
          </cell>
          <cell r="I202">
            <v>5.0629</v>
          </cell>
          <cell r="J202">
            <v>8.0047999999999995</v>
          </cell>
          <cell r="K202">
            <v>4.6399999999999997</v>
          </cell>
          <cell r="L202">
            <v>5.19</v>
          </cell>
          <cell r="M202">
            <v>4.91</v>
          </cell>
          <cell r="O202">
            <v>1.5629</v>
          </cell>
          <cell r="P202">
            <v>0.74919999999999998</v>
          </cell>
          <cell r="Q202">
            <v>104.3045915643353</v>
          </cell>
          <cell r="U202">
            <v>5.0305999999999997</v>
          </cell>
          <cell r="V202">
            <v>26.6</v>
          </cell>
          <cell r="W202" t="str">
            <v>#N/A N/A</v>
          </cell>
        </row>
        <row r="203">
          <cell r="B203">
            <v>87.01</v>
          </cell>
          <cell r="D203">
            <v>1.2495000000000001</v>
          </cell>
          <cell r="E203">
            <v>958.65</v>
          </cell>
          <cell r="F203">
            <v>8.1562900000000003</v>
          </cell>
          <cell r="G203" t="e">
            <v>#VALUE!</v>
          </cell>
          <cell r="I203">
            <v>5.1302000000000003</v>
          </cell>
          <cell r="J203">
            <v>7.9981999999999998</v>
          </cell>
          <cell r="K203">
            <v>4.6399999999999997</v>
          </cell>
          <cell r="L203">
            <v>5.15</v>
          </cell>
          <cell r="M203">
            <v>4.88</v>
          </cell>
          <cell r="O203">
            <v>1.5663</v>
          </cell>
          <cell r="P203">
            <v>0.74580000000000002</v>
          </cell>
          <cell r="Q203">
            <v>105.00804505229284</v>
          </cell>
          <cell r="U203">
            <v>5.1062000000000003</v>
          </cell>
          <cell r="V203">
            <v>26.213999999999999</v>
          </cell>
          <cell r="W203" t="str">
            <v>#N/A N/A</v>
          </cell>
        </row>
        <row r="204">
          <cell r="B204">
            <v>86.52</v>
          </cell>
          <cell r="D204">
            <v>1.2595000000000001</v>
          </cell>
          <cell r="E204">
            <v>957.9</v>
          </cell>
          <cell r="F204">
            <v>8.2106899999999996</v>
          </cell>
          <cell r="G204" t="e">
            <v>#VALUE!</v>
          </cell>
          <cell r="I204">
            <v>5.0487000000000002</v>
          </cell>
          <cell r="J204">
            <v>8.0028000000000006</v>
          </cell>
          <cell r="K204">
            <v>4.6399999999999997</v>
          </cell>
          <cell r="L204">
            <v>5.15</v>
          </cell>
          <cell r="M204">
            <v>4.8899999999999997</v>
          </cell>
          <cell r="O204">
            <v>1.5697000000000001</v>
          </cell>
          <cell r="P204">
            <v>0.74890000000000001</v>
          </cell>
          <cell r="Q204">
            <v>104.80037388169316</v>
          </cell>
          <cell r="U204">
            <v>5.0160999999999998</v>
          </cell>
          <cell r="V204">
            <v>26.030999999999999</v>
          </cell>
          <cell r="W204" t="str">
            <v>#N/A N/A</v>
          </cell>
        </row>
        <row r="205">
          <cell r="B205">
            <v>86.22</v>
          </cell>
          <cell r="D205">
            <v>1.2629000000000001</v>
          </cell>
          <cell r="E205">
            <v>951.95</v>
          </cell>
          <cell r="F205">
            <v>8.1460699999999999</v>
          </cell>
          <cell r="G205" t="e">
            <v>#VALUE!</v>
          </cell>
          <cell r="I205">
            <v>5.0263</v>
          </cell>
          <cell r="J205">
            <v>7.992</v>
          </cell>
          <cell r="K205">
            <v>4.6399999999999997</v>
          </cell>
          <cell r="L205">
            <v>5.12</v>
          </cell>
          <cell r="M205">
            <v>4.8600000000000003</v>
          </cell>
          <cell r="O205">
            <v>1.5721000000000001</v>
          </cell>
          <cell r="P205">
            <v>0.75129999999999997</v>
          </cell>
          <cell r="Q205">
            <v>104.62531611872754</v>
          </cell>
          <cell r="U205">
            <v>4.9764999999999997</v>
          </cell>
          <cell r="V205">
            <v>25.187999999999999</v>
          </cell>
          <cell r="W205" t="str">
            <v>#N/A N/A</v>
          </cell>
        </row>
        <row r="206">
          <cell r="B206">
            <v>85.93</v>
          </cell>
          <cell r="D206">
            <v>1.2682</v>
          </cell>
          <cell r="E206">
            <v>949.95</v>
          </cell>
          <cell r="F206">
            <v>8.1670499999999997</v>
          </cell>
          <cell r="G206" t="e">
            <v>#VALUE!</v>
          </cell>
          <cell r="I206">
            <v>5.0404</v>
          </cell>
          <cell r="J206">
            <v>7.9820000000000002</v>
          </cell>
          <cell r="K206">
            <v>4.6399999999999997</v>
          </cell>
          <cell r="L206">
            <v>5.12</v>
          </cell>
          <cell r="M206">
            <v>4.8600000000000003</v>
          </cell>
          <cell r="O206">
            <v>1.5699000000000001</v>
          </cell>
          <cell r="P206">
            <v>0.75219999999999998</v>
          </cell>
          <cell r="Q206">
            <v>104.35389524062751</v>
          </cell>
          <cell r="U206">
            <v>4.9870000000000001</v>
          </cell>
          <cell r="V206">
            <v>25</v>
          </cell>
          <cell r="W206" t="str">
            <v>#N/A N/A</v>
          </cell>
        </row>
        <row r="207">
          <cell r="B207">
            <v>85.93</v>
          </cell>
          <cell r="D207">
            <v>1.2682</v>
          </cell>
          <cell r="E207">
            <v>949.95</v>
          </cell>
          <cell r="F207">
            <v>8.1670499999999997</v>
          </cell>
          <cell r="G207" t="e">
            <v>#VALUE!</v>
          </cell>
          <cell r="I207">
            <v>5.0404</v>
          </cell>
          <cell r="J207">
            <v>7.9820000000000002</v>
          </cell>
          <cell r="K207">
            <v>4.6399999999999997</v>
          </cell>
          <cell r="L207">
            <v>5.12</v>
          </cell>
          <cell r="M207">
            <v>4.8600000000000003</v>
          </cell>
          <cell r="O207">
            <v>1.5699000000000001</v>
          </cell>
          <cell r="P207">
            <v>0.75219999999999998</v>
          </cell>
          <cell r="Q207">
            <v>104.35389524062751</v>
          </cell>
          <cell r="U207">
            <v>4.9870000000000001</v>
          </cell>
          <cell r="V207">
            <v>25</v>
          </cell>
          <cell r="W207" t="str">
            <v>#N/A N/A</v>
          </cell>
        </row>
        <row r="208">
          <cell r="B208">
            <v>85.93</v>
          </cell>
          <cell r="D208">
            <v>1.2682</v>
          </cell>
          <cell r="E208">
            <v>949.95</v>
          </cell>
          <cell r="F208">
            <v>8.1670499999999997</v>
          </cell>
          <cell r="G208" t="e">
            <v>#VALUE!</v>
          </cell>
          <cell r="I208">
            <v>5.0404</v>
          </cell>
          <cell r="J208">
            <v>7.9820000000000002</v>
          </cell>
          <cell r="K208">
            <v>4.6399999999999997</v>
          </cell>
          <cell r="L208">
            <v>5.12</v>
          </cell>
          <cell r="M208">
            <v>4.8600000000000003</v>
          </cell>
          <cell r="O208">
            <v>1.5699000000000001</v>
          </cell>
          <cell r="P208">
            <v>0.75219999999999998</v>
          </cell>
          <cell r="Q208">
            <v>104.35389524062751</v>
          </cell>
          <cell r="U208">
            <v>4.9870000000000001</v>
          </cell>
          <cell r="V208">
            <v>25</v>
          </cell>
          <cell r="W208" t="str">
            <v>#N/A N/A</v>
          </cell>
        </row>
        <row r="209">
          <cell r="B209">
            <v>86.34</v>
          </cell>
          <cell r="D209">
            <v>1.2631000000000001</v>
          </cell>
          <cell r="E209">
            <v>952.5</v>
          </cell>
          <cell r="F209">
            <v>8.1609099999999994</v>
          </cell>
          <cell r="G209" t="e">
            <v>#VALUE!</v>
          </cell>
          <cell r="I209">
            <v>5.0423999999999998</v>
          </cell>
          <cell r="J209">
            <v>7.9870999999999999</v>
          </cell>
          <cell r="K209">
            <v>4.6399999999999997</v>
          </cell>
          <cell r="L209">
            <v>5.12</v>
          </cell>
          <cell r="M209">
            <v>4.87</v>
          </cell>
          <cell r="O209">
            <v>1.5744</v>
          </cell>
          <cell r="P209">
            <v>0.75380000000000003</v>
          </cell>
          <cell r="Q209">
            <v>104.43088352348101</v>
          </cell>
          <cell r="U209">
            <v>4.9904999999999999</v>
          </cell>
          <cell r="V209">
            <v>25.312999999999999</v>
          </cell>
          <cell r="W209" t="str">
            <v>#N/A N/A</v>
          </cell>
        </row>
        <row r="210">
          <cell r="B210">
            <v>86.64</v>
          </cell>
          <cell r="D210">
            <v>1.2576000000000001</v>
          </cell>
          <cell r="E210">
            <v>952.55</v>
          </cell>
          <cell r="F210">
            <v>8.1223600000000005</v>
          </cell>
          <cell r="G210" t="e">
            <v>#VALUE!</v>
          </cell>
          <cell r="I210">
            <v>5.0628000000000002</v>
          </cell>
          <cell r="J210">
            <v>7.9871999999999996</v>
          </cell>
          <cell r="K210">
            <v>4.6399999999999997</v>
          </cell>
          <cell r="L210">
            <v>5.13</v>
          </cell>
          <cell r="M210">
            <v>4.9000000000000004</v>
          </cell>
          <cell r="O210">
            <v>1.5754999999999999</v>
          </cell>
          <cell r="P210">
            <v>0.75329999999999997</v>
          </cell>
          <cell r="Q210">
            <v>104.57321120403557</v>
          </cell>
          <cell r="U210">
            <v>5.0156000000000001</v>
          </cell>
          <cell r="V210">
            <v>25</v>
          </cell>
          <cell r="W210" t="str">
            <v>#N/A N/A</v>
          </cell>
        </row>
        <row r="211">
          <cell r="B211">
            <v>85.86</v>
          </cell>
          <cell r="D211">
            <v>1.2659</v>
          </cell>
          <cell r="E211">
            <v>954.55</v>
          </cell>
          <cell r="F211">
            <v>8.1777700000000006</v>
          </cell>
          <cell r="G211" t="e">
            <v>#VALUE!</v>
          </cell>
          <cell r="I211">
            <v>5.0301999999999998</v>
          </cell>
          <cell r="J211">
            <v>7.9847000000000001</v>
          </cell>
          <cell r="K211">
            <v>4.6399999999999997</v>
          </cell>
          <cell r="L211">
            <v>5.12</v>
          </cell>
          <cell r="M211">
            <v>4.8899999999999997</v>
          </cell>
          <cell r="O211">
            <v>1.5766</v>
          </cell>
          <cell r="P211">
            <v>0.76029999999999998</v>
          </cell>
          <cell r="Q211">
            <v>103.68275680652374</v>
          </cell>
          <cell r="U211">
            <v>4.9759000000000002</v>
          </cell>
          <cell r="V211">
            <v>24.625</v>
          </cell>
          <cell r="W211" t="str">
            <v>#N/A N/A</v>
          </cell>
        </row>
        <row r="212">
          <cell r="B212">
            <v>85.84</v>
          </cell>
          <cell r="D212">
            <v>1.2723</v>
          </cell>
          <cell r="E212">
            <v>952.3</v>
          </cell>
          <cell r="F212">
            <v>8.2368199999999998</v>
          </cell>
          <cell r="G212" t="e">
            <v>#VALUE!</v>
          </cell>
          <cell r="I212">
            <v>5.0343</v>
          </cell>
          <cell r="J212">
            <v>7.9748000000000001</v>
          </cell>
          <cell r="K212">
            <v>4.6399999999999997</v>
          </cell>
          <cell r="L212">
            <v>5.0999999999999996</v>
          </cell>
          <cell r="M212">
            <v>4.87</v>
          </cell>
          <cell r="O212">
            <v>1.573</v>
          </cell>
          <cell r="P212">
            <v>0.7631</v>
          </cell>
          <cell r="Q212">
            <v>103.06643952299829</v>
          </cell>
          <cell r="U212">
            <v>4.9757999999999996</v>
          </cell>
          <cell r="V212">
            <v>24.111000000000001</v>
          </cell>
          <cell r="W212" t="str">
            <v>#N/A N/A</v>
          </cell>
        </row>
        <row r="213">
          <cell r="B213">
            <v>85.38</v>
          </cell>
          <cell r="D213">
            <v>1.2747999999999999</v>
          </cell>
          <cell r="E213">
            <v>953.83</v>
          </cell>
          <cell r="F213">
            <v>8.3121299999999998</v>
          </cell>
          <cell r="G213" t="e">
            <v>#VALUE!</v>
          </cell>
          <cell r="I213">
            <v>4.9896000000000003</v>
          </cell>
          <cell r="J213">
            <v>7.9705000000000004</v>
          </cell>
          <cell r="K213">
            <v>4.6399999999999997</v>
          </cell>
          <cell r="L213">
            <v>5.08</v>
          </cell>
          <cell r="M213">
            <v>4.8600000000000003</v>
          </cell>
          <cell r="O213">
            <v>1.5725</v>
          </cell>
          <cell r="P213">
            <v>0.76649999999999996</v>
          </cell>
          <cell r="Q213">
            <v>102.57664709719505</v>
          </cell>
          <cell r="U213">
            <v>4.9105999999999996</v>
          </cell>
          <cell r="V213">
            <v>23.571000000000002</v>
          </cell>
          <cell r="W213" t="str">
            <v>#N/A N/A</v>
          </cell>
        </row>
        <row r="214">
          <cell r="B214">
            <v>85.38</v>
          </cell>
          <cell r="D214">
            <v>1.2747999999999999</v>
          </cell>
          <cell r="E214">
            <v>953.83</v>
          </cell>
          <cell r="F214">
            <v>8.3121299999999998</v>
          </cell>
          <cell r="G214" t="e">
            <v>#VALUE!</v>
          </cell>
          <cell r="I214">
            <v>4.9896000000000003</v>
          </cell>
          <cell r="J214">
            <v>7.9705000000000004</v>
          </cell>
          <cell r="K214">
            <v>4.6399999999999997</v>
          </cell>
          <cell r="L214">
            <v>5.08</v>
          </cell>
          <cell r="M214">
            <v>4.8600000000000003</v>
          </cell>
          <cell r="O214">
            <v>1.5725</v>
          </cell>
          <cell r="P214">
            <v>0.76649999999999996</v>
          </cell>
          <cell r="Q214">
            <v>102.57664709719505</v>
          </cell>
          <cell r="U214">
            <v>4.9105999999999996</v>
          </cell>
          <cell r="V214">
            <v>23.571000000000002</v>
          </cell>
          <cell r="W214" t="str">
            <v>#N/A N/A</v>
          </cell>
        </row>
        <row r="215">
          <cell r="B215">
            <v>85.38</v>
          </cell>
          <cell r="D215">
            <v>1.2747999999999999</v>
          </cell>
          <cell r="E215">
            <v>953.83</v>
          </cell>
          <cell r="F215">
            <v>8.3121299999999998</v>
          </cell>
          <cell r="G215" t="e">
            <v>#VALUE!</v>
          </cell>
          <cell r="I215">
            <v>4.9896000000000003</v>
          </cell>
          <cell r="J215">
            <v>7.9705000000000004</v>
          </cell>
          <cell r="K215">
            <v>4.6399999999999997</v>
          </cell>
          <cell r="L215">
            <v>5.08</v>
          </cell>
          <cell r="M215">
            <v>4.8600000000000003</v>
          </cell>
          <cell r="O215">
            <v>1.5725</v>
          </cell>
          <cell r="P215">
            <v>0.76649999999999996</v>
          </cell>
          <cell r="Q215">
            <v>102.57664709719505</v>
          </cell>
          <cell r="U215">
            <v>4.9105999999999996</v>
          </cell>
          <cell r="V215">
            <v>23.571000000000002</v>
          </cell>
          <cell r="W215" t="str">
            <v>#N/A N/A</v>
          </cell>
        </row>
        <row r="216">
          <cell r="B216">
            <v>85.3</v>
          </cell>
          <cell r="D216">
            <v>1.2766</v>
          </cell>
          <cell r="E216">
            <v>955.7</v>
          </cell>
          <cell r="F216">
            <v>8.3376199999999994</v>
          </cell>
          <cell r="G216" t="e">
            <v>#VALUE!</v>
          </cell>
          <cell r="I216">
            <v>4.9794</v>
          </cell>
          <cell r="J216">
            <v>7.9690000000000003</v>
          </cell>
          <cell r="K216">
            <v>4.6399999999999997</v>
          </cell>
          <cell r="L216">
            <v>5.05</v>
          </cell>
          <cell r="M216">
            <v>4.83</v>
          </cell>
          <cell r="O216">
            <v>1.5721000000000001</v>
          </cell>
          <cell r="P216">
            <v>0.7661</v>
          </cell>
          <cell r="Q216">
            <v>102.60409868163424</v>
          </cell>
          <cell r="U216">
            <v>4.8963000000000001</v>
          </cell>
          <cell r="V216">
            <v>23.832999999999998</v>
          </cell>
          <cell r="W216" t="str">
            <v>#N/A N/A</v>
          </cell>
        </row>
        <row r="217">
          <cell r="B217">
            <v>85.01</v>
          </cell>
          <cell r="D217">
            <v>1.2817000000000001</v>
          </cell>
          <cell r="E217">
            <v>955.95</v>
          </cell>
          <cell r="F217">
            <v>8.3358000000000008</v>
          </cell>
          <cell r="G217" t="e">
            <v>#VALUE!</v>
          </cell>
          <cell r="I217">
            <v>4.9752999999999998</v>
          </cell>
          <cell r="J217">
            <v>7.9745999999999997</v>
          </cell>
          <cell r="K217">
            <v>4.6399999999999997</v>
          </cell>
          <cell r="L217">
            <v>4.97</v>
          </cell>
          <cell r="M217">
            <v>4.79</v>
          </cell>
          <cell r="O217">
            <v>1.5727</v>
          </cell>
          <cell r="P217">
            <v>0.76539999999999997</v>
          </cell>
          <cell r="Q217">
            <v>102.73713091194148</v>
          </cell>
          <cell r="U217">
            <v>4.8926999999999996</v>
          </cell>
          <cell r="V217">
            <v>23.571000000000002</v>
          </cell>
          <cell r="W217" t="str">
            <v>#N/A N/A</v>
          </cell>
        </row>
        <row r="218">
          <cell r="B218">
            <v>85.18</v>
          </cell>
          <cell r="D218">
            <v>1.2797000000000001</v>
          </cell>
          <cell r="E218">
            <v>962.25</v>
          </cell>
          <cell r="F218">
            <v>8.3977000000000004</v>
          </cell>
          <cell r="G218" t="e">
            <v>#VALUE!</v>
          </cell>
          <cell r="I218">
            <v>4.9631999999999996</v>
          </cell>
          <cell r="J218">
            <v>7.9713000000000003</v>
          </cell>
          <cell r="K218">
            <v>4.6399999999999997</v>
          </cell>
          <cell r="L218">
            <v>4.9800000000000004</v>
          </cell>
          <cell r="M218">
            <v>4.8</v>
          </cell>
          <cell r="O218">
            <v>1.5739999999999998</v>
          </cell>
          <cell r="P218">
            <v>0.7641</v>
          </cell>
          <cell r="Q218">
            <v>102.99698992278496</v>
          </cell>
          <cell r="U218">
            <v>4.8819999999999997</v>
          </cell>
          <cell r="V218">
            <v>23.667000000000002</v>
          </cell>
          <cell r="W218" t="str">
            <v>#N/A N/A</v>
          </cell>
        </row>
        <row r="219">
          <cell r="B219">
            <v>85.04</v>
          </cell>
          <cell r="D219">
            <v>1.2801</v>
          </cell>
          <cell r="E219">
            <v>965.75</v>
          </cell>
          <cell r="F219">
            <v>8.3897999999999993</v>
          </cell>
          <cell r="G219" t="e">
            <v>#VALUE!</v>
          </cell>
          <cell r="I219">
            <v>4.9591000000000003</v>
          </cell>
          <cell r="J219">
            <v>7.9767999999999999</v>
          </cell>
          <cell r="K219">
            <v>4.6399999999999997</v>
          </cell>
          <cell r="L219">
            <v>4.9800000000000004</v>
          </cell>
          <cell r="M219">
            <v>4.79</v>
          </cell>
          <cell r="O219">
            <v>1.5767</v>
          </cell>
          <cell r="P219">
            <v>0.7611</v>
          </cell>
          <cell r="Q219">
            <v>103.58034423860202</v>
          </cell>
          <cell r="U219">
            <v>4.8997999999999999</v>
          </cell>
          <cell r="V219">
            <v>23.571000000000002</v>
          </cell>
          <cell r="W219" t="str">
            <v>#N/A N/A</v>
          </cell>
        </row>
        <row r="220">
          <cell r="B220">
            <v>84.58</v>
          </cell>
          <cell r="D220">
            <v>1.2894000000000001</v>
          </cell>
          <cell r="E220">
            <v>964.75</v>
          </cell>
          <cell r="F220">
            <v>8.4486399999999993</v>
          </cell>
          <cell r="G220" t="e">
            <v>#VALUE!</v>
          </cell>
          <cell r="I220">
            <v>4.8925000000000001</v>
          </cell>
          <cell r="J220">
            <v>7.9783999999999997</v>
          </cell>
          <cell r="K220">
            <v>4.6399999999999997</v>
          </cell>
          <cell r="L220">
            <v>5</v>
          </cell>
          <cell r="M220">
            <v>4.8099999999999996</v>
          </cell>
          <cell r="O220">
            <v>1.5729</v>
          </cell>
          <cell r="P220">
            <v>0.76580000000000004</v>
          </cell>
          <cell r="Q220">
            <v>102.6965265082267</v>
          </cell>
          <cell r="U220">
            <v>4.8284000000000002</v>
          </cell>
          <cell r="V220">
            <v>23.917000000000002</v>
          </cell>
          <cell r="W220" t="str">
            <v>#N/A N/A</v>
          </cell>
        </row>
        <row r="221">
          <cell r="B221">
            <v>84.58</v>
          </cell>
          <cell r="D221">
            <v>1.2894000000000001</v>
          </cell>
          <cell r="E221">
            <v>964.75</v>
          </cell>
          <cell r="F221">
            <v>8.4486399999999993</v>
          </cell>
          <cell r="G221" t="e">
            <v>#VALUE!</v>
          </cell>
          <cell r="I221">
            <v>4.8925000000000001</v>
          </cell>
          <cell r="J221">
            <v>7.9783999999999997</v>
          </cell>
          <cell r="K221">
            <v>4.6399999999999997</v>
          </cell>
          <cell r="L221">
            <v>5</v>
          </cell>
          <cell r="M221">
            <v>4.8099999999999996</v>
          </cell>
          <cell r="O221">
            <v>1.5729</v>
          </cell>
          <cell r="P221">
            <v>0.76580000000000004</v>
          </cell>
          <cell r="Q221">
            <v>102.6965265082267</v>
          </cell>
          <cell r="U221">
            <v>4.8284000000000002</v>
          </cell>
          <cell r="V221">
            <v>23.917000000000002</v>
          </cell>
          <cell r="W221" t="str">
            <v>#N/A N/A</v>
          </cell>
        </row>
        <row r="222">
          <cell r="B222">
            <v>84.58</v>
          </cell>
          <cell r="D222">
            <v>1.2894000000000001</v>
          </cell>
          <cell r="E222">
            <v>964.75</v>
          </cell>
          <cell r="F222">
            <v>8.4486399999999993</v>
          </cell>
          <cell r="G222" t="e">
            <v>#VALUE!</v>
          </cell>
          <cell r="I222">
            <v>4.8925000000000001</v>
          </cell>
          <cell r="J222">
            <v>7.9783999999999997</v>
          </cell>
          <cell r="K222">
            <v>4.6399999999999997</v>
          </cell>
          <cell r="L222">
            <v>5</v>
          </cell>
          <cell r="M222">
            <v>4.8099999999999996</v>
          </cell>
          <cell r="O222">
            <v>1.5729</v>
          </cell>
          <cell r="P222">
            <v>0.76580000000000004</v>
          </cell>
          <cell r="Q222">
            <v>102.6965265082267</v>
          </cell>
          <cell r="U222">
            <v>4.8284000000000002</v>
          </cell>
          <cell r="V222">
            <v>23.917000000000002</v>
          </cell>
          <cell r="W222" t="str">
            <v>#N/A N/A</v>
          </cell>
        </row>
        <row r="223">
          <cell r="B223">
            <v>84.74</v>
          </cell>
          <cell r="D223">
            <v>1.2852000000000001</v>
          </cell>
          <cell r="E223">
            <v>962.6</v>
          </cell>
          <cell r="F223">
            <v>8.3751700000000007</v>
          </cell>
          <cell r="G223" t="e">
            <v>#VALUE!</v>
          </cell>
          <cell r="I223">
            <v>4.9185999999999996</v>
          </cell>
          <cell r="J223">
            <v>7.9688999999999997</v>
          </cell>
          <cell r="K223">
            <v>4.6399999999999997</v>
          </cell>
          <cell r="L223">
            <v>4.99</v>
          </cell>
          <cell r="M223">
            <v>4.79</v>
          </cell>
          <cell r="O223">
            <v>1.5727</v>
          </cell>
          <cell r="P223">
            <v>0.76349999999999996</v>
          </cell>
          <cell r="Q223">
            <v>102.99279633267847</v>
          </cell>
          <cell r="U223">
            <v>4.8604000000000003</v>
          </cell>
          <cell r="V223">
            <v>23.4</v>
          </cell>
          <cell r="W223" t="str">
            <v>#N/A N/A</v>
          </cell>
        </row>
        <row r="224">
          <cell r="B224">
            <v>84.83</v>
          </cell>
          <cell r="D224">
            <v>1.2838000000000001</v>
          </cell>
          <cell r="E224">
            <v>963.65</v>
          </cell>
          <cell r="F224">
            <v>8.3761100000000006</v>
          </cell>
          <cell r="G224" t="e">
            <v>#VALUE!</v>
          </cell>
          <cell r="I224">
            <v>4.9165000000000001</v>
          </cell>
          <cell r="J224">
            <v>7.9732000000000003</v>
          </cell>
          <cell r="K224">
            <v>4.6399999999999997</v>
          </cell>
          <cell r="L224">
            <v>4.96</v>
          </cell>
          <cell r="M224">
            <v>4.76</v>
          </cell>
          <cell r="O224">
            <v>1.5745</v>
          </cell>
          <cell r="P224">
            <v>0.76080000000000003</v>
          </cell>
          <cell r="Q224">
            <v>103.47660357518403</v>
          </cell>
          <cell r="U224">
            <v>4.8390000000000004</v>
          </cell>
          <cell r="V224">
            <v>23.332999999999998</v>
          </cell>
          <cell r="W224" t="str">
            <v>#N/A N/A</v>
          </cell>
        </row>
        <row r="225">
          <cell r="B225">
            <v>84.71</v>
          </cell>
          <cell r="D225">
            <v>1.2887</v>
          </cell>
          <cell r="E225">
            <v>959.45</v>
          </cell>
          <cell r="F225">
            <v>8.3325399999999998</v>
          </cell>
          <cell r="G225" t="e">
            <v>#VALUE!</v>
          </cell>
          <cell r="I225">
            <v>4.9367000000000001</v>
          </cell>
          <cell r="J225">
            <v>7.9771999999999998</v>
          </cell>
          <cell r="K225">
            <v>4.6399999999999997</v>
          </cell>
          <cell r="L225">
            <v>4.96</v>
          </cell>
          <cell r="M225">
            <v>4.75</v>
          </cell>
          <cell r="O225">
            <v>1.5762</v>
          </cell>
          <cell r="P225">
            <v>0.76629999999999998</v>
          </cell>
          <cell r="Q225">
            <v>102.84483883596502</v>
          </cell>
          <cell r="U225">
            <v>4.8532000000000002</v>
          </cell>
          <cell r="V225">
            <v>23.356999999999999</v>
          </cell>
          <cell r="W225" t="str">
            <v>#N/A N/A</v>
          </cell>
        </row>
        <row r="226">
          <cell r="B226">
            <v>85.12</v>
          </cell>
          <cell r="D226">
            <v>1.2772999999999999</v>
          </cell>
          <cell r="E226">
            <v>957.85</v>
          </cell>
          <cell r="F226">
            <v>8.2900200000000002</v>
          </cell>
          <cell r="G226" t="e">
            <v>#VALUE!</v>
          </cell>
          <cell r="I226">
            <v>4.9309000000000003</v>
          </cell>
          <cell r="J226">
            <v>7.9710000000000001</v>
          </cell>
          <cell r="K226">
            <v>4.71</v>
          </cell>
          <cell r="L226">
            <v>4.9800000000000004</v>
          </cell>
          <cell r="M226">
            <v>4.8</v>
          </cell>
          <cell r="O226">
            <v>1.5794999999999999</v>
          </cell>
          <cell r="P226">
            <v>0.76719999999999999</v>
          </cell>
          <cell r="Q226">
            <v>102.93925964546402</v>
          </cell>
          <cell r="U226">
            <v>4.8639000000000001</v>
          </cell>
          <cell r="V226">
            <v>23.332999999999998</v>
          </cell>
          <cell r="W226" t="str">
            <v>#N/A N/A</v>
          </cell>
        </row>
        <row r="227">
          <cell r="B227">
            <v>85.49</v>
          </cell>
          <cell r="D227">
            <v>1.2732000000000001</v>
          </cell>
          <cell r="E227">
            <v>961.75</v>
          </cell>
          <cell r="F227">
            <v>8.2727599999999999</v>
          </cell>
          <cell r="G227" t="e">
            <v>#VALUE!</v>
          </cell>
          <cell r="I227">
            <v>4.9691000000000001</v>
          </cell>
          <cell r="J227">
            <v>7.976</v>
          </cell>
          <cell r="K227">
            <v>4.7</v>
          </cell>
          <cell r="L227">
            <v>4.88</v>
          </cell>
          <cell r="M227">
            <v>4.75</v>
          </cell>
          <cell r="O227">
            <v>1.5813000000000001</v>
          </cell>
          <cell r="P227">
            <v>0.76619999999999999</v>
          </cell>
          <cell r="Q227">
            <v>103.19107282693815</v>
          </cell>
          <cell r="U227">
            <v>4.9068000000000005</v>
          </cell>
          <cell r="V227">
            <v>23.5</v>
          </cell>
          <cell r="W227" t="str">
            <v>#N/A N/A</v>
          </cell>
        </row>
        <row r="228">
          <cell r="B228">
            <v>85.49</v>
          </cell>
          <cell r="D228">
            <v>1.2732000000000001</v>
          </cell>
          <cell r="E228">
            <v>961.75</v>
          </cell>
          <cell r="F228">
            <v>8.2727599999999999</v>
          </cell>
          <cell r="G228" t="e">
            <v>#VALUE!</v>
          </cell>
          <cell r="I228">
            <v>4.9691000000000001</v>
          </cell>
          <cell r="J228">
            <v>7.976</v>
          </cell>
          <cell r="K228">
            <v>4.7</v>
          </cell>
          <cell r="L228">
            <v>4.88</v>
          </cell>
          <cell r="M228">
            <v>4.75</v>
          </cell>
          <cell r="O228">
            <v>1.5813000000000001</v>
          </cell>
          <cell r="P228">
            <v>0.76619999999999999</v>
          </cell>
          <cell r="Q228">
            <v>103.19107282693815</v>
          </cell>
          <cell r="U228">
            <v>4.9068000000000005</v>
          </cell>
          <cell r="V228">
            <v>23.5</v>
          </cell>
          <cell r="W228" t="str">
            <v>#N/A N/A</v>
          </cell>
        </row>
        <row r="229">
          <cell r="B229">
            <v>85.49</v>
          </cell>
          <cell r="D229">
            <v>1.2732000000000001</v>
          </cell>
          <cell r="E229">
            <v>961.75</v>
          </cell>
          <cell r="F229">
            <v>8.2727599999999999</v>
          </cell>
          <cell r="G229" t="e">
            <v>#VALUE!</v>
          </cell>
          <cell r="I229">
            <v>4.9691000000000001</v>
          </cell>
          <cell r="J229">
            <v>7.976</v>
          </cell>
          <cell r="K229">
            <v>4.7</v>
          </cell>
          <cell r="L229">
            <v>4.88</v>
          </cell>
          <cell r="M229">
            <v>4.75</v>
          </cell>
          <cell r="O229">
            <v>1.5813000000000001</v>
          </cell>
          <cell r="P229">
            <v>0.76619999999999999</v>
          </cell>
          <cell r="Q229">
            <v>103.19107282693815</v>
          </cell>
          <cell r="U229">
            <v>4.9068000000000005</v>
          </cell>
          <cell r="V229">
            <v>23.5</v>
          </cell>
          <cell r="W229" t="str">
            <v>#N/A N/A</v>
          </cell>
        </row>
        <row r="230">
          <cell r="B230">
            <v>85.67</v>
          </cell>
          <cell r="D230">
            <v>1.2736000000000001</v>
          </cell>
          <cell r="E230">
            <v>965.75</v>
          </cell>
          <cell r="F230">
            <v>8.2854299999999999</v>
          </cell>
          <cell r="G230" t="e">
            <v>#VALUE!</v>
          </cell>
          <cell r="I230">
            <v>4.9951999999999996</v>
          </cell>
          <cell r="J230">
            <v>7.9790000000000001</v>
          </cell>
          <cell r="K230">
            <v>4.7</v>
          </cell>
          <cell r="L230">
            <v>4.9400000000000004</v>
          </cell>
          <cell r="M230">
            <v>4.8099999999999996</v>
          </cell>
          <cell r="O230">
            <v>1.5796999999999999</v>
          </cell>
          <cell r="P230">
            <v>0.75980000000000003</v>
          </cell>
          <cell r="Q230">
            <v>103.95498815477755</v>
          </cell>
          <cell r="U230">
            <v>4.9427000000000003</v>
          </cell>
          <cell r="V230">
            <v>23.625</v>
          </cell>
          <cell r="W230" t="str">
            <v>#N/A N/A</v>
          </cell>
        </row>
        <row r="231">
          <cell r="B231">
            <v>85.22</v>
          </cell>
          <cell r="D231">
            <v>1.2785</v>
          </cell>
          <cell r="E231">
            <v>965.7</v>
          </cell>
          <cell r="F231">
            <v>8.3214100000000002</v>
          </cell>
          <cell r="G231" t="e">
            <v>#VALUE!</v>
          </cell>
          <cell r="I231">
            <v>4.9288999999999996</v>
          </cell>
          <cell r="J231">
            <v>8.0015000000000001</v>
          </cell>
          <cell r="K231">
            <v>4.7</v>
          </cell>
          <cell r="L231">
            <v>4.9400000000000004</v>
          </cell>
          <cell r="M231">
            <v>4.8099999999999996</v>
          </cell>
          <cell r="O231">
            <v>1.5815999999999999</v>
          </cell>
          <cell r="P231">
            <v>0.76429999999999998</v>
          </cell>
          <cell r="Q231">
            <v>103.4672249116839</v>
          </cell>
          <cell r="U231">
            <v>4.8708999999999998</v>
          </cell>
          <cell r="V231">
            <v>23.625</v>
          </cell>
          <cell r="W231" t="str">
            <v>#N/A N/A</v>
          </cell>
        </row>
        <row r="232">
          <cell r="B232">
            <v>84.88</v>
          </cell>
          <cell r="D232">
            <v>1.2854000000000001</v>
          </cell>
          <cell r="E232">
            <v>965.15</v>
          </cell>
          <cell r="F232">
            <v>8.3387700000000002</v>
          </cell>
          <cell r="G232" t="e">
            <v>#VALUE!</v>
          </cell>
          <cell r="I232">
            <v>4.859</v>
          </cell>
          <cell r="J232">
            <v>7.9885000000000002</v>
          </cell>
          <cell r="K232">
            <v>4.7</v>
          </cell>
          <cell r="L232">
            <v>4.95</v>
          </cell>
          <cell r="M232">
            <v>4.8</v>
          </cell>
          <cell r="O232">
            <v>1.5785</v>
          </cell>
          <cell r="P232">
            <v>0.76890000000000003</v>
          </cell>
          <cell r="Q232">
            <v>102.64663805436338</v>
          </cell>
          <cell r="U232">
            <v>4.7957000000000001</v>
          </cell>
          <cell r="V232">
            <v>23.707999999999998</v>
          </cell>
          <cell r="W232" t="str">
            <v>#N/A N/A</v>
          </cell>
        </row>
        <row r="233">
          <cell r="B233">
            <v>85.04</v>
          </cell>
          <cell r="D233">
            <v>1.2842</v>
          </cell>
          <cell r="E233">
            <v>960.9</v>
          </cell>
          <cell r="F233">
            <v>8.3007899999999992</v>
          </cell>
          <cell r="G233" t="e">
            <v>#VALUE!</v>
          </cell>
          <cell r="I233">
            <v>4.8629999999999995</v>
          </cell>
          <cell r="J233">
            <v>7.9686000000000003</v>
          </cell>
          <cell r="K233">
            <v>4.7</v>
          </cell>
          <cell r="L233">
            <v>4.8899999999999997</v>
          </cell>
          <cell r="M233">
            <v>4.7699999999999996</v>
          </cell>
          <cell r="O233">
            <v>1.5805</v>
          </cell>
          <cell r="P233">
            <v>0.76219999999999999</v>
          </cell>
          <cell r="Q233">
            <v>103.68013644712674</v>
          </cell>
          <cell r="U233">
            <v>4.8098999999999998</v>
          </cell>
          <cell r="V233">
            <v>23.6</v>
          </cell>
          <cell r="W233" t="str">
            <v>#N/A N/A</v>
          </cell>
        </row>
        <row r="234">
          <cell r="B234">
            <v>85.09</v>
          </cell>
          <cell r="D234">
            <v>1.2808999999999999</v>
          </cell>
          <cell r="E234">
            <v>958.6</v>
          </cell>
          <cell r="F234">
            <v>8.2755600000000005</v>
          </cell>
          <cell r="G234" t="e">
            <v>#VALUE!</v>
          </cell>
          <cell r="I234">
            <v>4.8410000000000002</v>
          </cell>
          <cell r="J234">
            <v>7.9744999999999999</v>
          </cell>
          <cell r="K234">
            <v>4.7</v>
          </cell>
          <cell r="L234">
            <v>4.88</v>
          </cell>
          <cell r="M234">
            <v>4.7699999999999996</v>
          </cell>
          <cell r="O234">
            <v>1.5810999999999999</v>
          </cell>
          <cell r="P234">
            <v>0.75829999999999997</v>
          </cell>
          <cell r="Q234">
            <v>104.25293419490967</v>
          </cell>
          <cell r="U234">
            <v>4.7811000000000003</v>
          </cell>
          <cell r="V234">
            <v>23.6</v>
          </cell>
          <cell r="W234" t="str">
            <v>#N/A N/A</v>
          </cell>
        </row>
        <row r="235">
          <cell r="B235">
            <v>85.09</v>
          </cell>
          <cell r="D235">
            <v>1.2808999999999999</v>
          </cell>
          <cell r="E235">
            <v>958.6</v>
          </cell>
          <cell r="F235">
            <v>8.2755600000000005</v>
          </cell>
          <cell r="G235" t="e">
            <v>#VALUE!</v>
          </cell>
          <cell r="I235">
            <v>4.8410000000000002</v>
          </cell>
          <cell r="J235">
            <v>7.9744999999999999</v>
          </cell>
          <cell r="K235">
            <v>4.7</v>
          </cell>
          <cell r="L235">
            <v>4.88</v>
          </cell>
          <cell r="M235">
            <v>4.7699999999999996</v>
          </cell>
          <cell r="O235">
            <v>1.5810999999999999</v>
          </cell>
          <cell r="P235">
            <v>0.75829999999999997</v>
          </cell>
          <cell r="Q235">
            <v>104.25293419490967</v>
          </cell>
          <cell r="U235">
            <v>4.7811000000000003</v>
          </cell>
          <cell r="V235">
            <v>23.6</v>
          </cell>
          <cell r="W235" t="str">
            <v>#N/A N/A</v>
          </cell>
        </row>
        <row r="236">
          <cell r="B236">
            <v>85.09</v>
          </cell>
          <cell r="D236">
            <v>1.2808999999999999</v>
          </cell>
          <cell r="E236">
            <v>958.6</v>
          </cell>
          <cell r="F236">
            <v>8.2755600000000005</v>
          </cell>
          <cell r="G236" t="e">
            <v>#VALUE!</v>
          </cell>
          <cell r="I236">
            <v>4.8410000000000002</v>
          </cell>
          <cell r="J236">
            <v>7.9744999999999999</v>
          </cell>
          <cell r="K236">
            <v>4.7</v>
          </cell>
          <cell r="L236">
            <v>4.88</v>
          </cell>
          <cell r="M236">
            <v>4.7699999999999996</v>
          </cell>
          <cell r="O236">
            <v>1.5810999999999999</v>
          </cell>
          <cell r="P236">
            <v>0.75829999999999997</v>
          </cell>
          <cell r="Q236">
            <v>104.25293419490967</v>
          </cell>
          <cell r="U236">
            <v>4.7811000000000003</v>
          </cell>
          <cell r="V236">
            <v>23.6</v>
          </cell>
          <cell r="W236" t="str">
            <v>#N/A N/A</v>
          </cell>
        </row>
        <row r="237">
          <cell r="B237">
            <v>84.63</v>
          </cell>
          <cell r="D237">
            <v>1.2906</v>
          </cell>
          <cell r="E237">
            <v>956.6</v>
          </cell>
          <cell r="F237">
            <v>8.2522400000000005</v>
          </cell>
          <cell r="G237" t="e">
            <v>#VALUE!</v>
          </cell>
          <cell r="I237">
            <v>4.8112000000000004</v>
          </cell>
          <cell r="J237">
            <v>7.9656000000000002</v>
          </cell>
          <cell r="K237">
            <v>4.7</v>
          </cell>
          <cell r="L237">
            <v>4.9000000000000004</v>
          </cell>
          <cell r="M237">
            <v>4.78</v>
          </cell>
          <cell r="O237">
            <v>1.5787</v>
          </cell>
          <cell r="P237">
            <v>0.76319999999999999</v>
          </cell>
          <cell r="Q237">
            <v>103.42636268343817</v>
          </cell>
          <cell r="U237">
            <v>4.7595000000000001</v>
          </cell>
          <cell r="V237">
            <v>24.25</v>
          </cell>
          <cell r="W237" t="str">
            <v>#N/A N/A</v>
          </cell>
        </row>
        <row r="238">
          <cell r="B238">
            <v>85.17</v>
          </cell>
          <cell r="D238">
            <v>1.2804</v>
          </cell>
          <cell r="E238">
            <v>956.35</v>
          </cell>
          <cell r="F238">
            <v>8.1974</v>
          </cell>
          <cell r="G238" t="e">
            <v>#VALUE!</v>
          </cell>
          <cell r="I238">
            <v>4.8091999999999997</v>
          </cell>
          <cell r="J238">
            <v>7.9664000000000001</v>
          </cell>
          <cell r="K238">
            <v>4.7</v>
          </cell>
          <cell r="L238">
            <v>4.9000000000000004</v>
          </cell>
          <cell r="M238">
            <v>4.7699999999999996</v>
          </cell>
          <cell r="O238">
            <v>1.5809</v>
          </cell>
          <cell r="P238">
            <v>0.76229999999999998</v>
          </cell>
          <cell r="Q238">
            <v>103.69277187459005</v>
          </cell>
          <cell r="U238">
            <v>4.7595000000000001</v>
          </cell>
          <cell r="V238">
            <v>24.332999999999998</v>
          </cell>
          <cell r="W238" t="str">
            <v>#N/A N/A</v>
          </cell>
        </row>
        <row r="239">
          <cell r="B239">
            <v>85.13</v>
          </cell>
          <cell r="D239">
            <v>1.2783</v>
          </cell>
          <cell r="E239">
            <v>955.6</v>
          </cell>
          <cell r="F239">
            <v>8.2060999999999993</v>
          </cell>
          <cell r="G239" t="e">
            <v>#VALUE!</v>
          </cell>
          <cell r="I239">
            <v>4.8071999999999999</v>
          </cell>
          <cell r="J239">
            <v>7.9699</v>
          </cell>
          <cell r="K239">
            <v>4.6900000000000004</v>
          </cell>
          <cell r="L239">
            <v>4.88</v>
          </cell>
          <cell r="M239">
            <v>4.74</v>
          </cell>
          <cell r="O239">
            <v>1.5810999999999999</v>
          </cell>
          <cell r="P239">
            <v>0.76280000000000003</v>
          </cell>
          <cell r="Q239">
            <v>103.63791295228107</v>
          </cell>
          <cell r="U239">
            <v>4.7664999999999997</v>
          </cell>
          <cell r="V239">
            <v>25.082999999999998</v>
          </cell>
          <cell r="W239" t="str">
            <v>#N/A N/A</v>
          </cell>
        </row>
        <row r="240">
          <cell r="B240">
            <v>85.28</v>
          </cell>
          <cell r="D240">
            <v>1.2770000000000001</v>
          </cell>
          <cell r="E240">
            <v>959.25</v>
          </cell>
          <cell r="F240">
            <v>8.2332000000000001</v>
          </cell>
          <cell r="G240" t="e">
            <v>#VALUE!</v>
          </cell>
          <cell r="I240">
            <v>4.7991999999999999</v>
          </cell>
          <cell r="J240">
            <v>7.9725000000000001</v>
          </cell>
          <cell r="K240">
            <v>4.6900000000000004</v>
          </cell>
          <cell r="L240">
            <v>4.91</v>
          </cell>
          <cell r="M240">
            <v>4.76</v>
          </cell>
          <cell r="O240">
            <v>1.5807</v>
          </cell>
          <cell r="P240">
            <v>0.76259999999999994</v>
          </cell>
          <cell r="Q240">
            <v>103.63886703383163</v>
          </cell>
          <cell r="U240">
            <v>4.7664999999999997</v>
          </cell>
          <cell r="V240">
            <v>24.812999999999999</v>
          </cell>
          <cell r="W240" t="str">
            <v>#N/A N/A</v>
          </cell>
        </row>
        <row r="241">
          <cell r="B241">
            <v>85.38</v>
          </cell>
          <cell r="D241">
            <v>1.2757000000000001</v>
          </cell>
          <cell r="E241">
            <v>961.95</v>
          </cell>
          <cell r="F241">
            <v>8.2009399999999992</v>
          </cell>
          <cell r="G241" t="e">
            <v>#VALUE!</v>
          </cell>
          <cell r="I241">
            <v>4.7793000000000001</v>
          </cell>
          <cell r="J241">
            <v>7.9763000000000002</v>
          </cell>
          <cell r="K241">
            <v>4.6900000000000004</v>
          </cell>
          <cell r="L241">
            <v>4.9000000000000004</v>
          </cell>
          <cell r="M241">
            <v>4.75</v>
          </cell>
          <cell r="O241">
            <v>1.58</v>
          </cell>
          <cell r="P241">
            <v>0.75590000000000002</v>
          </cell>
          <cell r="Q241">
            <v>104.5111787273449</v>
          </cell>
          <cell r="U241">
            <v>4.7446999999999999</v>
          </cell>
          <cell r="V241">
            <v>24.667000000000002</v>
          </cell>
          <cell r="W241" t="str">
            <v>#N/A N/A</v>
          </cell>
        </row>
        <row r="242">
          <cell r="B242">
            <v>85.38</v>
          </cell>
          <cell r="D242">
            <v>1.2757000000000001</v>
          </cell>
          <cell r="E242">
            <v>961.95</v>
          </cell>
          <cell r="F242">
            <v>8.2009399999999992</v>
          </cell>
          <cell r="G242" t="e">
            <v>#VALUE!</v>
          </cell>
          <cell r="I242">
            <v>4.7793000000000001</v>
          </cell>
          <cell r="J242">
            <v>7.9763000000000002</v>
          </cell>
          <cell r="K242">
            <v>4.6900000000000004</v>
          </cell>
          <cell r="L242">
            <v>4.9000000000000004</v>
          </cell>
          <cell r="M242">
            <v>4.75</v>
          </cell>
          <cell r="O242">
            <v>1.58</v>
          </cell>
          <cell r="P242">
            <v>0.75590000000000002</v>
          </cell>
          <cell r="Q242">
            <v>104.5111787273449</v>
          </cell>
          <cell r="U242">
            <v>4.7446999999999999</v>
          </cell>
          <cell r="V242">
            <v>24.667000000000002</v>
          </cell>
          <cell r="W242" t="str">
            <v>#N/A N/A</v>
          </cell>
        </row>
        <row r="243">
          <cell r="B243">
            <v>85.38</v>
          </cell>
          <cell r="D243">
            <v>1.2757000000000001</v>
          </cell>
          <cell r="E243">
            <v>961.95</v>
          </cell>
          <cell r="F243">
            <v>8.2009399999999992</v>
          </cell>
          <cell r="G243" t="e">
            <v>#VALUE!</v>
          </cell>
          <cell r="I243">
            <v>4.7793000000000001</v>
          </cell>
          <cell r="J243">
            <v>7.9763000000000002</v>
          </cell>
          <cell r="K243">
            <v>4.6900000000000004</v>
          </cell>
          <cell r="L243">
            <v>4.9000000000000004</v>
          </cell>
          <cell r="M243">
            <v>4.75</v>
          </cell>
          <cell r="O243">
            <v>1.58</v>
          </cell>
          <cell r="P243">
            <v>0.75590000000000002</v>
          </cell>
          <cell r="Q243">
            <v>104.5111787273449</v>
          </cell>
          <cell r="U243">
            <v>4.7446999999999999</v>
          </cell>
          <cell r="V243">
            <v>24.667000000000002</v>
          </cell>
          <cell r="W243" t="str">
            <v>#N/A N/A</v>
          </cell>
        </row>
        <row r="244">
          <cell r="B244">
            <v>85.26</v>
          </cell>
          <cell r="D244">
            <v>1.2791000000000001</v>
          </cell>
          <cell r="E244">
            <v>964.05</v>
          </cell>
          <cell r="F244">
            <v>8.2281399999999998</v>
          </cell>
          <cell r="G244" t="e">
            <v>#VALUE!</v>
          </cell>
          <cell r="I244">
            <v>4.7911000000000001</v>
          </cell>
          <cell r="J244">
            <v>7.9706999999999999</v>
          </cell>
          <cell r="K244">
            <v>4.6900000000000004</v>
          </cell>
          <cell r="L244">
            <v>4.91</v>
          </cell>
          <cell r="M244">
            <v>4.75</v>
          </cell>
          <cell r="O244">
            <v>1.58</v>
          </cell>
          <cell r="P244">
            <v>0.75880000000000003</v>
          </cell>
          <cell r="Q244">
            <v>104.11175540326832</v>
          </cell>
          <cell r="U244">
            <v>4.7660999999999998</v>
          </cell>
          <cell r="V244">
            <v>24.667000000000002</v>
          </cell>
          <cell r="W244" t="str">
            <v>#N/A N/A</v>
          </cell>
        </row>
        <row r="245">
          <cell r="B245">
            <v>84.96</v>
          </cell>
          <cell r="D245">
            <v>1.2762</v>
          </cell>
          <cell r="E245">
            <v>961.1</v>
          </cell>
          <cell r="F245">
            <v>8.2162900000000008</v>
          </cell>
          <cell r="G245" t="e">
            <v>#VALUE!</v>
          </cell>
          <cell r="I245">
            <v>4.7771999999999997</v>
          </cell>
          <cell r="J245">
            <v>7.9622000000000002</v>
          </cell>
          <cell r="K245">
            <v>4.68</v>
          </cell>
          <cell r="L245">
            <v>4.93</v>
          </cell>
          <cell r="M245">
            <v>4.75</v>
          </cell>
          <cell r="O245">
            <v>1.5773000000000001</v>
          </cell>
          <cell r="P245">
            <v>0.76019999999999999</v>
          </cell>
          <cell r="Q245">
            <v>103.74243620099975</v>
          </cell>
          <cell r="U245">
            <v>4.7553000000000001</v>
          </cell>
          <cell r="V245">
            <v>24.582999999999998</v>
          </cell>
          <cell r="W245" t="str">
            <v>#N/A N/A</v>
          </cell>
        </row>
        <row r="246">
          <cell r="B246">
            <v>84.97</v>
          </cell>
          <cell r="D246">
            <v>1.2821</v>
          </cell>
          <cell r="E246">
            <v>961.5</v>
          </cell>
          <cell r="F246">
            <v>8.1993799999999997</v>
          </cell>
          <cell r="G246" t="e">
            <v>#VALUE!</v>
          </cell>
          <cell r="I246">
            <v>4.7515000000000001</v>
          </cell>
          <cell r="J246">
            <v>7.9587000000000003</v>
          </cell>
          <cell r="K246">
            <v>4.68</v>
          </cell>
          <cell r="L246">
            <v>4.96</v>
          </cell>
          <cell r="M246">
            <v>4.76</v>
          </cell>
          <cell r="O246">
            <v>1.5767</v>
          </cell>
          <cell r="P246">
            <v>0.76359999999999995</v>
          </cell>
          <cell r="Q246">
            <v>103.24122577265584</v>
          </cell>
          <cell r="U246">
            <v>4.7229000000000001</v>
          </cell>
          <cell r="V246">
            <v>24.786000000000001</v>
          </cell>
          <cell r="W246" t="str">
            <v>#N/A N/A</v>
          </cell>
        </row>
        <row r="247">
          <cell r="B247">
            <v>85.05</v>
          </cell>
          <cell r="D247">
            <v>1.2795000000000001</v>
          </cell>
          <cell r="E247">
            <v>961.5</v>
          </cell>
          <cell r="F247">
            <v>8.1920400000000004</v>
          </cell>
          <cell r="G247" t="e">
            <v>#VALUE!</v>
          </cell>
          <cell r="I247">
            <v>4.7257999999999996</v>
          </cell>
          <cell r="J247">
            <v>7.9527000000000001</v>
          </cell>
          <cell r="K247">
            <v>4.68</v>
          </cell>
          <cell r="L247">
            <v>4.96</v>
          </cell>
          <cell r="M247">
            <v>4.76</v>
          </cell>
          <cell r="O247">
            <v>1.5779999999999998</v>
          </cell>
          <cell r="P247">
            <v>0.76239999999999997</v>
          </cell>
          <cell r="Q247">
            <v>103.48898216159496</v>
          </cell>
          <cell r="U247">
            <v>4.6887999999999996</v>
          </cell>
          <cell r="V247">
            <v>25</v>
          </cell>
          <cell r="W247" t="str">
            <v>#N/A N/A</v>
          </cell>
        </row>
        <row r="248">
          <cell r="B248">
            <v>84.92</v>
          </cell>
          <cell r="D248">
            <v>1.2838000000000001</v>
          </cell>
          <cell r="E248">
            <v>960.55</v>
          </cell>
          <cell r="F248">
            <v>8.2031700000000001</v>
          </cell>
          <cell r="G248" t="e">
            <v>#VALUE!</v>
          </cell>
          <cell r="I248">
            <v>4.7236000000000002</v>
          </cell>
          <cell r="J248">
            <v>7.9531999999999998</v>
          </cell>
          <cell r="K248">
            <v>4.68</v>
          </cell>
          <cell r="L248">
            <v>4.9000000000000004</v>
          </cell>
          <cell r="M248">
            <v>4.7300000000000004</v>
          </cell>
          <cell r="O248">
            <v>1.5790999999999999</v>
          </cell>
          <cell r="P248">
            <v>0.76659999999999995</v>
          </cell>
          <cell r="Q248">
            <v>102.993738585964</v>
          </cell>
          <cell r="U248">
            <v>4.6780999999999997</v>
          </cell>
          <cell r="V248">
            <v>24.3</v>
          </cell>
          <cell r="W248" t="str">
            <v>#N/A N/A</v>
          </cell>
        </row>
        <row r="249">
          <cell r="B249">
            <v>84.92</v>
          </cell>
          <cell r="D249">
            <v>1.2838000000000001</v>
          </cell>
          <cell r="E249">
            <v>960.55</v>
          </cell>
          <cell r="F249">
            <v>8.2031700000000001</v>
          </cell>
          <cell r="G249" t="e">
            <v>#VALUE!</v>
          </cell>
          <cell r="I249">
            <v>4.7236000000000002</v>
          </cell>
          <cell r="J249">
            <v>7.9531999999999998</v>
          </cell>
          <cell r="K249">
            <v>4.68</v>
          </cell>
          <cell r="L249">
            <v>4.9000000000000004</v>
          </cell>
          <cell r="M249">
            <v>4.7300000000000004</v>
          </cell>
          <cell r="O249">
            <v>1.5790999999999999</v>
          </cell>
          <cell r="P249">
            <v>0.76659999999999995</v>
          </cell>
          <cell r="Q249">
            <v>102.993738585964</v>
          </cell>
          <cell r="U249">
            <v>4.6780999999999997</v>
          </cell>
          <cell r="V249">
            <v>24.3</v>
          </cell>
          <cell r="W249" t="str">
            <v>#N/A N/A</v>
          </cell>
        </row>
        <row r="250">
          <cell r="B250">
            <v>84.92</v>
          </cell>
          <cell r="D250">
            <v>1.2838000000000001</v>
          </cell>
          <cell r="E250">
            <v>960.55</v>
          </cell>
          <cell r="F250">
            <v>8.2031700000000001</v>
          </cell>
          <cell r="G250" t="e">
            <v>#VALUE!</v>
          </cell>
          <cell r="I250">
            <v>4.7236000000000002</v>
          </cell>
          <cell r="J250">
            <v>7.9531999999999998</v>
          </cell>
          <cell r="K250">
            <v>4.68</v>
          </cell>
          <cell r="L250">
            <v>4.9000000000000004</v>
          </cell>
          <cell r="M250">
            <v>4.7300000000000004</v>
          </cell>
          <cell r="O250">
            <v>1.5790999999999999</v>
          </cell>
          <cell r="P250">
            <v>0.76659999999999995</v>
          </cell>
          <cell r="Q250">
            <v>102.993738585964</v>
          </cell>
          <cell r="U250">
            <v>4.6780999999999997</v>
          </cell>
          <cell r="V250">
            <v>24.3</v>
          </cell>
          <cell r="W250" t="str">
            <v>#N/A N/A</v>
          </cell>
        </row>
        <row r="251">
          <cell r="B251">
            <v>84.68</v>
          </cell>
          <cell r="D251">
            <v>1.2869999999999999</v>
          </cell>
          <cell r="E251">
            <v>957.9</v>
          </cell>
          <cell r="F251">
            <v>8.2538400000000003</v>
          </cell>
          <cell r="G251" t="e">
            <v>#VALUE!</v>
          </cell>
          <cell r="I251">
            <v>4.7234999999999996</v>
          </cell>
          <cell r="J251">
            <v>7.9385000000000003</v>
          </cell>
          <cell r="K251">
            <v>4.67</v>
          </cell>
          <cell r="L251">
            <v>4.8899999999999997</v>
          </cell>
          <cell r="M251">
            <v>4.72</v>
          </cell>
          <cell r="O251">
            <v>1.5806</v>
          </cell>
          <cell r="P251">
            <v>0.7712</v>
          </cell>
          <cell r="Q251">
            <v>102.47665975103735</v>
          </cell>
          <cell r="U251">
            <v>4.6780999999999997</v>
          </cell>
          <cell r="V251">
            <v>24</v>
          </cell>
          <cell r="W251" t="str">
            <v>#N/A N/A</v>
          </cell>
        </row>
        <row r="252">
          <cell r="B252">
            <v>85</v>
          </cell>
          <cell r="D252">
            <v>1.2812000000000001</v>
          </cell>
          <cell r="E252">
            <v>956.65</v>
          </cell>
          <cell r="F252">
            <v>8.2516099999999994</v>
          </cell>
          <cell r="G252" t="e">
            <v>#VALUE!</v>
          </cell>
          <cell r="I252">
            <v>4.7789000000000001</v>
          </cell>
          <cell r="J252">
            <v>7.9488000000000003</v>
          </cell>
          <cell r="K252">
            <v>4.67</v>
          </cell>
          <cell r="L252">
            <v>4.91</v>
          </cell>
          <cell r="M252">
            <v>4.74</v>
          </cell>
          <cell r="O252">
            <v>1.5817000000000001</v>
          </cell>
          <cell r="P252">
            <v>0.77129999999999999</v>
          </cell>
          <cell r="Q252">
            <v>102.53468170621029</v>
          </cell>
          <cell r="U252">
            <v>4.7279</v>
          </cell>
          <cell r="V252">
            <v>23.5</v>
          </cell>
          <cell r="W252" t="str">
            <v>#N/A N/A</v>
          </cell>
        </row>
        <row r="253">
          <cell r="B253">
            <v>85.1</v>
          </cell>
          <cell r="D253">
            <v>1.2774000000000001</v>
          </cell>
          <cell r="E253">
            <v>957.05</v>
          </cell>
          <cell r="F253">
            <v>8.1884899999999998</v>
          </cell>
          <cell r="G253" t="e">
            <v>#VALUE!</v>
          </cell>
          <cell r="I253">
            <v>4.7948000000000004</v>
          </cell>
          <cell r="J253">
            <v>7.9443000000000001</v>
          </cell>
          <cell r="K253">
            <v>4.67</v>
          </cell>
          <cell r="L253">
            <v>4.96</v>
          </cell>
          <cell r="M253">
            <v>4.78</v>
          </cell>
          <cell r="O253">
            <v>1.5827</v>
          </cell>
          <cell r="P253">
            <v>0.76539999999999997</v>
          </cell>
          <cell r="Q253">
            <v>103.39038411288215</v>
          </cell>
          <cell r="U253">
            <v>4.7386999999999997</v>
          </cell>
          <cell r="V253">
            <v>23.582999999999998</v>
          </cell>
          <cell r="W253" t="str">
            <v>#N/A N/A</v>
          </cell>
        </row>
        <row r="254">
          <cell r="B254">
            <v>85.53</v>
          </cell>
          <cell r="D254">
            <v>1.2748999999999999</v>
          </cell>
          <cell r="E254">
            <v>957</v>
          </cell>
          <cell r="F254">
            <v>8.2184699999999999</v>
          </cell>
          <cell r="G254" t="e">
            <v>#VALUE!</v>
          </cell>
          <cell r="I254">
            <v>4.7847999999999997</v>
          </cell>
          <cell r="J254">
            <v>7.9409999999999998</v>
          </cell>
          <cell r="K254">
            <v>4.67</v>
          </cell>
          <cell r="L254">
            <v>4.9000000000000004</v>
          </cell>
          <cell r="M254">
            <v>4.7300000000000004</v>
          </cell>
          <cell r="O254">
            <v>1.5824</v>
          </cell>
          <cell r="P254">
            <v>0.75939999999999996</v>
          </cell>
          <cell r="Q254">
            <v>104.18751646036345</v>
          </cell>
          <cell r="U254">
            <v>4.7279999999999998</v>
          </cell>
          <cell r="V254">
            <v>23.667000000000002</v>
          </cell>
          <cell r="W254" t="str">
            <v>#N/A N/A</v>
          </cell>
        </row>
        <row r="255">
          <cell r="B255">
            <v>85.95</v>
          </cell>
          <cell r="D255">
            <v>1.2674000000000001</v>
          </cell>
          <cell r="E255">
            <v>957</v>
          </cell>
          <cell r="F255">
            <v>8.1857799999999994</v>
          </cell>
          <cell r="G255" t="e">
            <v>#VALUE!</v>
          </cell>
          <cell r="I255">
            <v>4.7708000000000004</v>
          </cell>
          <cell r="J255">
            <v>7.9485000000000001</v>
          </cell>
          <cell r="K255">
            <v>4.6500000000000004</v>
          </cell>
          <cell r="L255">
            <v>4.9000000000000004</v>
          </cell>
          <cell r="M255">
            <v>4.7300000000000004</v>
          </cell>
          <cell r="O255">
            <v>1.5815999999999999</v>
          </cell>
          <cell r="P255">
            <v>0.75380000000000003</v>
          </cell>
          <cell r="Q255">
            <v>104.90846378349694</v>
          </cell>
          <cell r="U255">
            <v>4.7102000000000004</v>
          </cell>
          <cell r="V255">
            <v>23.5</v>
          </cell>
          <cell r="W255" t="str">
            <v>#N/A N/A</v>
          </cell>
        </row>
        <row r="256">
          <cell r="B256">
            <v>85.95</v>
          </cell>
          <cell r="D256">
            <v>1.2674000000000001</v>
          </cell>
          <cell r="E256">
            <v>957</v>
          </cell>
          <cell r="F256">
            <v>8.1857799999999994</v>
          </cell>
          <cell r="I256">
            <v>4.7708000000000004</v>
          </cell>
          <cell r="J256">
            <v>7.9485000000000001</v>
          </cell>
          <cell r="K256">
            <v>4.6500000000000004</v>
          </cell>
          <cell r="L256">
            <v>4.9000000000000004</v>
          </cell>
          <cell r="M256">
            <v>4.7300000000000004</v>
          </cell>
          <cell r="O256">
            <v>1.5815999999999999</v>
          </cell>
          <cell r="P256">
            <v>0.75380000000000003</v>
          </cell>
          <cell r="U256">
            <v>4.7102000000000004</v>
          </cell>
          <cell r="V256">
            <v>23.5</v>
          </cell>
          <cell r="W256" t="str">
            <v>#N/A N/A</v>
          </cell>
        </row>
        <row r="257">
          <cell r="B257">
            <v>85.95</v>
          </cell>
          <cell r="D257">
            <v>1.2674000000000001</v>
          </cell>
          <cell r="E257">
            <v>957</v>
          </cell>
          <cell r="F257">
            <v>8.1857799999999994</v>
          </cell>
          <cell r="G257" t="e">
            <v>#VALUE!</v>
          </cell>
          <cell r="I257">
            <v>4.7708000000000004</v>
          </cell>
          <cell r="J257">
            <v>7.9485000000000001</v>
          </cell>
          <cell r="K257">
            <v>4.6500000000000004</v>
          </cell>
          <cell r="L257">
            <v>4.9000000000000004</v>
          </cell>
          <cell r="M257">
            <v>4.7300000000000004</v>
          </cell>
          <cell r="O257">
            <v>1.5815999999999999</v>
          </cell>
          <cell r="P257">
            <v>0.75380000000000003</v>
          </cell>
          <cell r="Q257">
            <v>104.90846378349694</v>
          </cell>
          <cell r="U257">
            <v>4.7102000000000004</v>
          </cell>
          <cell r="V257">
            <v>23.5</v>
          </cell>
          <cell r="W257" t="str">
            <v>#N/A N/A</v>
          </cell>
        </row>
        <row r="258">
          <cell r="B258">
            <v>85.92</v>
          </cell>
          <cell r="D258">
            <v>1.27</v>
          </cell>
          <cell r="E258">
            <v>957.55</v>
          </cell>
          <cell r="F258">
            <v>8.1465899999999998</v>
          </cell>
          <cell r="G258" t="e">
            <v>#VALUE!</v>
          </cell>
          <cell r="I258">
            <v>4.8006000000000002</v>
          </cell>
          <cell r="J258">
            <v>7.9542000000000002</v>
          </cell>
          <cell r="K258">
            <v>4.6500000000000004</v>
          </cell>
          <cell r="L258">
            <v>4.91</v>
          </cell>
          <cell r="M258">
            <v>4.7300000000000004</v>
          </cell>
          <cell r="O258">
            <v>1.5808</v>
          </cell>
          <cell r="P258">
            <v>0.75149999999999995</v>
          </cell>
          <cell r="Q258">
            <v>105.1763140385895</v>
          </cell>
          <cell r="U258">
            <v>4.7316000000000003</v>
          </cell>
          <cell r="V258">
            <v>24</v>
          </cell>
          <cell r="W258" t="str">
            <v>#N/A N/A</v>
          </cell>
        </row>
        <row r="259">
          <cell r="B259">
            <v>85.92</v>
          </cell>
          <cell r="D259">
            <v>1.2683</v>
          </cell>
          <cell r="E259">
            <v>959.4</v>
          </cell>
          <cell r="F259">
            <v>8.1342999999999996</v>
          </cell>
          <cell r="G259" t="e">
            <v>#VALUE!</v>
          </cell>
          <cell r="I259">
            <v>4.7687999999999997</v>
          </cell>
          <cell r="J259">
            <v>7.9465000000000003</v>
          </cell>
          <cell r="K259">
            <v>4.6399999999999997</v>
          </cell>
          <cell r="L259">
            <v>4.91</v>
          </cell>
          <cell r="M259">
            <v>4.7300000000000004</v>
          </cell>
          <cell r="O259">
            <v>1.5844</v>
          </cell>
          <cell r="P259">
            <v>0.75139999999999996</v>
          </cell>
          <cell r="Q259">
            <v>105.42986425339367</v>
          </cell>
          <cell r="U259">
            <v>4.7030000000000003</v>
          </cell>
          <cell r="V259">
            <v>23.75</v>
          </cell>
          <cell r="W259" t="str">
            <v>#N/A N/A</v>
          </cell>
        </row>
        <row r="260">
          <cell r="B260">
            <v>85.86</v>
          </cell>
          <cell r="D260">
            <v>1.27</v>
          </cell>
          <cell r="E260">
            <v>959</v>
          </cell>
          <cell r="F260">
            <v>8.1624700000000008</v>
          </cell>
          <cell r="G260" t="e">
            <v>#VALUE!</v>
          </cell>
          <cell r="I260">
            <v>4.7587999999999999</v>
          </cell>
          <cell r="J260">
            <v>7.9485999999999999</v>
          </cell>
          <cell r="K260">
            <v>4.63</v>
          </cell>
          <cell r="L260">
            <v>4.9000000000000004</v>
          </cell>
          <cell r="M260">
            <v>4.71</v>
          </cell>
          <cell r="O260">
            <v>1.5874999999999999</v>
          </cell>
          <cell r="P260">
            <v>0.75270000000000004</v>
          </cell>
          <cell r="Q260">
            <v>105.45370001328548</v>
          </cell>
          <cell r="U260">
            <v>4.6995000000000005</v>
          </cell>
          <cell r="V260">
            <v>23.25</v>
          </cell>
          <cell r="W260" t="str">
            <v>#N/A N/A</v>
          </cell>
        </row>
        <row r="261">
          <cell r="B261">
            <v>85.66</v>
          </cell>
          <cell r="D261">
            <v>1.2735000000000001</v>
          </cell>
          <cell r="E261">
            <v>957.55</v>
          </cell>
          <cell r="F261">
            <v>8.1498799999999996</v>
          </cell>
          <cell r="G261" t="e">
            <v>#VALUE!</v>
          </cell>
          <cell r="I261">
            <v>4.7885999999999997</v>
          </cell>
          <cell r="J261">
            <v>7.9459999999999997</v>
          </cell>
          <cell r="K261">
            <v>4.63</v>
          </cell>
          <cell r="L261">
            <v>4.91</v>
          </cell>
          <cell r="M261">
            <v>4.72</v>
          </cell>
          <cell r="O261">
            <v>1.5920999999999998</v>
          </cell>
          <cell r="P261">
            <v>0.75449999999999995</v>
          </cell>
          <cell r="Q261">
            <v>105.50695825049701</v>
          </cell>
          <cell r="U261">
            <v>4.7389000000000001</v>
          </cell>
          <cell r="V261">
            <v>23.393000000000001</v>
          </cell>
          <cell r="W261" t="str">
            <v>#N/A N/A</v>
          </cell>
        </row>
        <row r="262">
          <cell r="B262">
            <v>85.98</v>
          </cell>
          <cell r="D262">
            <v>1.2645</v>
          </cell>
          <cell r="E262">
            <v>956.5</v>
          </cell>
          <cell r="F262">
            <v>8.1060400000000001</v>
          </cell>
          <cell r="G262" t="e">
            <v>#VALUE!</v>
          </cell>
          <cell r="I262">
            <v>4.7885</v>
          </cell>
          <cell r="J262">
            <v>7.9429999999999996</v>
          </cell>
          <cell r="K262">
            <v>4.63</v>
          </cell>
          <cell r="L262">
            <v>4.91</v>
          </cell>
          <cell r="M262">
            <v>4.71</v>
          </cell>
          <cell r="O262">
            <v>1.5891999999999999</v>
          </cell>
          <cell r="P262">
            <v>0.75080000000000002</v>
          </cell>
          <cell r="Q262">
            <v>105.83377730420884</v>
          </cell>
          <cell r="U262">
            <v>4.7496999999999998</v>
          </cell>
          <cell r="V262">
            <v>23.106999999999999</v>
          </cell>
          <cell r="W262" t="str">
            <v>#N/A N/A</v>
          </cell>
        </row>
        <row r="263">
          <cell r="B263">
            <v>85.98</v>
          </cell>
          <cell r="D263">
            <v>1.2645</v>
          </cell>
          <cell r="E263">
            <v>956.5</v>
          </cell>
          <cell r="F263">
            <v>8.1060400000000001</v>
          </cell>
          <cell r="G263" t="e">
            <v>#VALUE!</v>
          </cell>
          <cell r="I263">
            <v>4.7885</v>
          </cell>
          <cell r="J263">
            <v>7.9429999999999996</v>
          </cell>
          <cell r="K263">
            <v>4.63</v>
          </cell>
          <cell r="L263">
            <v>4.91</v>
          </cell>
          <cell r="M263">
            <v>4.71</v>
          </cell>
          <cell r="O263">
            <v>1.5891999999999999</v>
          </cell>
          <cell r="P263">
            <v>0.75080000000000002</v>
          </cell>
          <cell r="Q263">
            <v>105.83377730420884</v>
          </cell>
          <cell r="U263">
            <v>4.7496999999999998</v>
          </cell>
          <cell r="V263">
            <v>23.106999999999999</v>
          </cell>
          <cell r="W263" t="str">
            <v>#N/A N/A</v>
          </cell>
        </row>
        <row r="264">
          <cell r="B264">
            <v>85.98</v>
          </cell>
          <cell r="D264">
            <v>1.2645</v>
          </cell>
          <cell r="E264">
            <v>956.5</v>
          </cell>
          <cell r="F264">
            <v>8.1060400000000001</v>
          </cell>
          <cell r="G264" t="e">
            <v>#VALUE!</v>
          </cell>
          <cell r="I264">
            <v>4.7885</v>
          </cell>
          <cell r="J264">
            <v>7.9429999999999996</v>
          </cell>
          <cell r="K264">
            <v>4.63</v>
          </cell>
          <cell r="L264">
            <v>4.91</v>
          </cell>
          <cell r="M264">
            <v>4.71</v>
          </cell>
          <cell r="O264">
            <v>1.5891999999999999</v>
          </cell>
          <cell r="P264">
            <v>0.75080000000000002</v>
          </cell>
          <cell r="Q264">
            <v>105.83377730420884</v>
          </cell>
          <cell r="U264">
            <v>4.7496999999999998</v>
          </cell>
          <cell r="V264">
            <v>23.106999999999999</v>
          </cell>
          <cell r="W264" t="str">
            <v>#N/A N/A</v>
          </cell>
        </row>
        <row r="265">
          <cell r="B265">
            <v>85.81</v>
          </cell>
          <cell r="D265">
            <v>1.2692000000000001</v>
          </cell>
          <cell r="E265">
            <v>956.5</v>
          </cell>
          <cell r="F265">
            <v>8.1106599999999993</v>
          </cell>
          <cell r="G265" t="e">
            <v>#VALUE!</v>
          </cell>
          <cell r="I265">
            <v>4.8044000000000002</v>
          </cell>
          <cell r="J265">
            <v>7.9467999999999996</v>
          </cell>
          <cell r="K265">
            <v>4.63</v>
          </cell>
          <cell r="L265">
            <v>4.9400000000000004</v>
          </cell>
          <cell r="M265">
            <v>4.72</v>
          </cell>
          <cell r="O265">
            <v>1.5885</v>
          </cell>
          <cell r="P265">
            <v>0.75429999999999997</v>
          </cell>
          <cell r="Q265">
            <v>105.29630120641656</v>
          </cell>
          <cell r="U265">
            <v>4.7713000000000001</v>
          </cell>
          <cell r="V265">
            <v>23.082999999999998</v>
          </cell>
          <cell r="W265" t="str">
            <v>#N/A N/A</v>
          </cell>
        </row>
        <row r="266">
          <cell r="B266">
            <v>85.94</v>
          </cell>
          <cell r="D266">
            <v>1.2664</v>
          </cell>
          <cell r="E266">
            <v>952.5</v>
          </cell>
          <cell r="F266">
            <v>8.0891999999999999</v>
          </cell>
          <cell r="G266" t="e">
            <v>#VALUE!</v>
          </cell>
          <cell r="I266">
            <v>4.7328000000000001</v>
          </cell>
          <cell r="J266">
            <v>7.9363000000000001</v>
          </cell>
          <cell r="K266">
            <v>4.63</v>
          </cell>
          <cell r="L266">
            <v>4.9400000000000004</v>
          </cell>
          <cell r="M266">
            <v>4.72</v>
          </cell>
          <cell r="O266">
            <v>1.5866</v>
          </cell>
          <cell r="P266">
            <v>0.75149999999999995</v>
          </cell>
          <cell r="Q266">
            <v>105.56220891550234</v>
          </cell>
          <cell r="U266">
            <v>4.6887999999999996</v>
          </cell>
          <cell r="V266">
            <v>23.25</v>
          </cell>
          <cell r="W266" t="str">
            <v>#N/A N/A</v>
          </cell>
        </row>
        <row r="267">
          <cell r="B267">
            <v>85.81</v>
          </cell>
          <cell r="D267">
            <v>1.27</v>
          </cell>
          <cell r="E267">
            <v>950.85</v>
          </cell>
          <cell r="F267">
            <v>8.1076899999999998</v>
          </cell>
          <cell r="G267" t="e">
            <v>#VALUE!</v>
          </cell>
          <cell r="I267">
            <v>4.7287999999999997</v>
          </cell>
          <cell r="J267">
            <v>7.9264999999999999</v>
          </cell>
          <cell r="K267">
            <v>4.63</v>
          </cell>
          <cell r="L267">
            <v>4.9000000000000004</v>
          </cell>
          <cell r="M267">
            <v>4.67</v>
          </cell>
          <cell r="O267">
            <v>1.5874999999999999</v>
          </cell>
          <cell r="P267">
            <v>0.75349999999999995</v>
          </cell>
          <cell r="Q267">
            <v>105.3417385534174</v>
          </cell>
          <cell r="U267">
            <v>4.6924000000000001</v>
          </cell>
          <cell r="V267">
            <v>24</v>
          </cell>
          <cell r="W267" t="str">
            <v>#N/A N/A</v>
          </cell>
        </row>
        <row r="268">
          <cell r="B268">
            <v>85.2</v>
          </cell>
          <cell r="D268">
            <v>1.2778</v>
          </cell>
          <cell r="E268">
            <v>944.25</v>
          </cell>
          <cell r="F268">
            <v>8.1010799999999996</v>
          </cell>
          <cell r="G268" t="e">
            <v>#VALUE!</v>
          </cell>
          <cell r="I268">
            <v>4.6360000000000001</v>
          </cell>
          <cell r="J268">
            <v>7.9233000000000002</v>
          </cell>
          <cell r="K268">
            <v>4.63</v>
          </cell>
          <cell r="L268">
            <v>4.8899999999999997</v>
          </cell>
          <cell r="M268">
            <v>4.66</v>
          </cell>
          <cell r="O268">
            <v>1.5909</v>
          </cell>
          <cell r="P268">
            <v>0.75670000000000004</v>
          </cell>
          <cell r="Q268">
            <v>105.12091978326946</v>
          </cell>
          <cell r="U268">
            <v>4.5815000000000001</v>
          </cell>
          <cell r="V268">
            <v>23.713999999999999</v>
          </cell>
          <cell r="W268" t="str">
            <v>#N/A N/A</v>
          </cell>
        </row>
        <row r="269">
          <cell r="B269">
            <v>85.16</v>
          </cell>
          <cell r="D269">
            <v>1.28</v>
          </cell>
          <cell r="E269">
            <v>946.75</v>
          </cell>
          <cell r="F269">
            <v>8.1359300000000001</v>
          </cell>
          <cell r="G269" t="e">
            <v>#VALUE!</v>
          </cell>
          <cell r="I269">
            <v>4.5888</v>
          </cell>
          <cell r="J269">
            <v>7.9195000000000002</v>
          </cell>
          <cell r="K269">
            <v>4.63</v>
          </cell>
          <cell r="L269">
            <v>4.8499999999999996</v>
          </cell>
          <cell r="M269">
            <v>4.62</v>
          </cell>
          <cell r="O269">
            <v>1.5798000000000001</v>
          </cell>
          <cell r="P269">
            <v>0.75239999999999996</v>
          </cell>
          <cell r="Q269">
            <v>104.98405103668263</v>
          </cell>
          <cell r="U269">
            <v>4.5420999999999996</v>
          </cell>
          <cell r="V269">
            <v>23.75</v>
          </cell>
          <cell r="W269" t="str">
            <v>#N/A N/A</v>
          </cell>
        </row>
        <row r="270">
          <cell r="B270">
            <v>85.16</v>
          </cell>
          <cell r="D270">
            <v>1.28</v>
          </cell>
          <cell r="E270">
            <v>946.75</v>
          </cell>
          <cell r="F270">
            <v>8.1359300000000001</v>
          </cell>
          <cell r="G270" t="e">
            <v>#VALUE!</v>
          </cell>
          <cell r="I270">
            <v>4.5888</v>
          </cell>
          <cell r="J270">
            <v>7.9195000000000002</v>
          </cell>
          <cell r="K270">
            <v>4.63</v>
          </cell>
          <cell r="L270">
            <v>4.8499999999999996</v>
          </cell>
          <cell r="M270">
            <v>4.62</v>
          </cell>
          <cell r="O270">
            <v>1.5798000000000001</v>
          </cell>
          <cell r="P270">
            <v>0.75239999999999996</v>
          </cell>
          <cell r="Q270">
            <v>104.98405103668263</v>
          </cell>
          <cell r="U270">
            <v>4.5420999999999996</v>
          </cell>
          <cell r="V270">
            <v>23.75</v>
          </cell>
          <cell r="W270" t="str">
            <v>#N/A N/A</v>
          </cell>
        </row>
        <row r="271">
          <cell r="B271">
            <v>85.16</v>
          </cell>
          <cell r="D271">
            <v>1.28</v>
          </cell>
          <cell r="E271">
            <v>946.75</v>
          </cell>
          <cell r="F271">
            <v>8.1359300000000001</v>
          </cell>
          <cell r="G271" t="e">
            <v>#VALUE!</v>
          </cell>
          <cell r="I271">
            <v>4.5888</v>
          </cell>
          <cell r="J271">
            <v>7.9195000000000002</v>
          </cell>
          <cell r="K271">
            <v>4.63</v>
          </cell>
          <cell r="L271">
            <v>4.8499999999999996</v>
          </cell>
          <cell r="M271">
            <v>4.62</v>
          </cell>
          <cell r="O271">
            <v>1.5798000000000001</v>
          </cell>
          <cell r="P271">
            <v>0.75239999999999996</v>
          </cell>
          <cell r="Q271">
            <v>104.98405103668263</v>
          </cell>
          <cell r="U271">
            <v>4.5420999999999996</v>
          </cell>
          <cell r="V271">
            <v>23.75</v>
          </cell>
          <cell r="W271" t="str">
            <v>#N/A N/A</v>
          </cell>
        </row>
        <row r="272">
          <cell r="B272">
            <v>85.38</v>
          </cell>
          <cell r="D272">
            <v>1.2753999999999999</v>
          </cell>
          <cell r="E272">
            <v>944.1</v>
          </cell>
          <cell r="F272">
            <v>8.1020699999999994</v>
          </cell>
          <cell r="G272" t="e">
            <v>#VALUE!</v>
          </cell>
          <cell r="I272">
            <v>4.5418000000000003</v>
          </cell>
          <cell r="J272">
            <v>7.9211999999999998</v>
          </cell>
          <cell r="K272">
            <v>4.6100000000000003</v>
          </cell>
          <cell r="L272">
            <v>4.87</v>
          </cell>
          <cell r="M272">
            <v>4.63</v>
          </cell>
          <cell r="O272">
            <v>1.5779000000000001</v>
          </cell>
          <cell r="P272">
            <v>0.75209999999999999</v>
          </cell>
          <cell r="Q272">
            <v>104.89961441297699</v>
          </cell>
          <cell r="U272">
            <v>4.4992999999999999</v>
          </cell>
          <cell r="V272">
            <v>24</v>
          </cell>
          <cell r="W272" t="str">
            <v>#N/A N/A</v>
          </cell>
        </row>
        <row r="273">
          <cell r="B273">
            <v>85.63</v>
          </cell>
          <cell r="D273">
            <v>1.2690999999999999</v>
          </cell>
          <cell r="E273">
            <v>944.5</v>
          </cell>
          <cell r="F273">
            <v>8.0565700000000007</v>
          </cell>
          <cell r="G273" t="e">
            <v>#VALUE!</v>
          </cell>
          <cell r="I273">
            <v>4.5827999999999998</v>
          </cell>
          <cell r="J273">
            <v>7.9104999999999999</v>
          </cell>
          <cell r="K273">
            <v>4.6100000000000003</v>
          </cell>
          <cell r="L273">
            <v>4.8600000000000003</v>
          </cell>
          <cell r="M273">
            <v>4.62</v>
          </cell>
          <cell r="O273">
            <v>1.5779999999999998</v>
          </cell>
          <cell r="P273">
            <v>0.75290000000000001</v>
          </cell>
          <cell r="Q273">
            <v>104.79479346526762</v>
          </cell>
          <cell r="U273">
            <v>4.5526999999999997</v>
          </cell>
          <cell r="V273">
            <v>24.062999999999999</v>
          </cell>
          <cell r="W273" t="str">
            <v>#N/A N/A</v>
          </cell>
        </row>
        <row r="274">
          <cell r="B274">
            <v>85.69</v>
          </cell>
          <cell r="D274">
            <v>1.2706999999999999</v>
          </cell>
          <cell r="E274">
            <v>943.6</v>
          </cell>
          <cell r="F274">
            <v>8.0282499999999999</v>
          </cell>
          <cell r="G274" t="e">
            <v>#VALUE!</v>
          </cell>
          <cell r="I274">
            <v>4.5983999999999998</v>
          </cell>
          <cell r="J274">
            <v>7.9020000000000001</v>
          </cell>
          <cell r="K274">
            <v>4.6100000000000003</v>
          </cell>
          <cell r="L274">
            <v>4.84</v>
          </cell>
          <cell r="M274">
            <v>4.6100000000000003</v>
          </cell>
          <cell r="O274">
            <v>1.5811999999999999</v>
          </cell>
          <cell r="P274">
            <v>0.74990000000000001</v>
          </cell>
          <cell r="Q274">
            <v>105.42739031870916</v>
          </cell>
          <cell r="U274">
            <v>4.5562000000000005</v>
          </cell>
          <cell r="V274">
            <v>23.832999999999998</v>
          </cell>
          <cell r="W274" t="str">
            <v>#N/A N/A</v>
          </cell>
        </row>
        <row r="275">
          <cell r="B275">
            <v>85.77</v>
          </cell>
          <cell r="D275">
            <v>1.2703</v>
          </cell>
          <cell r="E275">
            <v>944.75</v>
          </cell>
          <cell r="F275">
            <v>8.0168900000000001</v>
          </cell>
          <cell r="G275" t="e">
            <v>#VALUE!</v>
          </cell>
          <cell r="I275">
            <v>4.6120000000000001</v>
          </cell>
          <cell r="J275">
            <v>7.8964999999999996</v>
          </cell>
          <cell r="K275">
            <v>4.5999999999999996</v>
          </cell>
          <cell r="L275">
            <v>4.83</v>
          </cell>
          <cell r="M275">
            <v>4.6100000000000003</v>
          </cell>
          <cell r="O275">
            <v>1.5842000000000001</v>
          </cell>
          <cell r="P275">
            <v>0.74860000000000004</v>
          </cell>
          <cell r="Q275">
            <v>105.81084691423992</v>
          </cell>
          <cell r="U275">
            <v>4.5632999999999999</v>
          </cell>
          <cell r="V275">
            <v>23.5</v>
          </cell>
          <cell r="W275" t="str">
            <v>#N/A N/A</v>
          </cell>
        </row>
        <row r="276">
          <cell r="B276">
            <v>86.03</v>
          </cell>
          <cell r="D276">
            <v>1.2685999999999999</v>
          </cell>
          <cell r="E276">
            <v>946.5</v>
          </cell>
          <cell r="F276">
            <v>8.0180500000000006</v>
          </cell>
          <cell r="G276" t="e">
            <v>#VALUE!</v>
          </cell>
          <cell r="I276">
            <v>4.6276000000000002</v>
          </cell>
          <cell r="J276">
            <v>7.9040999999999997</v>
          </cell>
          <cell r="K276">
            <v>4.59</v>
          </cell>
          <cell r="L276">
            <v>4.7300000000000004</v>
          </cell>
          <cell r="M276">
            <v>4.57</v>
          </cell>
          <cell r="O276">
            <v>1.5861000000000001</v>
          </cell>
          <cell r="P276">
            <v>0.74650000000000005</v>
          </cell>
          <cell r="Q276">
            <v>106.2357669122572</v>
          </cell>
          <cell r="U276">
            <v>4.5777000000000001</v>
          </cell>
          <cell r="V276">
            <v>23.625</v>
          </cell>
          <cell r="W276" t="str">
            <v>#N/A N/A</v>
          </cell>
        </row>
        <row r="277">
          <cell r="B277">
            <v>86.03</v>
          </cell>
          <cell r="D277">
            <v>1.2685999999999999</v>
          </cell>
          <cell r="E277">
            <v>946.5</v>
          </cell>
          <cell r="F277">
            <v>8.0180500000000006</v>
          </cell>
          <cell r="G277" t="e">
            <v>#VALUE!</v>
          </cell>
          <cell r="I277">
            <v>4.6276000000000002</v>
          </cell>
          <cell r="J277">
            <v>7.9040999999999997</v>
          </cell>
          <cell r="K277">
            <v>4.59</v>
          </cell>
          <cell r="L277">
            <v>4.7300000000000004</v>
          </cell>
          <cell r="M277">
            <v>4.57</v>
          </cell>
          <cell r="O277">
            <v>1.5861000000000001</v>
          </cell>
          <cell r="P277">
            <v>0.74650000000000005</v>
          </cell>
          <cell r="Q277">
            <v>106.2357669122572</v>
          </cell>
          <cell r="U277">
            <v>4.5777000000000001</v>
          </cell>
          <cell r="V277">
            <v>23.625</v>
          </cell>
          <cell r="W277" t="str">
            <v>#N/A N/A</v>
          </cell>
        </row>
        <row r="278">
          <cell r="B278">
            <v>86.03</v>
          </cell>
          <cell r="D278">
            <v>1.2685999999999999</v>
          </cell>
          <cell r="E278">
            <v>946.5</v>
          </cell>
          <cell r="F278">
            <v>8.0180500000000006</v>
          </cell>
          <cell r="G278" t="e">
            <v>#VALUE!</v>
          </cell>
          <cell r="I278">
            <v>4.6276000000000002</v>
          </cell>
          <cell r="J278">
            <v>7.9040999999999997</v>
          </cell>
          <cell r="K278">
            <v>4.59</v>
          </cell>
          <cell r="L278">
            <v>4.7300000000000004</v>
          </cell>
          <cell r="M278">
            <v>4.57</v>
          </cell>
          <cell r="O278">
            <v>1.5861000000000001</v>
          </cell>
          <cell r="P278">
            <v>0.74650000000000005</v>
          </cell>
          <cell r="Q278">
            <v>106.2357669122572</v>
          </cell>
          <cell r="U278">
            <v>4.5777000000000001</v>
          </cell>
          <cell r="V278">
            <v>23.625</v>
          </cell>
          <cell r="W278" t="str">
            <v>#N/A N/A</v>
          </cell>
        </row>
        <row r="279">
          <cell r="B279">
            <v>85.6</v>
          </cell>
          <cell r="D279">
            <v>1.2751000000000001</v>
          </cell>
          <cell r="E279">
            <v>948</v>
          </cell>
          <cell r="F279">
            <v>8.0623400000000007</v>
          </cell>
          <cell r="G279" t="e">
            <v>#VALUE!</v>
          </cell>
          <cell r="I279">
            <v>4.5999999999999996</v>
          </cell>
          <cell r="J279">
            <v>7.9040999999999997</v>
          </cell>
          <cell r="K279">
            <v>4.58</v>
          </cell>
          <cell r="L279">
            <v>4.75</v>
          </cell>
          <cell r="M279">
            <v>4.59</v>
          </cell>
          <cell r="O279">
            <v>1.5834999999999999</v>
          </cell>
          <cell r="P279">
            <v>0.749</v>
          </cell>
          <cell r="Q279">
            <v>105.70761014686248</v>
          </cell>
          <cell r="U279">
            <v>4.5423</v>
          </cell>
          <cell r="V279">
            <v>24</v>
          </cell>
          <cell r="W279" t="str">
            <v>#N/A N/A</v>
          </cell>
        </row>
        <row r="280">
          <cell r="B280">
            <v>85.71</v>
          </cell>
          <cell r="D280">
            <v>1.2726999999999999</v>
          </cell>
          <cell r="E280">
            <v>947.95</v>
          </cell>
          <cell r="F280">
            <v>8.0316299999999998</v>
          </cell>
          <cell r="G280" t="e">
            <v>#VALUE!</v>
          </cell>
          <cell r="I280">
            <v>4.6136999999999997</v>
          </cell>
          <cell r="J280">
            <v>7.9040999999999997</v>
          </cell>
          <cell r="K280">
            <v>4.58</v>
          </cell>
          <cell r="L280">
            <v>4.75</v>
          </cell>
          <cell r="M280">
            <v>4.59</v>
          </cell>
          <cell r="O280">
            <v>1.5855000000000001</v>
          </cell>
          <cell r="P280">
            <v>0.74439999999999995</v>
          </cell>
          <cell r="Q280">
            <v>106.49516389038153</v>
          </cell>
          <cell r="U280">
            <v>4.5529000000000002</v>
          </cell>
          <cell r="V280">
            <v>23.375</v>
          </cell>
          <cell r="W280" t="str">
            <v>#N/A N/A</v>
          </cell>
        </row>
        <row r="281">
          <cell r="B281">
            <v>85.84</v>
          </cell>
          <cell r="D281">
            <v>1.2687999999999999</v>
          </cell>
          <cell r="E281">
            <v>949.2</v>
          </cell>
          <cell r="F281">
            <v>8.0365300000000008</v>
          </cell>
          <cell r="G281" t="e">
            <v>#VALUE!</v>
          </cell>
          <cell r="I281">
            <v>4.5587</v>
          </cell>
          <cell r="J281">
            <v>7.9040999999999997</v>
          </cell>
          <cell r="K281">
            <v>4.58</v>
          </cell>
          <cell r="L281">
            <v>4.72</v>
          </cell>
          <cell r="M281">
            <v>4.57</v>
          </cell>
          <cell r="O281">
            <v>1.5878000000000001</v>
          </cell>
          <cell r="P281">
            <v>0.74370000000000003</v>
          </cell>
          <cell r="Q281">
            <v>106.75003361570525</v>
          </cell>
          <cell r="U281">
            <v>4.4856999999999996</v>
          </cell>
          <cell r="V281">
            <v>23.5</v>
          </cell>
          <cell r="W281" t="str">
            <v>#N/A N/A</v>
          </cell>
        </row>
        <row r="282">
          <cell r="B282">
            <v>85.92</v>
          </cell>
          <cell r="D282">
            <v>1.2690999999999999</v>
          </cell>
          <cell r="E282">
            <v>949.5</v>
          </cell>
          <cell r="F282">
            <v>8.0694599999999994</v>
          </cell>
          <cell r="G282" t="e">
            <v>#VALUE!</v>
          </cell>
          <cell r="I282">
            <v>4.6036999999999999</v>
          </cell>
          <cell r="J282">
            <v>7.9040999999999997</v>
          </cell>
          <cell r="K282">
            <v>4.58</v>
          </cell>
          <cell r="L282">
            <v>4.72</v>
          </cell>
          <cell r="M282">
            <v>4.57</v>
          </cell>
          <cell r="O282">
            <v>1.5893000000000002</v>
          </cell>
          <cell r="P282">
            <v>0.74529999999999996</v>
          </cell>
          <cell r="Q282">
            <v>106.62149470012076</v>
          </cell>
          <cell r="U282">
            <v>4.5423</v>
          </cell>
          <cell r="V282">
            <v>24.2</v>
          </cell>
          <cell r="W282" t="str">
            <v>#N/A N/A</v>
          </cell>
        </row>
        <row r="283">
          <cell r="B283">
            <v>86.5</v>
          </cell>
          <cell r="D283">
            <v>1.2608999999999999</v>
          </cell>
          <cell r="E283">
            <v>949.15</v>
          </cell>
          <cell r="F283">
            <v>7.9855299999999998</v>
          </cell>
          <cell r="G283" t="e">
            <v>#VALUE!</v>
          </cell>
          <cell r="I283">
            <v>4.6943000000000001</v>
          </cell>
          <cell r="J283">
            <v>7.9040999999999997</v>
          </cell>
          <cell r="K283">
            <v>4.58</v>
          </cell>
          <cell r="L283">
            <v>4.72</v>
          </cell>
          <cell r="M283">
            <v>4.57</v>
          </cell>
          <cell r="O283">
            <v>1.5889</v>
          </cell>
          <cell r="P283">
            <v>0.74260000000000004</v>
          </cell>
          <cell r="Q283">
            <v>106.9822246162133</v>
          </cell>
          <cell r="U283">
            <v>4.6418999999999997</v>
          </cell>
          <cell r="V283">
            <v>24.1</v>
          </cell>
          <cell r="W283" t="str">
            <v>#N/A N/A</v>
          </cell>
        </row>
        <row r="284">
          <cell r="B284">
            <v>86.5</v>
          </cell>
          <cell r="D284">
            <v>1.2608999999999999</v>
          </cell>
          <cell r="E284">
            <v>949.15</v>
          </cell>
          <cell r="F284">
            <v>7.9855299999999998</v>
          </cell>
          <cell r="G284" t="e">
            <v>#VALUE!</v>
          </cell>
          <cell r="I284">
            <v>4.6943000000000001</v>
          </cell>
          <cell r="J284">
            <v>7.9040999999999997</v>
          </cell>
          <cell r="K284">
            <v>4.58</v>
          </cell>
          <cell r="L284">
            <v>4.72</v>
          </cell>
          <cell r="M284">
            <v>4.57</v>
          </cell>
          <cell r="O284">
            <v>1.5889</v>
          </cell>
          <cell r="P284">
            <v>0.74260000000000004</v>
          </cell>
          <cell r="Q284">
            <v>106.9822246162133</v>
          </cell>
          <cell r="U284">
            <v>4.6418999999999997</v>
          </cell>
          <cell r="V284">
            <v>24.1</v>
          </cell>
          <cell r="W284" t="str">
            <v>#N/A N/A</v>
          </cell>
        </row>
        <row r="285">
          <cell r="B285">
            <v>86.5</v>
          </cell>
          <cell r="D285">
            <v>1.2608999999999999</v>
          </cell>
          <cell r="E285">
            <v>949.15</v>
          </cell>
          <cell r="F285">
            <v>7.9855299999999998</v>
          </cell>
          <cell r="G285" t="e">
            <v>#VALUE!</v>
          </cell>
          <cell r="I285">
            <v>4.6943000000000001</v>
          </cell>
          <cell r="J285">
            <v>7.9040999999999997</v>
          </cell>
          <cell r="K285">
            <v>4.58</v>
          </cell>
          <cell r="L285">
            <v>4.72</v>
          </cell>
          <cell r="M285">
            <v>4.57</v>
          </cell>
          <cell r="O285">
            <v>1.5889</v>
          </cell>
          <cell r="P285">
            <v>0.74260000000000004</v>
          </cell>
          <cell r="Q285">
            <v>106.9822246162133</v>
          </cell>
          <cell r="U285">
            <v>4.6418999999999997</v>
          </cell>
          <cell r="V285">
            <v>24.1</v>
          </cell>
          <cell r="W285" t="str">
            <v>#N/A N/A</v>
          </cell>
        </row>
        <row r="286">
          <cell r="B286">
            <v>86.55</v>
          </cell>
          <cell r="D286">
            <v>1.2598</v>
          </cell>
          <cell r="E286">
            <v>963.85</v>
          </cell>
          <cell r="F286">
            <v>8.0945599999999995</v>
          </cell>
          <cell r="G286" t="e">
            <v>#VALUE!</v>
          </cell>
          <cell r="I286">
            <v>4.6942000000000004</v>
          </cell>
          <cell r="J286">
            <v>7.8994999999999997</v>
          </cell>
          <cell r="K286">
            <v>4.58</v>
          </cell>
          <cell r="L286">
            <v>4.7300000000000004</v>
          </cell>
          <cell r="M286">
            <v>4.59</v>
          </cell>
          <cell r="O286">
            <v>1.5889</v>
          </cell>
          <cell r="P286">
            <v>0.74470000000000003</v>
          </cell>
          <cell r="Q286">
            <v>106.68054250033569</v>
          </cell>
          <cell r="U286">
            <v>4.6418999999999997</v>
          </cell>
          <cell r="V286">
            <v>27</v>
          </cell>
          <cell r="W286" t="str">
            <v>#N/A N/A</v>
          </cell>
        </row>
        <row r="287">
          <cell r="B287">
            <v>87.02</v>
          </cell>
          <cell r="D287">
            <v>1.2538</v>
          </cell>
          <cell r="E287">
            <v>959.65</v>
          </cell>
          <cell r="F287">
            <v>8.0154499999999995</v>
          </cell>
          <cell r="G287" t="e">
            <v>#VALUE!</v>
          </cell>
          <cell r="I287">
            <v>4.7518000000000002</v>
          </cell>
          <cell r="J287">
            <v>7.9112</v>
          </cell>
          <cell r="K287">
            <v>4.58</v>
          </cell>
          <cell r="L287">
            <v>4.72</v>
          </cell>
          <cell r="M287">
            <v>4.58</v>
          </cell>
          <cell r="O287">
            <v>1.5909</v>
          </cell>
          <cell r="P287">
            <v>0.74450000000000005</v>
          </cell>
          <cell r="Q287">
            <v>106.84351914036266</v>
          </cell>
          <cell r="U287">
            <v>4.71</v>
          </cell>
          <cell r="V287">
            <v>27.5</v>
          </cell>
          <cell r="W287" t="str">
            <v>#N/A N/A</v>
          </cell>
        </row>
        <row r="288">
          <cell r="B288">
            <v>87.12</v>
          </cell>
          <cell r="D288">
            <v>1.2551000000000001</v>
          </cell>
          <cell r="E288">
            <v>958.25</v>
          </cell>
          <cell r="F288">
            <v>8.0190800000000007</v>
          </cell>
          <cell r="G288" t="e">
            <v>#VALUE!</v>
          </cell>
          <cell r="I288">
            <v>4.7778</v>
          </cell>
          <cell r="J288">
            <v>7.9149000000000003</v>
          </cell>
          <cell r="K288">
            <v>4.58</v>
          </cell>
          <cell r="L288">
            <v>4.76</v>
          </cell>
          <cell r="M288">
            <v>4.6100000000000003</v>
          </cell>
          <cell r="O288">
            <v>1.5941999999999998</v>
          </cell>
          <cell r="P288">
            <v>0.74419999999999997</v>
          </cell>
          <cell r="Q288">
            <v>107.10830421929589</v>
          </cell>
          <cell r="U288">
            <v>4.7422000000000004</v>
          </cell>
          <cell r="V288">
            <v>26.213999999999999</v>
          </cell>
          <cell r="W288" t="str">
            <v>#N/A N/A</v>
          </cell>
        </row>
        <row r="289">
          <cell r="B289">
            <v>86.92</v>
          </cell>
          <cell r="D289">
            <v>1.2541</v>
          </cell>
          <cell r="E289">
            <v>957.9</v>
          </cell>
          <cell r="F289">
            <v>8.0149799999999995</v>
          </cell>
          <cell r="G289" t="e">
            <v>#VALUE!</v>
          </cell>
          <cell r="I289">
            <v>4.7698</v>
          </cell>
          <cell r="J289">
            <v>7.9147999999999996</v>
          </cell>
          <cell r="K289">
            <v>4.58</v>
          </cell>
          <cell r="L289">
            <v>4.7699999999999996</v>
          </cell>
          <cell r="M289">
            <v>4.6100000000000003</v>
          </cell>
          <cell r="O289">
            <v>1.5933999999999999</v>
          </cell>
          <cell r="P289">
            <v>0.75049999999999994</v>
          </cell>
          <cell r="Q289">
            <v>106.15589606928715</v>
          </cell>
          <cell r="U289">
            <v>4.7316000000000003</v>
          </cell>
          <cell r="V289">
            <v>26</v>
          </cell>
          <cell r="W289" t="str">
            <v>#N/A N/A</v>
          </cell>
        </row>
        <row r="290">
          <cell r="B290">
            <v>87.12</v>
          </cell>
          <cell r="D290">
            <v>1.2504999999999999</v>
          </cell>
          <cell r="E290">
            <v>954.9</v>
          </cell>
          <cell r="F290">
            <v>7.96652</v>
          </cell>
          <cell r="G290" t="e">
            <v>#VALUE!</v>
          </cell>
          <cell r="I290">
            <v>4.7976999999999999</v>
          </cell>
          <cell r="J290">
            <v>7.9015000000000004</v>
          </cell>
          <cell r="K290">
            <v>4.57</v>
          </cell>
          <cell r="L290">
            <v>4.79</v>
          </cell>
          <cell r="M290">
            <v>4.62</v>
          </cell>
          <cell r="O290">
            <v>1.5939999999999999</v>
          </cell>
          <cell r="P290">
            <v>0.75080000000000002</v>
          </cell>
          <cell r="Q290">
            <v>106.15343633457644</v>
          </cell>
          <cell r="U290">
            <v>4.7569999999999997</v>
          </cell>
          <cell r="V290">
            <v>26.5</v>
          </cell>
          <cell r="W290" t="str">
            <v>#N/A N/A</v>
          </cell>
        </row>
        <row r="291">
          <cell r="B291">
            <v>87.12</v>
          </cell>
          <cell r="D291">
            <v>1.2504999999999999</v>
          </cell>
          <cell r="E291">
            <v>954.9</v>
          </cell>
          <cell r="F291">
            <v>7.96652</v>
          </cell>
          <cell r="G291" t="e">
            <v>#VALUE!</v>
          </cell>
          <cell r="I291">
            <v>4.7976999999999999</v>
          </cell>
          <cell r="J291">
            <v>7.9015000000000004</v>
          </cell>
          <cell r="K291">
            <v>4.57</v>
          </cell>
          <cell r="L291">
            <v>4.79</v>
          </cell>
          <cell r="M291">
            <v>4.62</v>
          </cell>
          <cell r="O291">
            <v>1.5939999999999999</v>
          </cell>
          <cell r="P291">
            <v>0.75080000000000002</v>
          </cell>
          <cell r="Q291">
            <v>106.15343633457644</v>
          </cell>
          <cell r="U291">
            <v>4.7569999999999997</v>
          </cell>
          <cell r="V291">
            <v>26.5</v>
          </cell>
          <cell r="W291" t="str">
            <v>#N/A N/A</v>
          </cell>
        </row>
        <row r="292">
          <cell r="B292">
            <v>87.12</v>
          </cell>
          <cell r="D292">
            <v>1.2504999999999999</v>
          </cell>
          <cell r="E292">
            <v>954.9</v>
          </cell>
          <cell r="F292">
            <v>7.96652</v>
          </cell>
          <cell r="G292" t="e">
            <v>#VALUE!</v>
          </cell>
          <cell r="I292">
            <v>4.7976999999999999</v>
          </cell>
          <cell r="J292">
            <v>7.9015000000000004</v>
          </cell>
          <cell r="K292">
            <v>4.57</v>
          </cell>
          <cell r="L292">
            <v>4.79</v>
          </cell>
          <cell r="M292">
            <v>4.62</v>
          </cell>
          <cell r="O292">
            <v>1.5939999999999999</v>
          </cell>
          <cell r="P292">
            <v>0.75080000000000002</v>
          </cell>
          <cell r="Q292">
            <v>106.15343633457644</v>
          </cell>
          <cell r="U292">
            <v>4.7569999999999997</v>
          </cell>
          <cell r="V292">
            <v>26.5</v>
          </cell>
          <cell r="W292" t="str">
            <v>#N/A N/A</v>
          </cell>
        </row>
        <row r="293">
          <cell r="B293">
            <v>87</v>
          </cell>
          <cell r="D293">
            <v>1.252</v>
          </cell>
          <cell r="E293">
            <v>955.45</v>
          </cell>
          <cell r="F293">
            <v>8.0217399999999994</v>
          </cell>
          <cell r="G293" t="e">
            <v>#VALUE!</v>
          </cell>
          <cell r="I293">
            <v>4.7756999999999996</v>
          </cell>
          <cell r="J293">
            <v>7.9097999999999997</v>
          </cell>
          <cell r="K293">
            <v>4.57</v>
          </cell>
          <cell r="L293">
            <v>4.8099999999999996</v>
          </cell>
          <cell r="M293">
            <v>4.63</v>
          </cell>
          <cell r="O293">
            <v>1.5926</v>
          </cell>
          <cell r="P293">
            <v>0.754</v>
          </cell>
          <cell r="Q293">
            <v>105.61007957559683</v>
          </cell>
          <cell r="U293">
            <v>4.7355</v>
          </cell>
          <cell r="V293">
            <v>26.375</v>
          </cell>
          <cell r="W293" t="str">
            <v>#N/A N/A</v>
          </cell>
        </row>
        <row r="294">
          <cell r="B294">
            <v>86.87</v>
          </cell>
          <cell r="D294">
            <v>1.256</v>
          </cell>
          <cell r="E294">
            <v>954.35</v>
          </cell>
          <cell r="F294">
            <v>8.0365000000000002</v>
          </cell>
          <cell r="G294" t="e">
            <v>#VALUE!</v>
          </cell>
          <cell r="I294">
            <v>4.7656000000000001</v>
          </cell>
          <cell r="J294">
            <v>7.9081999999999999</v>
          </cell>
          <cell r="K294">
            <v>4.57</v>
          </cell>
          <cell r="L294">
            <v>4.79</v>
          </cell>
          <cell r="M294">
            <v>4.5999999999999996</v>
          </cell>
          <cell r="O294">
            <v>1.5893999999999999</v>
          </cell>
          <cell r="P294">
            <v>0.75370000000000004</v>
          </cell>
          <cell r="Q294">
            <v>105.43983017115562</v>
          </cell>
          <cell r="U294">
            <v>4.7283999999999997</v>
          </cell>
          <cell r="V294">
            <v>26.25</v>
          </cell>
          <cell r="W294" t="str">
            <v>#N/A N/A</v>
          </cell>
        </row>
        <row r="295">
          <cell r="B295">
            <v>86.88</v>
          </cell>
          <cell r="D295">
            <v>1.2521</v>
          </cell>
          <cell r="E295">
            <v>955.4</v>
          </cell>
          <cell r="F295">
            <v>8.0300499999999992</v>
          </cell>
          <cell r="G295" t="e">
            <v>#VALUE!</v>
          </cell>
          <cell r="I295">
            <v>4.7536000000000005</v>
          </cell>
          <cell r="J295">
            <v>7.9077000000000002</v>
          </cell>
          <cell r="K295">
            <v>4.57</v>
          </cell>
          <cell r="L295">
            <v>4.79</v>
          </cell>
          <cell r="M295">
            <v>4.5999999999999996</v>
          </cell>
          <cell r="O295">
            <v>1.5925</v>
          </cell>
          <cell r="P295">
            <v>0.75429999999999997</v>
          </cell>
          <cell r="Q295">
            <v>105.56144769985418</v>
          </cell>
          <cell r="U295">
            <v>4.7213000000000003</v>
          </cell>
          <cell r="V295">
            <v>27.582999999999998</v>
          </cell>
          <cell r="W295" t="str">
            <v>#N/A N/A</v>
          </cell>
        </row>
        <row r="296">
          <cell r="B296">
            <v>86.24</v>
          </cell>
          <cell r="D296">
            <v>1.2610000000000001</v>
          </cell>
          <cell r="E296">
            <v>957.5</v>
          </cell>
          <cell r="F296">
            <v>8.0962399999999999</v>
          </cell>
          <cell r="G296" t="e">
            <v>#VALUE!</v>
          </cell>
          <cell r="I296">
            <v>4.7816000000000001</v>
          </cell>
          <cell r="J296">
            <v>7.9101999999999997</v>
          </cell>
          <cell r="K296">
            <v>4.57</v>
          </cell>
          <cell r="L296">
            <v>4.75</v>
          </cell>
          <cell r="M296">
            <v>4.57</v>
          </cell>
          <cell r="O296">
            <v>1.5891</v>
          </cell>
          <cell r="P296">
            <v>0.75849999999999995</v>
          </cell>
          <cell r="Q296">
            <v>104.75280158206988</v>
          </cell>
          <cell r="U296">
            <v>4.7465999999999999</v>
          </cell>
          <cell r="V296">
            <v>27.582999999999998</v>
          </cell>
          <cell r="W296" t="str">
            <v>#N/A N/A</v>
          </cell>
        </row>
        <row r="297">
          <cell r="B297">
            <v>86.27</v>
          </cell>
          <cell r="D297">
            <v>1.2618</v>
          </cell>
          <cell r="E297">
            <v>957.5</v>
          </cell>
          <cell r="F297">
            <v>8.0684299999999993</v>
          </cell>
          <cell r="G297" t="e">
            <v>#VALUE!</v>
          </cell>
          <cell r="I297">
            <v>4.7854999999999999</v>
          </cell>
          <cell r="J297">
            <v>7.9024999999999999</v>
          </cell>
          <cell r="K297">
            <v>4.57</v>
          </cell>
          <cell r="L297">
            <v>4.75</v>
          </cell>
          <cell r="M297">
            <v>4.57</v>
          </cell>
          <cell r="O297">
            <v>1.5884</v>
          </cell>
          <cell r="P297">
            <v>0.75829999999999997</v>
          </cell>
          <cell r="Q297">
            <v>104.73427403402349</v>
          </cell>
          <cell r="U297">
            <v>4.7576999999999998</v>
          </cell>
          <cell r="V297">
            <v>28.4</v>
          </cell>
          <cell r="W297" t="str">
            <v>#N/A N/A</v>
          </cell>
        </row>
        <row r="298">
          <cell r="B298">
            <v>86.27</v>
          </cell>
          <cell r="D298">
            <v>1.2618</v>
          </cell>
          <cell r="E298">
            <v>957.5</v>
          </cell>
          <cell r="F298">
            <v>8.0684299999999993</v>
          </cell>
          <cell r="G298" t="e">
            <v>#VALUE!</v>
          </cell>
          <cell r="I298">
            <v>4.7854999999999999</v>
          </cell>
          <cell r="J298">
            <v>7.9024999999999999</v>
          </cell>
          <cell r="K298">
            <v>4.57</v>
          </cell>
          <cell r="L298">
            <v>4.75</v>
          </cell>
          <cell r="M298">
            <v>4.57</v>
          </cell>
          <cell r="O298">
            <v>1.5884</v>
          </cell>
          <cell r="P298">
            <v>0.75829999999999997</v>
          </cell>
          <cell r="Q298">
            <v>104.73427403402349</v>
          </cell>
          <cell r="U298">
            <v>4.7576999999999998</v>
          </cell>
          <cell r="V298">
            <v>28.4</v>
          </cell>
          <cell r="W298" t="str">
            <v>#N/A N/A</v>
          </cell>
        </row>
        <row r="299">
          <cell r="B299">
            <v>86.27</v>
          </cell>
          <cell r="D299">
            <v>1.2618</v>
          </cell>
          <cell r="E299">
            <v>957.5</v>
          </cell>
          <cell r="F299">
            <v>8.0684299999999993</v>
          </cell>
          <cell r="G299" t="e">
            <v>#VALUE!</v>
          </cell>
          <cell r="I299">
            <v>4.7854999999999999</v>
          </cell>
          <cell r="J299">
            <v>7.9024999999999999</v>
          </cell>
          <cell r="K299">
            <v>4.57</v>
          </cell>
          <cell r="L299">
            <v>4.75</v>
          </cell>
          <cell r="M299">
            <v>4.57</v>
          </cell>
          <cell r="O299">
            <v>1.5884</v>
          </cell>
          <cell r="P299">
            <v>0.75829999999999997</v>
          </cell>
          <cell r="Q299">
            <v>104.73427403402349</v>
          </cell>
          <cell r="U299">
            <v>4.7576999999999998</v>
          </cell>
          <cell r="V299">
            <v>28.4</v>
          </cell>
          <cell r="W299" t="str">
            <v>#N/A N/A</v>
          </cell>
        </row>
        <row r="300">
          <cell r="B300">
            <v>86.71</v>
          </cell>
          <cell r="D300">
            <v>1.2545999999999999</v>
          </cell>
          <cell r="E300">
            <v>959.5</v>
          </cell>
          <cell r="F300">
            <v>8.0429099999999991</v>
          </cell>
          <cell r="G300" t="e">
            <v>#VALUE!</v>
          </cell>
          <cell r="I300">
            <v>4.8277000000000001</v>
          </cell>
          <cell r="J300">
            <v>7.8990999999999998</v>
          </cell>
          <cell r="K300">
            <v>4.57</v>
          </cell>
          <cell r="L300">
            <v>4.78</v>
          </cell>
          <cell r="M300">
            <v>4.5999999999999996</v>
          </cell>
          <cell r="O300">
            <v>1.5905</v>
          </cell>
          <cell r="P300">
            <v>0.75760000000000005</v>
          </cell>
          <cell r="Q300">
            <v>104.96964097148891</v>
          </cell>
          <cell r="U300">
            <v>4.8011999999999997</v>
          </cell>
          <cell r="V300">
            <v>28.3</v>
          </cell>
          <cell r="W300" t="str">
            <v>#N/A N/A</v>
          </cell>
        </row>
        <row r="301">
          <cell r="B301">
            <v>86.7</v>
          </cell>
          <cell r="D301">
            <v>1.2570999999999999</v>
          </cell>
          <cell r="E301">
            <v>958.5</v>
          </cell>
          <cell r="F301">
            <v>8.0411099999999998</v>
          </cell>
          <cell r="G301" t="e">
            <v>#VALUE!</v>
          </cell>
          <cell r="I301">
            <v>4.8196000000000003</v>
          </cell>
          <cell r="J301">
            <v>7.9024999999999999</v>
          </cell>
          <cell r="K301">
            <v>4.57</v>
          </cell>
          <cell r="L301">
            <v>4.8499999999999996</v>
          </cell>
          <cell r="M301">
            <v>4.67</v>
          </cell>
          <cell r="O301">
            <v>1.5907</v>
          </cell>
          <cell r="P301">
            <v>0.75839999999999996</v>
          </cell>
          <cell r="Q301">
            <v>104.87209915611815</v>
          </cell>
          <cell r="U301">
            <v>4.7976999999999999</v>
          </cell>
          <cell r="V301">
            <v>28.25</v>
          </cell>
          <cell r="W301" t="str">
            <v>#N/A N/A</v>
          </cell>
        </row>
        <row r="302">
          <cell r="B302">
            <v>86.38</v>
          </cell>
          <cell r="D302">
            <v>1.2586999999999999</v>
          </cell>
          <cell r="E302">
            <v>955.85</v>
          </cell>
          <cell r="F302">
            <v>8.0227500000000003</v>
          </cell>
          <cell r="G302" t="e">
            <v>#VALUE!</v>
          </cell>
          <cell r="I302">
            <v>4.7614000000000001</v>
          </cell>
          <cell r="J302">
            <v>7.9020000000000001</v>
          </cell>
          <cell r="K302">
            <v>4.57</v>
          </cell>
          <cell r="L302">
            <v>4.8499999999999996</v>
          </cell>
          <cell r="M302">
            <v>4.67</v>
          </cell>
          <cell r="O302">
            <v>1.5937000000000001</v>
          </cell>
          <cell r="P302">
            <v>0.7601</v>
          </cell>
          <cell r="Q302">
            <v>104.83489014603342</v>
          </cell>
          <cell r="U302">
            <v>4.7435999999999998</v>
          </cell>
          <cell r="V302">
            <v>27.917000000000002</v>
          </cell>
          <cell r="W302" t="str">
            <v>#N/A N/A</v>
          </cell>
        </row>
        <row r="303">
          <cell r="B303">
            <v>85.89</v>
          </cell>
          <cell r="D303">
            <v>1.2697000000000001</v>
          </cell>
          <cell r="E303">
            <v>950</v>
          </cell>
          <cell r="F303">
            <v>8.0256500000000006</v>
          </cell>
          <cell r="G303" t="e">
            <v>#VALUE!</v>
          </cell>
          <cell r="I303">
            <v>4.7173999999999996</v>
          </cell>
          <cell r="J303">
            <v>7.8959000000000001</v>
          </cell>
          <cell r="K303">
            <v>4.57</v>
          </cell>
          <cell r="L303">
            <v>4.83</v>
          </cell>
          <cell r="M303">
            <v>4.6500000000000004</v>
          </cell>
          <cell r="O303">
            <v>1.5907</v>
          </cell>
          <cell r="P303">
            <v>0.76429999999999998</v>
          </cell>
          <cell r="Q303">
            <v>104.06254088708621</v>
          </cell>
          <cell r="U303">
            <v>4.6894999999999998</v>
          </cell>
          <cell r="V303">
            <v>27.356999999999999</v>
          </cell>
          <cell r="W303" t="str">
            <v>#N/A N/A</v>
          </cell>
        </row>
        <row r="304">
          <cell r="B304">
            <v>85.56</v>
          </cell>
          <cell r="D304">
            <v>1.2732000000000001</v>
          </cell>
          <cell r="E304">
            <v>947.35</v>
          </cell>
          <cell r="F304">
            <v>8.0543300000000002</v>
          </cell>
          <cell r="G304" t="e">
            <v>#VALUE!</v>
          </cell>
          <cell r="I304">
            <v>4.6715</v>
          </cell>
          <cell r="J304">
            <v>7.8895999999999997</v>
          </cell>
          <cell r="K304">
            <v>4.57</v>
          </cell>
          <cell r="L304">
            <v>4.84</v>
          </cell>
          <cell r="M304">
            <v>4.66</v>
          </cell>
          <cell r="O304">
            <v>1.5901000000000001</v>
          </cell>
          <cell r="P304">
            <v>0.76890000000000003</v>
          </cell>
          <cell r="Q304">
            <v>103.40096241383796</v>
          </cell>
          <cell r="U304">
            <v>4.6321000000000003</v>
          </cell>
          <cell r="V304">
            <v>27</v>
          </cell>
          <cell r="W304" t="str">
            <v>#N/A N/A</v>
          </cell>
        </row>
        <row r="305">
          <cell r="B305">
            <v>85.56</v>
          </cell>
          <cell r="D305">
            <v>1.2732000000000001</v>
          </cell>
          <cell r="E305">
            <v>947.35</v>
          </cell>
          <cell r="F305">
            <v>8.0543300000000002</v>
          </cell>
          <cell r="G305" t="e">
            <v>#VALUE!</v>
          </cell>
          <cell r="I305">
            <v>4.6715</v>
          </cell>
          <cell r="J305">
            <v>7.8895999999999997</v>
          </cell>
          <cell r="K305">
            <v>4.57</v>
          </cell>
          <cell r="L305">
            <v>4.84</v>
          </cell>
          <cell r="M305">
            <v>4.66</v>
          </cell>
          <cell r="O305">
            <v>1.5901000000000001</v>
          </cell>
          <cell r="P305">
            <v>0.76890000000000003</v>
          </cell>
          <cell r="Q305">
            <v>103.40096241383796</v>
          </cell>
          <cell r="U305">
            <v>4.6321000000000003</v>
          </cell>
          <cell r="V305">
            <v>27</v>
          </cell>
          <cell r="W305" t="str">
            <v>#N/A N/A</v>
          </cell>
        </row>
        <row r="306">
          <cell r="B306">
            <v>85.56</v>
          </cell>
          <cell r="D306">
            <v>1.2732000000000001</v>
          </cell>
          <cell r="E306">
            <v>947.35</v>
          </cell>
          <cell r="F306">
            <v>8.0543300000000002</v>
          </cell>
          <cell r="G306" t="e">
            <v>#VALUE!</v>
          </cell>
          <cell r="I306">
            <v>4.6715</v>
          </cell>
          <cell r="J306">
            <v>7.8895999999999997</v>
          </cell>
          <cell r="K306">
            <v>4.57</v>
          </cell>
          <cell r="L306">
            <v>4.84</v>
          </cell>
          <cell r="M306">
            <v>4.66</v>
          </cell>
          <cell r="O306">
            <v>1.5901000000000001</v>
          </cell>
          <cell r="P306">
            <v>0.76890000000000003</v>
          </cell>
          <cell r="Q306">
            <v>103.40096241383796</v>
          </cell>
          <cell r="U306">
            <v>4.6321000000000003</v>
          </cell>
          <cell r="V306">
            <v>27</v>
          </cell>
          <cell r="W306" t="str">
            <v>#N/A N/A</v>
          </cell>
        </row>
        <row r="307">
          <cell r="B307">
            <v>85.59</v>
          </cell>
          <cell r="D307">
            <v>1.2721</v>
          </cell>
          <cell r="E307">
            <v>944.6</v>
          </cell>
          <cell r="F307">
            <v>8.0455699999999997</v>
          </cell>
          <cell r="G307" t="e">
            <v>#VALUE!</v>
          </cell>
          <cell r="I307">
            <v>4.6693999999999996</v>
          </cell>
          <cell r="J307">
            <v>7.8738000000000001</v>
          </cell>
          <cell r="K307">
            <v>4.57</v>
          </cell>
          <cell r="L307">
            <v>4.9000000000000004</v>
          </cell>
          <cell r="M307">
            <v>4.7</v>
          </cell>
          <cell r="O307">
            <v>1.5883</v>
          </cell>
          <cell r="P307">
            <v>0.76939999999999997</v>
          </cell>
          <cell r="Q307">
            <v>103.21679230569276</v>
          </cell>
          <cell r="U307">
            <v>4.6321000000000003</v>
          </cell>
          <cell r="V307">
            <v>27.5</v>
          </cell>
          <cell r="W307" t="str">
            <v>#N/A N/A</v>
          </cell>
        </row>
        <row r="308">
          <cell r="B308">
            <v>85.32</v>
          </cell>
          <cell r="D308">
            <v>1.2770000000000001</v>
          </cell>
          <cell r="E308">
            <v>942.2</v>
          </cell>
          <cell r="F308">
            <v>8.0737699999999997</v>
          </cell>
          <cell r="G308" t="e">
            <v>#VALUE!</v>
          </cell>
          <cell r="I308">
            <v>4.5980999999999996</v>
          </cell>
          <cell r="J308">
            <v>7.8789999999999996</v>
          </cell>
          <cell r="K308">
            <v>4.58</v>
          </cell>
          <cell r="L308">
            <v>4.91</v>
          </cell>
          <cell r="M308">
            <v>4.71</v>
          </cell>
          <cell r="O308">
            <v>1.5864</v>
          </cell>
          <cell r="P308">
            <v>0.77510000000000001</v>
          </cell>
          <cell r="Q308">
            <v>102.3351825570894</v>
          </cell>
          <cell r="U308">
            <v>4.5613999999999999</v>
          </cell>
          <cell r="V308">
            <v>27</v>
          </cell>
          <cell r="W308" t="str">
            <v>#N/A N/A</v>
          </cell>
        </row>
        <row r="309">
          <cell r="B309">
            <v>85.42</v>
          </cell>
          <cell r="D309">
            <v>1.2764</v>
          </cell>
          <cell r="E309">
            <v>939.35</v>
          </cell>
          <cell r="F309">
            <v>8.0266599999999997</v>
          </cell>
          <cell r="G309" t="e">
            <v>#VALUE!</v>
          </cell>
          <cell r="I309">
            <v>4.5644999999999998</v>
          </cell>
          <cell r="J309">
            <v>7.8723999999999998</v>
          </cell>
          <cell r="K309">
            <v>4.58</v>
          </cell>
          <cell r="L309">
            <v>4.87</v>
          </cell>
          <cell r="M309">
            <v>4.66</v>
          </cell>
          <cell r="O309">
            <v>1.5878000000000001</v>
          </cell>
          <cell r="P309">
            <v>0.77449999999999997</v>
          </cell>
          <cell r="Q309">
            <v>102.50484183344093</v>
          </cell>
          <cell r="U309">
            <v>4.5190000000000001</v>
          </cell>
          <cell r="V309">
            <v>25.95</v>
          </cell>
          <cell r="W309" t="str">
            <v>#N/A N/A</v>
          </cell>
        </row>
        <row r="310">
          <cell r="B310">
            <v>85.34</v>
          </cell>
          <cell r="D310">
            <v>1.2770000000000001</v>
          </cell>
          <cell r="E310">
            <v>939.05</v>
          </cell>
          <cell r="F310">
            <v>8.0118600000000004</v>
          </cell>
          <cell r="G310" t="e">
            <v>#VALUE!</v>
          </cell>
          <cell r="I310">
            <v>4.5940000000000003</v>
          </cell>
          <cell r="J310">
            <v>7.8734999999999999</v>
          </cell>
          <cell r="K310">
            <v>4.58</v>
          </cell>
          <cell r="L310">
            <v>4.8099999999999996</v>
          </cell>
          <cell r="M310">
            <v>4.62</v>
          </cell>
          <cell r="O310">
            <v>1.5906</v>
          </cell>
          <cell r="P310">
            <v>0.77410000000000001</v>
          </cell>
          <cell r="Q310">
            <v>102.73866425526417</v>
          </cell>
          <cell r="U310">
            <v>4.5472000000000001</v>
          </cell>
          <cell r="V310">
            <v>25.417000000000002</v>
          </cell>
          <cell r="W310" t="str">
            <v>#N/A N/A</v>
          </cell>
        </row>
        <row r="311">
          <cell r="B311">
            <v>85.71</v>
          </cell>
          <cell r="D311">
            <v>1.2706999999999999</v>
          </cell>
          <cell r="E311">
            <v>937.2</v>
          </cell>
          <cell r="F311">
            <v>7.9328000000000003</v>
          </cell>
          <cell r="G311" t="e">
            <v>#VALUE!</v>
          </cell>
          <cell r="I311">
            <v>4.7149999999999999</v>
          </cell>
          <cell r="J311">
            <v>7.8715999999999999</v>
          </cell>
          <cell r="K311">
            <v>4.58</v>
          </cell>
          <cell r="L311">
            <v>4.8099999999999996</v>
          </cell>
          <cell r="M311">
            <v>4.62</v>
          </cell>
          <cell r="O311">
            <v>1.5956000000000001</v>
          </cell>
          <cell r="P311">
            <v>0.76959999999999995</v>
          </cell>
          <cell r="Q311">
            <v>103.66424116424118</v>
          </cell>
          <cell r="U311">
            <v>4.6886999999999999</v>
          </cell>
          <cell r="V311">
            <v>25.25</v>
          </cell>
          <cell r="W311" t="str">
            <v>#N/A N/A</v>
          </cell>
        </row>
        <row r="312">
          <cell r="B312">
            <v>85.71</v>
          </cell>
          <cell r="D312">
            <v>1.2706999999999999</v>
          </cell>
          <cell r="E312">
            <v>937.2</v>
          </cell>
          <cell r="F312">
            <v>7.9328000000000003</v>
          </cell>
          <cell r="G312" t="e">
            <v>#VALUE!</v>
          </cell>
          <cell r="I312">
            <v>4.7149999999999999</v>
          </cell>
          <cell r="J312">
            <v>7.8715999999999999</v>
          </cell>
          <cell r="K312">
            <v>4.58</v>
          </cell>
          <cell r="L312">
            <v>4.8099999999999996</v>
          </cell>
          <cell r="M312">
            <v>4.62</v>
          </cell>
          <cell r="O312">
            <v>1.5956000000000001</v>
          </cell>
          <cell r="P312">
            <v>0.76959999999999995</v>
          </cell>
          <cell r="Q312">
            <v>103.66424116424118</v>
          </cell>
          <cell r="U312">
            <v>4.6886999999999999</v>
          </cell>
          <cell r="V312">
            <v>25.25</v>
          </cell>
          <cell r="W312" t="str">
            <v>#N/A N/A</v>
          </cell>
        </row>
        <row r="313">
          <cell r="B313">
            <v>85.71</v>
          </cell>
          <cell r="D313">
            <v>1.2706999999999999</v>
          </cell>
          <cell r="E313">
            <v>937.2</v>
          </cell>
          <cell r="F313">
            <v>7.9328000000000003</v>
          </cell>
          <cell r="G313" t="e">
            <v>#VALUE!</v>
          </cell>
          <cell r="I313">
            <v>4.7149999999999999</v>
          </cell>
          <cell r="J313">
            <v>7.8715999999999999</v>
          </cell>
          <cell r="K313">
            <v>4.58</v>
          </cell>
          <cell r="L313">
            <v>4.8099999999999996</v>
          </cell>
          <cell r="M313">
            <v>4.62</v>
          </cell>
          <cell r="O313">
            <v>1.5956000000000001</v>
          </cell>
          <cell r="P313">
            <v>0.76959999999999995</v>
          </cell>
          <cell r="Q313">
            <v>103.66424116424118</v>
          </cell>
          <cell r="U313">
            <v>4.6886999999999999</v>
          </cell>
          <cell r="V313">
            <v>25.25</v>
          </cell>
          <cell r="W313" t="str">
            <v>#N/A N/A</v>
          </cell>
        </row>
        <row r="314">
          <cell r="B314">
            <v>85.75</v>
          </cell>
          <cell r="D314">
            <v>1.2724</v>
          </cell>
          <cell r="E314">
            <v>942.4</v>
          </cell>
          <cell r="F314">
            <v>7.9662699999999997</v>
          </cell>
          <cell r="G314" t="e">
            <v>#VALUE!</v>
          </cell>
          <cell r="I314">
            <v>4.6929999999999996</v>
          </cell>
          <cell r="J314">
            <v>7.8811</v>
          </cell>
          <cell r="K314">
            <v>4.59</v>
          </cell>
          <cell r="L314">
            <v>4.92</v>
          </cell>
          <cell r="M314">
            <v>4.72</v>
          </cell>
          <cell r="O314">
            <v>1.5977000000000001</v>
          </cell>
          <cell r="P314">
            <v>0.77159999999999995</v>
          </cell>
          <cell r="Q314">
            <v>103.53162260238466</v>
          </cell>
          <cell r="U314">
            <v>4.6710000000000003</v>
          </cell>
          <cell r="V314">
            <v>25.417000000000002</v>
          </cell>
          <cell r="W314" t="str">
            <v>#N/A N/A</v>
          </cell>
        </row>
        <row r="315">
          <cell r="B315">
            <v>85.43</v>
          </cell>
          <cell r="D315">
            <v>1.2808999999999999</v>
          </cell>
          <cell r="E315">
            <v>938.35</v>
          </cell>
          <cell r="F315">
            <v>7.9923299999999999</v>
          </cell>
          <cell r="G315" t="e">
            <v>#VALUE!</v>
          </cell>
          <cell r="I315">
            <v>4.6570999999999998</v>
          </cell>
          <cell r="J315">
            <v>7.8745000000000003</v>
          </cell>
          <cell r="K315">
            <v>4.59</v>
          </cell>
          <cell r="L315">
            <v>4.93</v>
          </cell>
          <cell r="M315">
            <v>4.7300000000000004</v>
          </cell>
          <cell r="O315">
            <v>1.5954999999999999</v>
          </cell>
          <cell r="P315">
            <v>0.77539999999999998</v>
          </cell>
          <cell r="Q315">
            <v>102.88238328604591</v>
          </cell>
          <cell r="U315">
            <v>4.6246999999999998</v>
          </cell>
          <cell r="V315">
            <v>25.125</v>
          </cell>
          <cell r="W315" t="str">
            <v>#N/A N/A</v>
          </cell>
        </row>
        <row r="316">
          <cell r="B316">
            <v>85.41</v>
          </cell>
          <cell r="D316">
            <v>1.2766999999999999</v>
          </cell>
          <cell r="E316">
            <v>935.1</v>
          </cell>
          <cell r="F316">
            <v>7.9379600000000003</v>
          </cell>
          <cell r="G316" t="e">
            <v>#VALUE!</v>
          </cell>
          <cell r="I316">
            <v>4.6352000000000002</v>
          </cell>
          <cell r="J316">
            <v>7.8661000000000003</v>
          </cell>
          <cell r="K316">
            <v>4.59</v>
          </cell>
          <cell r="L316">
            <v>4.97</v>
          </cell>
          <cell r="M316">
            <v>4.78</v>
          </cell>
          <cell r="O316">
            <v>1.5964</v>
          </cell>
          <cell r="P316">
            <v>0.77100000000000002</v>
          </cell>
          <cell r="Q316">
            <v>103.52788586251623</v>
          </cell>
          <cell r="U316">
            <v>4.6033999999999997</v>
          </cell>
          <cell r="V316">
            <v>23.719000000000001</v>
          </cell>
          <cell r="W316" t="str">
            <v>#N/A N/A</v>
          </cell>
        </row>
        <row r="317">
          <cell r="B317">
            <v>85.18</v>
          </cell>
          <cell r="D317">
            <v>1.2833999999999999</v>
          </cell>
          <cell r="E317">
            <v>936.55</v>
          </cell>
          <cell r="F317">
            <v>7.9422499999999996</v>
          </cell>
          <cell r="G317" t="e">
            <v>#VALUE!</v>
          </cell>
          <cell r="I317">
            <v>4.6253000000000002</v>
          </cell>
          <cell r="J317">
            <v>7.8665000000000003</v>
          </cell>
          <cell r="K317">
            <v>4.59</v>
          </cell>
          <cell r="L317">
            <v>4.87</v>
          </cell>
          <cell r="M317">
            <v>4.7</v>
          </cell>
          <cell r="O317">
            <v>1.5937999999999999</v>
          </cell>
          <cell r="P317">
            <v>0.76870000000000005</v>
          </cell>
          <cell r="Q317">
            <v>103.66853128658772</v>
          </cell>
          <cell r="U317">
            <v>4.5926999999999998</v>
          </cell>
          <cell r="V317">
            <v>23.428999999999998</v>
          </cell>
          <cell r="W317" t="str">
            <v>#N/A N/A</v>
          </cell>
        </row>
        <row r="318">
          <cell r="B318">
            <v>85.07</v>
          </cell>
          <cell r="D318">
            <v>1.2854999999999999</v>
          </cell>
          <cell r="E318">
            <v>934.05</v>
          </cell>
          <cell r="F318">
            <v>7.9507099999999999</v>
          </cell>
          <cell r="G318" t="e">
            <v>#VALUE!</v>
          </cell>
          <cell r="I318">
            <v>4.5876000000000001</v>
          </cell>
          <cell r="J318">
            <v>7.8644999999999996</v>
          </cell>
          <cell r="K318">
            <v>4.59</v>
          </cell>
          <cell r="L318">
            <v>4.8499999999999996</v>
          </cell>
          <cell r="M318">
            <v>4.68</v>
          </cell>
          <cell r="O318">
            <v>1.5933000000000002</v>
          </cell>
          <cell r="P318">
            <v>0.76729999999999998</v>
          </cell>
          <cell r="Q318">
            <v>103.82510100351885</v>
          </cell>
          <cell r="U318">
            <v>4.5677000000000003</v>
          </cell>
          <cell r="V318">
            <v>23.5</v>
          </cell>
          <cell r="W318" t="str">
            <v>#N/A N/A</v>
          </cell>
        </row>
        <row r="319">
          <cell r="B319">
            <v>85.07</v>
          </cell>
          <cell r="D319">
            <v>1.2854999999999999</v>
          </cell>
          <cell r="E319">
            <v>934.05</v>
          </cell>
          <cell r="F319">
            <v>7.9507099999999999</v>
          </cell>
          <cell r="G319" t="e">
            <v>#VALUE!</v>
          </cell>
          <cell r="I319">
            <v>4.5876000000000001</v>
          </cell>
          <cell r="J319">
            <v>7.8644999999999996</v>
          </cell>
          <cell r="K319">
            <v>4.59</v>
          </cell>
          <cell r="L319">
            <v>4.8499999999999996</v>
          </cell>
          <cell r="M319">
            <v>4.68</v>
          </cell>
          <cell r="O319">
            <v>1.5933000000000002</v>
          </cell>
          <cell r="P319">
            <v>0.76729999999999998</v>
          </cell>
          <cell r="Q319">
            <v>103.82510100351885</v>
          </cell>
          <cell r="U319">
            <v>4.5677000000000003</v>
          </cell>
          <cell r="V319">
            <v>23.5</v>
          </cell>
          <cell r="W319" t="str">
            <v>#N/A N/A</v>
          </cell>
        </row>
        <row r="320">
          <cell r="B320">
            <v>85.07</v>
          </cell>
          <cell r="D320">
            <v>1.2854999999999999</v>
          </cell>
          <cell r="E320">
            <v>934.05</v>
          </cell>
          <cell r="F320">
            <v>7.9507099999999999</v>
          </cell>
          <cell r="G320" t="e">
            <v>#VALUE!</v>
          </cell>
          <cell r="I320">
            <v>4.5876000000000001</v>
          </cell>
          <cell r="J320">
            <v>7.8644999999999996</v>
          </cell>
          <cell r="K320">
            <v>4.59</v>
          </cell>
          <cell r="L320">
            <v>4.8499999999999996</v>
          </cell>
          <cell r="M320">
            <v>4.68</v>
          </cell>
          <cell r="O320">
            <v>1.5933000000000002</v>
          </cell>
          <cell r="P320">
            <v>0.76729999999999998</v>
          </cell>
          <cell r="Q320">
            <v>103.82510100351885</v>
          </cell>
          <cell r="U320">
            <v>4.5677000000000003</v>
          </cell>
          <cell r="V320">
            <v>23.5</v>
          </cell>
          <cell r="W320" t="str">
            <v>#N/A N/A</v>
          </cell>
        </row>
        <row r="321">
          <cell r="B321">
            <v>85.37</v>
          </cell>
          <cell r="D321">
            <v>1.2804</v>
          </cell>
          <cell r="E321">
            <v>935.05</v>
          </cell>
          <cell r="F321">
            <v>7.9089</v>
          </cell>
          <cell r="G321" t="e">
            <v>#VALUE!</v>
          </cell>
          <cell r="I321">
            <v>4.6093000000000002</v>
          </cell>
          <cell r="J321">
            <v>7.8666999999999998</v>
          </cell>
          <cell r="K321">
            <v>4.59</v>
          </cell>
          <cell r="L321">
            <v>4.87</v>
          </cell>
          <cell r="M321">
            <v>4.7</v>
          </cell>
          <cell r="O321">
            <v>1.5947</v>
          </cell>
          <cell r="P321">
            <v>0.76200000000000001</v>
          </cell>
          <cell r="Q321">
            <v>104.63910761154855</v>
          </cell>
          <cell r="U321">
            <v>4.5960999999999999</v>
          </cell>
          <cell r="V321">
            <v>23.167000000000002</v>
          </cell>
          <cell r="W321" t="str">
            <v>#N/A N/A</v>
          </cell>
        </row>
        <row r="322">
          <cell r="B322">
            <v>85.3</v>
          </cell>
          <cell r="D322">
            <v>1.2818000000000001</v>
          </cell>
          <cell r="E322">
            <v>937.1</v>
          </cell>
          <cell r="F322">
            <v>7.9622700000000002</v>
          </cell>
          <cell r="G322" t="e">
            <v>#VALUE!</v>
          </cell>
          <cell r="I322">
            <v>4.5621999999999998</v>
          </cell>
          <cell r="J322">
            <v>7.8669000000000002</v>
          </cell>
          <cell r="K322">
            <v>4.59</v>
          </cell>
          <cell r="L322">
            <v>4.9000000000000004</v>
          </cell>
          <cell r="M322">
            <v>4.7300000000000004</v>
          </cell>
          <cell r="O322">
            <v>1.5949</v>
          </cell>
          <cell r="P322">
            <v>0.7651</v>
          </cell>
          <cell r="Q322">
            <v>104.22820546333813</v>
          </cell>
          <cell r="U322">
            <v>4.5570000000000004</v>
          </cell>
          <cell r="V322">
            <v>23.5</v>
          </cell>
          <cell r="W322" t="str">
            <v>#N/A N/A</v>
          </cell>
        </row>
        <row r="323">
          <cell r="B323">
            <v>85.33</v>
          </cell>
          <cell r="D323">
            <v>1.2816000000000001</v>
          </cell>
          <cell r="E323">
            <v>941.45</v>
          </cell>
          <cell r="F323">
            <v>7.9971199999999998</v>
          </cell>
          <cell r="G323" t="e">
            <v>#VALUE!</v>
          </cell>
          <cell r="I323">
            <v>4.6170999999999998</v>
          </cell>
          <cell r="J323">
            <v>7.8687000000000005</v>
          </cell>
          <cell r="K323">
            <v>4.59</v>
          </cell>
          <cell r="L323">
            <v>4.88</v>
          </cell>
          <cell r="M323">
            <v>4.71</v>
          </cell>
          <cell r="O323">
            <v>1.5977000000000001</v>
          </cell>
          <cell r="P323">
            <v>0.76490000000000002</v>
          </cell>
          <cell r="Q323">
            <v>104.43848869133221</v>
          </cell>
          <cell r="U323">
            <v>4.6280999999999999</v>
          </cell>
          <cell r="V323">
            <v>23.536000000000001</v>
          </cell>
          <cell r="W323" t="str">
            <v>#N/A N/A</v>
          </cell>
        </row>
        <row r="324">
          <cell r="B324">
            <v>85.49</v>
          </cell>
          <cell r="D324">
            <v>1.2795000000000001</v>
          </cell>
          <cell r="E324">
            <v>937.55</v>
          </cell>
          <cell r="F324">
            <v>7.9315600000000002</v>
          </cell>
          <cell r="G324" t="e">
            <v>#VALUE!</v>
          </cell>
          <cell r="I324">
            <v>4.6643999999999997</v>
          </cell>
          <cell r="J324">
            <v>7.8715000000000002</v>
          </cell>
          <cell r="K324">
            <v>4.5999999999999996</v>
          </cell>
          <cell r="L324">
            <v>4.8780000000000001</v>
          </cell>
          <cell r="M324">
            <v>4.7050000000000001</v>
          </cell>
          <cell r="O324">
            <v>1.597</v>
          </cell>
          <cell r="P324">
            <v>0.76700000000000002</v>
          </cell>
          <cell r="Q324">
            <v>104.10691003911343</v>
          </cell>
          <cell r="U324">
            <v>4.6779999999999999</v>
          </cell>
          <cell r="V324">
            <v>23.577999999999999</v>
          </cell>
          <cell r="W324" t="str">
            <v>#N/A N/A</v>
          </cell>
        </row>
        <row r="325">
          <cell r="B325">
            <v>85.31</v>
          </cell>
          <cell r="D325">
            <v>1.2824</v>
          </cell>
          <cell r="E325">
            <v>938.9</v>
          </cell>
          <cell r="F325">
            <v>7.9798600000000004</v>
          </cell>
          <cell r="G325" t="e">
            <v>#VALUE!</v>
          </cell>
          <cell r="I325">
            <v>4.5993000000000004</v>
          </cell>
          <cell r="J325">
            <v>7.8718000000000004</v>
          </cell>
          <cell r="K325">
            <v>4.5999999999999996</v>
          </cell>
          <cell r="L325">
            <v>4.8870000000000005</v>
          </cell>
          <cell r="M325">
            <v>4.7130000000000001</v>
          </cell>
          <cell r="O325">
            <v>1.5952999999999999</v>
          </cell>
          <cell r="P325">
            <v>0.76880000000000004</v>
          </cell>
          <cell r="Q325">
            <v>103.75260145681582</v>
          </cell>
          <cell r="U325">
            <v>4.5959000000000003</v>
          </cell>
          <cell r="V325">
            <v>23.25</v>
          </cell>
          <cell r="W325" t="str">
            <v>#N/A N/A</v>
          </cell>
        </row>
        <row r="326">
          <cell r="B326">
            <v>85.31</v>
          </cell>
          <cell r="D326">
            <v>1.2824</v>
          </cell>
          <cell r="E326">
            <v>938.9</v>
          </cell>
          <cell r="F326">
            <v>7.9798600000000004</v>
          </cell>
          <cell r="G326" t="e">
            <v>#VALUE!</v>
          </cell>
          <cell r="I326">
            <v>4.5993000000000004</v>
          </cell>
          <cell r="J326">
            <v>7.8718000000000004</v>
          </cell>
          <cell r="K326">
            <v>4.5999999999999996</v>
          </cell>
          <cell r="L326">
            <v>4.8870000000000005</v>
          </cell>
          <cell r="M326">
            <v>4.7130000000000001</v>
          </cell>
          <cell r="O326">
            <v>1.5952999999999999</v>
          </cell>
          <cell r="P326">
            <v>0.76880000000000004</v>
          </cell>
          <cell r="Q326">
            <v>103.75260145681582</v>
          </cell>
          <cell r="U326">
            <v>4.5959000000000003</v>
          </cell>
          <cell r="V326">
            <v>23.25</v>
          </cell>
          <cell r="W326" t="str">
            <v>#N/A N/A</v>
          </cell>
        </row>
        <row r="327">
          <cell r="B327">
            <v>85.31</v>
          </cell>
          <cell r="D327">
            <v>1.2824</v>
          </cell>
          <cell r="E327">
            <v>938.9</v>
          </cell>
          <cell r="F327">
            <v>7.9798600000000004</v>
          </cell>
          <cell r="G327" t="e">
            <v>#VALUE!</v>
          </cell>
          <cell r="I327">
            <v>4.5993000000000004</v>
          </cell>
          <cell r="J327">
            <v>7.8718000000000004</v>
          </cell>
          <cell r="K327">
            <v>4.5999999999999996</v>
          </cell>
          <cell r="L327">
            <v>4.8870000000000005</v>
          </cell>
          <cell r="M327">
            <v>4.7130000000000001</v>
          </cell>
          <cell r="O327">
            <v>1.5952999999999999</v>
          </cell>
          <cell r="P327">
            <v>0.76880000000000004</v>
          </cell>
          <cell r="Q327">
            <v>103.75260145681582</v>
          </cell>
          <cell r="U327">
            <v>4.5959000000000003</v>
          </cell>
          <cell r="V327">
            <v>23.25</v>
          </cell>
          <cell r="W327" t="str">
            <v>#N/A N/A</v>
          </cell>
        </row>
        <row r="328">
          <cell r="B328">
            <v>85.42</v>
          </cell>
          <cell r="D328">
            <v>1.2814000000000001</v>
          </cell>
          <cell r="E328">
            <v>935.4</v>
          </cell>
          <cell r="F328">
            <v>7.9191000000000003</v>
          </cell>
          <cell r="G328" t="e">
            <v>#VALUE!</v>
          </cell>
          <cell r="I328">
            <v>4.5972999999999997</v>
          </cell>
          <cell r="J328">
            <v>7.8739999999999997</v>
          </cell>
          <cell r="K328">
            <v>4.5999999999999996</v>
          </cell>
          <cell r="L328">
            <v>4.8730000000000002</v>
          </cell>
          <cell r="M328">
            <v>4.6890000000000001</v>
          </cell>
          <cell r="O328">
            <v>1.5941000000000001</v>
          </cell>
          <cell r="P328">
            <v>0.77010000000000001</v>
          </cell>
          <cell r="Q328">
            <v>103.49954551356969</v>
          </cell>
          <cell r="U328">
            <v>4.5957999999999997</v>
          </cell>
          <cell r="V328">
            <v>23.286000000000001</v>
          </cell>
          <cell r="W328" t="str">
            <v>#N/A N/A</v>
          </cell>
        </row>
        <row r="329">
          <cell r="B329">
            <v>85.24</v>
          </cell>
          <cell r="D329">
            <v>1.2822</v>
          </cell>
          <cell r="E329">
            <v>935.4</v>
          </cell>
          <cell r="F329">
            <v>7.9265799999999995</v>
          </cell>
          <cell r="G329" t="e">
            <v>#VALUE!</v>
          </cell>
          <cell r="I329">
            <v>4.5697999999999999</v>
          </cell>
          <cell r="J329">
            <v>7.8710000000000004</v>
          </cell>
          <cell r="K329">
            <v>4.5999999999999996</v>
          </cell>
          <cell r="L329">
            <v>4.91</v>
          </cell>
          <cell r="M329">
            <v>4.7300000000000004</v>
          </cell>
          <cell r="O329">
            <v>1.5933999999999999</v>
          </cell>
          <cell r="P329">
            <v>0.77</v>
          </cell>
          <cell r="Q329">
            <v>103.46753246753246</v>
          </cell>
          <cell r="U329">
            <v>4.5708000000000002</v>
          </cell>
          <cell r="V329">
            <v>23.312999999999999</v>
          </cell>
          <cell r="W329" t="str">
            <v>#N/A N/A</v>
          </cell>
        </row>
        <row r="330">
          <cell r="B330">
            <v>84.53</v>
          </cell>
          <cell r="D330">
            <v>1.2926</v>
          </cell>
          <cell r="E330">
            <v>933.95</v>
          </cell>
          <cell r="F330">
            <v>7.9971300000000003</v>
          </cell>
          <cell r="G330" t="e">
            <v>#VALUE!</v>
          </cell>
          <cell r="I330">
            <v>4.5579999999999998</v>
          </cell>
          <cell r="J330">
            <v>7.8647</v>
          </cell>
          <cell r="K330">
            <v>4.5999999999999996</v>
          </cell>
          <cell r="L330">
            <v>4.91</v>
          </cell>
          <cell r="M330">
            <v>4.7229999999999999</v>
          </cell>
          <cell r="O330">
            <v>1.587</v>
          </cell>
          <cell r="P330">
            <v>0.77590000000000003</v>
          </cell>
          <cell r="Q330">
            <v>102.26833354813765</v>
          </cell>
          <cell r="U330">
            <v>4.5599999999999996</v>
          </cell>
          <cell r="V330">
            <v>23.286000000000001</v>
          </cell>
          <cell r="W330" t="str">
            <v>#N/A N/A</v>
          </cell>
        </row>
        <row r="331">
          <cell r="B331">
            <v>84.46</v>
          </cell>
          <cell r="D331">
            <v>1.2951999999999999</v>
          </cell>
          <cell r="E331">
            <v>930.4</v>
          </cell>
          <cell r="F331">
            <v>8.0100700000000007</v>
          </cell>
          <cell r="G331" t="e">
            <v>#VALUE!</v>
          </cell>
          <cell r="I331">
            <v>4.5579000000000001</v>
          </cell>
          <cell r="J331">
            <v>7.8620000000000001</v>
          </cell>
          <cell r="K331">
            <v>4.6100000000000003</v>
          </cell>
          <cell r="L331">
            <v>4.95</v>
          </cell>
          <cell r="M331">
            <v>4.76</v>
          </cell>
          <cell r="O331">
            <v>1.5853000000000002</v>
          </cell>
          <cell r="P331">
            <v>0.77480000000000004</v>
          </cell>
          <cell r="Q331">
            <v>102.30382034073308</v>
          </cell>
          <cell r="U331">
            <v>4.5598000000000001</v>
          </cell>
          <cell r="V331">
            <v>23.167000000000002</v>
          </cell>
          <cell r="W331" t="str">
            <v>#N/A N/A</v>
          </cell>
        </row>
        <row r="332">
          <cell r="B332">
            <v>83.66</v>
          </cell>
          <cell r="D332">
            <v>1.3088</v>
          </cell>
          <cell r="E332">
            <v>931.7</v>
          </cell>
          <cell r="F332">
            <v>8.0405499999999996</v>
          </cell>
          <cell r="G332" t="e">
            <v>#VALUE!</v>
          </cell>
          <cell r="I332">
            <v>4.548</v>
          </cell>
          <cell r="J332">
            <v>7.8525</v>
          </cell>
          <cell r="K332">
            <v>4.62</v>
          </cell>
          <cell r="L332">
            <v>4.95</v>
          </cell>
          <cell r="M332">
            <v>4.7629999999999999</v>
          </cell>
          <cell r="O332">
            <v>1.5832999999999999</v>
          </cell>
          <cell r="P332">
            <v>0.77880000000000005</v>
          </cell>
          <cell r="Q332">
            <v>101.64997431946583</v>
          </cell>
          <cell r="U332">
            <v>4.5491000000000001</v>
          </cell>
          <cell r="V332">
            <v>23.167000000000002</v>
          </cell>
          <cell r="W332" t="str">
            <v>#N/A N/A</v>
          </cell>
        </row>
        <row r="333">
          <cell r="B333">
            <v>83.66</v>
          </cell>
          <cell r="D333">
            <v>1.3088</v>
          </cell>
          <cell r="E333">
            <v>931.7</v>
          </cell>
          <cell r="F333">
            <v>8.0405499999999996</v>
          </cell>
          <cell r="G333" t="e">
            <v>#VALUE!</v>
          </cell>
          <cell r="I333">
            <v>4.548</v>
          </cell>
          <cell r="J333">
            <v>7.8525</v>
          </cell>
          <cell r="K333">
            <v>4.62</v>
          </cell>
          <cell r="L333">
            <v>4.95</v>
          </cell>
          <cell r="M333">
            <v>4.7629999999999999</v>
          </cell>
          <cell r="O333">
            <v>1.5832999999999999</v>
          </cell>
          <cell r="P333">
            <v>0.77880000000000005</v>
          </cell>
          <cell r="Q333">
            <v>101.64997431946583</v>
          </cell>
          <cell r="U333">
            <v>4.5491000000000001</v>
          </cell>
          <cell r="V333">
            <v>23.167000000000002</v>
          </cell>
          <cell r="W333" t="str">
            <v>#N/A N/A</v>
          </cell>
        </row>
        <row r="334">
          <cell r="B334">
            <v>83.66</v>
          </cell>
          <cell r="D334">
            <v>1.3088</v>
          </cell>
          <cell r="E334">
            <v>931.7</v>
          </cell>
          <cell r="F334">
            <v>8.0405499999999996</v>
          </cell>
          <cell r="G334" t="e">
            <v>#VALUE!</v>
          </cell>
          <cell r="I334">
            <v>4.548</v>
          </cell>
          <cell r="J334">
            <v>7.8525</v>
          </cell>
          <cell r="K334">
            <v>4.62</v>
          </cell>
          <cell r="L334">
            <v>4.95</v>
          </cell>
          <cell r="M334">
            <v>4.7629999999999999</v>
          </cell>
          <cell r="O334">
            <v>1.5832999999999999</v>
          </cell>
          <cell r="P334">
            <v>0.77880000000000005</v>
          </cell>
          <cell r="Q334">
            <v>101.64997431946583</v>
          </cell>
          <cell r="U334">
            <v>4.5491000000000001</v>
          </cell>
          <cell r="V334">
            <v>23.167000000000002</v>
          </cell>
          <cell r="W334" t="str">
            <v>#N/A N/A</v>
          </cell>
        </row>
        <row r="335">
          <cell r="B335">
            <v>83.5</v>
          </cell>
          <cell r="D335">
            <v>1.3121</v>
          </cell>
          <cell r="E335">
            <v>930.4</v>
          </cell>
          <cell r="F335">
            <v>8.0120900000000006</v>
          </cell>
          <cell r="G335" t="e">
            <v>#VALUE!</v>
          </cell>
          <cell r="I335">
            <v>4.5285000000000002</v>
          </cell>
          <cell r="J335">
            <v>7.8436000000000003</v>
          </cell>
          <cell r="K335">
            <v>4.62</v>
          </cell>
          <cell r="L335">
            <v>4.952</v>
          </cell>
          <cell r="M335">
            <v>4.7679999999999998</v>
          </cell>
          <cell r="O335">
            <v>1.585</v>
          </cell>
          <cell r="P335">
            <v>0.77890000000000004</v>
          </cell>
          <cell r="Q335">
            <v>101.74605212479138</v>
          </cell>
          <cell r="U335">
            <v>4.5277000000000003</v>
          </cell>
          <cell r="V335">
            <v>22.7</v>
          </cell>
          <cell r="W335" t="str">
            <v>#N/A N/A</v>
          </cell>
        </row>
        <row r="336">
          <cell r="B336">
            <v>83.13</v>
          </cell>
          <cell r="D336">
            <v>1.3158000000000001</v>
          </cell>
          <cell r="E336">
            <v>930.8</v>
          </cell>
          <cell r="F336">
            <v>8.0116200000000006</v>
          </cell>
          <cell r="G336" t="e">
            <v>#VALUE!</v>
          </cell>
          <cell r="I336">
            <v>4.5011000000000001</v>
          </cell>
          <cell r="J336">
            <v>7.84</v>
          </cell>
          <cell r="K336">
            <v>4.6399999999999997</v>
          </cell>
          <cell r="L336">
            <v>4.97</v>
          </cell>
          <cell r="M336">
            <v>4.8</v>
          </cell>
          <cell r="O336">
            <v>1.5874999999999999</v>
          </cell>
          <cell r="P336">
            <v>0.78280000000000005</v>
          </cell>
          <cell r="Q336">
            <v>101.39882473173223</v>
          </cell>
          <cell r="U336">
            <v>4.4954999999999998</v>
          </cell>
          <cell r="V336">
            <v>22.562999999999999</v>
          </cell>
          <cell r="W336" t="str">
            <v>#N/A N/A</v>
          </cell>
        </row>
        <row r="337">
          <cell r="B337">
            <v>83.49</v>
          </cell>
          <cell r="D337">
            <v>1.3155000000000001</v>
          </cell>
          <cell r="E337">
            <v>930.6</v>
          </cell>
          <cell r="F337">
            <v>8.0061900000000001</v>
          </cell>
          <cell r="G337" t="e">
            <v>#VALUE!</v>
          </cell>
          <cell r="I337">
            <v>4.5206</v>
          </cell>
          <cell r="J337">
            <v>7.8312999999999997</v>
          </cell>
          <cell r="K337">
            <v>4.66</v>
          </cell>
          <cell r="L337">
            <v>4.9779999999999998</v>
          </cell>
          <cell r="M337">
            <v>4.8170000000000002</v>
          </cell>
          <cell r="O337">
            <v>1.5914000000000001</v>
          </cell>
          <cell r="P337">
            <v>0.78390000000000004</v>
          </cell>
          <cell r="Q337">
            <v>101.50529404260749</v>
          </cell>
          <cell r="U337">
            <v>4.5167999999999999</v>
          </cell>
          <cell r="V337">
            <v>21.5</v>
          </cell>
          <cell r="W337" t="str">
            <v>#N/A N/A</v>
          </cell>
        </row>
        <row r="338">
          <cell r="B338">
            <v>82.95</v>
          </cell>
          <cell r="D338">
            <v>1.3254999999999999</v>
          </cell>
          <cell r="E338">
            <v>929.35</v>
          </cell>
          <cell r="F338">
            <v>8.0313599999999994</v>
          </cell>
          <cell r="G338" t="e">
            <v>#VALUE!</v>
          </cell>
          <cell r="I338">
            <v>4.4581</v>
          </cell>
          <cell r="J338">
            <v>7.8334000000000001</v>
          </cell>
          <cell r="K338">
            <v>4.67</v>
          </cell>
          <cell r="L338">
            <v>4.9800000000000004</v>
          </cell>
          <cell r="M338">
            <v>4.82</v>
          </cell>
          <cell r="O338">
            <v>1.5872000000000002</v>
          </cell>
          <cell r="P338">
            <v>0.78879999999999995</v>
          </cell>
          <cell r="Q338">
            <v>100.60851926977689</v>
          </cell>
          <cell r="U338">
            <v>4.4436</v>
          </cell>
          <cell r="V338">
            <v>21.082999999999998</v>
          </cell>
          <cell r="W338" t="str">
            <v>#N/A N/A</v>
          </cell>
        </row>
        <row r="339">
          <cell r="B339">
            <v>82.48</v>
          </cell>
          <cell r="D339">
            <v>1.3325</v>
          </cell>
          <cell r="E339">
            <v>928.55</v>
          </cell>
          <cell r="F339">
            <v>8.0578800000000008</v>
          </cell>
          <cell r="G339" t="e">
            <v>#VALUE!</v>
          </cell>
          <cell r="I339">
            <v>4.4326999999999996</v>
          </cell>
          <cell r="J339">
            <v>7.8360000000000003</v>
          </cell>
          <cell r="K339">
            <v>4.7</v>
          </cell>
          <cell r="L339">
            <v>4.9669999999999996</v>
          </cell>
          <cell r="M339">
            <v>4.8099999999999996</v>
          </cell>
          <cell r="O339">
            <v>1.5901000000000001</v>
          </cell>
          <cell r="P339">
            <v>0.79100000000000004</v>
          </cell>
          <cell r="Q339">
            <v>100.51201011378001</v>
          </cell>
          <cell r="U339">
            <v>4.3837000000000002</v>
          </cell>
          <cell r="V339">
            <v>20.8</v>
          </cell>
          <cell r="W339" t="str">
            <v>#N/A N/A</v>
          </cell>
        </row>
        <row r="340">
          <cell r="B340">
            <v>82.48</v>
          </cell>
          <cell r="D340">
            <v>1.3325</v>
          </cell>
          <cell r="E340">
            <v>928.55</v>
          </cell>
          <cell r="F340">
            <v>8.0578800000000008</v>
          </cell>
          <cell r="G340" t="e">
            <v>#VALUE!</v>
          </cell>
          <cell r="I340">
            <v>4.4326999999999996</v>
          </cell>
          <cell r="J340">
            <v>7.8360000000000003</v>
          </cell>
          <cell r="K340">
            <v>4.7</v>
          </cell>
          <cell r="L340">
            <v>4.9669999999999996</v>
          </cell>
          <cell r="M340">
            <v>4.8099999999999996</v>
          </cell>
          <cell r="O340">
            <v>1.5901000000000001</v>
          </cell>
          <cell r="P340">
            <v>0.79100000000000004</v>
          </cell>
          <cell r="Q340">
            <v>100.51201011378001</v>
          </cell>
          <cell r="U340">
            <v>4.3837000000000002</v>
          </cell>
          <cell r="V340">
            <v>20.8</v>
          </cell>
          <cell r="W340" t="str">
            <v>#N/A N/A</v>
          </cell>
        </row>
        <row r="341">
          <cell r="B341">
            <v>82.48</v>
          </cell>
          <cell r="D341">
            <v>1.3325</v>
          </cell>
          <cell r="E341">
            <v>928.55</v>
          </cell>
          <cell r="F341">
            <v>8.0578800000000008</v>
          </cell>
          <cell r="G341" t="e">
            <v>#VALUE!</v>
          </cell>
          <cell r="I341">
            <v>4.4326999999999996</v>
          </cell>
          <cell r="J341">
            <v>7.8360000000000003</v>
          </cell>
          <cell r="K341">
            <v>4.7</v>
          </cell>
          <cell r="L341">
            <v>4.9669999999999996</v>
          </cell>
          <cell r="M341">
            <v>4.8099999999999996</v>
          </cell>
          <cell r="O341">
            <v>1.5901000000000001</v>
          </cell>
          <cell r="P341">
            <v>0.79100000000000004</v>
          </cell>
          <cell r="Q341">
            <v>100.51201011378001</v>
          </cell>
          <cell r="U341">
            <v>4.3837000000000002</v>
          </cell>
          <cell r="V341">
            <v>20.8</v>
          </cell>
          <cell r="W341" t="str">
            <v>#N/A N/A</v>
          </cell>
        </row>
        <row r="342">
          <cell r="B342">
            <v>82.43</v>
          </cell>
          <cell r="D342">
            <v>1.3326</v>
          </cell>
          <cell r="E342">
            <v>927.5</v>
          </cell>
          <cell r="F342">
            <v>8.0372599999999998</v>
          </cell>
          <cell r="G342" t="e">
            <v>#VALUE!</v>
          </cell>
          <cell r="I342">
            <v>4.4229000000000003</v>
          </cell>
          <cell r="J342">
            <v>7.8274999999999997</v>
          </cell>
          <cell r="K342">
            <v>4.7</v>
          </cell>
          <cell r="L342">
            <v>4.9379999999999997</v>
          </cell>
          <cell r="M342">
            <v>4.79</v>
          </cell>
          <cell r="O342">
            <v>1.5920000000000001</v>
          </cell>
          <cell r="P342">
            <v>0.78949999999999998</v>
          </cell>
          <cell r="Q342">
            <v>100.82330588980368</v>
          </cell>
          <cell r="U342">
            <v>4.3765999999999998</v>
          </cell>
          <cell r="V342">
            <v>20</v>
          </cell>
          <cell r="W342" t="str">
            <v>#N/A N/A</v>
          </cell>
        </row>
        <row r="343">
          <cell r="B343">
            <v>82.51</v>
          </cell>
          <cell r="D343">
            <v>1.3325</v>
          </cell>
          <cell r="E343">
            <v>924</v>
          </cell>
          <cell r="F343">
            <v>8.0414899999999996</v>
          </cell>
          <cell r="G343" t="e">
            <v>#VALUE!</v>
          </cell>
          <cell r="I343">
            <v>4.4402999999999997</v>
          </cell>
          <cell r="J343">
            <v>7.8217999999999996</v>
          </cell>
          <cell r="K343">
            <v>4.7</v>
          </cell>
          <cell r="L343">
            <v>4.88</v>
          </cell>
          <cell r="M343">
            <v>4.7699999999999996</v>
          </cell>
          <cell r="O343">
            <v>1.5874999999999999</v>
          </cell>
          <cell r="P343">
            <v>0.78610000000000002</v>
          </cell>
          <cell r="Q343">
            <v>100.97315863121739</v>
          </cell>
          <cell r="U343">
            <v>4.3870000000000005</v>
          </cell>
          <cell r="V343">
            <v>19.899999999999999</v>
          </cell>
          <cell r="W343" t="str">
            <v>#N/A N/A</v>
          </cell>
        </row>
        <row r="344">
          <cell r="B344">
            <v>82.74</v>
          </cell>
          <cell r="D344">
            <v>1.3301000000000001</v>
          </cell>
          <cell r="E344">
            <v>916.15</v>
          </cell>
          <cell r="F344">
            <v>7.9629000000000003</v>
          </cell>
          <cell r="G344" t="e">
            <v>#VALUE!</v>
          </cell>
          <cell r="I344">
            <v>4.4851000000000001</v>
          </cell>
          <cell r="J344">
            <v>7.8234000000000004</v>
          </cell>
          <cell r="K344">
            <v>4.71</v>
          </cell>
          <cell r="L344">
            <v>4.8419999999999996</v>
          </cell>
          <cell r="M344">
            <v>4.7300000000000004</v>
          </cell>
          <cell r="O344">
            <v>1.5886</v>
          </cell>
          <cell r="P344">
            <v>0.78779999999999994</v>
          </cell>
          <cell r="Q344">
            <v>100.82508250825084</v>
          </cell>
          <cell r="U344">
            <v>4.4503000000000004</v>
          </cell>
          <cell r="V344">
            <v>19.5</v>
          </cell>
          <cell r="W344" t="str">
            <v>#N/A N/A</v>
          </cell>
        </row>
        <row r="345">
          <cell r="B345">
            <v>82.76</v>
          </cell>
          <cell r="D345">
            <v>1.3294000000000001</v>
          </cell>
          <cell r="E345">
            <v>913.9</v>
          </cell>
          <cell r="F345">
            <v>7.9364699999999999</v>
          </cell>
          <cell r="G345" t="e">
            <v>#VALUE!</v>
          </cell>
          <cell r="I345">
            <v>4.4810999999999996</v>
          </cell>
          <cell r="J345">
            <v>7.8235999999999999</v>
          </cell>
          <cell r="K345">
            <v>4.71</v>
          </cell>
          <cell r="L345">
            <v>4.827</v>
          </cell>
          <cell r="M345">
            <v>4.71</v>
          </cell>
          <cell r="O345">
            <v>1.5891</v>
          </cell>
          <cell r="P345">
            <v>0.79059999999999997</v>
          </cell>
          <cell r="Q345">
            <v>100.499620541361</v>
          </cell>
          <cell r="U345">
            <v>4.4432</v>
          </cell>
          <cell r="V345">
            <v>18.899999999999999</v>
          </cell>
          <cell r="W345" t="str">
            <v>#N/A N/A</v>
          </cell>
        </row>
        <row r="346">
          <cell r="B346">
            <v>83.29</v>
          </cell>
          <cell r="D346">
            <v>1.3226</v>
          </cell>
          <cell r="E346">
            <v>920.15</v>
          </cell>
          <cell r="F346">
            <v>7.9136699999999998</v>
          </cell>
          <cell r="G346" t="e">
            <v>#VALUE!</v>
          </cell>
          <cell r="I346">
            <v>4.5437000000000003</v>
          </cell>
          <cell r="J346">
            <v>7.8245000000000005</v>
          </cell>
          <cell r="K346">
            <v>4.71</v>
          </cell>
          <cell r="L346">
            <v>4.8600000000000003</v>
          </cell>
          <cell r="M346">
            <v>4.7379999999999995</v>
          </cell>
          <cell r="O346">
            <v>1.5905</v>
          </cell>
          <cell r="P346">
            <v>0.78580000000000005</v>
          </cell>
          <cell r="Q346">
            <v>101.20259608042758</v>
          </cell>
          <cell r="U346">
            <v>4.5174000000000003</v>
          </cell>
          <cell r="V346">
            <v>18</v>
          </cell>
          <cell r="W346" t="str">
            <v>#N/A N/A</v>
          </cell>
        </row>
        <row r="347">
          <cell r="B347">
            <v>83.29</v>
          </cell>
          <cell r="D347">
            <v>1.3226</v>
          </cell>
          <cell r="E347">
            <v>920.15</v>
          </cell>
          <cell r="F347">
            <v>7.9136699999999998</v>
          </cell>
          <cell r="G347" t="e">
            <v>#VALUE!</v>
          </cell>
          <cell r="I347">
            <v>4.5437000000000003</v>
          </cell>
          <cell r="J347">
            <v>7.8245000000000005</v>
          </cell>
          <cell r="K347">
            <v>4.71</v>
          </cell>
          <cell r="L347">
            <v>4.8600000000000003</v>
          </cell>
          <cell r="M347">
            <v>4.7379999999999995</v>
          </cell>
          <cell r="O347">
            <v>1.5905</v>
          </cell>
          <cell r="P347">
            <v>0.78580000000000005</v>
          </cell>
          <cell r="Q347">
            <v>101.20259608042758</v>
          </cell>
          <cell r="U347">
            <v>4.5174000000000003</v>
          </cell>
          <cell r="V347">
            <v>18</v>
          </cell>
          <cell r="W347" t="str">
            <v>#N/A N/A</v>
          </cell>
        </row>
        <row r="348">
          <cell r="B348">
            <v>83.29</v>
          </cell>
          <cell r="D348">
            <v>1.3226</v>
          </cell>
          <cell r="E348">
            <v>920.15</v>
          </cell>
          <cell r="F348">
            <v>7.9136699999999998</v>
          </cell>
          <cell r="G348" t="e">
            <v>#VALUE!</v>
          </cell>
          <cell r="I348">
            <v>4.5437000000000003</v>
          </cell>
          <cell r="J348">
            <v>7.8245000000000005</v>
          </cell>
          <cell r="K348">
            <v>4.71</v>
          </cell>
          <cell r="L348">
            <v>4.8600000000000003</v>
          </cell>
          <cell r="M348">
            <v>4.7379999999999995</v>
          </cell>
          <cell r="O348">
            <v>1.5905</v>
          </cell>
          <cell r="P348">
            <v>0.78580000000000005</v>
          </cell>
          <cell r="Q348">
            <v>101.20259608042758</v>
          </cell>
          <cell r="U348">
            <v>4.5174000000000003</v>
          </cell>
          <cell r="V348">
            <v>18</v>
          </cell>
          <cell r="W348" t="str">
            <v>#N/A N/A</v>
          </cell>
        </row>
        <row r="349">
          <cell r="B349">
            <v>83.18</v>
          </cell>
          <cell r="D349">
            <v>1.3258000000000001</v>
          </cell>
          <cell r="E349">
            <v>925.85</v>
          </cell>
          <cell r="F349">
            <v>7.9290099999999999</v>
          </cell>
          <cell r="G349" t="e">
            <v>#VALUE!</v>
          </cell>
          <cell r="I349">
            <v>4.5182000000000002</v>
          </cell>
          <cell r="J349">
            <v>7.835</v>
          </cell>
          <cell r="K349">
            <v>4.72</v>
          </cell>
          <cell r="L349">
            <v>4.93</v>
          </cell>
          <cell r="M349">
            <v>4.78</v>
          </cell>
          <cell r="O349">
            <v>1.5914000000000001</v>
          </cell>
          <cell r="P349">
            <v>0.78600000000000003</v>
          </cell>
          <cell r="Q349">
            <v>101.23409669211196</v>
          </cell>
          <cell r="U349">
            <v>4.4926000000000004</v>
          </cell>
          <cell r="V349">
            <v>18.224</v>
          </cell>
          <cell r="W349" t="str">
            <v>#N/A N/A</v>
          </cell>
        </row>
        <row r="350">
          <cell r="B350">
            <v>82.94</v>
          </cell>
          <cell r="D350">
            <v>1.3239000000000001</v>
          </cell>
          <cell r="E350">
            <v>922.65</v>
          </cell>
          <cell r="F350">
            <v>7.8801699999999997</v>
          </cell>
          <cell r="G350" t="e">
            <v>#VALUE!</v>
          </cell>
          <cell r="I350">
            <v>4.4847999999999999</v>
          </cell>
          <cell r="J350">
            <v>7.8308</v>
          </cell>
          <cell r="K350">
            <v>4.72</v>
          </cell>
          <cell r="L350">
            <v>4.8929999999999998</v>
          </cell>
          <cell r="M350">
            <v>4.7620000000000005</v>
          </cell>
          <cell r="O350">
            <v>1.5920000000000001</v>
          </cell>
          <cell r="P350">
            <v>0.7843</v>
          </cell>
          <cell r="Q350">
            <v>101.49177610608187</v>
          </cell>
          <cell r="U350">
            <v>4.45</v>
          </cell>
          <cell r="V350">
            <v>17.855</v>
          </cell>
          <cell r="W350" t="str">
            <v>#N/A N/A</v>
          </cell>
        </row>
        <row r="351">
          <cell r="B351">
            <v>83.32</v>
          </cell>
          <cell r="D351">
            <v>1.3206</v>
          </cell>
          <cell r="E351">
            <v>922.55</v>
          </cell>
          <cell r="F351">
            <v>7.8504899999999997</v>
          </cell>
          <cell r="G351" t="e">
            <v>#VALUE!</v>
          </cell>
          <cell r="I351">
            <v>4.5791000000000004</v>
          </cell>
          <cell r="J351">
            <v>7.8265000000000002</v>
          </cell>
          <cell r="K351">
            <v>4.72</v>
          </cell>
          <cell r="L351">
            <v>4.8920000000000003</v>
          </cell>
          <cell r="M351">
            <v>4.758</v>
          </cell>
          <cell r="O351">
            <v>1.5944</v>
          </cell>
          <cell r="P351">
            <v>0.7853</v>
          </cell>
          <cell r="Q351">
            <v>101.51534445434866</v>
          </cell>
          <cell r="U351">
            <v>4.5492999999999997</v>
          </cell>
          <cell r="V351">
            <v>18</v>
          </cell>
          <cell r="W351" t="str">
            <v>#N/A N/A</v>
          </cell>
        </row>
        <row r="352">
          <cell r="B352">
            <v>83.7</v>
          </cell>
          <cell r="D352">
            <v>1.3155000000000001</v>
          </cell>
          <cell r="E352">
            <v>920.5</v>
          </cell>
          <cell r="F352">
            <v>7.8174099999999997</v>
          </cell>
          <cell r="G352" t="e">
            <v>#VALUE!</v>
          </cell>
          <cell r="I352">
            <v>4.5968</v>
          </cell>
          <cell r="J352">
            <v>7.8185000000000002</v>
          </cell>
          <cell r="K352">
            <v>4.74</v>
          </cell>
          <cell r="L352">
            <v>4.9379999999999997</v>
          </cell>
          <cell r="M352">
            <v>4.8049999999999997</v>
          </cell>
          <cell r="O352">
            <v>1.5975999999999999</v>
          </cell>
          <cell r="P352">
            <v>0.78290000000000004</v>
          </cell>
          <cell r="Q352">
            <v>102.03091071656661</v>
          </cell>
          <cell r="U352">
            <v>4.5707000000000004</v>
          </cell>
          <cell r="V352">
            <v>18.600000000000001</v>
          </cell>
          <cell r="W352" t="str">
            <v>#N/A N/A</v>
          </cell>
        </row>
        <row r="353">
          <cell r="B353">
            <v>84.04</v>
          </cell>
          <cell r="D353">
            <v>1.3075999999999999</v>
          </cell>
          <cell r="E353">
            <v>922.7</v>
          </cell>
          <cell r="F353">
            <v>7.8128700000000002</v>
          </cell>
          <cell r="G353" t="e">
            <v>#VALUE!</v>
          </cell>
          <cell r="I353">
            <v>4.5928000000000004</v>
          </cell>
          <cell r="J353">
            <v>7.8274999999999997</v>
          </cell>
          <cell r="K353">
            <v>4.74</v>
          </cell>
          <cell r="L353">
            <v>4.9400000000000004</v>
          </cell>
          <cell r="M353">
            <v>4.8099999999999996</v>
          </cell>
          <cell r="O353">
            <v>1.5977999999999999</v>
          </cell>
          <cell r="P353">
            <v>0.78129999999999999</v>
          </cell>
          <cell r="Q353">
            <v>102.25265583002687</v>
          </cell>
          <cell r="U353">
            <v>4.5671999999999997</v>
          </cell>
          <cell r="V353">
            <v>17.95</v>
          </cell>
          <cell r="W353" t="str">
            <v>#N/A N/A</v>
          </cell>
        </row>
        <row r="354">
          <cell r="B354">
            <v>84.04</v>
          </cell>
          <cell r="D354">
            <v>1.3075999999999999</v>
          </cell>
          <cell r="E354">
            <v>922.7</v>
          </cell>
          <cell r="F354">
            <v>7.8128700000000002</v>
          </cell>
          <cell r="G354" t="e">
            <v>#VALUE!</v>
          </cell>
          <cell r="I354">
            <v>4.5928000000000004</v>
          </cell>
          <cell r="J354">
            <v>7.8274999999999997</v>
          </cell>
          <cell r="K354">
            <v>4.74</v>
          </cell>
          <cell r="L354">
            <v>4.9400000000000004</v>
          </cell>
          <cell r="M354">
            <v>4.8099999999999996</v>
          </cell>
          <cell r="O354">
            <v>1.5977999999999999</v>
          </cell>
          <cell r="P354">
            <v>0.78129999999999999</v>
          </cell>
          <cell r="Q354">
            <v>102.25265583002687</v>
          </cell>
          <cell r="U354">
            <v>4.5671999999999997</v>
          </cell>
          <cell r="V354">
            <v>17.95</v>
          </cell>
          <cell r="W354" t="str">
            <v>#N/A N/A</v>
          </cell>
        </row>
        <row r="355">
          <cell r="B355">
            <v>84.04</v>
          </cell>
          <cell r="D355">
            <v>1.3075999999999999</v>
          </cell>
          <cell r="E355">
            <v>922.7</v>
          </cell>
          <cell r="F355">
            <v>7.8128700000000002</v>
          </cell>
          <cell r="G355" t="e">
            <v>#VALUE!</v>
          </cell>
          <cell r="I355">
            <v>4.5928000000000004</v>
          </cell>
          <cell r="J355">
            <v>7.8274999999999997</v>
          </cell>
          <cell r="K355">
            <v>4.74</v>
          </cell>
          <cell r="L355">
            <v>4.9400000000000004</v>
          </cell>
          <cell r="M355">
            <v>4.8099999999999996</v>
          </cell>
          <cell r="O355">
            <v>1.5977999999999999</v>
          </cell>
          <cell r="P355">
            <v>0.78129999999999999</v>
          </cell>
          <cell r="Q355">
            <v>102.25265583002687</v>
          </cell>
          <cell r="U355">
            <v>4.5671999999999997</v>
          </cell>
          <cell r="V355">
            <v>17.95</v>
          </cell>
          <cell r="W355" t="str">
            <v>#N/A N/A</v>
          </cell>
        </row>
        <row r="356">
          <cell r="B356">
            <v>84</v>
          </cell>
          <cell r="D356">
            <v>1.3071999999999999</v>
          </cell>
          <cell r="E356">
            <v>927.2</v>
          </cell>
          <cell r="F356">
            <v>7.8433399999999995</v>
          </cell>
          <cell r="G356" t="e">
            <v>#VALUE!</v>
          </cell>
          <cell r="I356">
            <v>4.5808999999999997</v>
          </cell>
          <cell r="J356">
            <v>7.8201999999999998</v>
          </cell>
          <cell r="K356">
            <v>4.74</v>
          </cell>
          <cell r="L356">
            <v>4.96</v>
          </cell>
          <cell r="M356">
            <v>4.83</v>
          </cell>
          <cell r="O356">
            <v>1.601</v>
          </cell>
          <cell r="P356">
            <v>0.77929999999999999</v>
          </cell>
          <cell r="Q356">
            <v>102.72039009367381</v>
          </cell>
          <cell r="U356">
            <v>4.5564999999999998</v>
          </cell>
          <cell r="V356">
            <v>18.062999999999999</v>
          </cell>
          <cell r="W356" t="str">
            <v>#N/A N/A</v>
          </cell>
        </row>
        <row r="357">
          <cell r="B357">
            <v>83.45</v>
          </cell>
          <cell r="D357">
            <v>1.3197999999999999</v>
          </cell>
          <cell r="E357">
            <v>932.05</v>
          </cell>
          <cell r="F357">
            <v>7.9030800000000001</v>
          </cell>
          <cell r="G357" t="e">
            <v>#VALUE!</v>
          </cell>
          <cell r="I357">
            <v>4.5888</v>
          </cell>
          <cell r="J357">
            <v>7.8212000000000002</v>
          </cell>
          <cell r="K357">
            <v>4.74</v>
          </cell>
          <cell r="L357">
            <v>4.96</v>
          </cell>
          <cell r="M357">
            <v>4.83</v>
          </cell>
          <cell r="O357">
            <v>1.6017999999999999</v>
          </cell>
          <cell r="P357">
            <v>0.78449999999999998</v>
          </cell>
          <cell r="Q357">
            <v>102.09050350541746</v>
          </cell>
          <cell r="U357">
            <v>4.5599999999999996</v>
          </cell>
          <cell r="V357">
            <v>17.850000000000001</v>
          </cell>
          <cell r="W357" t="str">
            <v>#N/A N/A</v>
          </cell>
        </row>
        <row r="358">
          <cell r="B358">
            <v>83.55</v>
          </cell>
          <cell r="D358">
            <v>1.3166</v>
          </cell>
          <cell r="E358">
            <v>926</v>
          </cell>
          <cell r="F358">
            <v>7.8159999999999998</v>
          </cell>
          <cell r="G358" t="e">
            <v>#VALUE!</v>
          </cell>
          <cell r="I358">
            <v>4.5946999999999996</v>
          </cell>
          <cell r="J358">
            <v>7.8151999999999999</v>
          </cell>
          <cell r="K358">
            <v>4.79</v>
          </cell>
          <cell r="L358">
            <v>4.9850000000000003</v>
          </cell>
          <cell r="M358">
            <v>4.8499999999999996</v>
          </cell>
          <cell r="O358">
            <v>1.605</v>
          </cell>
          <cell r="P358">
            <v>0.78590000000000004</v>
          </cell>
          <cell r="Q358">
            <v>102.11222801883191</v>
          </cell>
          <cell r="U358">
            <v>4.5636000000000001</v>
          </cell>
          <cell r="V358">
            <v>18.25</v>
          </cell>
          <cell r="W358" t="str">
            <v>#N/A N/A</v>
          </cell>
        </row>
        <row r="359">
          <cell r="B359">
            <v>83.59</v>
          </cell>
          <cell r="D359">
            <v>1.3158000000000001</v>
          </cell>
          <cell r="E359">
            <v>927.55</v>
          </cell>
          <cell r="F359">
            <v>7.8353599999999997</v>
          </cell>
          <cell r="G359" t="e">
            <v>#VALUE!</v>
          </cell>
          <cell r="I359">
            <v>4.5453999999999999</v>
          </cell>
          <cell r="J359">
            <v>7.8170000000000002</v>
          </cell>
          <cell r="K359">
            <v>4.8</v>
          </cell>
          <cell r="L359">
            <v>4.9800000000000004</v>
          </cell>
          <cell r="M359">
            <v>4.8330000000000002</v>
          </cell>
          <cell r="O359">
            <v>1.6025</v>
          </cell>
          <cell r="P359">
            <v>0.78410000000000002</v>
          </cell>
          <cell r="Q359">
            <v>102.18722101772732</v>
          </cell>
          <cell r="U359">
            <v>4.5065</v>
          </cell>
          <cell r="V359">
            <v>18.375</v>
          </cell>
          <cell r="W359" t="str">
            <v>#N/A N/A</v>
          </cell>
        </row>
        <row r="360">
          <cell r="B360">
            <v>83.81</v>
          </cell>
          <cell r="D360">
            <v>1.3118000000000001</v>
          </cell>
          <cell r="E360">
            <v>928.6</v>
          </cell>
          <cell r="F360">
            <v>7.8072999999999997</v>
          </cell>
          <cell r="G360" t="e">
            <v>#VALUE!</v>
          </cell>
          <cell r="I360">
            <v>4.6185</v>
          </cell>
          <cell r="J360">
            <v>7.8163</v>
          </cell>
          <cell r="K360">
            <v>4.8</v>
          </cell>
          <cell r="L360">
            <v>5.0030000000000001</v>
          </cell>
          <cell r="M360">
            <v>4.8499999999999996</v>
          </cell>
          <cell r="O360">
            <v>1.603</v>
          </cell>
          <cell r="P360">
            <v>0.78320000000000001</v>
          </cell>
          <cell r="Q360">
            <v>102.33656792645556</v>
          </cell>
          <cell r="U360">
            <v>4.5887000000000002</v>
          </cell>
          <cell r="V360">
            <v>18.5</v>
          </cell>
          <cell r="W360" t="str">
            <v>#N/A N/A</v>
          </cell>
        </row>
        <row r="361">
          <cell r="B361">
            <v>83.81</v>
          </cell>
          <cell r="D361">
            <v>1.3118000000000001</v>
          </cell>
          <cell r="E361">
            <v>928.6</v>
          </cell>
          <cell r="F361">
            <v>7.8072999999999997</v>
          </cell>
          <cell r="G361" t="e">
            <v>#VALUE!</v>
          </cell>
          <cell r="I361">
            <v>4.6185</v>
          </cell>
          <cell r="J361">
            <v>7.8163</v>
          </cell>
          <cell r="K361">
            <v>4.8</v>
          </cell>
          <cell r="L361">
            <v>5.0030000000000001</v>
          </cell>
          <cell r="M361">
            <v>4.8499999999999996</v>
          </cell>
          <cell r="O361">
            <v>1.603</v>
          </cell>
          <cell r="P361">
            <v>0.78320000000000001</v>
          </cell>
          <cell r="Q361">
            <v>102.33656792645556</v>
          </cell>
          <cell r="U361">
            <v>4.5887000000000002</v>
          </cell>
          <cell r="V361">
            <v>18.5</v>
          </cell>
          <cell r="W361" t="str">
            <v>#N/A N/A</v>
          </cell>
        </row>
        <row r="362">
          <cell r="B362">
            <v>83.81</v>
          </cell>
          <cell r="D362">
            <v>1.3118000000000001</v>
          </cell>
          <cell r="E362">
            <v>928.6</v>
          </cell>
          <cell r="F362">
            <v>7.8072999999999997</v>
          </cell>
          <cell r="G362" t="e">
            <v>#VALUE!</v>
          </cell>
          <cell r="I362">
            <v>4.6185</v>
          </cell>
          <cell r="J362">
            <v>7.8163</v>
          </cell>
          <cell r="K362">
            <v>4.8</v>
          </cell>
          <cell r="L362">
            <v>5.0030000000000001</v>
          </cell>
          <cell r="M362">
            <v>4.8499999999999996</v>
          </cell>
          <cell r="O362">
            <v>1.603</v>
          </cell>
          <cell r="P362">
            <v>0.78320000000000001</v>
          </cell>
          <cell r="Q362">
            <v>102.33656792645556</v>
          </cell>
          <cell r="U362">
            <v>4.5887000000000002</v>
          </cell>
          <cell r="V362">
            <v>18.5</v>
          </cell>
          <cell r="W362" t="str">
            <v>#N/A N/A</v>
          </cell>
        </row>
        <row r="363">
          <cell r="B363">
            <v>83.81</v>
          </cell>
          <cell r="D363">
            <v>1.3129999999999999</v>
          </cell>
          <cell r="E363">
            <v>928.6</v>
          </cell>
          <cell r="F363">
            <v>7.8197900000000002</v>
          </cell>
          <cell r="G363" t="e">
            <v>#VALUE!</v>
          </cell>
          <cell r="I363">
            <v>4.6184000000000003</v>
          </cell>
          <cell r="J363">
            <v>7.8220000000000001</v>
          </cell>
          <cell r="K363">
            <v>4.8</v>
          </cell>
          <cell r="L363">
            <v>5.0030000000000001</v>
          </cell>
          <cell r="M363">
            <v>4.8499999999999996</v>
          </cell>
          <cell r="O363">
            <v>1.603</v>
          </cell>
          <cell r="P363">
            <v>0.78439999999999999</v>
          </cell>
          <cell r="Q363">
            <v>102.18001019887812</v>
          </cell>
          <cell r="U363">
            <v>4.5888</v>
          </cell>
          <cell r="V363">
            <v>17.835000000000001</v>
          </cell>
          <cell r="W363" t="str">
            <v>#N/A N/A</v>
          </cell>
        </row>
        <row r="364">
          <cell r="B364">
            <v>84.06</v>
          </cell>
          <cell r="D364">
            <v>1.3094000000000001</v>
          </cell>
          <cell r="E364">
            <v>929.85</v>
          </cell>
          <cell r="F364">
            <v>7.8027199999999999</v>
          </cell>
          <cell r="G364" t="e">
            <v>#VALUE!</v>
          </cell>
          <cell r="I364">
            <v>4.5986000000000002</v>
          </cell>
          <cell r="J364">
            <v>7.82</v>
          </cell>
          <cell r="K364">
            <v>4.82</v>
          </cell>
          <cell r="L364">
            <v>5.09</v>
          </cell>
          <cell r="M364">
            <v>4.9349999999999996</v>
          </cell>
          <cell r="O364">
            <v>1.6013999999999999</v>
          </cell>
          <cell r="P364">
            <v>0.78220000000000001</v>
          </cell>
          <cell r="Q364">
            <v>102.36512400920481</v>
          </cell>
          <cell r="U364">
            <v>4.5780000000000003</v>
          </cell>
          <cell r="V364">
            <v>17.625</v>
          </cell>
          <cell r="W364" t="str">
            <v>#N/A N/A</v>
          </cell>
        </row>
        <row r="365">
          <cell r="B365">
            <v>83.97</v>
          </cell>
          <cell r="D365">
            <v>1.3126</v>
          </cell>
          <cell r="E365">
            <v>930.3</v>
          </cell>
          <cell r="F365">
            <v>7.8364099999999999</v>
          </cell>
          <cell r="G365" t="e">
            <v>#VALUE!</v>
          </cell>
          <cell r="I365">
            <v>4.6502999999999997</v>
          </cell>
          <cell r="J365">
            <v>7.8215000000000003</v>
          </cell>
          <cell r="K365">
            <v>4.83</v>
          </cell>
          <cell r="L365">
            <v>5.0730000000000004</v>
          </cell>
          <cell r="M365">
            <v>4.9249999999999998</v>
          </cell>
          <cell r="O365">
            <v>1.6080999999999999</v>
          </cell>
          <cell r="P365">
            <v>0.78380000000000005</v>
          </cell>
          <cell r="Q365">
            <v>102.58356723653992</v>
          </cell>
          <cell r="U365">
            <v>4.6391</v>
          </cell>
          <cell r="V365">
            <v>17.667000000000002</v>
          </cell>
          <cell r="W365" t="str">
            <v>#N/A N/A</v>
          </cell>
        </row>
        <row r="366">
          <cell r="B366">
            <v>83.82</v>
          </cell>
          <cell r="D366">
            <v>1.3166</v>
          </cell>
          <cell r="E366">
            <v>929.65</v>
          </cell>
          <cell r="F366">
            <v>7.8200700000000003</v>
          </cell>
          <cell r="G366" t="e">
            <v>#VALUE!</v>
          </cell>
          <cell r="I366">
            <v>4.6802000000000001</v>
          </cell>
          <cell r="J366">
            <v>7.8140999999999998</v>
          </cell>
          <cell r="K366">
            <v>4.8499999999999996</v>
          </cell>
          <cell r="L366">
            <v>5.0570000000000004</v>
          </cell>
          <cell r="M366">
            <v>4.92</v>
          </cell>
          <cell r="O366">
            <v>1.6065</v>
          </cell>
          <cell r="P366">
            <v>0.78869999999999996</v>
          </cell>
          <cell r="Q366">
            <v>101.84480791175352</v>
          </cell>
          <cell r="U366">
            <v>4.6787999999999998</v>
          </cell>
          <cell r="V366">
            <v>17.667000000000002</v>
          </cell>
          <cell r="W366" t="str">
            <v>#N/A N/A</v>
          </cell>
        </row>
        <row r="367">
          <cell r="B367">
            <v>83.65</v>
          </cell>
          <cell r="D367">
            <v>1.3189</v>
          </cell>
          <cell r="E367">
            <v>930</v>
          </cell>
          <cell r="F367">
            <v>7.8102</v>
          </cell>
          <cell r="G367" t="e">
            <v>#VALUE!</v>
          </cell>
          <cell r="I367">
            <v>4.7022000000000004</v>
          </cell>
          <cell r="J367">
            <v>7.8051000000000004</v>
          </cell>
          <cell r="K367">
            <v>4.8600000000000003</v>
          </cell>
          <cell r="L367">
            <v>5.0570000000000004</v>
          </cell>
          <cell r="M367">
            <v>4.9219999999999997</v>
          </cell>
          <cell r="O367">
            <v>1.6091</v>
          </cell>
          <cell r="P367">
            <v>0.7883</v>
          </cell>
          <cell r="Q367">
            <v>102.06139794494482</v>
          </cell>
          <cell r="U367">
            <v>4.6923000000000004</v>
          </cell>
          <cell r="V367">
            <v>17.625</v>
          </cell>
          <cell r="W367" t="str">
            <v>#N/A N/A</v>
          </cell>
        </row>
        <row r="368">
          <cell r="B368">
            <v>83.65</v>
          </cell>
          <cell r="D368">
            <v>1.3189</v>
          </cell>
          <cell r="E368">
            <v>930</v>
          </cell>
          <cell r="F368">
            <v>7.8102</v>
          </cell>
          <cell r="G368" t="e">
            <v>#VALUE!</v>
          </cell>
          <cell r="I368">
            <v>4.7022000000000004</v>
          </cell>
          <cell r="J368">
            <v>7.8051000000000004</v>
          </cell>
          <cell r="K368">
            <v>4.8600000000000003</v>
          </cell>
          <cell r="L368">
            <v>5.0570000000000004</v>
          </cell>
          <cell r="M368">
            <v>4.9219999999999997</v>
          </cell>
          <cell r="O368">
            <v>1.6091</v>
          </cell>
          <cell r="P368">
            <v>0.7883</v>
          </cell>
          <cell r="Q368">
            <v>102.06139794494482</v>
          </cell>
          <cell r="U368">
            <v>4.6923000000000004</v>
          </cell>
          <cell r="V368">
            <v>17.625</v>
          </cell>
          <cell r="W368" t="str">
            <v>#N/A N/A</v>
          </cell>
        </row>
        <row r="369">
          <cell r="B369">
            <v>83.65</v>
          </cell>
          <cell r="D369">
            <v>1.3189</v>
          </cell>
          <cell r="E369">
            <v>930</v>
          </cell>
          <cell r="F369">
            <v>7.8102</v>
          </cell>
          <cell r="G369" t="e">
            <v>#VALUE!</v>
          </cell>
          <cell r="I369">
            <v>4.7022000000000004</v>
          </cell>
          <cell r="J369">
            <v>7.8051000000000004</v>
          </cell>
          <cell r="K369">
            <v>4.8600000000000003</v>
          </cell>
          <cell r="L369">
            <v>5.0570000000000004</v>
          </cell>
          <cell r="M369">
            <v>4.9219999999999997</v>
          </cell>
          <cell r="O369">
            <v>1.6091</v>
          </cell>
          <cell r="P369">
            <v>0.7883</v>
          </cell>
          <cell r="Q369">
            <v>102.06139794494482</v>
          </cell>
          <cell r="U369">
            <v>4.6923000000000004</v>
          </cell>
          <cell r="V369">
            <v>17.625</v>
          </cell>
          <cell r="W369" t="str">
            <v>#N/A N/A</v>
          </cell>
        </row>
        <row r="370">
          <cell r="B370">
            <v>83.65</v>
          </cell>
          <cell r="D370">
            <v>1.3197999999999999</v>
          </cell>
          <cell r="E370">
            <v>930</v>
          </cell>
          <cell r="F370">
            <v>7.8134899999999998</v>
          </cell>
          <cell r="G370" t="e">
            <v>#VALUE!</v>
          </cell>
          <cell r="I370">
            <v>4.7022000000000004</v>
          </cell>
          <cell r="J370">
            <v>7.8159999999999998</v>
          </cell>
          <cell r="K370">
            <v>4.8600000000000003</v>
          </cell>
          <cell r="L370">
            <v>5.0570000000000004</v>
          </cell>
          <cell r="M370">
            <v>4.9219999999999997</v>
          </cell>
          <cell r="O370">
            <v>1.6091</v>
          </cell>
          <cell r="P370">
            <v>0.78820000000000001</v>
          </cell>
          <cell r="Q370">
            <v>102.0743466125349</v>
          </cell>
          <cell r="U370">
            <v>4.6923000000000004</v>
          </cell>
          <cell r="V370">
            <v>17.625</v>
          </cell>
          <cell r="W370" t="str">
            <v>#N/A N/A</v>
          </cell>
        </row>
        <row r="371">
          <cell r="B371">
            <v>83.27</v>
          </cell>
          <cell r="D371">
            <v>1.3288</v>
          </cell>
          <cell r="E371">
            <v>925.65</v>
          </cell>
          <cell r="F371">
            <v>7.7903500000000001</v>
          </cell>
          <cell r="G371" t="e">
            <v>#VALUE!</v>
          </cell>
          <cell r="I371">
            <v>4.6802000000000001</v>
          </cell>
          <cell r="J371">
            <v>7.8051000000000004</v>
          </cell>
          <cell r="K371">
            <v>4.87</v>
          </cell>
          <cell r="L371">
            <v>5.0629999999999997</v>
          </cell>
          <cell r="M371">
            <v>4.93</v>
          </cell>
          <cell r="O371">
            <v>1.611</v>
          </cell>
          <cell r="P371">
            <v>0.79620000000000002</v>
          </cell>
          <cell r="Q371">
            <v>101.16804822908816</v>
          </cell>
          <cell r="U371">
            <v>4.6745000000000001</v>
          </cell>
          <cell r="V371">
            <v>18.875</v>
          </cell>
          <cell r="W371" t="str">
            <v>#N/A N/A</v>
          </cell>
        </row>
        <row r="372">
          <cell r="B372">
            <v>83.92</v>
          </cell>
          <cell r="D372">
            <v>1.3160000000000001</v>
          </cell>
          <cell r="E372">
            <v>926.1</v>
          </cell>
          <cell r="F372">
            <v>7.7397499999999999</v>
          </cell>
          <cell r="G372" t="e">
            <v>#VALUE!</v>
          </cell>
          <cell r="I372">
            <v>4.6581999999999999</v>
          </cell>
          <cell r="J372">
            <v>7.8051000000000004</v>
          </cell>
          <cell r="K372">
            <v>4.87</v>
          </cell>
          <cell r="L372">
            <v>5.0229999999999997</v>
          </cell>
          <cell r="M372">
            <v>4.9030000000000005</v>
          </cell>
          <cell r="O372">
            <v>1.6168</v>
          </cell>
          <cell r="P372">
            <v>0.79090000000000005</v>
          </cell>
          <cell r="Q372">
            <v>102.21266911113919</v>
          </cell>
          <cell r="U372">
            <v>4.6532</v>
          </cell>
          <cell r="V372">
            <v>18.103999999999999</v>
          </cell>
          <cell r="W372" t="str">
            <v>#N/A N/A</v>
          </cell>
        </row>
        <row r="373">
          <cell r="B373">
            <v>84.34</v>
          </cell>
          <cell r="D373">
            <v>1.3094999999999999</v>
          </cell>
          <cell r="E373">
            <v>931.35</v>
          </cell>
          <cell r="F373">
            <v>7.8067900000000003</v>
          </cell>
          <cell r="G373" t="e">
            <v>#VALUE!</v>
          </cell>
          <cell r="I373">
            <v>4.6024000000000003</v>
          </cell>
          <cell r="J373">
            <v>7.8090000000000002</v>
          </cell>
          <cell r="K373">
            <v>4.87</v>
          </cell>
          <cell r="L373">
            <v>5.03</v>
          </cell>
          <cell r="M373">
            <v>4.91</v>
          </cell>
          <cell r="O373">
            <v>1.6139000000000001</v>
          </cell>
          <cell r="P373">
            <v>0.78620000000000001</v>
          </cell>
          <cell r="Q373">
            <v>102.63927753752226</v>
          </cell>
          <cell r="U373">
            <v>4.593</v>
          </cell>
          <cell r="V373">
            <v>17.582999999999998</v>
          </cell>
          <cell r="W373" t="str">
            <v>#N/A N/A</v>
          </cell>
        </row>
        <row r="374">
          <cell r="B374">
            <v>84.64</v>
          </cell>
          <cell r="D374">
            <v>1.3002</v>
          </cell>
          <cell r="E374">
            <v>934.35</v>
          </cell>
          <cell r="F374">
            <v>7.8652300000000004</v>
          </cell>
          <cell r="G374" t="e">
            <v>#VALUE!</v>
          </cell>
          <cell r="I374">
            <v>4.6441999999999997</v>
          </cell>
          <cell r="J374">
            <v>7.8047000000000004</v>
          </cell>
          <cell r="K374">
            <v>4.87</v>
          </cell>
          <cell r="L374">
            <v>4.9980000000000002</v>
          </cell>
          <cell r="M374">
            <v>4.88</v>
          </cell>
          <cell r="O374">
            <v>1.6082000000000001</v>
          </cell>
          <cell r="P374">
            <v>0.78</v>
          </cell>
          <cell r="Q374">
            <v>103.08974358974359</v>
          </cell>
          <cell r="U374">
            <v>4.6390000000000002</v>
          </cell>
          <cell r="V374">
            <v>18.213999999999999</v>
          </cell>
          <cell r="W374" t="str">
            <v>#N/A N/A</v>
          </cell>
        </row>
        <row r="375">
          <cell r="B375">
            <v>84.64</v>
          </cell>
          <cell r="D375">
            <v>1.3002</v>
          </cell>
          <cell r="E375">
            <v>934.35</v>
          </cell>
          <cell r="F375">
            <v>7.8652300000000004</v>
          </cell>
          <cell r="G375" t="e">
            <v>#VALUE!</v>
          </cell>
          <cell r="I375">
            <v>4.6441999999999997</v>
          </cell>
          <cell r="J375">
            <v>7.8047000000000004</v>
          </cell>
          <cell r="K375">
            <v>4.87</v>
          </cell>
          <cell r="L375">
            <v>4.9980000000000002</v>
          </cell>
          <cell r="M375">
            <v>4.88</v>
          </cell>
          <cell r="O375">
            <v>1.6082000000000001</v>
          </cell>
          <cell r="P375">
            <v>0.78</v>
          </cell>
          <cell r="Q375">
            <v>103.08974358974359</v>
          </cell>
          <cell r="U375">
            <v>4.6390000000000002</v>
          </cell>
          <cell r="V375">
            <v>18.213999999999999</v>
          </cell>
          <cell r="W375" t="str">
            <v>#N/A N/A</v>
          </cell>
        </row>
        <row r="376">
          <cell r="B376">
            <v>84.64</v>
          </cell>
          <cell r="D376">
            <v>1.3002</v>
          </cell>
          <cell r="E376">
            <v>934.35</v>
          </cell>
          <cell r="F376">
            <v>7.8652300000000004</v>
          </cell>
          <cell r="G376" t="e">
            <v>#VALUE!</v>
          </cell>
          <cell r="I376">
            <v>4.6441999999999997</v>
          </cell>
          <cell r="J376">
            <v>7.8047000000000004</v>
          </cell>
          <cell r="K376">
            <v>4.87</v>
          </cell>
          <cell r="L376">
            <v>4.9980000000000002</v>
          </cell>
          <cell r="M376">
            <v>4.88</v>
          </cell>
          <cell r="O376">
            <v>1.6082000000000001</v>
          </cell>
          <cell r="P376">
            <v>0.78</v>
          </cell>
          <cell r="Q376">
            <v>103.08974358974359</v>
          </cell>
          <cell r="U376">
            <v>4.6390000000000002</v>
          </cell>
          <cell r="V376">
            <v>18.213999999999999</v>
          </cell>
          <cell r="W376" t="str">
            <v>#N/A N/A</v>
          </cell>
        </row>
        <row r="377">
          <cell r="B377">
            <v>84.57</v>
          </cell>
          <cell r="D377">
            <v>1.3025</v>
          </cell>
          <cell r="E377">
            <v>938.05</v>
          </cell>
          <cell r="F377">
            <v>7.9100099999999998</v>
          </cell>
          <cell r="G377" t="e">
            <v>#VALUE!</v>
          </cell>
          <cell r="I377">
            <v>4.6521999999999997</v>
          </cell>
          <cell r="J377">
            <v>7.8170000000000002</v>
          </cell>
          <cell r="K377">
            <v>4.87</v>
          </cell>
          <cell r="L377">
            <v>4.9950000000000001</v>
          </cell>
          <cell r="M377">
            <v>4.8929999999999998</v>
          </cell>
          <cell r="O377">
            <v>1.6093</v>
          </cell>
          <cell r="P377">
            <v>0.78120000000000001</v>
          </cell>
          <cell r="Q377">
            <v>103.00179211469533</v>
          </cell>
          <cell r="U377">
            <v>4.6532</v>
          </cell>
          <cell r="V377">
            <v>19.582999999999998</v>
          </cell>
          <cell r="W377" t="str">
            <v>#N/A N/A</v>
          </cell>
        </row>
        <row r="378">
          <cell r="B378">
            <v>84.75</v>
          </cell>
          <cell r="D378">
            <v>1.3008</v>
          </cell>
          <cell r="E378">
            <v>938.55</v>
          </cell>
          <cell r="F378">
            <v>7.8740699999999997</v>
          </cell>
          <cell r="G378" t="e">
            <v>#VALUE!</v>
          </cell>
          <cell r="I378">
            <v>4.6542000000000003</v>
          </cell>
          <cell r="J378">
            <v>7.8049999999999997</v>
          </cell>
          <cell r="K378">
            <v>4.87</v>
          </cell>
          <cell r="L378">
            <v>4.9800000000000004</v>
          </cell>
          <cell r="M378">
            <v>4.9000000000000004</v>
          </cell>
          <cell r="O378">
            <v>1.6139000000000001</v>
          </cell>
          <cell r="P378">
            <v>0.78</v>
          </cell>
          <cell r="Q378">
            <v>103.4551282051282</v>
          </cell>
          <cell r="U378">
            <v>4.6531000000000002</v>
          </cell>
          <cell r="V378">
            <v>20.667000000000002</v>
          </cell>
          <cell r="W378" t="str">
            <v>#N/A N/A</v>
          </cell>
        </row>
        <row r="379">
          <cell r="B379">
            <v>85.07</v>
          </cell>
          <cell r="D379">
            <v>1.2937000000000001</v>
          </cell>
          <cell r="E379">
            <v>937.8</v>
          </cell>
          <cell r="F379">
            <v>7.8434299999999997</v>
          </cell>
          <cell r="G379" t="e">
            <v>#VALUE!</v>
          </cell>
          <cell r="I379">
            <v>4.6843000000000004</v>
          </cell>
          <cell r="J379">
            <v>7.8071000000000002</v>
          </cell>
          <cell r="K379">
            <v>4.88</v>
          </cell>
          <cell r="L379">
            <v>4.9729999999999999</v>
          </cell>
          <cell r="M379">
            <v>4.9000000000000004</v>
          </cell>
          <cell r="O379">
            <v>1.6128</v>
          </cell>
          <cell r="P379">
            <v>0.77690000000000003</v>
          </cell>
          <cell r="Q379">
            <v>103.79714248938087</v>
          </cell>
          <cell r="U379">
            <v>4.6745000000000001</v>
          </cell>
          <cell r="V379">
            <v>20.719000000000001</v>
          </cell>
          <cell r="W379" t="str">
            <v>#N/A N/A</v>
          </cell>
        </row>
        <row r="380">
          <cell r="B380">
            <v>85.28</v>
          </cell>
          <cell r="D380">
            <v>1.2906</v>
          </cell>
          <cell r="E380">
            <v>938.9</v>
          </cell>
          <cell r="F380">
            <v>7.79542</v>
          </cell>
          <cell r="G380" t="e">
            <v>#VALUE!</v>
          </cell>
          <cell r="I380">
            <v>4.7305000000000001</v>
          </cell>
          <cell r="J380">
            <v>7.7949000000000002</v>
          </cell>
          <cell r="K380">
            <v>4.88</v>
          </cell>
          <cell r="L380">
            <v>4.9800000000000004</v>
          </cell>
          <cell r="M380">
            <v>4.9249999999999998</v>
          </cell>
          <cell r="O380">
            <v>1.6106</v>
          </cell>
          <cell r="P380">
            <v>0.78139999999999998</v>
          </cell>
          <cell r="Q380">
            <v>103.05861274635271</v>
          </cell>
          <cell r="U380">
            <v>4.7209000000000003</v>
          </cell>
          <cell r="V380">
            <v>20.625</v>
          </cell>
          <cell r="W380" t="str">
            <v>#N/A N/A</v>
          </cell>
        </row>
        <row r="381">
          <cell r="B381">
            <v>85.02</v>
          </cell>
          <cell r="D381">
            <v>1.2922</v>
          </cell>
          <cell r="E381">
            <v>940.05</v>
          </cell>
          <cell r="F381">
            <v>7.8091100000000004</v>
          </cell>
          <cell r="G381" t="e">
            <v>#VALUE!</v>
          </cell>
          <cell r="I381">
            <v>4.7750000000000004</v>
          </cell>
          <cell r="J381">
            <v>7.7984</v>
          </cell>
          <cell r="K381">
            <v>4.92</v>
          </cell>
          <cell r="L381">
            <v>5.0229999999999997</v>
          </cell>
          <cell r="M381">
            <v>4.97</v>
          </cell>
          <cell r="O381">
            <v>1.6133999999999999</v>
          </cell>
          <cell r="P381">
            <v>0.78349999999999997</v>
          </cell>
          <cell r="Q381">
            <v>102.96107211231653</v>
          </cell>
          <cell r="U381">
            <v>4.7603999999999997</v>
          </cell>
          <cell r="V381">
            <v>20.952999999999999</v>
          </cell>
          <cell r="W381" t="str">
            <v>#N/A N/A</v>
          </cell>
        </row>
        <row r="382">
          <cell r="B382">
            <v>85.02</v>
          </cell>
          <cell r="D382">
            <v>1.2922</v>
          </cell>
          <cell r="E382">
            <v>940.05</v>
          </cell>
          <cell r="F382">
            <v>7.8091100000000004</v>
          </cell>
          <cell r="G382" t="e">
            <v>#VALUE!</v>
          </cell>
          <cell r="I382">
            <v>4.7750000000000004</v>
          </cell>
          <cell r="J382">
            <v>7.7984</v>
          </cell>
          <cell r="K382">
            <v>4.92</v>
          </cell>
          <cell r="L382">
            <v>5.0229999999999997</v>
          </cell>
          <cell r="M382">
            <v>4.97</v>
          </cell>
          <cell r="O382">
            <v>1.6133999999999999</v>
          </cell>
          <cell r="P382">
            <v>0.78349999999999997</v>
          </cell>
          <cell r="Q382">
            <v>102.96107211231653</v>
          </cell>
          <cell r="U382">
            <v>4.7603999999999997</v>
          </cell>
          <cell r="V382">
            <v>20.952999999999999</v>
          </cell>
          <cell r="W382" t="str">
            <v>#N/A N/A</v>
          </cell>
        </row>
        <row r="383">
          <cell r="B383">
            <v>85.02</v>
          </cell>
          <cell r="D383">
            <v>1.2922</v>
          </cell>
          <cell r="E383">
            <v>940.05</v>
          </cell>
          <cell r="F383">
            <v>7.8091100000000004</v>
          </cell>
          <cell r="G383" t="e">
            <v>#VALUE!</v>
          </cell>
          <cell r="I383">
            <v>4.7750000000000004</v>
          </cell>
          <cell r="J383">
            <v>7.7984</v>
          </cell>
          <cell r="K383">
            <v>4.92</v>
          </cell>
          <cell r="L383">
            <v>5.0229999999999997</v>
          </cell>
          <cell r="M383">
            <v>4.97</v>
          </cell>
          <cell r="O383">
            <v>1.6133999999999999</v>
          </cell>
          <cell r="P383">
            <v>0.78349999999999997</v>
          </cell>
          <cell r="Q383">
            <v>102.96107211231653</v>
          </cell>
          <cell r="U383">
            <v>4.7603999999999997</v>
          </cell>
          <cell r="V383">
            <v>20.952999999999999</v>
          </cell>
          <cell r="W383" t="str">
            <v>#N/A N/A</v>
          </cell>
        </row>
        <row r="384">
          <cell r="B384">
            <v>84.94</v>
          </cell>
          <cell r="D384">
            <v>1.2932999999999999</v>
          </cell>
          <cell r="E384">
            <v>938.5</v>
          </cell>
          <cell r="F384">
            <v>7.7922599999999997</v>
          </cell>
          <cell r="G384" t="e">
            <v>#VALUE!</v>
          </cell>
          <cell r="I384">
            <v>4.7750000000000004</v>
          </cell>
          <cell r="J384">
            <v>7.7918000000000003</v>
          </cell>
          <cell r="K384">
            <v>4.93</v>
          </cell>
          <cell r="L384">
            <v>5.0330000000000004</v>
          </cell>
          <cell r="M384">
            <v>4.9829999999999997</v>
          </cell>
          <cell r="O384">
            <v>1.6153999999999999</v>
          </cell>
          <cell r="P384">
            <v>0.78400000000000003</v>
          </cell>
          <cell r="Q384">
            <v>103.02295918367346</v>
          </cell>
          <cell r="U384">
            <v>4.7603999999999997</v>
          </cell>
          <cell r="V384">
            <v>20.673000000000002</v>
          </cell>
          <cell r="W384" t="str">
            <v>#N/A N/A</v>
          </cell>
        </row>
        <row r="385">
          <cell r="B385">
            <v>85.06</v>
          </cell>
          <cell r="D385">
            <v>1.2919</v>
          </cell>
          <cell r="E385">
            <v>935.55</v>
          </cell>
          <cell r="F385">
            <v>7.7545700000000002</v>
          </cell>
          <cell r="G385" t="e">
            <v>#VALUE!</v>
          </cell>
          <cell r="I385">
            <v>4.7466999999999997</v>
          </cell>
          <cell r="J385">
            <v>7.79</v>
          </cell>
          <cell r="K385">
            <v>4.9400000000000004</v>
          </cell>
          <cell r="L385">
            <v>5.0380000000000003</v>
          </cell>
          <cell r="M385">
            <v>4.9820000000000002</v>
          </cell>
          <cell r="O385">
            <v>1.6122000000000001</v>
          </cell>
          <cell r="P385">
            <v>0.78239999999999998</v>
          </cell>
          <cell r="Q385">
            <v>103.02914110429448</v>
          </cell>
          <cell r="U385">
            <v>4.7354000000000003</v>
          </cell>
          <cell r="V385">
            <v>19.803999999999998</v>
          </cell>
          <cell r="W385" t="str">
            <v>#N/A N/A</v>
          </cell>
        </row>
        <row r="386">
          <cell r="B386">
            <v>84.94</v>
          </cell>
          <cell r="D386">
            <v>1.2946</v>
          </cell>
          <cell r="E386">
            <v>936.95</v>
          </cell>
          <cell r="F386">
            <v>7.7693899999999996</v>
          </cell>
          <cell r="G386" t="e">
            <v>#VALUE!</v>
          </cell>
          <cell r="I386">
            <v>4.7790999999999997</v>
          </cell>
          <cell r="J386">
            <v>7.774</v>
          </cell>
          <cell r="K386">
            <v>4.9400000000000004</v>
          </cell>
          <cell r="L386">
            <v>5.04</v>
          </cell>
          <cell r="M386">
            <v>4.9800000000000004</v>
          </cell>
          <cell r="O386">
            <v>1.6135000000000002</v>
          </cell>
          <cell r="P386">
            <v>0.7863</v>
          </cell>
          <cell r="Q386">
            <v>102.60078850311587</v>
          </cell>
          <cell r="U386">
            <v>4.7713000000000001</v>
          </cell>
          <cell r="V386">
            <v>18.600000000000001</v>
          </cell>
          <cell r="W386" t="str">
            <v>#N/A N/A</v>
          </cell>
        </row>
        <row r="387">
          <cell r="B387">
            <v>84.91</v>
          </cell>
          <cell r="D387">
            <v>1.2949999999999999</v>
          </cell>
          <cell r="E387">
            <v>936.65</v>
          </cell>
          <cell r="F387">
            <v>7.7217599999999997</v>
          </cell>
          <cell r="G387" t="e">
            <v>#VALUE!</v>
          </cell>
          <cell r="I387">
            <v>4.7427000000000001</v>
          </cell>
          <cell r="J387">
            <v>7.7709999999999999</v>
          </cell>
          <cell r="K387">
            <v>4.9400000000000004</v>
          </cell>
          <cell r="L387">
            <v>5.07</v>
          </cell>
          <cell r="M387">
            <v>4.992</v>
          </cell>
          <cell r="O387">
            <v>1.6174999999999999</v>
          </cell>
          <cell r="P387">
            <v>0.78820000000000001</v>
          </cell>
          <cell r="Q387">
            <v>102.60720629281907</v>
          </cell>
          <cell r="U387">
            <v>4.7426000000000004</v>
          </cell>
          <cell r="V387">
            <v>18.396999999999998</v>
          </cell>
          <cell r="W387" t="str">
            <v>#N/A N/A</v>
          </cell>
        </row>
        <row r="388">
          <cell r="B388">
            <v>84.86</v>
          </cell>
          <cell r="D388">
            <v>1.2966</v>
          </cell>
          <cell r="E388">
            <v>936.35</v>
          </cell>
          <cell r="F388">
            <v>7.7202500000000001</v>
          </cell>
          <cell r="G388" t="e">
            <v>#VALUE!</v>
          </cell>
          <cell r="I388">
            <v>4.7751999999999999</v>
          </cell>
          <cell r="J388">
            <v>7.7739000000000003</v>
          </cell>
          <cell r="K388">
            <v>4.9400000000000004</v>
          </cell>
          <cell r="L388">
            <v>5.0449999999999999</v>
          </cell>
          <cell r="M388">
            <v>4.96</v>
          </cell>
          <cell r="O388">
            <v>1.6173999999999999</v>
          </cell>
          <cell r="P388">
            <v>0.78949999999999998</v>
          </cell>
          <cell r="Q388">
            <v>102.43191893603547</v>
          </cell>
          <cell r="U388">
            <v>4.7786999999999997</v>
          </cell>
          <cell r="V388">
            <v>18.399999999999999</v>
          </cell>
          <cell r="W388" t="str">
            <v>#N/A N/A</v>
          </cell>
        </row>
        <row r="389">
          <cell r="B389">
            <v>84.86</v>
          </cell>
          <cell r="D389">
            <v>1.2966</v>
          </cell>
          <cell r="E389">
            <v>936.35</v>
          </cell>
          <cell r="F389">
            <v>7.7202500000000001</v>
          </cell>
          <cell r="G389" t="e">
            <v>#VALUE!</v>
          </cell>
          <cell r="I389">
            <v>4.7751999999999999</v>
          </cell>
          <cell r="J389">
            <v>7.7739000000000003</v>
          </cell>
          <cell r="K389">
            <v>4.9400000000000004</v>
          </cell>
          <cell r="L389">
            <v>5.0449999999999999</v>
          </cell>
          <cell r="M389">
            <v>4.96</v>
          </cell>
          <cell r="O389">
            <v>1.6173999999999999</v>
          </cell>
          <cell r="P389">
            <v>0.78949999999999998</v>
          </cell>
          <cell r="Q389">
            <v>102.43191893603547</v>
          </cell>
          <cell r="U389">
            <v>4.7786999999999997</v>
          </cell>
          <cell r="V389">
            <v>18.399999999999999</v>
          </cell>
          <cell r="W389" t="str">
            <v>#N/A N/A</v>
          </cell>
        </row>
        <row r="390">
          <cell r="B390">
            <v>84.86</v>
          </cell>
          <cell r="D390">
            <v>1.2966</v>
          </cell>
          <cell r="E390">
            <v>936.35</v>
          </cell>
          <cell r="F390">
            <v>7.7202500000000001</v>
          </cell>
          <cell r="G390" t="e">
            <v>#VALUE!</v>
          </cell>
          <cell r="I390">
            <v>4.7751999999999999</v>
          </cell>
          <cell r="J390">
            <v>7.7739000000000003</v>
          </cell>
          <cell r="K390">
            <v>4.9400000000000004</v>
          </cell>
          <cell r="L390">
            <v>5.0449999999999999</v>
          </cell>
          <cell r="M390">
            <v>4.96</v>
          </cell>
          <cell r="O390">
            <v>1.6173999999999999</v>
          </cell>
          <cell r="P390">
            <v>0.78949999999999998</v>
          </cell>
          <cell r="Q390">
            <v>102.43191893603547</v>
          </cell>
          <cell r="U390">
            <v>4.7786999999999997</v>
          </cell>
          <cell r="V390">
            <v>18.399999999999999</v>
          </cell>
          <cell r="W390" t="str">
            <v>#N/A N/A</v>
          </cell>
        </row>
        <row r="391">
          <cell r="B391">
            <v>85.04</v>
          </cell>
          <cell r="D391">
            <v>1.2949999999999999</v>
          </cell>
          <cell r="E391">
            <v>940.15</v>
          </cell>
          <cell r="F391">
            <v>7.7303800000000003</v>
          </cell>
          <cell r="G391" t="e">
            <v>#VALUE!</v>
          </cell>
          <cell r="I391">
            <v>4.7590000000000003</v>
          </cell>
          <cell r="J391">
            <v>7.7743000000000002</v>
          </cell>
          <cell r="K391">
            <v>4.9400000000000004</v>
          </cell>
          <cell r="L391">
            <v>5.0599999999999996</v>
          </cell>
          <cell r="M391">
            <v>4.97</v>
          </cell>
          <cell r="O391">
            <v>1.6173</v>
          </cell>
          <cell r="P391">
            <v>0.78800000000000003</v>
          </cell>
          <cell r="Q391">
            <v>102.6205583756345</v>
          </cell>
          <cell r="U391">
            <v>4.7643000000000004</v>
          </cell>
          <cell r="V391">
            <v>17.888000000000002</v>
          </cell>
          <cell r="W391" t="str">
            <v>#N/A N/A</v>
          </cell>
        </row>
        <row r="392">
          <cell r="B392">
            <v>84.67</v>
          </cell>
          <cell r="D392">
            <v>1.3022</v>
          </cell>
          <cell r="E392">
            <v>940.25</v>
          </cell>
          <cell r="F392">
            <v>7.7383600000000001</v>
          </cell>
          <cell r="G392" t="e">
            <v>#VALUE!</v>
          </cell>
          <cell r="I392">
            <v>4.8076999999999996</v>
          </cell>
          <cell r="J392">
            <v>7.7781000000000002</v>
          </cell>
          <cell r="K392">
            <v>4.9400000000000004</v>
          </cell>
          <cell r="L392">
            <v>5.07</v>
          </cell>
          <cell r="M392">
            <v>4.9820000000000002</v>
          </cell>
          <cell r="O392">
            <v>1.6156000000000001</v>
          </cell>
          <cell r="P392">
            <v>0.79210000000000003</v>
          </cell>
          <cell r="Q392">
            <v>101.98207297058453</v>
          </cell>
          <cell r="U392">
            <v>4.8075999999999999</v>
          </cell>
          <cell r="V392">
            <v>17.75</v>
          </cell>
          <cell r="W392" t="str">
            <v>#N/A N/A</v>
          </cell>
        </row>
        <row r="393">
          <cell r="B393">
            <v>84.93</v>
          </cell>
          <cell r="D393">
            <v>1.2957000000000001</v>
          </cell>
          <cell r="E393">
            <v>936.1</v>
          </cell>
          <cell r="F393">
            <v>7.7361800000000001</v>
          </cell>
          <cell r="G393" t="e">
            <v>#VALUE!</v>
          </cell>
          <cell r="I393">
            <v>4.8076999999999996</v>
          </cell>
          <cell r="J393">
            <v>7.7725</v>
          </cell>
          <cell r="K393">
            <v>4.9400000000000004</v>
          </cell>
          <cell r="L393">
            <v>5.1029999999999998</v>
          </cell>
          <cell r="M393">
            <v>5.0199999999999996</v>
          </cell>
          <cell r="O393">
            <v>1.6188</v>
          </cell>
          <cell r="P393">
            <v>0.78169999999999995</v>
          </cell>
          <cell r="Q393">
            <v>103.54355891006782</v>
          </cell>
          <cell r="U393">
            <v>4.8041</v>
          </cell>
          <cell r="V393">
            <v>18.143000000000001</v>
          </cell>
          <cell r="W393" t="str">
            <v>#N/A N/A</v>
          </cell>
        </row>
        <row r="394">
          <cell r="B394">
            <v>85.11</v>
          </cell>
          <cell r="D394">
            <v>1.2983</v>
          </cell>
          <cell r="E394">
            <v>936.05</v>
          </cell>
          <cell r="F394">
            <v>7.7397900000000002</v>
          </cell>
          <cell r="G394" t="e">
            <v>#VALUE!</v>
          </cell>
          <cell r="I394">
            <v>4.8731</v>
          </cell>
          <cell r="J394">
            <v>7.7705000000000002</v>
          </cell>
          <cell r="K394">
            <v>4.95</v>
          </cell>
          <cell r="L394">
            <v>5.09</v>
          </cell>
          <cell r="M394">
            <v>5.0199999999999996</v>
          </cell>
          <cell r="O394">
            <v>1.6151</v>
          </cell>
          <cell r="P394">
            <v>0.77710000000000001</v>
          </cell>
          <cell r="Q394">
            <v>103.91841461845321</v>
          </cell>
          <cell r="U394">
            <v>4.8693</v>
          </cell>
          <cell r="V394">
            <v>17.855</v>
          </cell>
          <cell r="W394" t="str">
            <v>#N/A N/A</v>
          </cell>
        </row>
        <row r="395">
          <cell r="B395">
            <v>85.23</v>
          </cell>
          <cell r="D395">
            <v>1.2913000000000001</v>
          </cell>
          <cell r="E395">
            <v>940.6</v>
          </cell>
          <cell r="F395">
            <v>7.7415599999999998</v>
          </cell>
          <cell r="G395" t="e">
            <v>#VALUE!</v>
          </cell>
          <cell r="I395">
            <v>4.8733000000000004</v>
          </cell>
          <cell r="J395">
            <v>7.7758000000000003</v>
          </cell>
          <cell r="K395">
            <v>4.95</v>
          </cell>
          <cell r="L395">
            <v>5.0979999999999999</v>
          </cell>
          <cell r="M395">
            <v>5.0620000000000003</v>
          </cell>
          <cell r="O395">
            <v>1.6189</v>
          </cell>
          <cell r="P395">
            <v>0.77339999999999998</v>
          </cell>
          <cell r="Q395">
            <v>104.66123610033617</v>
          </cell>
          <cell r="U395">
            <v>4.8639000000000001</v>
          </cell>
          <cell r="V395">
            <v>18.646999999999998</v>
          </cell>
          <cell r="W395" t="str">
            <v>#N/A N/A</v>
          </cell>
        </row>
        <row r="396">
          <cell r="B396">
            <v>85.23</v>
          </cell>
          <cell r="D396">
            <v>1.2913000000000001</v>
          </cell>
          <cell r="E396">
            <v>940.6</v>
          </cell>
          <cell r="F396">
            <v>7.7415599999999998</v>
          </cell>
          <cell r="G396" t="e">
            <v>#VALUE!</v>
          </cell>
          <cell r="I396">
            <v>4.8733000000000004</v>
          </cell>
          <cell r="J396">
            <v>7.7758000000000003</v>
          </cell>
          <cell r="K396">
            <v>4.95</v>
          </cell>
          <cell r="L396">
            <v>5.0979999999999999</v>
          </cell>
          <cell r="M396">
            <v>5.0620000000000003</v>
          </cell>
          <cell r="O396">
            <v>1.6189</v>
          </cell>
          <cell r="P396">
            <v>0.77339999999999998</v>
          </cell>
          <cell r="Q396">
            <v>104.66123610033617</v>
          </cell>
          <cell r="U396">
            <v>4.8639000000000001</v>
          </cell>
          <cell r="V396">
            <v>18.646999999999998</v>
          </cell>
          <cell r="W396" t="str">
            <v>#N/A N/A</v>
          </cell>
        </row>
        <row r="397">
          <cell r="B397">
            <v>85.23</v>
          </cell>
          <cell r="D397">
            <v>1.2913000000000001</v>
          </cell>
          <cell r="E397">
            <v>940.6</v>
          </cell>
          <cell r="F397">
            <v>7.7415599999999998</v>
          </cell>
          <cell r="G397" t="e">
            <v>#VALUE!</v>
          </cell>
          <cell r="I397">
            <v>4.8733000000000004</v>
          </cell>
          <cell r="J397">
            <v>7.7758000000000003</v>
          </cell>
          <cell r="K397">
            <v>4.95</v>
          </cell>
          <cell r="L397">
            <v>5.0979999999999999</v>
          </cell>
          <cell r="M397">
            <v>5.0620000000000003</v>
          </cell>
          <cell r="O397">
            <v>1.6189</v>
          </cell>
          <cell r="P397">
            <v>0.77339999999999998</v>
          </cell>
          <cell r="Q397">
            <v>104.66123610033617</v>
          </cell>
          <cell r="U397">
            <v>4.8639000000000001</v>
          </cell>
          <cell r="V397">
            <v>18.646999999999998</v>
          </cell>
          <cell r="W397" t="str">
            <v>#N/A N/A</v>
          </cell>
        </row>
        <row r="398">
          <cell r="B398">
            <v>85.09</v>
          </cell>
          <cell r="D398">
            <v>1.2953000000000001</v>
          </cell>
          <cell r="E398">
            <v>940.45</v>
          </cell>
          <cell r="F398">
            <v>7.7257600000000002</v>
          </cell>
          <cell r="G398" t="e">
            <v>#VALUE!</v>
          </cell>
          <cell r="I398">
            <v>4.8897000000000004</v>
          </cell>
          <cell r="J398">
            <v>7.7744999999999997</v>
          </cell>
          <cell r="K398">
            <v>4.95</v>
          </cell>
          <cell r="L398">
            <v>5.08</v>
          </cell>
          <cell r="M398">
            <v>5.0419999999999998</v>
          </cell>
          <cell r="O398">
            <v>1.6238999999999999</v>
          </cell>
          <cell r="P398">
            <v>0.77159999999999995</v>
          </cell>
          <cell r="Q398">
            <v>105.22939346811819</v>
          </cell>
          <cell r="U398">
            <v>4.8817000000000004</v>
          </cell>
          <cell r="V398">
            <v>18.678000000000001</v>
          </cell>
          <cell r="W398" t="str">
            <v>#N/A N/A</v>
          </cell>
        </row>
        <row r="399">
          <cell r="B399">
            <v>84.99</v>
          </cell>
          <cell r="D399">
            <v>1.296</v>
          </cell>
          <cell r="E399">
            <v>942.7</v>
          </cell>
          <cell r="F399">
            <v>7.7499200000000004</v>
          </cell>
          <cell r="G399" t="e">
            <v>#VALUE!</v>
          </cell>
          <cell r="I399">
            <v>4.8693</v>
          </cell>
          <cell r="J399">
            <v>7.7750000000000004</v>
          </cell>
          <cell r="K399">
            <v>4.96</v>
          </cell>
          <cell r="L399">
            <v>5.0679999999999996</v>
          </cell>
          <cell r="M399">
            <v>5.03</v>
          </cell>
          <cell r="O399">
            <v>1.6229</v>
          </cell>
          <cell r="P399">
            <v>0.77210000000000001</v>
          </cell>
          <cell r="Q399">
            <v>105.09649009195701</v>
          </cell>
          <cell r="U399">
            <v>4.8602999999999996</v>
          </cell>
          <cell r="V399">
            <v>18.73</v>
          </cell>
          <cell r="W399" t="str">
            <v>#N/A N/A</v>
          </cell>
        </row>
        <row r="400">
          <cell r="B400">
            <v>84.6</v>
          </cell>
          <cell r="D400">
            <v>1.3008999999999999</v>
          </cell>
          <cell r="E400">
            <v>941.5</v>
          </cell>
          <cell r="F400">
            <v>7.7874299999999996</v>
          </cell>
          <cell r="G400" t="e">
            <v>#VALUE!</v>
          </cell>
          <cell r="I400">
            <v>4.8079999999999998</v>
          </cell>
          <cell r="J400">
            <v>7.7744</v>
          </cell>
          <cell r="K400">
            <v>4.96</v>
          </cell>
          <cell r="L400">
            <v>5.0570000000000004</v>
          </cell>
          <cell r="M400">
            <v>5.0149999999999997</v>
          </cell>
          <cell r="O400">
            <v>1.6209</v>
          </cell>
          <cell r="P400">
            <v>0.77390000000000003</v>
          </cell>
          <cell r="Q400">
            <v>104.72283240728777</v>
          </cell>
          <cell r="U400">
            <v>4.7996999999999996</v>
          </cell>
          <cell r="V400">
            <v>18.899999999999999</v>
          </cell>
          <cell r="W400" t="str">
            <v>#N/A N/A</v>
          </cell>
        </row>
        <row r="401">
          <cell r="B401">
            <v>84.64</v>
          </cell>
          <cell r="D401">
            <v>1.3021</v>
          </cell>
          <cell r="E401">
            <v>937</v>
          </cell>
          <cell r="F401">
            <v>7.7646600000000001</v>
          </cell>
          <cell r="G401" t="e">
            <v>#VALUE!</v>
          </cell>
          <cell r="I401">
            <v>4.8346</v>
          </cell>
          <cell r="J401">
            <v>7.7584999999999997</v>
          </cell>
          <cell r="K401">
            <v>4.96</v>
          </cell>
          <cell r="L401">
            <v>5.03</v>
          </cell>
          <cell r="M401">
            <v>4.96</v>
          </cell>
          <cell r="O401">
            <v>1.6189</v>
          </cell>
          <cell r="P401">
            <v>0.77400000000000002</v>
          </cell>
          <cell r="Q401">
            <v>104.58010335917311</v>
          </cell>
          <cell r="U401">
            <v>4.8353000000000002</v>
          </cell>
          <cell r="V401">
            <v>18.771000000000001</v>
          </cell>
          <cell r="W401" t="str">
            <v>#N/A N/A</v>
          </cell>
        </row>
        <row r="402">
          <cell r="B402">
            <v>84.96</v>
          </cell>
          <cell r="D402">
            <v>1.2953000000000001</v>
          </cell>
          <cell r="E402">
            <v>937.3</v>
          </cell>
          <cell r="F402">
            <v>7.73637</v>
          </cell>
          <cell r="G402" t="e">
            <v>#VALUE!</v>
          </cell>
          <cell r="I402">
            <v>4.8204000000000002</v>
          </cell>
          <cell r="J402">
            <v>7.7560000000000002</v>
          </cell>
          <cell r="K402">
            <v>4.96</v>
          </cell>
          <cell r="L402">
            <v>5.133</v>
          </cell>
          <cell r="M402">
            <v>5.0030000000000001</v>
          </cell>
          <cell r="O402">
            <v>1.6177000000000001</v>
          </cell>
          <cell r="P402">
            <v>0.77459999999999996</v>
          </cell>
          <cell r="Q402">
            <v>104.42163697392203</v>
          </cell>
          <cell r="U402">
            <v>4.8139000000000003</v>
          </cell>
          <cell r="V402">
            <v>18.866</v>
          </cell>
          <cell r="W402" t="str">
            <v>#N/A N/A</v>
          </cell>
        </row>
        <row r="403">
          <cell r="B403">
            <v>84.96</v>
          </cell>
          <cell r="D403">
            <v>1.2953000000000001</v>
          </cell>
          <cell r="E403">
            <v>937.3</v>
          </cell>
          <cell r="F403">
            <v>7.73637</v>
          </cell>
          <cell r="G403" t="e">
            <v>#VALUE!</v>
          </cell>
          <cell r="I403">
            <v>4.8204000000000002</v>
          </cell>
          <cell r="J403">
            <v>7.7560000000000002</v>
          </cell>
          <cell r="K403">
            <v>4.96</v>
          </cell>
          <cell r="L403">
            <v>5.133</v>
          </cell>
          <cell r="M403">
            <v>5.0030000000000001</v>
          </cell>
          <cell r="O403">
            <v>1.6177000000000001</v>
          </cell>
          <cell r="P403">
            <v>0.77459999999999996</v>
          </cell>
          <cell r="Q403">
            <v>104.42163697392203</v>
          </cell>
          <cell r="U403">
            <v>4.8139000000000003</v>
          </cell>
          <cell r="V403">
            <v>18.866</v>
          </cell>
          <cell r="W403" t="str">
            <v>#N/A N/A</v>
          </cell>
        </row>
        <row r="404">
          <cell r="B404">
            <v>84.96</v>
          </cell>
          <cell r="D404">
            <v>1.2953000000000001</v>
          </cell>
          <cell r="E404">
            <v>937.3</v>
          </cell>
          <cell r="F404">
            <v>7.73637</v>
          </cell>
          <cell r="G404" t="e">
            <v>#VALUE!</v>
          </cell>
          <cell r="I404">
            <v>4.8204000000000002</v>
          </cell>
          <cell r="J404">
            <v>7.7560000000000002</v>
          </cell>
          <cell r="K404">
            <v>4.96</v>
          </cell>
          <cell r="L404">
            <v>5.133</v>
          </cell>
          <cell r="M404">
            <v>5.0030000000000001</v>
          </cell>
          <cell r="O404">
            <v>1.6177000000000001</v>
          </cell>
          <cell r="P404">
            <v>0.77459999999999996</v>
          </cell>
          <cell r="Q404">
            <v>104.42163697392203</v>
          </cell>
          <cell r="U404">
            <v>4.8139000000000003</v>
          </cell>
          <cell r="V404">
            <v>18.866</v>
          </cell>
          <cell r="W404" t="str">
            <v>#N/A N/A</v>
          </cell>
        </row>
        <row r="405">
          <cell r="B405">
            <v>85.08</v>
          </cell>
          <cell r="D405">
            <v>1.2932000000000001</v>
          </cell>
          <cell r="E405">
            <v>935.7</v>
          </cell>
          <cell r="F405">
            <v>7.7796700000000003</v>
          </cell>
          <cell r="G405" t="e">
            <v>#VALUE!</v>
          </cell>
          <cell r="I405">
            <v>4.8021000000000003</v>
          </cell>
          <cell r="J405">
            <v>7.7609000000000004</v>
          </cell>
          <cell r="K405">
            <v>4.96</v>
          </cell>
          <cell r="L405">
            <v>5.1630000000000003</v>
          </cell>
          <cell r="M405">
            <v>5</v>
          </cell>
          <cell r="O405">
            <v>1.6143000000000001</v>
          </cell>
          <cell r="P405">
            <v>0.77669999999999995</v>
          </cell>
          <cell r="Q405">
            <v>103.92043259945926</v>
          </cell>
          <cell r="U405">
            <v>4.7961</v>
          </cell>
          <cell r="V405">
            <v>18.742000000000001</v>
          </cell>
          <cell r="W405" t="str">
            <v>#N/A N/A</v>
          </cell>
        </row>
        <row r="406">
          <cell r="B406">
            <v>84.77</v>
          </cell>
          <cell r="D406">
            <v>1.2966</v>
          </cell>
          <cell r="E406">
            <v>932.9</v>
          </cell>
          <cell r="F406">
            <v>7.7525199999999996</v>
          </cell>
          <cell r="G406" t="e">
            <v>#VALUE!</v>
          </cell>
          <cell r="I406">
            <v>4.7655000000000003</v>
          </cell>
          <cell r="J406">
            <v>7.7554999999999996</v>
          </cell>
          <cell r="K406">
            <v>4.96</v>
          </cell>
          <cell r="L406">
            <v>5.0970000000000004</v>
          </cell>
          <cell r="M406">
            <v>4.97</v>
          </cell>
          <cell r="O406">
            <v>1.6089</v>
          </cell>
          <cell r="P406">
            <v>0.77669999999999995</v>
          </cell>
          <cell r="Q406">
            <v>103.57280803398996</v>
          </cell>
          <cell r="U406">
            <v>4.7533000000000003</v>
          </cell>
          <cell r="V406">
            <v>18.5</v>
          </cell>
          <cell r="W406" t="str">
            <v>#N/A N/A</v>
          </cell>
        </row>
        <row r="407">
          <cell r="B407">
            <v>84.71</v>
          </cell>
          <cell r="D407">
            <v>1.3017000000000001</v>
          </cell>
          <cell r="E407">
            <v>933.6</v>
          </cell>
          <cell r="F407">
            <v>7.72912</v>
          </cell>
          <cell r="G407" t="e">
            <v>#VALUE!</v>
          </cell>
          <cell r="I407">
            <v>4.7431999999999999</v>
          </cell>
          <cell r="J407">
            <v>7.7480000000000002</v>
          </cell>
          <cell r="K407">
            <v>4.96</v>
          </cell>
          <cell r="L407">
            <v>5.05</v>
          </cell>
          <cell r="M407">
            <v>4.9400000000000004</v>
          </cell>
          <cell r="O407">
            <v>1.6147</v>
          </cell>
          <cell r="P407">
            <v>0.7782</v>
          </cell>
          <cell r="Q407">
            <v>103.74582369570804</v>
          </cell>
          <cell r="U407">
            <v>4.7248000000000001</v>
          </cell>
          <cell r="V407">
            <v>18.356999999999999</v>
          </cell>
          <cell r="W407" t="str">
            <v>#N/A N/A</v>
          </cell>
        </row>
        <row r="408">
          <cell r="B408">
            <v>84.69</v>
          </cell>
          <cell r="D408">
            <v>1.3035999999999999</v>
          </cell>
          <cell r="E408">
            <v>935.1</v>
          </cell>
          <cell r="F408">
            <v>7.7190099999999999</v>
          </cell>
          <cell r="G408" t="e">
            <v>#VALUE!</v>
          </cell>
          <cell r="I408">
            <v>4.7318999999999996</v>
          </cell>
          <cell r="J408">
            <v>7.7484000000000002</v>
          </cell>
          <cell r="K408">
            <v>4.95</v>
          </cell>
          <cell r="L408">
            <v>5.0220000000000002</v>
          </cell>
          <cell r="M408">
            <v>4.9269999999999996</v>
          </cell>
          <cell r="O408">
            <v>1.6253</v>
          </cell>
          <cell r="P408">
            <v>0.78139999999999998</v>
          </cell>
          <cell r="Q408">
            <v>103.9992321474277</v>
          </cell>
          <cell r="U408">
            <v>4.7248000000000001</v>
          </cell>
          <cell r="V408">
            <v>18.292999999999999</v>
          </cell>
          <cell r="W408" t="str">
            <v>#N/A N/A</v>
          </cell>
        </row>
        <row r="409">
          <cell r="B409">
            <v>84.88</v>
          </cell>
          <cell r="D409">
            <v>1.3005</v>
          </cell>
          <cell r="E409">
            <v>934.55</v>
          </cell>
          <cell r="F409">
            <v>7.6867099999999997</v>
          </cell>
          <cell r="G409" t="e">
            <v>#VALUE!</v>
          </cell>
          <cell r="I409">
            <v>4.7797000000000001</v>
          </cell>
          <cell r="J409">
            <v>7.7476000000000003</v>
          </cell>
          <cell r="K409">
            <v>4.95</v>
          </cell>
          <cell r="L409">
            <v>5.01</v>
          </cell>
          <cell r="M409">
            <v>4.9219999999999997</v>
          </cell>
          <cell r="O409">
            <v>1.6236999999999999</v>
          </cell>
          <cell r="P409">
            <v>0.77739999999999998</v>
          </cell>
          <cell r="Q409">
            <v>104.4314381270903</v>
          </cell>
          <cell r="U409">
            <v>4.7709999999999999</v>
          </cell>
          <cell r="V409">
            <v>18.405999999999999</v>
          </cell>
          <cell r="W409" t="str">
            <v>#N/A N/A</v>
          </cell>
        </row>
        <row r="410">
          <cell r="B410">
            <v>84.88</v>
          </cell>
          <cell r="D410">
            <v>1.3005</v>
          </cell>
          <cell r="E410">
            <v>934.55</v>
          </cell>
          <cell r="F410">
            <v>7.6867099999999997</v>
          </cell>
          <cell r="G410" t="e">
            <v>#VALUE!</v>
          </cell>
          <cell r="I410">
            <v>4.7797000000000001</v>
          </cell>
          <cell r="J410">
            <v>7.7476000000000003</v>
          </cell>
          <cell r="K410">
            <v>4.95</v>
          </cell>
          <cell r="L410">
            <v>5.01</v>
          </cell>
          <cell r="M410">
            <v>4.9219999999999997</v>
          </cell>
          <cell r="O410">
            <v>1.6236999999999999</v>
          </cell>
          <cell r="P410">
            <v>0.77739999999999998</v>
          </cell>
          <cell r="Q410">
            <v>104.4314381270903</v>
          </cell>
          <cell r="U410">
            <v>4.7709999999999999</v>
          </cell>
          <cell r="V410">
            <v>18.405999999999999</v>
          </cell>
          <cell r="W410" t="str">
            <v>#N/A N/A</v>
          </cell>
        </row>
        <row r="411">
          <cell r="B411">
            <v>84.88</v>
          </cell>
          <cell r="D411">
            <v>1.3005</v>
          </cell>
          <cell r="E411">
            <v>934.55</v>
          </cell>
          <cell r="F411">
            <v>7.6867099999999997</v>
          </cell>
          <cell r="G411" t="e">
            <v>#VALUE!</v>
          </cell>
          <cell r="I411">
            <v>4.7797000000000001</v>
          </cell>
          <cell r="J411">
            <v>7.7476000000000003</v>
          </cell>
          <cell r="K411">
            <v>4.95</v>
          </cell>
          <cell r="L411">
            <v>5.01</v>
          </cell>
          <cell r="M411">
            <v>4.9219999999999997</v>
          </cell>
          <cell r="O411">
            <v>1.6236999999999999</v>
          </cell>
          <cell r="P411">
            <v>0.77739999999999998</v>
          </cell>
          <cell r="Q411">
            <v>104.4314381270903</v>
          </cell>
          <cell r="U411">
            <v>4.7709999999999999</v>
          </cell>
          <cell r="V411">
            <v>18.405999999999999</v>
          </cell>
          <cell r="W411" t="str">
            <v>#N/A N/A</v>
          </cell>
        </row>
        <row r="412">
          <cell r="B412">
            <v>85.12</v>
          </cell>
          <cell r="D412">
            <v>1.2965</v>
          </cell>
          <cell r="E412">
            <v>937.65</v>
          </cell>
          <cell r="F412">
            <v>7.7008000000000001</v>
          </cell>
          <cell r="G412" t="e">
            <v>#VALUE!</v>
          </cell>
          <cell r="I412">
            <v>4.8037000000000001</v>
          </cell>
          <cell r="J412">
            <v>7.7569999999999997</v>
          </cell>
          <cell r="K412">
            <v>4.95</v>
          </cell>
          <cell r="L412">
            <v>5.0119999999999996</v>
          </cell>
          <cell r="M412">
            <v>4.92</v>
          </cell>
          <cell r="O412">
            <v>1.6242999999999999</v>
          </cell>
          <cell r="P412">
            <v>0.77259999999999995</v>
          </cell>
          <cell r="Q412">
            <v>105.11907843644835</v>
          </cell>
          <cell r="U412">
            <v>4.7995999999999999</v>
          </cell>
          <cell r="V412">
            <v>18.062999999999999</v>
          </cell>
          <cell r="W412" t="str">
            <v>#N/A N/A</v>
          </cell>
        </row>
        <row r="413">
          <cell r="B413">
            <v>84.69</v>
          </cell>
          <cell r="D413">
            <v>1.3028999999999999</v>
          </cell>
          <cell r="E413">
            <v>939.6</v>
          </cell>
          <cell r="F413">
            <v>7.7480000000000002</v>
          </cell>
          <cell r="G413" t="e">
            <v>#VALUE!</v>
          </cell>
          <cell r="I413">
            <v>4.8078000000000003</v>
          </cell>
          <cell r="J413">
            <v>7.7661999999999995</v>
          </cell>
          <cell r="K413">
            <v>4.95</v>
          </cell>
          <cell r="L413">
            <v>5.0199999999999996</v>
          </cell>
          <cell r="M413">
            <v>4.93</v>
          </cell>
          <cell r="O413">
            <v>1.6263999999999998</v>
          </cell>
          <cell r="P413">
            <v>0.77829999999999999</v>
          </cell>
          <cell r="Q413">
            <v>104.48413208274442</v>
          </cell>
          <cell r="U413">
            <v>4.8032000000000004</v>
          </cell>
          <cell r="V413">
            <v>18.192</v>
          </cell>
          <cell r="W413" t="str">
            <v>#N/A N/A</v>
          </cell>
        </row>
        <row r="414">
          <cell r="B414">
            <v>84.18</v>
          </cell>
          <cell r="D414">
            <v>1.3128</v>
          </cell>
          <cell r="E414">
            <v>937</v>
          </cell>
          <cell r="F414">
            <v>7.7572700000000001</v>
          </cell>
          <cell r="G414" t="e">
            <v>#VALUE!</v>
          </cell>
          <cell r="I414">
            <v>4.7359</v>
          </cell>
          <cell r="J414">
            <v>7.7575000000000003</v>
          </cell>
          <cell r="K414">
            <v>4.95</v>
          </cell>
          <cell r="L414">
            <v>5</v>
          </cell>
          <cell r="M414">
            <v>4.9169999999999998</v>
          </cell>
          <cell r="O414">
            <v>1.6273</v>
          </cell>
          <cell r="P414">
            <v>0.78339999999999999</v>
          </cell>
          <cell r="Q414">
            <v>103.86137350012766</v>
          </cell>
          <cell r="U414">
            <v>4.7210000000000001</v>
          </cell>
          <cell r="V414">
            <v>17.553999999999998</v>
          </cell>
          <cell r="W414" t="str">
            <v>#N/A N/A</v>
          </cell>
        </row>
        <row r="415">
          <cell r="B415">
            <v>84.05</v>
          </cell>
          <cell r="D415">
            <v>1.3138000000000001</v>
          </cell>
          <cell r="E415">
            <v>934.7</v>
          </cell>
          <cell r="F415">
            <v>7.8268500000000003</v>
          </cell>
          <cell r="G415" t="e">
            <v>#VALUE!</v>
          </cell>
          <cell r="I415">
            <v>4.7061000000000002</v>
          </cell>
          <cell r="J415">
            <v>7.7554999999999996</v>
          </cell>
          <cell r="K415">
            <v>4.9400000000000004</v>
          </cell>
          <cell r="L415">
            <v>4.9480000000000004</v>
          </cell>
          <cell r="M415">
            <v>4.87</v>
          </cell>
          <cell r="O415">
            <v>1.6238999999999999</v>
          </cell>
          <cell r="P415">
            <v>0.78449999999999998</v>
          </cell>
          <cell r="Q415">
            <v>103.49904397705545</v>
          </cell>
          <cell r="U415">
            <v>4.6887999999999996</v>
          </cell>
          <cell r="V415">
            <v>17.36</v>
          </cell>
          <cell r="W415" t="str">
            <v>#N/A N/A</v>
          </cell>
        </row>
        <row r="416">
          <cell r="B416">
            <v>84.06</v>
          </cell>
          <cell r="D416">
            <v>1.3134999999999999</v>
          </cell>
          <cell r="E416">
            <v>936.4</v>
          </cell>
          <cell r="F416">
            <v>7.8522100000000004</v>
          </cell>
          <cell r="G416" t="e">
            <v>#VALUE!</v>
          </cell>
          <cell r="I416">
            <v>4.6882000000000001</v>
          </cell>
          <cell r="J416">
            <v>7.7426000000000004</v>
          </cell>
          <cell r="K416">
            <v>4.9400000000000004</v>
          </cell>
          <cell r="L416">
            <v>4.9470000000000001</v>
          </cell>
          <cell r="M416">
            <v>4.8629999999999995</v>
          </cell>
          <cell r="O416">
            <v>1.6212</v>
          </cell>
          <cell r="P416">
            <v>0.78690000000000004</v>
          </cell>
          <cell r="Q416">
            <v>103.01181852840257</v>
          </cell>
          <cell r="U416">
            <v>4.6742999999999997</v>
          </cell>
          <cell r="V416">
            <v>16.501000000000001</v>
          </cell>
          <cell r="W416" t="str">
            <v>#N/A N/A</v>
          </cell>
        </row>
        <row r="417">
          <cell r="B417">
            <v>84.06</v>
          </cell>
          <cell r="D417">
            <v>1.3134999999999999</v>
          </cell>
          <cell r="E417">
            <v>936.4</v>
          </cell>
          <cell r="F417">
            <v>7.8522100000000004</v>
          </cell>
          <cell r="G417" t="e">
            <v>#VALUE!</v>
          </cell>
          <cell r="I417">
            <v>4.6882000000000001</v>
          </cell>
          <cell r="J417">
            <v>7.7426000000000004</v>
          </cell>
          <cell r="K417">
            <v>4.9400000000000004</v>
          </cell>
          <cell r="L417">
            <v>4.9470000000000001</v>
          </cell>
          <cell r="M417">
            <v>4.8629999999999995</v>
          </cell>
          <cell r="O417">
            <v>1.6212</v>
          </cell>
          <cell r="P417">
            <v>0.78690000000000004</v>
          </cell>
          <cell r="Q417">
            <v>103.01181852840257</v>
          </cell>
          <cell r="U417">
            <v>4.6742999999999997</v>
          </cell>
          <cell r="V417">
            <v>16.501000000000001</v>
          </cell>
          <cell r="W417" t="str">
            <v>#N/A N/A</v>
          </cell>
        </row>
        <row r="418">
          <cell r="B418">
            <v>84.06</v>
          </cell>
          <cell r="D418">
            <v>1.3134999999999999</v>
          </cell>
          <cell r="E418">
            <v>936.4</v>
          </cell>
          <cell r="F418">
            <v>7.8522100000000004</v>
          </cell>
          <cell r="G418" t="e">
            <v>#VALUE!</v>
          </cell>
          <cell r="I418">
            <v>4.6882000000000001</v>
          </cell>
          <cell r="J418">
            <v>7.7426000000000004</v>
          </cell>
          <cell r="K418">
            <v>4.9400000000000004</v>
          </cell>
          <cell r="L418">
            <v>4.9470000000000001</v>
          </cell>
          <cell r="M418">
            <v>4.8629999999999995</v>
          </cell>
          <cell r="O418">
            <v>1.6212</v>
          </cell>
          <cell r="P418">
            <v>0.78690000000000004</v>
          </cell>
          <cell r="Q418">
            <v>103.01181852840257</v>
          </cell>
          <cell r="U418">
            <v>4.6742999999999997</v>
          </cell>
          <cell r="V418">
            <v>16.501000000000001</v>
          </cell>
          <cell r="W418" t="str">
            <v>#N/A N/A</v>
          </cell>
        </row>
        <row r="419">
          <cell r="B419">
            <v>84.02</v>
          </cell>
          <cell r="D419">
            <v>1.3155000000000001</v>
          </cell>
          <cell r="E419">
            <v>936.45</v>
          </cell>
          <cell r="F419">
            <v>7.8233100000000002</v>
          </cell>
          <cell r="G419" t="e">
            <v>#VALUE!</v>
          </cell>
          <cell r="I419">
            <v>4.6882000000000001</v>
          </cell>
          <cell r="J419">
            <v>7.7426000000000004</v>
          </cell>
          <cell r="K419">
            <v>4.9400000000000004</v>
          </cell>
          <cell r="L419">
            <v>4.9470000000000001</v>
          </cell>
          <cell r="M419">
            <v>4.8629999999999995</v>
          </cell>
          <cell r="O419">
            <v>1.6217000000000001</v>
          </cell>
          <cell r="P419">
            <v>0.78669999999999995</v>
          </cell>
          <cell r="Q419">
            <v>103.06978517859416</v>
          </cell>
          <cell r="U419">
            <v>4.6741999999999999</v>
          </cell>
          <cell r="V419">
            <v>18.314</v>
          </cell>
          <cell r="W419" t="str">
            <v>#N/A N/A</v>
          </cell>
        </row>
        <row r="420">
          <cell r="B420">
            <v>84.18</v>
          </cell>
          <cell r="D420">
            <v>1.3142</v>
          </cell>
          <cell r="E420">
            <v>938.45</v>
          </cell>
          <cell r="F420">
            <v>7.8145600000000002</v>
          </cell>
          <cell r="G420" t="e">
            <v>#VALUE!</v>
          </cell>
          <cell r="I420">
            <v>4.6742999999999997</v>
          </cell>
          <cell r="J420">
            <v>7.7426000000000004</v>
          </cell>
          <cell r="K420">
            <v>4.9400000000000004</v>
          </cell>
          <cell r="L420">
            <v>4.9870000000000001</v>
          </cell>
          <cell r="M420">
            <v>4.8899999999999997</v>
          </cell>
          <cell r="O420">
            <v>1.6240999999999999</v>
          </cell>
          <cell r="P420">
            <v>0.78569999999999995</v>
          </cell>
          <cell r="Q420">
            <v>103.35369733995164</v>
          </cell>
          <cell r="U420">
            <v>4.6635</v>
          </cell>
          <cell r="V420">
            <v>16.917000000000002</v>
          </cell>
          <cell r="W420" t="str">
            <v>#N/A N/A</v>
          </cell>
        </row>
        <row r="421">
          <cell r="B421">
            <v>84.22</v>
          </cell>
          <cell r="D421">
            <v>1.3129</v>
          </cell>
          <cell r="E421">
            <v>938.45</v>
          </cell>
          <cell r="F421">
            <v>7.75739</v>
          </cell>
          <cell r="G421" t="e">
            <v>#VALUE!</v>
          </cell>
          <cell r="I421">
            <v>4.6901999999999999</v>
          </cell>
          <cell r="J421">
            <v>7.7426000000000004</v>
          </cell>
          <cell r="K421">
            <v>4.9400000000000004</v>
          </cell>
          <cell r="L421">
            <v>4.9630000000000001</v>
          </cell>
          <cell r="M421">
            <v>4.8629999999999995</v>
          </cell>
          <cell r="O421">
            <v>1.6271</v>
          </cell>
          <cell r="P421">
            <v>0.79090000000000005</v>
          </cell>
          <cell r="Q421">
            <v>102.86382602098874</v>
          </cell>
          <cell r="U421">
            <v>4.6813000000000002</v>
          </cell>
          <cell r="V421">
            <v>16.649999999999999</v>
          </cell>
          <cell r="W421" t="str">
            <v>#N/A N/A</v>
          </cell>
        </row>
        <row r="422">
          <cell r="B422">
            <v>84.34</v>
          </cell>
          <cell r="D422">
            <v>1.3127</v>
          </cell>
          <cell r="E422">
            <v>938.85</v>
          </cell>
          <cell r="F422">
            <v>7.7322499999999996</v>
          </cell>
          <cell r="G422" t="e">
            <v>#VALUE!</v>
          </cell>
          <cell r="I422">
            <v>4.7279</v>
          </cell>
          <cell r="J422">
            <v>7.7435999999999998</v>
          </cell>
          <cell r="K422">
            <v>4.9400000000000004</v>
          </cell>
          <cell r="L422">
            <v>4.9530000000000003</v>
          </cell>
          <cell r="M422">
            <v>4.8559999999999999</v>
          </cell>
          <cell r="O422">
            <v>1.6261000000000001</v>
          </cell>
          <cell r="P422">
            <v>0.78920000000000001</v>
          </cell>
          <cell r="Q422">
            <v>103.02204764318297</v>
          </cell>
          <cell r="U422">
            <v>4.7241999999999997</v>
          </cell>
          <cell r="V422">
            <v>16.457999999999998</v>
          </cell>
          <cell r="W422" t="str">
            <v>#N/A N/A</v>
          </cell>
        </row>
        <row r="423">
          <cell r="B423">
            <v>84.05</v>
          </cell>
          <cell r="D423">
            <v>1.3170999999999999</v>
          </cell>
          <cell r="E423">
            <v>938</v>
          </cell>
          <cell r="F423">
            <v>7.75014</v>
          </cell>
          <cell r="G423" t="e">
            <v>#VALUE!</v>
          </cell>
          <cell r="I423">
            <v>4.6703000000000001</v>
          </cell>
          <cell r="J423">
            <v>7.7426000000000004</v>
          </cell>
          <cell r="K423">
            <v>4.9400000000000004</v>
          </cell>
          <cell r="L423">
            <v>4.9480000000000004</v>
          </cell>
          <cell r="M423">
            <v>4.8570000000000002</v>
          </cell>
          <cell r="O423">
            <v>1.6225000000000001</v>
          </cell>
          <cell r="P423">
            <v>0.7923</v>
          </cell>
          <cell r="Q423">
            <v>102.39177079389121</v>
          </cell>
          <cell r="U423">
            <v>4.6497999999999999</v>
          </cell>
          <cell r="V423">
            <v>16.5</v>
          </cell>
          <cell r="W423" t="str">
            <v>#N/A N/A</v>
          </cell>
        </row>
        <row r="424">
          <cell r="B424">
            <v>84.05</v>
          </cell>
          <cell r="D424">
            <v>1.3170999999999999</v>
          </cell>
          <cell r="E424">
            <v>938</v>
          </cell>
          <cell r="F424">
            <v>7.75014</v>
          </cell>
          <cell r="G424" t="e">
            <v>#VALUE!</v>
          </cell>
          <cell r="I424">
            <v>4.6703000000000001</v>
          </cell>
          <cell r="J424">
            <v>7.7426000000000004</v>
          </cell>
          <cell r="K424">
            <v>4.9400000000000004</v>
          </cell>
          <cell r="L424">
            <v>4.9480000000000004</v>
          </cell>
          <cell r="M424">
            <v>4.8570000000000002</v>
          </cell>
          <cell r="O424">
            <v>1.6225000000000001</v>
          </cell>
          <cell r="P424">
            <v>0.7923</v>
          </cell>
          <cell r="Q424">
            <v>102.39177079389121</v>
          </cell>
          <cell r="U424">
            <v>4.6497999999999999</v>
          </cell>
          <cell r="V424">
            <v>16.5</v>
          </cell>
          <cell r="W424" t="str">
            <v>#N/A N/A</v>
          </cell>
        </row>
        <row r="425">
          <cell r="B425">
            <v>84.05</v>
          </cell>
          <cell r="D425">
            <v>1.3170999999999999</v>
          </cell>
          <cell r="E425">
            <v>938</v>
          </cell>
          <cell r="F425">
            <v>7.75014</v>
          </cell>
          <cell r="G425" t="e">
            <v>#VALUE!</v>
          </cell>
          <cell r="I425">
            <v>4.6703000000000001</v>
          </cell>
          <cell r="J425">
            <v>7.7426000000000004</v>
          </cell>
          <cell r="K425">
            <v>4.9400000000000004</v>
          </cell>
          <cell r="L425">
            <v>4.9480000000000004</v>
          </cell>
          <cell r="M425">
            <v>4.8570000000000002</v>
          </cell>
          <cell r="O425">
            <v>1.6225000000000001</v>
          </cell>
          <cell r="P425">
            <v>0.7923</v>
          </cell>
          <cell r="Q425">
            <v>102.39177079389121</v>
          </cell>
          <cell r="U425">
            <v>4.6497999999999999</v>
          </cell>
          <cell r="V425">
            <v>16.5</v>
          </cell>
          <cell r="W425" t="str">
            <v>#N/A N/A</v>
          </cell>
        </row>
        <row r="426">
          <cell r="B426">
            <v>83.93</v>
          </cell>
          <cell r="D426">
            <v>1.3165</v>
          </cell>
          <cell r="E426">
            <v>938.7</v>
          </cell>
          <cell r="F426">
            <v>7.7729499999999998</v>
          </cell>
          <cell r="G426" t="e">
            <v>#VALUE!</v>
          </cell>
          <cell r="I426">
            <v>4.6248000000000005</v>
          </cell>
          <cell r="J426">
            <v>7.7534999999999998</v>
          </cell>
          <cell r="K426">
            <v>4.9400000000000004</v>
          </cell>
          <cell r="L426">
            <v>4.9379999999999997</v>
          </cell>
          <cell r="M426">
            <v>4.843</v>
          </cell>
          <cell r="O426">
            <v>1.6215999999999999</v>
          </cell>
          <cell r="P426">
            <v>0.79249999999999998</v>
          </cell>
          <cell r="Q426">
            <v>102.30914826498423</v>
          </cell>
          <cell r="U426">
            <v>4.6109</v>
          </cell>
          <cell r="V426">
            <v>16.55</v>
          </cell>
          <cell r="W426" t="str">
            <v>#N/A N/A</v>
          </cell>
        </row>
        <row r="427">
          <cell r="B427">
            <v>83.46</v>
          </cell>
          <cell r="D427">
            <v>1.3244</v>
          </cell>
          <cell r="E427">
            <v>939.35</v>
          </cell>
          <cell r="F427">
            <v>7.9173200000000001</v>
          </cell>
          <cell r="G427" t="e">
            <v>#VALUE!</v>
          </cell>
          <cell r="I427">
            <v>4.5109000000000004</v>
          </cell>
          <cell r="J427">
            <v>7.7415000000000003</v>
          </cell>
          <cell r="K427">
            <v>4.9400000000000004</v>
          </cell>
          <cell r="L427">
            <v>4.9580000000000002</v>
          </cell>
          <cell r="M427">
            <v>4.8600000000000003</v>
          </cell>
          <cell r="O427">
            <v>1.6145</v>
          </cell>
          <cell r="P427">
            <v>0.79279999999999995</v>
          </cell>
          <cell r="Q427">
            <v>101.82265388496469</v>
          </cell>
          <cell r="U427">
            <v>4.4595000000000002</v>
          </cell>
          <cell r="V427">
            <v>17.099</v>
          </cell>
          <cell r="W427" t="str">
            <v>#N/A N/A</v>
          </cell>
        </row>
        <row r="428">
          <cell r="B428">
            <v>83.57</v>
          </cell>
          <cell r="D428">
            <v>1.3228</v>
          </cell>
          <cell r="E428">
            <v>942.3</v>
          </cell>
          <cell r="F428">
            <v>7.9594500000000004</v>
          </cell>
          <cell r="G428" t="e">
            <v>#VALUE!</v>
          </cell>
          <cell r="I428">
            <v>4.5656999999999996</v>
          </cell>
          <cell r="J428">
            <v>7.7404999999999999</v>
          </cell>
          <cell r="K428">
            <v>4.9400000000000004</v>
          </cell>
          <cell r="L428">
            <v>4.96</v>
          </cell>
          <cell r="M428">
            <v>4.8600000000000003</v>
          </cell>
          <cell r="O428">
            <v>1.6122999999999998</v>
          </cell>
          <cell r="P428">
            <v>0.78900000000000003</v>
          </cell>
          <cell r="Q428">
            <v>102.17363751584283</v>
          </cell>
          <cell r="U428">
            <v>4.5190999999999999</v>
          </cell>
          <cell r="V428">
            <v>17.643000000000001</v>
          </cell>
          <cell r="W428" t="str">
            <v>#N/A N/A</v>
          </cell>
        </row>
        <row r="429">
          <cell r="B429">
            <v>83.77</v>
          </cell>
          <cell r="D429">
            <v>1.3174000000000001</v>
          </cell>
          <cell r="E429">
            <v>942.5</v>
          </cell>
          <cell r="F429">
            <v>8.0147999999999993</v>
          </cell>
          <cell r="G429" t="e">
            <v>#VALUE!</v>
          </cell>
          <cell r="I429">
            <v>4.5499000000000001</v>
          </cell>
          <cell r="J429">
            <v>7.7435</v>
          </cell>
          <cell r="K429">
            <v>4.9400000000000004</v>
          </cell>
          <cell r="L429">
            <v>4.96</v>
          </cell>
          <cell r="M429">
            <v>4.8600000000000003</v>
          </cell>
          <cell r="O429">
            <v>1.6113</v>
          </cell>
          <cell r="P429">
            <v>0.7853</v>
          </cell>
          <cell r="Q429">
            <v>102.59136635680632</v>
          </cell>
          <cell r="U429">
            <v>4.4943999999999997</v>
          </cell>
          <cell r="V429">
            <v>18.071999999999999</v>
          </cell>
          <cell r="W429" t="str">
            <v>#N/A N/A</v>
          </cell>
        </row>
        <row r="430">
          <cell r="B430">
            <v>83.74</v>
          </cell>
          <cell r="D430">
            <v>1.3191999999999999</v>
          </cell>
          <cell r="E430">
            <v>948.3</v>
          </cell>
          <cell r="F430">
            <v>8.1322299999999998</v>
          </cell>
          <cell r="G430" t="e">
            <v>#VALUE!</v>
          </cell>
          <cell r="I430">
            <v>4.4969999999999999</v>
          </cell>
          <cell r="J430">
            <v>7.7465000000000002</v>
          </cell>
          <cell r="K430">
            <v>4.9400000000000004</v>
          </cell>
          <cell r="L430">
            <v>4.9630000000000001</v>
          </cell>
          <cell r="M430">
            <v>4.8600000000000003</v>
          </cell>
          <cell r="O430">
            <v>1.6047</v>
          </cell>
          <cell r="P430">
            <v>0.7833</v>
          </cell>
          <cell r="Q430">
            <v>102.43201838376102</v>
          </cell>
          <cell r="U430">
            <v>4.4309000000000003</v>
          </cell>
          <cell r="V430">
            <v>18.475999999999999</v>
          </cell>
          <cell r="W430" t="str">
            <v>#N/A N/A</v>
          </cell>
        </row>
        <row r="431">
          <cell r="B431">
            <v>83.74</v>
          </cell>
          <cell r="D431">
            <v>1.3191999999999999</v>
          </cell>
          <cell r="E431">
            <v>948.3</v>
          </cell>
          <cell r="F431">
            <v>8.1322299999999998</v>
          </cell>
          <cell r="G431" t="e">
            <v>#VALUE!</v>
          </cell>
          <cell r="I431">
            <v>4.4969999999999999</v>
          </cell>
          <cell r="J431">
            <v>7.7465000000000002</v>
          </cell>
          <cell r="K431">
            <v>4.9400000000000004</v>
          </cell>
          <cell r="L431">
            <v>4.9630000000000001</v>
          </cell>
          <cell r="M431">
            <v>4.8600000000000003</v>
          </cell>
          <cell r="O431">
            <v>1.6047</v>
          </cell>
          <cell r="P431">
            <v>0.7833</v>
          </cell>
          <cell r="Q431">
            <v>102.43201838376102</v>
          </cell>
          <cell r="U431">
            <v>4.4309000000000003</v>
          </cell>
          <cell r="V431">
            <v>18.475999999999999</v>
          </cell>
          <cell r="W431" t="str">
            <v>#N/A N/A</v>
          </cell>
        </row>
        <row r="432">
          <cell r="B432">
            <v>83.74</v>
          </cell>
          <cell r="D432">
            <v>1.3191999999999999</v>
          </cell>
          <cell r="E432">
            <v>948.3</v>
          </cell>
          <cell r="F432">
            <v>8.1322299999999998</v>
          </cell>
          <cell r="G432" t="e">
            <v>#VALUE!</v>
          </cell>
          <cell r="I432">
            <v>4.4969999999999999</v>
          </cell>
          <cell r="J432">
            <v>7.7465000000000002</v>
          </cell>
          <cell r="K432">
            <v>4.9400000000000004</v>
          </cell>
          <cell r="L432">
            <v>4.9630000000000001</v>
          </cell>
          <cell r="M432">
            <v>4.8600000000000003</v>
          </cell>
          <cell r="O432">
            <v>1.6047</v>
          </cell>
          <cell r="P432">
            <v>0.7833</v>
          </cell>
          <cell r="Q432">
            <v>102.43201838376102</v>
          </cell>
          <cell r="U432">
            <v>4.4309000000000003</v>
          </cell>
          <cell r="V432">
            <v>18.475999999999999</v>
          </cell>
          <cell r="W432" t="str">
            <v>#N/A N/A</v>
          </cell>
        </row>
        <row r="433">
          <cell r="B433">
            <v>84.17</v>
          </cell>
          <cell r="D433">
            <v>1.3089999999999999</v>
          </cell>
          <cell r="E433">
            <v>950.6</v>
          </cell>
          <cell r="F433">
            <v>8.1937700000000007</v>
          </cell>
          <cell r="G433" t="e">
            <v>#VALUE!</v>
          </cell>
          <cell r="I433">
            <v>4.4950000000000001</v>
          </cell>
          <cell r="J433">
            <v>7.75</v>
          </cell>
          <cell r="K433">
            <v>4.9400000000000004</v>
          </cell>
          <cell r="L433">
            <v>4.9370000000000003</v>
          </cell>
          <cell r="M433">
            <v>4.8099999999999996</v>
          </cell>
          <cell r="O433">
            <v>1.5996999999999999</v>
          </cell>
          <cell r="P433">
            <v>0.77159999999999995</v>
          </cell>
          <cell r="Q433">
            <v>103.66122343182997</v>
          </cell>
          <cell r="U433">
            <v>4.4343000000000004</v>
          </cell>
          <cell r="V433">
            <v>19.792000000000002</v>
          </cell>
          <cell r="W433" t="str">
            <v>#N/A N/A</v>
          </cell>
        </row>
        <row r="434">
          <cell r="B434">
            <v>84.04</v>
          </cell>
          <cell r="D434">
            <v>1.3107</v>
          </cell>
          <cell r="E434">
            <v>947.75</v>
          </cell>
          <cell r="F434">
            <v>8.1348400000000005</v>
          </cell>
          <cell r="G434" t="e">
            <v>#VALUE!</v>
          </cell>
          <cell r="I434">
            <v>4.5282</v>
          </cell>
          <cell r="J434">
            <v>7.7454999999999998</v>
          </cell>
          <cell r="K434">
            <v>4.9400000000000004</v>
          </cell>
          <cell r="L434">
            <v>4.96</v>
          </cell>
          <cell r="M434">
            <v>4.83</v>
          </cell>
          <cell r="O434">
            <v>1.6059000000000001</v>
          </cell>
          <cell r="P434">
            <v>0.77400000000000002</v>
          </cell>
          <cell r="Q434">
            <v>103.74031007751938</v>
          </cell>
          <cell r="U434">
            <v>4.4763000000000002</v>
          </cell>
          <cell r="V434">
            <v>19.071000000000002</v>
          </cell>
          <cell r="W434" t="str">
            <v>#N/A N/A</v>
          </cell>
        </row>
        <row r="435">
          <cell r="B435">
            <v>83.78</v>
          </cell>
          <cell r="D435">
            <v>1.3147</v>
          </cell>
          <cell r="E435">
            <v>947.6</v>
          </cell>
          <cell r="F435">
            <v>8.14011</v>
          </cell>
          <cell r="G435" t="e">
            <v>#VALUE!</v>
          </cell>
          <cell r="I435">
            <v>4.4870999999999999</v>
          </cell>
          <cell r="J435">
            <v>7.742</v>
          </cell>
          <cell r="K435">
            <v>4.9400000000000004</v>
          </cell>
          <cell r="L435">
            <v>4.9240000000000004</v>
          </cell>
          <cell r="M435">
            <v>4.7969999999999997</v>
          </cell>
          <cell r="O435">
            <v>1.6051</v>
          </cell>
          <cell r="P435">
            <v>0.77690000000000003</v>
          </cell>
          <cell r="Q435">
            <v>103.30158321534302</v>
          </cell>
          <cell r="U435">
            <v>4.4305000000000003</v>
          </cell>
          <cell r="V435">
            <v>18.600999999999999</v>
          </cell>
          <cell r="W435" t="str">
            <v>#N/A N/A</v>
          </cell>
        </row>
        <row r="436">
          <cell r="B436">
            <v>84.13</v>
          </cell>
          <cell r="D436">
            <v>1.3130999999999999</v>
          </cell>
          <cell r="E436">
            <v>945.6</v>
          </cell>
          <cell r="F436">
            <v>8.0661900000000006</v>
          </cell>
          <cell r="G436" t="e">
            <v>#VALUE!</v>
          </cell>
          <cell r="I436">
            <v>4.5125000000000002</v>
          </cell>
          <cell r="J436">
            <v>7.7460000000000004</v>
          </cell>
          <cell r="K436">
            <v>4.9400000000000004</v>
          </cell>
          <cell r="L436">
            <v>4.9320000000000004</v>
          </cell>
          <cell r="M436">
            <v>4.8099999999999996</v>
          </cell>
          <cell r="O436">
            <v>1.6118999999999999</v>
          </cell>
          <cell r="P436">
            <v>0.77639999999999998</v>
          </cell>
          <cell r="Q436">
            <v>103.80602782071098</v>
          </cell>
          <cell r="U436">
            <v>4.4515000000000002</v>
          </cell>
          <cell r="V436">
            <v>18.516999999999999</v>
          </cell>
          <cell r="W436" t="str">
            <v>#N/A N/A</v>
          </cell>
        </row>
        <row r="437">
          <cell r="B437">
            <v>84.25</v>
          </cell>
          <cell r="D437">
            <v>1.3113000000000001</v>
          </cell>
          <cell r="E437">
            <v>945.8</v>
          </cell>
          <cell r="F437">
            <v>7.9942500000000001</v>
          </cell>
          <cell r="G437" t="e">
            <v>#VALUE!</v>
          </cell>
          <cell r="I437">
            <v>4.5870999999999995</v>
          </cell>
          <cell r="J437">
            <v>7.7445000000000004</v>
          </cell>
          <cell r="K437">
            <v>4.9400000000000004</v>
          </cell>
          <cell r="L437">
            <v>4.9269999999999996</v>
          </cell>
          <cell r="M437">
            <v>4.8</v>
          </cell>
          <cell r="O437">
            <v>1.619</v>
          </cell>
          <cell r="P437">
            <v>0.78080000000000005</v>
          </cell>
          <cell r="Q437">
            <v>103.67571721311475</v>
          </cell>
          <cell r="U437">
            <v>4.5465999999999998</v>
          </cell>
          <cell r="V437">
            <v>18.132999999999999</v>
          </cell>
          <cell r="W437" t="str">
            <v>#N/A N/A</v>
          </cell>
        </row>
        <row r="438">
          <cell r="B438">
            <v>84.25</v>
          </cell>
          <cell r="D438">
            <v>1.3113000000000001</v>
          </cell>
          <cell r="E438">
            <v>945.8</v>
          </cell>
          <cell r="F438">
            <v>7.9942500000000001</v>
          </cell>
          <cell r="G438" t="e">
            <v>#VALUE!</v>
          </cell>
          <cell r="I438">
            <v>4.5870999999999995</v>
          </cell>
          <cell r="J438">
            <v>7.7445000000000004</v>
          </cell>
          <cell r="K438">
            <v>4.9400000000000004</v>
          </cell>
          <cell r="L438">
            <v>4.9269999999999996</v>
          </cell>
          <cell r="M438">
            <v>4.8</v>
          </cell>
          <cell r="O438">
            <v>1.619</v>
          </cell>
          <cell r="P438">
            <v>0.78080000000000005</v>
          </cell>
          <cell r="Q438">
            <v>103.67571721311475</v>
          </cell>
          <cell r="U438">
            <v>4.5465999999999998</v>
          </cell>
          <cell r="V438">
            <v>18.132999999999999</v>
          </cell>
          <cell r="W438" t="str">
            <v>#N/A N/A</v>
          </cell>
        </row>
        <row r="439">
          <cell r="B439">
            <v>84.25</v>
          </cell>
          <cell r="D439">
            <v>1.3113000000000001</v>
          </cell>
          <cell r="E439">
            <v>945.8</v>
          </cell>
          <cell r="F439">
            <v>7.9942500000000001</v>
          </cell>
          <cell r="G439" t="e">
            <v>#VALUE!</v>
          </cell>
          <cell r="I439">
            <v>4.5870999999999995</v>
          </cell>
          <cell r="J439">
            <v>7.7445000000000004</v>
          </cell>
          <cell r="K439">
            <v>4.9400000000000004</v>
          </cell>
          <cell r="L439">
            <v>4.9269999999999996</v>
          </cell>
          <cell r="M439">
            <v>4.8</v>
          </cell>
          <cell r="O439">
            <v>1.619</v>
          </cell>
          <cell r="P439">
            <v>0.78080000000000005</v>
          </cell>
          <cell r="Q439">
            <v>103.67571721311475</v>
          </cell>
          <cell r="U439">
            <v>4.5465999999999998</v>
          </cell>
          <cell r="V439">
            <v>18.132999999999999</v>
          </cell>
          <cell r="W439" t="str">
            <v>#N/A N/A</v>
          </cell>
        </row>
        <row r="440">
          <cell r="B440">
            <v>83.88</v>
          </cell>
          <cell r="D440">
            <v>1.3185</v>
          </cell>
          <cell r="E440">
            <v>943.95</v>
          </cell>
          <cell r="F440">
            <v>8.0238899999999997</v>
          </cell>
          <cell r="G440" t="e">
            <v>#VALUE!</v>
          </cell>
          <cell r="I440">
            <v>4.5515999999999996</v>
          </cell>
          <cell r="J440">
            <v>7.7519999999999998</v>
          </cell>
          <cell r="K440">
            <v>4.9400000000000004</v>
          </cell>
          <cell r="L440">
            <v>4.9640000000000004</v>
          </cell>
          <cell r="M440">
            <v>4.83</v>
          </cell>
          <cell r="O440">
            <v>1.615</v>
          </cell>
          <cell r="P440">
            <v>0.78420000000000001</v>
          </cell>
          <cell r="Q440">
            <v>102.97118082121908</v>
          </cell>
          <cell r="U440">
            <v>4.5004999999999997</v>
          </cell>
          <cell r="V440">
            <v>18.143000000000001</v>
          </cell>
          <cell r="W440" t="str">
            <v>#N/A N/A</v>
          </cell>
        </row>
        <row r="441">
          <cell r="B441">
            <v>83.71</v>
          </cell>
          <cell r="D441">
            <v>1.3209</v>
          </cell>
          <cell r="E441">
            <v>944.55</v>
          </cell>
          <cell r="F441">
            <v>8.1038999999999994</v>
          </cell>
          <cell r="G441" t="e">
            <v>#VALUE!</v>
          </cell>
          <cell r="I441">
            <v>4.4907000000000004</v>
          </cell>
          <cell r="J441">
            <v>7.7389999999999999</v>
          </cell>
          <cell r="K441">
            <v>4.9400000000000004</v>
          </cell>
          <cell r="L441">
            <v>4.9729999999999999</v>
          </cell>
          <cell r="M441">
            <v>4.84</v>
          </cell>
          <cell r="O441">
            <v>1.6097000000000001</v>
          </cell>
          <cell r="P441">
            <v>0.78549999999999998</v>
          </cell>
          <cell r="Q441">
            <v>102.46339910884788</v>
          </cell>
          <cell r="U441">
            <v>4.4016000000000002</v>
          </cell>
          <cell r="V441">
            <v>18.141999999999999</v>
          </cell>
          <cell r="W441" t="str">
            <v>#N/A N/A</v>
          </cell>
        </row>
        <row r="442">
          <cell r="B442">
            <v>83.64</v>
          </cell>
          <cell r="D442">
            <v>1.3225</v>
          </cell>
          <cell r="E442">
            <v>946.25</v>
          </cell>
          <cell r="F442">
            <v>8.1226699999999994</v>
          </cell>
          <cell r="G442" t="e">
            <v>#VALUE!</v>
          </cell>
          <cell r="I442">
            <v>4.5338000000000003</v>
          </cell>
          <cell r="J442">
            <v>7.7386999999999997</v>
          </cell>
          <cell r="K442">
            <v>4.9400000000000004</v>
          </cell>
          <cell r="L442">
            <v>4.9400000000000004</v>
          </cell>
          <cell r="M442">
            <v>4.8099999999999996</v>
          </cell>
          <cell r="O442">
            <v>1.6057999999999999</v>
          </cell>
          <cell r="P442">
            <v>0.7853</v>
          </cell>
          <cell r="Q442">
            <v>102.24118171399465</v>
          </cell>
          <cell r="U442">
            <v>4.4508000000000001</v>
          </cell>
          <cell r="V442">
            <v>18.292000000000002</v>
          </cell>
          <cell r="W442" t="str">
            <v>#N/A N/A</v>
          </cell>
        </row>
        <row r="443">
          <cell r="B443">
            <v>83.65</v>
          </cell>
          <cell r="D443">
            <v>1.323</v>
          </cell>
          <cell r="E443">
            <v>944.5</v>
          </cell>
          <cell r="F443">
            <v>8.0259999999999998</v>
          </cell>
          <cell r="G443" t="e">
            <v>#VALUE!</v>
          </cell>
          <cell r="I443">
            <v>4.5358000000000001</v>
          </cell>
          <cell r="J443">
            <v>7.7439999999999998</v>
          </cell>
          <cell r="K443">
            <v>4.9400000000000004</v>
          </cell>
          <cell r="L443">
            <v>4.95</v>
          </cell>
          <cell r="M443">
            <v>4.8099999999999996</v>
          </cell>
          <cell r="O443">
            <v>1.6111</v>
          </cell>
          <cell r="P443">
            <v>0.78779999999999994</v>
          </cell>
          <cell r="Q443">
            <v>102.25310992637726</v>
          </cell>
          <cell r="U443">
            <v>4.4577999999999998</v>
          </cell>
          <cell r="V443">
            <v>18.25</v>
          </cell>
          <cell r="W443" t="str">
            <v>#N/A N/A</v>
          </cell>
        </row>
        <row r="444">
          <cell r="B444">
            <v>83.19</v>
          </cell>
          <cell r="D444">
            <v>1.3310999999999999</v>
          </cell>
          <cell r="E444">
            <v>944.4</v>
          </cell>
          <cell r="F444">
            <v>8.0854400000000002</v>
          </cell>
          <cell r="G444" t="e">
            <v>#VALUE!</v>
          </cell>
          <cell r="I444">
            <v>4.5434999999999999</v>
          </cell>
          <cell r="J444">
            <v>7.7359999999999998</v>
          </cell>
          <cell r="K444">
            <v>4.9400000000000004</v>
          </cell>
          <cell r="L444">
            <v>4.9279999999999999</v>
          </cell>
          <cell r="M444">
            <v>4.7880000000000003</v>
          </cell>
          <cell r="O444">
            <v>1.6078000000000001</v>
          </cell>
          <cell r="P444">
            <v>0.7954</v>
          </cell>
          <cell r="Q444">
            <v>101.06864470706563</v>
          </cell>
          <cell r="U444">
            <v>4.4645000000000001</v>
          </cell>
          <cell r="V444">
            <v>18.125</v>
          </cell>
          <cell r="W444" t="str">
            <v>#N/A N/A</v>
          </cell>
        </row>
        <row r="445">
          <cell r="B445">
            <v>83.19</v>
          </cell>
          <cell r="D445">
            <v>1.3310999999999999</v>
          </cell>
          <cell r="E445">
            <v>944.4</v>
          </cell>
          <cell r="F445">
            <v>8.0854400000000002</v>
          </cell>
          <cell r="G445" t="e">
            <v>#VALUE!</v>
          </cell>
          <cell r="I445">
            <v>4.5434999999999999</v>
          </cell>
          <cell r="J445">
            <v>7.7359999999999998</v>
          </cell>
          <cell r="K445">
            <v>4.9400000000000004</v>
          </cell>
          <cell r="L445">
            <v>4.9279999999999999</v>
          </cell>
          <cell r="M445">
            <v>4.7880000000000003</v>
          </cell>
          <cell r="O445">
            <v>1.6078000000000001</v>
          </cell>
          <cell r="P445">
            <v>0.7954</v>
          </cell>
          <cell r="Q445">
            <v>101.06864470706563</v>
          </cell>
          <cell r="U445">
            <v>4.4645000000000001</v>
          </cell>
          <cell r="V445">
            <v>18.125</v>
          </cell>
          <cell r="W445" t="str">
            <v>#N/A N/A</v>
          </cell>
        </row>
        <row r="446">
          <cell r="B446">
            <v>83.19</v>
          </cell>
          <cell r="D446">
            <v>1.3310999999999999</v>
          </cell>
          <cell r="E446">
            <v>944.4</v>
          </cell>
          <cell r="F446">
            <v>8.0854400000000002</v>
          </cell>
          <cell r="G446" t="e">
            <v>#VALUE!</v>
          </cell>
          <cell r="I446">
            <v>4.5434999999999999</v>
          </cell>
          <cell r="J446">
            <v>7.7359999999999998</v>
          </cell>
          <cell r="K446">
            <v>4.9400000000000004</v>
          </cell>
          <cell r="L446">
            <v>4.9279999999999999</v>
          </cell>
          <cell r="M446">
            <v>4.7880000000000003</v>
          </cell>
          <cell r="O446">
            <v>1.6078000000000001</v>
          </cell>
          <cell r="P446">
            <v>0.7954</v>
          </cell>
          <cell r="Q446">
            <v>101.06864470706563</v>
          </cell>
          <cell r="U446">
            <v>4.4645000000000001</v>
          </cell>
          <cell r="V446">
            <v>18.125</v>
          </cell>
          <cell r="W446" t="str">
            <v>#N/A N/A</v>
          </cell>
        </row>
        <row r="447">
          <cell r="B447">
            <v>83.35</v>
          </cell>
          <cell r="D447">
            <v>1.3290999999999999</v>
          </cell>
          <cell r="E447">
            <v>943.65</v>
          </cell>
          <cell r="F447">
            <v>8.0192899999999998</v>
          </cell>
          <cell r="G447" t="e">
            <v>#VALUE!</v>
          </cell>
          <cell r="I447">
            <v>4.5632000000000001</v>
          </cell>
          <cell r="J447">
            <v>7.7359999999999998</v>
          </cell>
          <cell r="K447">
            <v>4.9400000000000004</v>
          </cell>
          <cell r="L447">
            <v>4.9429999999999996</v>
          </cell>
          <cell r="M447">
            <v>4.8029999999999999</v>
          </cell>
          <cell r="O447">
            <v>1.6131</v>
          </cell>
          <cell r="P447">
            <v>0.79869999999999997</v>
          </cell>
          <cell r="Q447">
            <v>100.98284712658069</v>
          </cell>
          <cell r="U447">
            <v>4.4927999999999999</v>
          </cell>
          <cell r="V447">
            <v>17.957999999999998</v>
          </cell>
          <cell r="W447" t="str">
            <v>#N/A N/A</v>
          </cell>
        </row>
        <row r="448">
          <cell r="B448">
            <v>83.07</v>
          </cell>
          <cell r="D448">
            <v>1.3315999999999999</v>
          </cell>
          <cell r="E448">
            <v>941.3</v>
          </cell>
          <cell r="F448">
            <v>8.0487400000000004</v>
          </cell>
          <cell r="G448" t="e">
            <v>#VALUE!</v>
          </cell>
          <cell r="I448">
            <v>4.5494000000000003</v>
          </cell>
          <cell r="J448">
            <v>7.7374999999999998</v>
          </cell>
          <cell r="K448">
            <v>4.9400000000000004</v>
          </cell>
          <cell r="L448">
            <v>4.9349999999999996</v>
          </cell>
          <cell r="M448">
            <v>4.7949999999999999</v>
          </cell>
          <cell r="O448">
            <v>1.6128</v>
          </cell>
          <cell r="P448">
            <v>0.80279999999999996</v>
          </cell>
          <cell r="Q448">
            <v>100.44843049327355</v>
          </cell>
          <cell r="U448">
            <v>4.4714</v>
          </cell>
          <cell r="V448">
            <v>18.202999999999999</v>
          </cell>
          <cell r="W448" t="str">
            <v>#N/A N/A</v>
          </cell>
        </row>
        <row r="449">
          <cell r="B449">
            <v>82.77</v>
          </cell>
          <cell r="D449">
            <v>1.3301000000000001</v>
          </cell>
          <cell r="E449">
            <v>938</v>
          </cell>
          <cell r="F449">
            <v>7.9589299999999996</v>
          </cell>
          <cell r="G449" t="e">
            <v>#VALUE!</v>
          </cell>
          <cell r="I449">
            <v>4.5355999999999996</v>
          </cell>
          <cell r="J449">
            <v>7.734</v>
          </cell>
          <cell r="K449">
            <v>4.9400000000000004</v>
          </cell>
          <cell r="L449">
            <v>4.9329999999999998</v>
          </cell>
          <cell r="M449">
            <v>4.7940000000000005</v>
          </cell>
          <cell r="O449">
            <v>1.6172</v>
          </cell>
          <cell r="P449">
            <v>0.80159999999999998</v>
          </cell>
          <cell r="Q449">
            <v>100.87325349301398</v>
          </cell>
          <cell r="U449">
            <v>4.4287999999999998</v>
          </cell>
          <cell r="V449">
            <v>17.292000000000002</v>
          </cell>
          <cell r="W449" t="str">
            <v>#N/A N/A</v>
          </cell>
        </row>
        <row r="450">
          <cell r="B450">
            <v>83.09</v>
          </cell>
          <cell r="D450">
            <v>1.3324</v>
          </cell>
          <cell r="E450">
            <v>937.9</v>
          </cell>
          <cell r="F450">
            <v>7.9378799999999998</v>
          </cell>
          <cell r="G450" t="e">
            <v>#VALUE!</v>
          </cell>
          <cell r="I450">
            <v>4.5829000000000004</v>
          </cell>
          <cell r="J450">
            <v>7.734</v>
          </cell>
          <cell r="K450">
            <v>4.9400000000000004</v>
          </cell>
          <cell r="L450">
            <v>4.9269999999999996</v>
          </cell>
          <cell r="M450">
            <v>4.7629999999999999</v>
          </cell>
          <cell r="O450">
            <v>1.6202999999999999</v>
          </cell>
          <cell r="P450">
            <v>0.80649999999999999</v>
          </cell>
          <cell r="Q450">
            <v>100.45257284562925</v>
          </cell>
          <cell r="U450">
            <v>4.4748000000000001</v>
          </cell>
          <cell r="V450">
            <v>17.280999999999999</v>
          </cell>
          <cell r="W450" t="str">
            <v>#N/A N/A</v>
          </cell>
        </row>
        <row r="451">
          <cell r="B451">
            <v>83.28</v>
          </cell>
          <cell r="D451">
            <v>1.329</v>
          </cell>
          <cell r="E451">
            <v>937.4</v>
          </cell>
          <cell r="F451">
            <v>7.9437300000000004</v>
          </cell>
          <cell r="G451" t="e">
            <v>#VALUE!</v>
          </cell>
          <cell r="I451">
            <v>4.6105</v>
          </cell>
          <cell r="J451">
            <v>7.7279999999999998</v>
          </cell>
          <cell r="K451">
            <v>4.9400000000000004</v>
          </cell>
          <cell r="L451">
            <v>4.9400000000000004</v>
          </cell>
          <cell r="M451">
            <v>4.75</v>
          </cell>
          <cell r="O451">
            <v>1.6193</v>
          </cell>
          <cell r="P451">
            <v>0.80579999999999996</v>
          </cell>
          <cell r="Q451">
            <v>100.47778605112931</v>
          </cell>
          <cell r="U451">
            <v>4.51</v>
          </cell>
          <cell r="V451">
            <v>17.286000000000001</v>
          </cell>
          <cell r="W451" t="str">
            <v>#N/A N/A</v>
          </cell>
        </row>
        <row r="452">
          <cell r="B452">
            <v>83.28</v>
          </cell>
          <cell r="D452">
            <v>1.329</v>
          </cell>
          <cell r="E452">
            <v>937.4</v>
          </cell>
          <cell r="F452">
            <v>7.9437300000000004</v>
          </cell>
          <cell r="G452" t="e">
            <v>#VALUE!</v>
          </cell>
          <cell r="I452">
            <v>4.6105</v>
          </cell>
          <cell r="J452">
            <v>7.7279999999999998</v>
          </cell>
          <cell r="K452">
            <v>4.9400000000000004</v>
          </cell>
          <cell r="L452">
            <v>4.9400000000000004</v>
          </cell>
          <cell r="M452">
            <v>4.75</v>
          </cell>
          <cell r="O452">
            <v>1.6193</v>
          </cell>
          <cell r="P452">
            <v>0.80579999999999996</v>
          </cell>
          <cell r="Q452">
            <v>100.47778605112931</v>
          </cell>
          <cell r="U452">
            <v>4.51</v>
          </cell>
          <cell r="V452">
            <v>17.286000000000001</v>
          </cell>
          <cell r="W452" t="str">
            <v>#N/A N/A</v>
          </cell>
        </row>
        <row r="453">
          <cell r="B453">
            <v>83.28</v>
          </cell>
          <cell r="D453">
            <v>1.329</v>
          </cell>
          <cell r="E453">
            <v>937.4</v>
          </cell>
          <cell r="F453">
            <v>7.9437300000000004</v>
          </cell>
          <cell r="G453" t="e">
            <v>#VALUE!</v>
          </cell>
          <cell r="I453">
            <v>4.6105</v>
          </cell>
          <cell r="J453">
            <v>7.7279999999999998</v>
          </cell>
          <cell r="K453">
            <v>4.9400000000000004</v>
          </cell>
          <cell r="L453">
            <v>4.9400000000000004</v>
          </cell>
          <cell r="M453">
            <v>4.75</v>
          </cell>
          <cell r="O453">
            <v>1.6193</v>
          </cell>
          <cell r="P453">
            <v>0.80579999999999996</v>
          </cell>
          <cell r="Q453">
            <v>100.47778605112931</v>
          </cell>
          <cell r="U453">
            <v>4.51</v>
          </cell>
          <cell r="V453">
            <v>17.286000000000001</v>
          </cell>
          <cell r="W453" t="str">
            <v>#N/A N/A</v>
          </cell>
        </row>
        <row r="454">
          <cell r="B454">
            <v>83.08</v>
          </cell>
          <cell r="D454">
            <v>1.3333999999999999</v>
          </cell>
          <cell r="E454">
            <v>937.6</v>
          </cell>
          <cell r="F454">
            <v>7.9491300000000003</v>
          </cell>
          <cell r="G454" t="e">
            <v>#VALUE!</v>
          </cell>
          <cell r="I454">
            <v>4.6006</v>
          </cell>
          <cell r="J454">
            <v>7.7382</v>
          </cell>
          <cell r="K454">
            <v>4.9400000000000004</v>
          </cell>
          <cell r="L454">
            <v>4.9429999999999996</v>
          </cell>
          <cell r="M454">
            <v>4.76</v>
          </cell>
          <cell r="O454">
            <v>1.6198999999999999</v>
          </cell>
          <cell r="P454">
            <v>0.80969999999999998</v>
          </cell>
          <cell r="Q454">
            <v>100.03087563295048</v>
          </cell>
          <cell r="U454">
            <v>4.4920999999999998</v>
          </cell>
          <cell r="V454">
            <v>17.125</v>
          </cell>
          <cell r="W454" t="str">
            <v>#N/A N/A</v>
          </cell>
        </row>
        <row r="455">
          <cell r="B455">
            <v>83.01</v>
          </cell>
          <cell r="D455">
            <v>1.3348</v>
          </cell>
          <cell r="E455">
            <v>940.75</v>
          </cell>
          <cell r="F455">
            <v>7.9802400000000002</v>
          </cell>
          <cell r="G455" t="e">
            <v>#VALUE!</v>
          </cell>
          <cell r="I455">
            <v>4.5966000000000005</v>
          </cell>
          <cell r="J455">
            <v>7.7333999999999996</v>
          </cell>
          <cell r="K455">
            <v>4.9400000000000004</v>
          </cell>
          <cell r="L455">
            <v>4.9349999999999996</v>
          </cell>
          <cell r="M455">
            <v>4.76</v>
          </cell>
          <cell r="O455">
            <v>1.6202000000000001</v>
          </cell>
          <cell r="P455">
            <v>0.80830000000000002</v>
          </cell>
          <cell r="Q455">
            <v>100.22268959544725</v>
          </cell>
          <cell r="U455">
            <v>4.4848999999999997</v>
          </cell>
          <cell r="V455">
            <v>17.209</v>
          </cell>
          <cell r="W455" t="str">
            <v>#N/A N/A</v>
          </cell>
        </row>
        <row r="456">
          <cell r="B456">
            <v>83.03</v>
          </cell>
          <cell r="D456">
            <v>1.3333999999999999</v>
          </cell>
          <cell r="E456">
            <v>939.25</v>
          </cell>
          <cell r="F456">
            <v>8.0298400000000001</v>
          </cell>
          <cell r="G456" t="e">
            <v>#VALUE!</v>
          </cell>
          <cell r="I456">
            <v>4.6204000000000001</v>
          </cell>
          <cell r="J456">
            <v>7.7294999999999998</v>
          </cell>
          <cell r="K456">
            <v>4.9400000000000004</v>
          </cell>
          <cell r="L456">
            <v>4.92</v>
          </cell>
          <cell r="M456">
            <v>4.7460000000000004</v>
          </cell>
          <cell r="O456">
            <v>1.6202999999999999</v>
          </cell>
          <cell r="P456">
            <v>0.80659999999999998</v>
          </cell>
          <cell r="Q456">
            <v>100.44011901810066</v>
          </cell>
          <cell r="U456">
            <v>4.492</v>
          </cell>
          <cell r="V456">
            <v>17.376000000000001</v>
          </cell>
          <cell r="W456" t="str">
            <v>#N/A N/A</v>
          </cell>
        </row>
        <row r="457">
          <cell r="B457">
            <v>83.09</v>
          </cell>
          <cell r="D457">
            <v>1.3336999999999999</v>
          </cell>
          <cell r="E457">
            <v>940.5</v>
          </cell>
          <cell r="F457">
            <v>7.9815000000000005</v>
          </cell>
          <cell r="G457" t="e">
            <v>#VALUE!</v>
          </cell>
          <cell r="I457">
            <v>4.6422999999999996</v>
          </cell>
          <cell r="J457">
            <v>7.7270000000000003</v>
          </cell>
          <cell r="K457">
            <v>4.9400000000000004</v>
          </cell>
          <cell r="L457">
            <v>4.93</v>
          </cell>
          <cell r="M457">
            <v>4.7569999999999997</v>
          </cell>
          <cell r="O457">
            <v>1.6234</v>
          </cell>
          <cell r="P457">
            <v>0.80779999999999996</v>
          </cell>
          <cell r="Q457">
            <v>100.48279277048775</v>
          </cell>
          <cell r="U457">
            <v>4.5347</v>
          </cell>
          <cell r="V457">
            <v>17.202999999999999</v>
          </cell>
          <cell r="W457" t="str">
            <v>#N/A N/A</v>
          </cell>
        </row>
        <row r="458">
          <cell r="B458">
            <v>82.93</v>
          </cell>
          <cell r="D458">
            <v>1.3371</v>
          </cell>
          <cell r="E458">
            <v>940.6</v>
          </cell>
          <cell r="F458">
            <v>7.9995899999999995</v>
          </cell>
          <cell r="G458" t="e">
            <v>#VALUE!</v>
          </cell>
          <cell r="I458">
            <v>4.6443000000000003</v>
          </cell>
          <cell r="J458">
            <v>7.726</v>
          </cell>
          <cell r="K458">
            <v>4.9400000000000004</v>
          </cell>
          <cell r="L458">
            <v>4.9320000000000004</v>
          </cell>
          <cell r="M458">
            <v>4.7620000000000005</v>
          </cell>
          <cell r="O458">
            <v>1.6215000000000002</v>
          </cell>
          <cell r="P458">
            <v>0.8105</v>
          </cell>
          <cell r="Q458">
            <v>100.03084515731031</v>
          </cell>
          <cell r="U458">
            <v>4.5316999999999998</v>
          </cell>
          <cell r="V458">
            <v>17.178999999999998</v>
          </cell>
          <cell r="W458" t="str">
            <v>#N/A N/A</v>
          </cell>
        </row>
        <row r="459">
          <cell r="B459">
            <v>82.93</v>
          </cell>
          <cell r="D459">
            <v>1.3371</v>
          </cell>
          <cell r="E459">
            <v>940.6</v>
          </cell>
          <cell r="F459">
            <v>7.9995899999999995</v>
          </cell>
          <cell r="G459" t="e">
            <v>#VALUE!</v>
          </cell>
          <cell r="I459">
            <v>4.6443000000000003</v>
          </cell>
          <cell r="J459">
            <v>7.726</v>
          </cell>
          <cell r="K459">
            <v>4.9400000000000004</v>
          </cell>
          <cell r="L459">
            <v>4.9320000000000004</v>
          </cell>
          <cell r="M459">
            <v>4.7620000000000005</v>
          </cell>
          <cell r="O459">
            <v>1.6215000000000002</v>
          </cell>
          <cell r="P459">
            <v>0.8105</v>
          </cell>
          <cell r="Q459">
            <v>100.03084515731031</v>
          </cell>
          <cell r="U459">
            <v>4.5316999999999998</v>
          </cell>
          <cell r="V459">
            <v>17.178999999999998</v>
          </cell>
          <cell r="W459" t="str">
            <v>#N/A N/A</v>
          </cell>
        </row>
        <row r="460">
          <cell r="B460">
            <v>82.93</v>
          </cell>
          <cell r="D460">
            <v>1.3371</v>
          </cell>
          <cell r="E460">
            <v>940.6</v>
          </cell>
          <cell r="F460">
            <v>7.9995899999999995</v>
          </cell>
          <cell r="G460" t="e">
            <v>#VALUE!</v>
          </cell>
          <cell r="I460">
            <v>4.6443000000000003</v>
          </cell>
          <cell r="J460">
            <v>7.726</v>
          </cell>
          <cell r="K460">
            <v>4.9400000000000004</v>
          </cell>
          <cell r="L460">
            <v>4.9320000000000004</v>
          </cell>
          <cell r="M460">
            <v>4.7620000000000005</v>
          </cell>
          <cell r="O460">
            <v>1.6215000000000002</v>
          </cell>
          <cell r="P460">
            <v>0.8105</v>
          </cell>
          <cell r="Q460">
            <v>100.03084515731031</v>
          </cell>
          <cell r="U460">
            <v>4.5316999999999998</v>
          </cell>
          <cell r="V460">
            <v>17.178999999999998</v>
          </cell>
          <cell r="W460" t="str">
            <v>#N/A N/A</v>
          </cell>
        </row>
        <row r="461">
          <cell r="B461">
            <v>82.87</v>
          </cell>
          <cell r="D461">
            <v>1.3378000000000001</v>
          </cell>
          <cell r="E461">
            <v>937.35</v>
          </cell>
          <cell r="F461">
            <v>7.9628800000000002</v>
          </cell>
          <cell r="G461" t="e">
            <v>#VALUE!</v>
          </cell>
          <cell r="I461">
            <v>4.6402999999999999</v>
          </cell>
          <cell r="J461">
            <v>7.734</v>
          </cell>
          <cell r="K461">
            <v>4.9400000000000004</v>
          </cell>
          <cell r="L461">
            <v>4.9320000000000004</v>
          </cell>
          <cell r="M461">
            <v>4.7620000000000005</v>
          </cell>
          <cell r="O461">
            <v>1.6238000000000001</v>
          </cell>
          <cell r="P461">
            <v>0.8175</v>
          </cell>
          <cell r="Q461">
            <v>99.314984709480129</v>
          </cell>
          <cell r="U461">
            <v>4.5316999999999998</v>
          </cell>
          <cell r="V461">
            <v>17.228999999999999</v>
          </cell>
          <cell r="W461" t="str">
            <v>#N/A N/A</v>
          </cell>
        </row>
        <row r="462">
          <cell r="B462">
            <v>83.15</v>
          </cell>
          <cell r="D462">
            <v>1.3359000000000001</v>
          </cell>
          <cell r="E462">
            <v>936.6</v>
          </cell>
          <cell r="F462">
            <v>7.8801899999999998</v>
          </cell>
          <cell r="G462" t="e">
            <v>#VALUE!</v>
          </cell>
          <cell r="I462">
            <v>4.6642000000000001</v>
          </cell>
          <cell r="J462">
            <v>7.7267000000000001</v>
          </cell>
          <cell r="K462">
            <v>4.9400000000000004</v>
          </cell>
          <cell r="L462">
            <v>4.9719999999999995</v>
          </cell>
          <cell r="M462">
            <v>4.8120000000000003</v>
          </cell>
          <cell r="O462">
            <v>1.6282999999999999</v>
          </cell>
          <cell r="P462">
            <v>0.81310000000000004</v>
          </cell>
          <cell r="Q462">
            <v>100.12913540769893</v>
          </cell>
          <cell r="U462">
            <v>4.5635000000000003</v>
          </cell>
          <cell r="V462">
            <v>17.178999999999998</v>
          </cell>
          <cell r="W462" t="str">
            <v>#N/A N/A</v>
          </cell>
        </row>
        <row r="463">
          <cell r="B463">
            <v>82.96</v>
          </cell>
          <cell r="D463">
            <v>1.3372999999999999</v>
          </cell>
          <cell r="E463">
            <v>936.5</v>
          </cell>
          <cell r="F463">
            <v>7.8839899999999998</v>
          </cell>
          <cell r="G463" t="e">
            <v>#VALUE!</v>
          </cell>
          <cell r="I463">
            <v>4.6482000000000001</v>
          </cell>
          <cell r="J463">
            <v>7.7344999999999997</v>
          </cell>
          <cell r="K463">
            <v>4.9400000000000004</v>
          </cell>
          <cell r="L463">
            <v>4.9779999999999998</v>
          </cell>
          <cell r="M463">
            <v>4.83</v>
          </cell>
          <cell r="O463">
            <v>1.6303000000000001</v>
          </cell>
          <cell r="P463">
            <v>0.81869999999999998</v>
          </cell>
          <cell r="Q463">
            <v>99.566385733479905</v>
          </cell>
          <cell r="U463">
            <v>4.5388000000000002</v>
          </cell>
          <cell r="V463">
            <v>17.126000000000001</v>
          </cell>
          <cell r="W463" t="str">
            <v>#N/A N/A</v>
          </cell>
        </row>
        <row r="464">
          <cell r="B464">
            <v>82.677000000000007</v>
          </cell>
          <cell r="D464">
            <v>1.3425</v>
          </cell>
          <cell r="E464">
            <v>932.55</v>
          </cell>
          <cell r="F464">
            <v>7.8553699999999997</v>
          </cell>
          <cell r="G464" t="e">
            <v>#VALUE!</v>
          </cell>
          <cell r="I464">
            <v>4.6782000000000004</v>
          </cell>
          <cell r="J464">
            <v>7.7249999999999996</v>
          </cell>
          <cell r="K464">
            <v>4.9400000000000004</v>
          </cell>
          <cell r="L464">
            <v>4.9719999999999995</v>
          </cell>
          <cell r="M464">
            <v>4.8220000000000001</v>
          </cell>
          <cell r="O464">
            <v>1.6303000000000001</v>
          </cell>
          <cell r="P464">
            <v>0.81899999999999995</v>
          </cell>
          <cell r="Q464">
            <v>99.529914529914549</v>
          </cell>
          <cell r="U464">
            <v>4.5707000000000004</v>
          </cell>
          <cell r="V464">
            <v>17.190000000000001</v>
          </cell>
          <cell r="W464" t="str">
            <v>#N/A N/A</v>
          </cell>
        </row>
        <row r="465">
          <cell r="B465">
            <v>82.992000000000004</v>
          </cell>
          <cell r="D465">
            <v>1.3371999999999999</v>
          </cell>
          <cell r="E465">
            <v>932</v>
          </cell>
          <cell r="F465">
            <v>7.8109299999999999</v>
          </cell>
          <cell r="G465" t="e">
            <v>#VALUE!</v>
          </cell>
          <cell r="I465">
            <v>4.7484999999999999</v>
          </cell>
          <cell r="J465">
            <v>7.7248000000000001</v>
          </cell>
          <cell r="K465">
            <v>4.9400000000000004</v>
          </cell>
          <cell r="L465">
            <v>4.9820000000000002</v>
          </cell>
          <cell r="M465">
            <v>4.835</v>
          </cell>
          <cell r="O465">
            <v>1.6337999999999999</v>
          </cell>
          <cell r="P465">
            <v>0.81610000000000005</v>
          </cell>
          <cell r="Q465">
            <v>100.09802720254871</v>
          </cell>
          <cell r="U465">
            <v>4.6669</v>
          </cell>
          <cell r="V465">
            <v>17.486999999999998</v>
          </cell>
          <cell r="W465" t="str">
            <v>#N/A N/A</v>
          </cell>
        </row>
        <row r="466">
          <cell r="B466">
            <v>82.992000000000004</v>
          </cell>
          <cell r="D466">
            <v>1.3371999999999999</v>
          </cell>
          <cell r="E466">
            <v>932</v>
          </cell>
          <cell r="F466">
            <v>7.8109299999999999</v>
          </cell>
          <cell r="G466" t="e">
            <v>#VALUE!</v>
          </cell>
          <cell r="I466">
            <v>4.7484999999999999</v>
          </cell>
          <cell r="J466">
            <v>7.7248000000000001</v>
          </cell>
          <cell r="K466">
            <v>4.9400000000000004</v>
          </cell>
          <cell r="L466">
            <v>4.9820000000000002</v>
          </cell>
          <cell r="M466">
            <v>4.835</v>
          </cell>
          <cell r="O466">
            <v>1.6337999999999999</v>
          </cell>
          <cell r="P466">
            <v>0.81610000000000005</v>
          </cell>
          <cell r="Q466">
            <v>100.09802720254871</v>
          </cell>
          <cell r="U466">
            <v>4.6669</v>
          </cell>
          <cell r="V466">
            <v>17.486999999999998</v>
          </cell>
          <cell r="W466" t="str">
            <v>#N/A N/A</v>
          </cell>
        </row>
        <row r="467">
          <cell r="B467">
            <v>82.992000000000004</v>
          </cell>
          <cell r="D467">
            <v>1.3371999999999999</v>
          </cell>
          <cell r="E467">
            <v>932</v>
          </cell>
          <cell r="F467">
            <v>7.8109299999999999</v>
          </cell>
          <cell r="G467" t="e">
            <v>#VALUE!</v>
          </cell>
          <cell r="I467">
            <v>4.7484999999999999</v>
          </cell>
          <cell r="J467">
            <v>7.7248000000000001</v>
          </cell>
          <cell r="K467">
            <v>4.9400000000000004</v>
          </cell>
          <cell r="L467">
            <v>4.9820000000000002</v>
          </cell>
          <cell r="M467">
            <v>4.835</v>
          </cell>
          <cell r="O467">
            <v>1.6337999999999999</v>
          </cell>
          <cell r="P467">
            <v>0.81610000000000005</v>
          </cell>
          <cell r="Q467">
            <v>100.09802720254871</v>
          </cell>
          <cell r="U467">
            <v>4.6669</v>
          </cell>
          <cell r="V467">
            <v>17.486999999999998</v>
          </cell>
          <cell r="W467" t="str">
            <v>#N/A N/A</v>
          </cell>
        </row>
        <row r="468">
          <cell r="B468">
            <v>83.097999999999999</v>
          </cell>
          <cell r="D468">
            <v>1.3344</v>
          </cell>
          <cell r="E468">
            <v>933.05</v>
          </cell>
          <cell r="F468">
            <v>7.8160600000000002</v>
          </cell>
          <cell r="G468" t="e">
            <v>#VALUE!</v>
          </cell>
          <cell r="I468">
            <v>4.7424999999999997</v>
          </cell>
          <cell r="J468">
            <v>7.734</v>
          </cell>
          <cell r="K468">
            <v>4.9400000000000004</v>
          </cell>
          <cell r="L468">
            <v>5.0599999999999996</v>
          </cell>
          <cell r="M468">
            <v>4.915</v>
          </cell>
          <cell r="O468">
            <v>1.6389</v>
          </cell>
          <cell r="P468">
            <v>0.81610000000000005</v>
          </cell>
          <cell r="Q468">
            <v>100.4104889106727</v>
          </cell>
          <cell r="U468">
            <v>4.6597999999999997</v>
          </cell>
          <cell r="V468">
            <v>17.477</v>
          </cell>
          <cell r="W468" t="str">
            <v>#N/A N/A</v>
          </cell>
        </row>
        <row r="469">
          <cell r="B469">
            <v>82.703999999999994</v>
          </cell>
          <cell r="D469">
            <v>1.3435000000000001</v>
          </cell>
          <cell r="E469">
            <v>933.75</v>
          </cell>
          <cell r="F469">
            <v>7.8410399999999996</v>
          </cell>
          <cell r="G469" t="e">
            <v>#VALUE!</v>
          </cell>
          <cell r="I469">
            <v>4.7183999999999999</v>
          </cell>
          <cell r="J469">
            <v>7.7304000000000004</v>
          </cell>
          <cell r="K469">
            <v>4.9400000000000004</v>
          </cell>
          <cell r="L469">
            <v>5.0650000000000004</v>
          </cell>
          <cell r="M469">
            <v>4.9219999999999997</v>
          </cell>
          <cell r="O469">
            <v>1.6345000000000001</v>
          </cell>
          <cell r="P469">
            <v>0.82579999999999998</v>
          </cell>
          <cell r="Q469">
            <v>98.964640348752724</v>
          </cell>
          <cell r="U469">
            <v>4.6241000000000003</v>
          </cell>
          <cell r="V469">
            <v>16.847000000000001</v>
          </cell>
          <cell r="W469" t="str">
            <v>#N/A N/A</v>
          </cell>
        </row>
        <row r="470">
          <cell r="B470">
            <v>82.671000000000006</v>
          </cell>
          <cell r="D470">
            <v>1.3429</v>
          </cell>
          <cell r="E470">
            <v>932.45</v>
          </cell>
          <cell r="F470">
            <v>7.8088699999999998</v>
          </cell>
          <cell r="G470" t="e">
            <v>#VALUE!</v>
          </cell>
          <cell r="I470">
            <v>4.7304000000000004</v>
          </cell>
          <cell r="J470">
            <v>7.726</v>
          </cell>
          <cell r="K470">
            <v>4.9400000000000004</v>
          </cell>
          <cell r="L470">
            <v>5.0830000000000002</v>
          </cell>
          <cell r="M470">
            <v>4.9400000000000004</v>
          </cell>
          <cell r="O470">
            <v>1.6385000000000001</v>
          </cell>
          <cell r="P470">
            <v>0.82520000000000004</v>
          </cell>
          <cell r="Q470">
            <v>99.278962675714979</v>
          </cell>
          <cell r="U470">
            <v>4.6455000000000002</v>
          </cell>
          <cell r="V470">
            <v>16.562999999999999</v>
          </cell>
          <cell r="W470" t="str">
            <v>#N/A N/A</v>
          </cell>
        </row>
        <row r="471">
          <cell r="B471">
            <v>82.369</v>
          </cell>
          <cell r="D471">
            <v>1.3473999999999999</v>
          </cell>
          <cell r="E471">
            <v>932.25</v>
          </cell>
          <cell r="F471">
            <v>7.8326200000000004</v>
          </cell>
          <cell r="G471" t="e">
            <v>#VALUE!</v>
          </cell>
          <cell r="I471">
            <v>4.7344999999999997</v>
          </cell>
          <cell r="J471">
            <v>7.726</v>
          </cell>
          <cell r="K471">
            <v>4.9400000000000004</v>
          </cell>
          <cell r="L471">
            <v>5.0880000000000001</v>
          </cell>
          <cell r="M471">
            <v>4.9480000000000004</v>
          </cell>
          <cell r="O471">
            <v>1.641</v>
          </cell>
          <cell r="P471">
            <v>0.82779999999999998</v>
          </cell>
          <cell r="Q471">
            <v>99.118144479342845</v>
          </cell>
          <cell r="U471">
            <v>4.6527000000000003</v>
          </cell>
          <cell r="V471">
            <v>16.643999999999998</v>
          </cell>
          <cell r="W471" t="str">
            <v>#N/A N/A</v>
          </cell>
        </row>
        <row r="472">
          <cell r="B472">
            <v>82.129000000000005</v>
          </cell>
          <cell r="D472">
            <v>1.3514999999999999</v>
          </cell>
          <cell r="E472">
            <v>928.75</v>
          </cell>
          <cell r="F472">
            <v>7.7846700000000002</v>
          </cell>
          <cell r="G472" t="e">
            <v>#VALUE!</v>
          </cell>
          <cell r="I472">
            <v>4.7607999999999997</v>
          </cell>
          <cell r="J472">
            <v>7.7222</v>
          </cell>
          <cell r="K472">
            <v>4.9400000000000004</v>
          </cell>
          <cell r="L472">
            <v>5.1050000000000004</v>
          </cell>
          <cell r="M472">
            <v>4.9669999999999996</v>
          </cell>
          <cell r="O472">
            <v>1.6435999999999999</v>
          </cell>
          <cell r="P472">
            <v>0.83250000000000002</v>
          </cell>
          <cell r="Q472">
            <v>98.714714714714717</v>
          </cell>
          <cell r="U472">
            <v>4.6851000000000003</v>
          </cell>
          <cell r="V472">
            <v>16.417000000000002</v>
          </cell>
          <cell r="W472" t="str">
            <v>#N/A N/A</v>
          </cell>
        </row>
        <row r="473">
          <cell r="B473">
            <v>82.129000000000005</v>
          </cell>
          <cell r="D473">
            <v>1.3514999999999999</v>
          </cell>
          <cell r="E473">
            <v>928.75</v>
          </cell>
          <cell r="F473">
            <v>7.7846700000000002</v>
          </cell>
          <cell r="G473" t="e">
            <v>#VALUE!</v>
          </cell>
          <cell r="I473">
            <v>4.7607999999999997</v>
          </cell>
          <cell r="J473">
            <v>7.7222</v>
          </cell>
          <cell r="K473">
            <v>4.9400000000000004</v>
          </cell>
          <cell r="L473">
            <v>5.1050000000000004</v>
          </cell>
          <cell r="M473">
            <v>4.9669999999999996</v>
          </cell>
          <cell r="O473">
            <v>1.6435999999999999</v>
          </cell>
          <cell r="P473">
            <v>0.83250000000000002</v>
          </cell>
          <cell r="Q473">
            <v>98.714714714714717</v>
          </cell>
          <cell r="U473">
            <v>4.6851000000000003</v>
          </cell>
          <cell r="V473">
            <v>16.417000000000002</v>
          </cell>
          <cell r="W473" t="str">
            <v>#N/A N/A</v>
          </cell>
        </row>
        <row r="474">
          <cell r="B474">
            <v>82.129000000000005</v>
          </cell>
          <cell r="D474">
            <v>1.3514999999999999</v>
          </cell>
          <cell r="E474">
            <v>928.75</v>
          </cell>
          <cell r="F474">
            <v>7.7846700000000002</v>
          </cell>
          <cell r="G474" t="e">
            <v>#VALUE!</v>
          </cell>
          <cell r="I474">
            <v>4.7607999999999997</v>
          </cell>
          <cell r="J474">
            <v>7.7222</v>
          </cell>
          <cell r="K474">
            <v>4.9400000000000004</v>
          </cell>
          <cell r="L474">
            <v>5.1050000000000004</v>
          </cell>
          <cell r="M474">
            <v>4.9669999999999996</v>
          </cell>
          <cell r="O474">
            <v>1.6435999999999999</v>
          </cell>
          <cell r="P474">
            <v>0.83250000000000002</v>
          </cell>
          <cell r="Q474">
            <v>98.714714714714717</v>
          </cell>
          <cell r="U474">
            <v>4.6851000000000003</v>
          </cell>
          <cell r="V474">
            <v>16.417000000000002</v>
          </cell>
          <cell r="W474" t="str">
            <v>#N/A N/A</v>
          </cell>
        </row>
        <row r="475">
          <cell r="B475">
            <v>82.072999999999993</v>
          </cell>
          <cell r="D475">
            <v>1.3549</v>
          </cell>
          <cell r="E475">
            <v>930.55</v>
          </cell>
          <cell r="F475">
            <v>7.7680100000000003</v>
          </cell>
          <cell r="G475" t="e">
            <v>#VALUE!</v>
          </cell>
          <cell r="I475">
            <v>4.7346000000000004</v>
          </cell>
          <cell r="J475">
            <v>7.7249999999999996</v>
          </cell>
          <cell r="K475">
            <v>4.9400000000000004</v>
          </cell>
          <cell r="L475">
            <v>5.12</v>
          </cell>
          <cell r="M475">
            <v>4.9870000000000001</v>
          </cell>
          <cell r="O475">
            <v>1.6442999999999999</v>
          </cell>
          <cell r="P475">
            <v>0.83220000000000005</v>
          </cell>
          <cell r="Q475">
            <v>98.792357606344609</v>
          </cell>
          <cell r="U475">
            <v>4.6637000000000004</v>
          </cell>
          <cell r="V475">
            <v>16.25</v>
          </cell>
          <cell r="W475" t="str">
            <v>#N/A N/A</v>
          </cell>
        </row>
        <row r="476">
          <cell r="B476">
            <v>81.831000000000003</v>
          </cell>
          <cell r="D476">
            <v>1.3562000000000001</v>
          </cell>
          <cell r="E476">
            <v>929.25</v>
          </cell>
          <cell r="F476">
            <v>7.8071799999999998</v>
          </cell>
          <cell r="G476" t="e">
            <v>#VALUE!</v>
          </cell>
          <cell r="I476">
            <v>4.6802999999999999</v>
          </cell>
          <cell r="J476">
            <v>7.7287999999999997</v>
          </cell>
          <cell r="K476">
            <v>4.95</v>
          </cell>
          <cell r="L476">
            <v>5.1029999999999998</v>
          </cell>
          <cell r="M476">
            <v>4.97</v>
          </cell>
          <cell r="O476">
            <v>1.6393</v>
          </cell>
          <cell r="P476">
            <v>0.83640000000000003</v>
          </cell>
          <cell r="Q476">
            <v>97.997369679579137</v>
          </cell>
          <cell r="U476">
            <v>4.5993000000000004</v>
          </cell>
          <cell r="V476">
            <v>15.875</v>
          </cell>
          <cell r="W476" t="str">
            <v>#N/A N/A</v>
          </cell>
        </row>
        <row r="477">
          <cell r="B477">
            <v>81.742999999999995</v>
          </cell>
          <cell r="D477">
            <v>1.3578000000000001</v>
          </cell>
          <cell r="E477">
            <v>928.6</v>
          </cell>
          <cell r="F477">
            <v>7.8458899999999998</v>
          </cell>
          <cell r="G477" t="e">
            <v>#VALUE!</v>
          </cell>
          <cell r="I477">
            <v>4.6501999999999999</v>
          </cell>
          <cell r="J477">
            <v>7.7218</v>
          </cell>
          <cell r="K477">
            <v>4.95</v>
          </cell>
          <cell r="L477">
            <v>5.08</v>
          </cell>
          <cell r="M477">
            <v>4.9379999999999997</v>
          </cell>
          <cell r="O477">
            <v>1.6356999999999999</v>
          </cell>
          <cell r="P477">
            <v>0.83589999999999998</v>
          </cell>
          <cell r="Q477">
            <v>97.840650795549706</v>
          </cell>
          <cell r="U477">
            <v>4.5599999999999996</v>
          </cell>
          <cell r="V477">
            <v>16.062000000000001</v>
          </cell>
          <cell r="W477" t="str">
            <v>#N/A N/A</v>
          </cell>
        </row>
        <row r="478">
          <cell r="B478">
            <v>81.644000000000005</v>
          </cell>
          <cell r="D478">
            <v>1.3606</v>
          </cell>
          <cell r="E478">
            <v>929</v>
          </cell>
          <cell r="F478">
            <v>7.8491</v>
          </cell>
          <cell r="G478" t="e">
            <v>#VALUE!</v>
          </cell>
          <cell r="I478">
            <v>4.6642000000000001</v>
          </cell>
          <cell r="J478">
            <v>7.7145000000000001</v>
          </cell>
          <cell r="K478">
            <v>4.95</v>
          </cell>
          <cell r="L478">
            <v>5.08</v>
          </cell>
          <cell r="M478">
            <v>4.9370000000000003</v>
          </cell>
          <cell r="O478">
            <v>1.6394</v>
          </cell>
          <cell r="P478">
            <v>0.83550000000000002</v>
          </cell>
          <cell r="Q478">
            <v>98.10891681627767</v>
          </cell>
          <cell r="U478">
            <v>4.5671999999999997</v>
          </cell>
          <cell r="V478">
            <v>16.428999999999998</v>
          </cell>
          <cell r="W478" t="str">
            <v>#N/A N/A</v>
          </cell>
        </row>
        <row r="479">
          <cell r="B479">
            <v>81.643000000000001</v>
          </cell>
          <cell r="D479">
            <v>1.3602000000000001</v>
          </cell>
          <cell r="E479">
            <v>927.45</v>
          </cell>
          <cell r="F479">
            <v>7.8120799999999999</v>
          </cell>
          <cell r="G479" t="e">
            <v>#VALUE!</v>
          </cell>
          <cell r="I479">
            <v>4.6703000000000001</v>
          </cell>
          <cell r="J479">
            <v>7.7149999999999999</v>
          </cell>
          <cell r="K479">
            <v>4.95</v>
          </cell>
          <cell r="L479">
            <v>5.15</v>
          </cell>
          <cell r="M479">
            <v>5.0229999999999997</v>
          </cell>
          <cell r="O479">
            <v>1.6423999999999999</v>
          </cell>
          <cell r="P479">
            <v>0.83689999999999998</v>
          </cell>
          <cell r="Q479">
            <v>98.12402915521568</v>
          </cell>
          <cell r="U479">
            <v>4.5671999999999997</v>
          </cell>
          <cell r="V479">
            <v>16.087</v>
          </cell>
          <cell r="W479" t="str">
            <v>#N/A N/A</v>
          </cell>
        </row>
        <row r="480">
          <cell r="B480">
            <v>81.643000000000001</v>
          </cell>
          <cell r="D480">
            <v>1.3602000000000001</v>
          </cell>
          <cell r="E480">
            <v>927.45</v>
          </cell>
          <cell r="F480">
            <v>7.8120799999999999</v>
          </cell>
          <cell r="G480" t="e">
            <v>#VALUE!</v>
          </cell>
          <cell r="I480">
            <v>4.6703000000000001</v>
          </cell>
          <cell r="J480">
            <v>7.7149999999999999</v>
          </cell>
          <cell r="K480">
            <v>4.95</v>
          </cell>
          <cell r="L480">
            <v>5.15</v>
          </cell>
          <cell r="M480">
            <v>5.0229999999999997</v>
          </cell>
          <cell r="O480">
            <v>1.6423999999999999</v>
          </cell>
          <cell r="P480">
            <v>0.83689999999999998</v>
          </cell>
          <cell r="Q480">
            <v>98.12402915521568</v>
          </cell>
          <cell r="U480">
            <v>4.5671999999999997</v>
          </cell>
          <cell r="V480">
            <v>16.087</v>
          </cell>
          <cell r="W480" t="str">
            <v>#N/A N/A</v>
          </cell>
        </row>
        <row r="481">
          <cell r="B481">
            <v>81.643000000000001</v>
          </cell>
          <cell r="D481">
            <v>1.3602000000000001</v>
          </cell>
          <cell r="E481">
            <v>927.45</v>
          </cell>
          <cell r="F481">
            <v>7.8120799999999999</v>
          </cell>
          <cell r="G481" t="e">
            <v>#VALUE!</v>
          </cell>
          <cell r="I481">
            <v>4.6703000000000001</v>
          </cell>
          <cell r="J481">
            <v>7.7149999999999999</v>
          </cell>
          <cell r="K481">
            <v>4.95</v>
          </cell>
          <cell r="L481">
            <v>5.15</v>
          </cell>
          <cell r="M481">
            <v>5.0229999999999997</v>
          </cell>
          <cell r="O481">
            <v>1.6423999999999999</v>
          </cell>
          <cell r="P481">
            <v>0.83689999999999998</v>
          </cell>
          <cell r="Q481">
            <v>98.12402915521568</v>
          </cell>
          <cell r="U481">
            <v>4.5671999999999997</v>
          </cell>
          <cell r="V481">
            <v>16.087</v>
          </cell>
          <cell r="W481" t="str">
            <v>#N/A N/A</v>
          </cell>
        </row>
        <row r="482">
          <cell r="B482">
            <v>81.738</v>
          </cell>
          <cell r="D482">
            <v>1.3575999999999999</v>
          </cell>
          <cell r="E482">
            <v>926.25</v>
          </cell>
          <cell r="F482">
            <v>7.8129999999999997</v>
          </cell>
          <cell r="G482" t="e">
            <v>#VALUE!</v>
          </cell>
          <cell r="I482">
            <v>4.6402000000000001</v>
          </cell>
          <cell r="J482">
            <v>7.7270000000000003</v>
          </cell>
          <cell r="K482">
            <v>4.97</v>
          </cell>
          <cell r="L482">
            <v>5.1150000000000002</v>
          </cell>
          <cell r="M482">
            <v>4.99</v>
          </cell>
          <cell r="O482">
            <v>1.6412</v>
          </cell>
          <cell r="P482">
            <v>0.83279999999999998</v>
          </cell>
          <cell r="Q482">
            <v>98.535062439961578</v>
          </cell>
          <cell r="U482">
            <v>4.5350000000000001</v>
          </cell>
          <cell r="V482">
            <v>15.734</v>
          </cell>
          <cell r="W482" t="str">
            <v>#N/A N/A</v>
          </cell>
        </row>
        <row r="483">
          <cell r="B483">
            <v>81.546000000000006</v>
          </cell>
          <cell r="D483">
            <v>1.3622000000000001</v>
          </cell>
          <cell r="E483">
            <v>927.25</v>
          </cell>
          <cell r="F483">
            <v>7.8179699999999999</v>
          </cell>
          <cell r="G483" t="e">
            <v>#VALUE!</v>
          </cell>
          <cell r="I483">
            <v>4.6201999999999996</v>
          </cell>
          <cell r="J483">
            <v>7.7260999999999997</v>
          </cell>
          <cell r="K483">
            <v>4.97</v>
          </cell>
          <cell r="L483">
            <v>5.1130000000000004</v>
          </cell>
          <cell r="M483">
            <v>4.99</v>
          </cell>
          <cell r="O483">
            <v>1.6385000000000001</v>
          </cell>
          <cell r="P483">
            <v>0.82750000000000001</v>
          </cell>
          <cell r="Q483">
            <v>99.003021148036254</v>
          </cell>
          <cell r="U483">
            <v>4.51</v>
          </cell>
          <cell r="V483">
            <v>15.738</v>
          </cell>
          <cell r="W483" t="str">
            <v>#N/A N/A</v>
          </cell>
        </row>
        <row r="484">
          <cell r="B484">
            <v>81.427999999999997</v>
          </cell>
          <cell r="D484">
            <v>1.3639999999999999</v>
          </cell>
          <cell r="E484">
            <v>926.75</v>
          </cell>
          <cell r="F484">
            <v>7.8094999999999999</v>
          </cell>
          <cell r="G484" t="e">
            <v>#VALUE!</v>
          </cell>
          <cell r="I484">
            <v>4.6501999999999999</v>
          </cell>
          <cell r="J484">
            <v>7.7161</v>
          </cell>
          <cell r="K484">
            <v>4.97</v>
          </cell>
          <cell r="L484">
            <v>5.1130000000000004</v>
          </cell>
          <cell r="M484">
            <v>5</v>
          </cell>
          <cell r="O484">
            <v>1.6423000000000001</v>
          </cell>
          <cell r="P484">
            <v>0.8327</v>
          </cell>
          <cell r="Q484">
            <v>98.612945838837518</v>
          </cell>
          <cell r="U484">
            <v>4.5457999999999998</v>
          </cell>
          <cell r="V484">
            <v>14.8</v>
          </cell>
          <cell r="W484" t="str">
            <v>#N/A N/A</v>
          </cell>
        </row>
        <row r="485">
          <cell r="B485">
            <v>81.75</v>
          </cell>
          <cell r="D485">
            <v>1.3602000000000001</v>
          </cell>
          <cell r="E485">
            <v>928.75</v>
          </cell>
          <cell r="F485">
            <v>7.7735900000000004</v>
          </cell>
          <cell r="G485" t="e">
            <v>#VALUE!</v>
          </cell>
          <cell r="I485">
            <v>4.6963999999999997</v>
          </cell>
          <cell r="J485">
            <v>7.7313000000000001</v>
          </cell>
          <cell r="K485">
            <v>4.97</v>
          </cell>
          <cell r="L485">
            <v>5.12</v>
          </cell>
          <cell r="M485">
            <v>5.0170000000000003</v>
          </cell>
          <cell r="O485">
            <v>1.643</v>
          </cell>
          <cell r="P485">
            <v>0.82669999999999999</v>
          </cell>
          <cell r="Q485">
            <v>99.370993105116739</v>
          </cell>
          <cell r="U485">
            <v>4.5994999999999999</v>
          </cell>
          <cell r="V485">
            <v>13.75</v>
          </cell>
          <cell r="W485" t="str">
            <v>#N/A N/A</v>
          </cell>
        </row>
        <row r="486">
          <cell r="B486">
            <v>81.528999999999996</v>
          </cell>
          <cell r="D486">
            <v>1.3618000000000001</v>
          </cell>
          <cell r="E486">
            <v>929.15</v>
          </cell>
          <cell r="F486">
            <v>7.7584</v>
          </cell>
          <cell r="G486" t="e">
            <v>#VALUE!</v>
          </cell>
          <cell r="I486">
            <v>4.6924000000000001</v>
          </cell>
          <cell r="J486">
            <v>7.7149000000000001</v>
          </cell>
          <cell r="K486">
            <v>5</v>
          </cell>
          <cell r="L486">
            <v>5.1280000000000001</v>
          </cell>
          <cell r="M486">
            <v>5.03</v>
          </cell>
          <cell r="O486">
            <v>1.6463999999999999</v>
          </cell>
          <cell r="P486">
            <v>0.82969999999999999</v>
          </cell>
          <cell r="Q486">
            <v>99.216584307581044</v>
          </cell>
          <cell r="U486">
            <v>4.5811999999999999</v>
          </cell>
          <cell r="V486">
            <v>14.36</v>
          </cell>
          <cell r="W486" t="str">
            <v>#N/A N/A</v>
          </cell>
        </row>
        <row r="487">
          <cell r="B487">
            <v>81.528999999999996</v>
          </cell>
          <cell r="D487">
            <v>1.3618000000000001</v>
          </cell>
          <cell r="E487">
            <v>929.15</v>
          </cell>
          <cell r="F487">
            <v>7.7584</v>
          </cell>
          <cell r="G487" t="e">
            <v>#VALUE!</v>
          </cell>
          <cell r="I487">
            <v>4.6924000000000001</v>
          </cell>
          <cell r="J487">
            <v>7.7149000000000001</v>
          </cell>
          <cell r="K487">
            <v>5</v>
          </cell>
          <cell r="L487">
            <v>5.1280000000000001</v>
          </cell>
          <cell r="M487">
            <v>5.03</v>
          </cell>
          <cell r="O487">
            <v>1.6463999999999999</v>
          </cell>
          <cell r="P487">
            <v>0.82969999999999999</v>
          </cell>
          <cell r="Q487">
            <v>99.216584307581044</v>
          </cell>
          <cell r="U487">
            <v>4.5811999999999999</v>
          </cell>
          <cell r="V487">
            <v>14.36</v>
          </cell>
          <cell r="W487" t="str">
            <v>#N/A N/A</v>
          </cell>
        </row>
        <row r="488">
          <cell r="B488">
            <v>81.528999999999996</v>
          </cell>
          <cell r="D488">
            <v>1.3618000000000001</v>
          </cell>
          <cell r="E488">
            <v>929.15</v>
          </cell>
          <cell r="F488">
            <v>7.7584</v>
          </cell>
          <cell r="G488" t="e">
            <v>#VALUE!</v>
          </cell>
          <cell r="I488">
            <v>4.6924000000000001</v>
          </cell>
          <cell r="J488">
            <v>7.7149000000000001</v>
          </cell>
          <cell r="K488">
            <v>5</v>
          </cell>
          <cell r="L488">
            <v>5.1280000000000001</v>
          </cell>
          <cell r="M488">
            <v>5.03</v>
          </cell>
          <cell r="O488">
            <v>1.6463999999999999</v>
          </cell>
          <cell r="P488">
            <v>0.82969999999999999</v>
          </cell>
          <cell r="Q488">
            <v>99.216584307581044</v>
          </cell>
          <cell r="U488">
            <v>4.5811999999999999</v>
          </cell>
          <cell r="V488">
            <v>14.36</v>
          </cell>
          <cell r="W488" t="str">
            <v>#N/A N/A</v>
          </cell>
        </row>
        <row r="489">
          <cell r="B489">
            <v>81.447000000000003</v>
          </cell>
          <cell r="D489">
            <v>1.3668</v>
          </cell>
          <cell r="E489">
            <v>930.5</v>
          </cell>
          <cell r="F489">
            <v>7.7947699999999998</v>
          </cell>
          <cell r="G489" t="e">
            <v>#VALUE!</v>
          </cell>
          <cell r="I489">
            <v>4.6222000000000003</v>
          </cell>
          <cell r="J489">
            <v>7.7089999999999996</v>
          </cell>
          <cell r="K489">
            <v>5</v>
          </cell>
          <cell r="L489">
            <v>5.15</v>
          </cell>
          <cell r="M489">
            <v>5.05</v>
          </cell>
          <cell r="O489">
            <v>1.6480000000000001</v>
          </cell>
          <cell r="P489">
            <v>0.83209999999999995</v>
          </cell>
          <cell r="Q489">
            <v>99.026559307775514</v>
          </cell>
          <cell r="U489">
            <v>4.5106000000000002</v>
          </cell>
          <cell r="V489">
            <v>14.282999999999999</v>
          </cell>
          <cell r="W489" t="str">
            <v>#N/A N/A</v>
          </cell>
        </row>
        <row r="490">
          <cell r="B490">
            <v>81.594999999999999</v>
          </cell>
          <cell r="D490">
            <v>1.36</v>
          </cell>
          <cell r="E490">
            <v>931.5</v>
          </cell>
          <cell r="F490">
            <v>7.7751400000000004</v>
          </cell>
          <cell r="G490" t="e">
            <v>#VALUE!</v>
          </cell>
          <cell r="I490">
            <v>4.6361999999999997</v>
          </cell>
          <cell r="J490">
            <v>7.7065000000000001</v>
          </cell>
          <cell r="K490">
            <v>5</v>
          </cell>
          <cell r="L490">
            <v>5.15</v>
          </cell>
          <cell r="M490">
            <v>5.05</v>
          </cell>
          <cell r="O490">
            <v>1.6529</v>
          </cell>
          <cell r="P490">
            <v>0.8286</v>
          </cell>
          <cell r="Q490">
            <v>99.740526188752114</v>
          </cell>
          <cell r="U490">
            <v>4.5353000000000003</v>
          </cell>
          <cell r="V490">
            <v>14.228</v>
          </cell>
          <cell r="W490" t="str">
            <v>#N/A N/A</v>
          </cell>
        </row>
        <row r="491">
          <cell r="B491">
            <v>81.766999999999996</v>
          </cell>
          <cell r="D491">
            <v>1.3605</v>
          </cell>
          <cell r="E491">
            <v>930.5</v>
          </cell>
          <cell r="F491">
            <v>7.7512600000000003</v>
          </cell>
          <cell r="G491" t="e">
            <v>#VALUE!</v>
          </cell>
          <cell r="I491">
            <v>4.6421999999999999</v>
          </cell>
          <cell r="J491">
            <v>7.7039</v>
          </cell>
          <cell r="K491">
            <v>5</v>
          </cell>
          <cell r="L491">
            <v>5.1219999999999999</v>
          </cell>
          <cell r="M491">
            <v>5.0199999999999996</v>
          </cell>
          <cell r="O491">
            <v>1.651</v>
          </cell>
          <cell r="P491">
            <v>0.8256</v>
          </cell>
          <cell r="Q491">
            <v>99.987887596899228</v>
          </cell>
          <cell r="U491">
            <v>4.5457999999999998</v>
          </cell>
          <cell r="V491">
            <v>14.532999999999999</v>
          </cell>
          <cell r="W491" t="str">
            <v>#N/A N/A</v>
          </cell>
        </row>
        <row r="492">
          <cell r="B492">
            <v>81.948999999999998</v>
          </cell>
          <cell r="D492">
            <v>1.3569</v>
          </cell>
          <cell r="E492">
            <v>927</v>
          </cell>
          <cell r="F492">
            <v>7.7047799999999995</v>
          </cell>
          <cell r="G492" t="e">
            <v>#VALUE!</v>
          </cell>
          <cell r="I492">
            <v>4.6722999999999999</v>
          </cell>
          <cell r="J492">
            <v>7.7039</v>
          </cell>
          <cell r="K492">
            <v>5</v>
          </cell>
          <cell r="L492">
            <v>5.0999999999999996</v>
          </cell>
          <cell r="M492">
            <v>4.9980000000000002</v>
          </cell>
          <cell r="O492">
            <v>1.6476999999999999</v>
          </cell>
          <cell r="P492">
            <v>0.82410000000000005</v>
          </cell>
          <cell r="Q492">
            <v>99.969663875743223</v>
          </cell>
          <cell r="U492">
            <v>4.5847999999999995</v>
          </cell>
          <cell r="V492">
            <v>14.986000000000001</v>
          </cell>
          <cell r="W492" t="str">
            <v>#N/A N/A</v>
          </cell>
        </row>
        <row r="493">
          <cell r="B493">
            <v>81.741</v>
          </cell>
          <cell r="D493">
            <v>1.3593999999999999</v>
          </cell>
          <cell r="E493">
            <v>927.7</v>
          </cell>
          <cell r="F493">
            <v>7.7208600000000001</v>
          </cell>
          <cell r="G493" t="e">
            <v>#VALUE!</v>
          </cell>
          <cell r="I493">
            <v>4.6382000000000003</v>
          </cell>
          <cell r="J493">
            <v>7.7035</v>
          </cell>
          <cell r="K493">
            <v>5</v>
          </cell>
          <cell r="L493">
            <v>5.0999999999999996</v>
          </cell>
          <cell r="M493">
            <v>4.99</v>
          </cell>
          <cell r="O493">
            <v>1.6461999999999999</v>
          </cell>
          <cell r="P493">
            <v>0.82040000000000002</v>
          </cell>
          <cell r="Q493">
            <v>100.32910775231593</v>
          </cell>
          <cell r="U493">
            <v>4.5494000000000003</v>
          </cell>
          <cell r="V493">
            <v>14.867000000000001</v>
          </cell>
          <cell r="W493" t="str">
            <v>#N/A N/A</v>
          </cell>
        </row>
        <row r="494">
          <cell r="B494">
            <v>81.741</v>
          </cell>
          <cell r="D494">
            <v>1.3593999999999999</v>
          </cell>
          <cell r="E494">
            <v>927.7</v>
          </cell>
          <cell r="F494">
            <v>7.7208600000000001</v>
          </cell>
          <cell r="G494" t="e">
            <v>#VALUE!</v>
          </cell>
          <cell r="I494">
            <v>4.6382000000000003</v>
          </cell>
          <cell r="J494">
            <v>7.7035</v>
          </cell>
          <cell r="K494">
            <v>5</v>
          </cell>
          <cell r="L494">
            <v>5.0999999999999996</v>
          </cell>
          <cell r="M494">
            <v>4.99</v>
          </cell>
          <cell r="O494">
            <v>1.6461999999999999</v>
          </cell>
          <cell r="P494">
            <v>0.82040000000000002</v>
          </cell>
          <cell r="Q494">
            <v>100.32910775231593</v>
          </cell>
          <cell r="U494">
            <v>4.5494000000000003</v>
          </cell>
          <cell r="V494">
            <v>14.867000000000001</v>
          </cell>
          <cell r="W494" t="str">
            <v>#N/A N/A</v>
          </cell>
        </row>
        <row r="495">
          <cell r="B495">
            <v>81.741</v>
          </cell>
          <cell r="D495">
            <v>1.3593999999999999</v>
          </cell>
          <cell r="E495">
            <v>927.7</v>
          </cell>
          <cell r="F495">
            <v>7.7208600000000001</v>
          </cell>
          <cell r="G495" t="e">
            <v>#VALUE!</v>
          </cell>
          <cell r="I495">
            <v>4.6382000000000003</v>
          </cell>
          <cell r="J495">
            <v>7.7035</v>
          </cell>
          <cell r="K495">
            <v>5</v>
          </cell>
          <cell r="L495">
            <v>5.0999999999999996</v>
          </cell>
          <cell r="M495">
            <v>4.99</v>
          </cell>
          <cell r="O495">
            <v>1.6461999999999999</v>
          </cell>
          <cell r="P495">
            <v>0.82040000000000002</v>
          </cell>
          <cell r="Q495">
            <v>100.32910775231593</v>
          </cell>
          <cell r="U495">
            <v>4.5494000000000003</v>
          </cell>
          <cell r="V495">
            <v>14.867000000000001</v>
          </cell>
          <cell r="W495" t="str">
            <v>#N/A N/A</v>
          </cell>
        </row>
        <row r="496">
          <cell r="B496">
            <v>81.676000000000002</v>
          </cell>
          <cell r="D496">
            <v>1.3616999999999999</v>
          </cell>
          <cell r="E496">
            <v>923</v>
          </cell>
          <cell r="F496">
            <v>7.6926300000000003</v>
          </cell>
          <cell r="G496" t="e">
            <v>#VALUE!</v>
          </cell>
          <cell r="I496">
            <v>4.6261999999999999</v>
          </cell>
          <cell r="J496">
            <v>7.7043999999999997</v>
          </cell>
          <cell r="K496">
            <v>5</v>
          </cell>
          <cell r="L496">
            <v>5.12</v>
          </cell>
          <cell r="M496">
            <v>5.01</v>
          </cell>
          <cell r="O496">
            <v>1.6469</v>
          </cell>
          <cell r="P496">
            <v>0.82509999999999994</v>
          </cell>
          <cell r="Q496">
            <v>99.800024239486135</v>
          </cell>
          <cell r="U496">
            <v>4.5423</v>
          </cell>
          <cell r="V496">
            <v>14.871</v>
          </cell>
          <cell r="W496" t="str">
            <v>#N/A N/A</v>
          </cell>
        </row>
        <row r="497">
          <cell r="B497">
            <v>81.938999999999993</v>
          </cell>
          <cell r="D497">
            <v>1.3540000000000001</v>
          </cell>
          <cell r="E497">
            <v>922.95</v>
          </cell>
          <cell r="F497">
            <v>7.6972100000000001</v>
          </cell>
          <cell r="G497" t="e">
            <v>#VALUE!</v>
          </cell>
          <cell r="I497">
            <v>4.6341999999999999</v>
          </cell>
          <cell r="J497">
            <v>7.6951000000000001</v>
          </cell>
          <cell r="K497">
            <v>5.01</v>
          </cell>
          <cell r="L497">
            <v>5.15</v>
          </cell>
          <cell r="M497">
            <v>5.04</v>
          </cell>
          <cell r="O497">
            <v>1.6491</v>
          </cell>
          <cell r="P497">
            <v>0.8286</v>
          </cell>
          <cell r="Q497">
            <v>99.511223750905145</v>
          </cell>
          <cell r="U497">
            <v>4.5423</v>
          </cell>
          <cell r="V497">
            <v>14.613</v>
          </cell>
          <cell r="W497" t="str">
            <v>#N/A N/A</v>
          </cell>
        </row>
        <row r="498">
          <cell r="B498">
            <v>82.016000000000005</v>
          </cell>
          <cell r="D498">
            <v>1.355</v>
          </cell>
          <cell r="E498">
            <v>924.13</v>
          </cell>
          <cell r="F498">
            <v>7.7163199999999996</v>
          </cell>
          <cell r="G498" t="e">
            <v>#VALUE!</v>
          </cell>
          <cell r="I498">
            <v>4.6618000000000004</v>
          </cell>
          <cell r="J498">
            <v>7.6935000000000002</v>
          </cell>
          <cell r="K498">
            <v>5.0199999999999996</v>
          </cell>
          <cell r="L498">
            <v>5.1779999999999999</v>
          </cell>
          <cell r="M498">
            <v>5.0620000000000003</v>
          </cell>
          <cell r="O498">
            <v>1.6487000000000001</v>
          </cell>
          <cell r="P498">
            <v>0.82930000000000004</v>
          </cell>
          <cell r="Q498">
            <v>99.403111057518387</v>
          </cell>
          <cell r="U498">
            <v>4.5849000000000002</v>
          </cell>
          <cell r="V498">
            <v>14.65</v>
          </cell>
          <cell r="W498" t="str">
            <v>#N/A N/A</v>
          </cell>
        </row>
        <row r="499">
          <cell r="B499">
            <v>82.292000000000002</v>
          </cell>
          <cell r="D499">
            <v>1.3487</v>
          </cell>
          <cell r="E499">
            <v>925</v>
          </cell>
          <cell r="F499">
            <v>7.7019200000000003</v>
          </cell>
          <cell r="G499" t="e">
            <v>#VALUE!</v>
          </cell>
          <cell r="I499">
            <v>4.6379000000000001</v>
          </cell>
          <cell r="J499">
            <v>7.6936</v>
          </cell>
          <cell r="K499">
            <v>5.0199999999999996</v>
          </cell>
          <cell r="L499">
            <v>5.19</v>
          </cell>
          <cell r="M499">
            <v>5.07</v>
          </cell>
          <cell r="O499">
            <v>1.6463999999999999</v>
          </cell>
          <cell r="P499">
            <v>0.82899999999999996</v>
          </cell>
          <cell r="Q499">
            <v>99.300361881785278</v>
          </cell>
          <cell r="U499">
            <v>4.5457999999999998</v>
          </cell>
          <cell r="V499">
            <v>14.837</v>
          </cell>
          <cell r="W499" t="str">
            <v>#N/A N/A</v>
          </cell>
        </row>
        <row r="500">
          <cell r="B500">
            <v>82.116</v>
          </cell>
          <cell r="D500">
            <v>1.3512</v>
          </cell>
          <cell r="E500">
            <v>926.75</v>
          </cell>
          <cell r="F500">
            <v>7.7116699999999998</v>
          </cell>
          <cell r="G500" t="e">
            <v>#VALUE!</v>
          </cell>
          <cell r="I500">
            <v>4.6716999999999995</v>
          </cell>
          <cell r="J500">
            <v>7.6765999999999996</v>
          </cell>
          <cell r="K500">
            <v>5.0199999999999996</v>
          </cell>
          <cell r="L500">
            <v>5.1829999999999998</v>
          </cell>
          <cell r="M500">
            <v>5.0599999999999996</v>
          </cell>
          <cell r="O500">
            <v>1.6476999999999999</v>
          </cell>
          <cell r="P500">
            <v>0.83140000000000003</v>
          </cell>
          <cell r="Q500">
            <v>99.091893192205916</v>
          </cell>
          <cell r="U500">
            <v>4.5849000000000002</v>
          </cell>
          <cell r="V500">
            <v>15</v>
          </cell>
          <cell r="W500" t="str">
            <v>#N/A N/A</v>
          </cell>
        </row>
        <row r="501">
          <cell r="B501">
            <v>82.116</v>
          </cell>
          <cell r="D501">
            <v>1.3512</v>
          </cell>
          <cell r="E501">
            <v>926.75</v>
          </cell>
          <cell r="F501">
            <v>7.7116699999999998</v>
          </cell>
          <cell r="G501" t="e">
            <v>#VALUE!</v>
          </cell>
          <cell r="I501">
            <v>4.6716999999999995</v>
          </cell>
          <cell r="J501">
            <v>7.6765999999999996</v>
          </cell>
          <cell r="K501">
            <v>5.0199999999999996</v>
          </cell>
          <cell r="L501">
            <v>5.1829999999999998</v>
          </cell>
          <cell r="M501">
            <v>5.0599999999999996</v>
          </cell>
          <cell r="O501">
            <v>1.6476999999999999</v>
          </cell>
          <cell r="P501">
            <v>0.83140000000000003</v>
          </cell>
          <cell r="Q501">
            <v>99.091893192205916</v>
          </cell>
          <cell r="U501">
            <v>4.5849000000000002</v>
          </cell>
          <cell r="V501">
            <v>15</v>
          </cell>
          <cell r="W501" t="str">
            <v>#N/A N/A</v>
          </cell>
        </row>
        <row r="502">
          <cell r="B502">
            <v>82.116</v>
          </cell>
          <cell r="D502">
            <v>1.3512</v>
          </cell>
          <cell r="E502">
            <v>926.75</v>
          </cell>
          <cell r="F502">
            <v>7.7116699999999998</v>
          </cell>
          <cell r="G502" t="e">
            <v>#VALUE!</v>
          </cell>
          <cell r="I502">
            <v>4.6716999999999995</v>
          </cell>
          <cell r="J502">
            <v>7.6765999999999996</v>
          </cell>
          <cell r="K502">
            <v>5.0199999999999996</v>
          </cell>
          <cell r="L502">
            <v>5.1829999999999998</v>
          </cell>
          <cell r="M502">
            <v>5.0599999999999996</v>
          </cell>
          <cell r="O502">
            <v>1.6476999999999999</v>
          </cell>
          <cell r="P502">
            <v>0.83140000000000003</v>
          </cell>
          <cell r="Q502">
            <v>99.091893192205916</v>
          </cell>
          <cell r="U502">
            <v>4.5849000000000002</v>
          </cell>
          <cell r="V502">
            <v>15</v>
          </cell>
          <cell r="W502" t="str">
            <v>#N/A N/A</v>
          </cell>
        </row>
        <row r="503">
          <cell r="B503">
            <v>82.066000000000003</v>
          </cell>
          <cell r="D503">
            <v>1.3545</v>
          </cell>
          <cell r="E503">
            <v>923.75</v>
          </cell>
          <cell r="F503">
            <v>7.6715499999999999</v>
          </cell>
          <cell r="G503" t="e">
            <v>#VALUE!</v>
          </cell>
          <cell r="I503">
            <v>4.6936</v>
          </cell>
          <cell r="J503">
            <v>7.6802999999999999</v>
          </cell>
          <cell r="K503">
            <v>5.05</v>
          </cell>
          <cell r="L503">
            <v>5.1849999999999996</v>
          </cell>
          <cell r="M503">
            <v>5.0679999999999996</v>
          </cell>
          <cell r="O503">
            <v>1.6516</v>
          </cell>
          <cell r="P503">
            <v>0.83320000000000005</v>
          </cell>
          <cell r="Q503">
            <v>99.111857897263562</v>
          </cell>
          <cell r="U503">
            <v>4.6098999999999997</v>
          </cell>
          <cell r="V503">
            <v>14.983000000000001</v>
          </cell>
          <cell r="W503" t="str">
            <v>#N/A N/A</v>
          </cell>
        </row>
        <row r="504">
          <cell r="B504">
            <v>81.754999999999995</v>
          </cell>
          <cell r="D504">
            <v>1.3602000000000001</v>
          </cell>
          <cell r="E504">
            <v>924.5</v>
          </cell>
          <cell r="F504">
            <v>7.6875099999999996</v>
          </cell>
          <cell r="G504" t="e">
            <v>#VALUE!</v>
          </cell>
          <cell r="I504">
            <v>4.7016</v>
          </cell>
          <cell r="J504">
            <v>7.6928000000000001</v>
          </cell>
          <cell r="K504">
            <v>5.0599999999999996</v>
          </cell>
          <cell r="L504">
            <v>5.19</v>
          </cell>
          <cell r="M504">
            <v>5.0750000000000002</v>
          </cell>
          <cell r="O504">
            <v>1.6516999999999999</v>
          </cell>
          <cell r="P504">
            <v>0.83479999999999999</v>
          </cell>
          <cell r="Q504">
            <v>98.927886919022527</v>
          </cell>
          <cell r="U504">
            <v>4.6170999999999998</v>
          </cell>
          <cell r="V504">
            <v>14.988</v>
          </cell>
          <cell r="W504" t="str">
            <v>#N/A N/A</v>
          </cell>
        </row>
        <row r="505">
          <cell r="B505">
            <v>82.162999999999997</v>
          </cell>
          <cell r="D505">
            <v>1.3513999999999999</v>
          </cell>
          <cell r="E505">
            <v>923.95</v>
          </cell>
          <cell r="F505">
            <v>7.6522399999999999</v>
          </cell>
          <cell r="G505" t="e">
            <v>#VALUE!</v>
          </cell>
          <cell r="I505">
            <v>4.7096</v>
          </cell>
          <cell r="J505">
            <v>7.6829999999999998</v>
          </cell>
          <cell r="K505">
            <v>5.0599999999999996</v>
          </cell>
          <cell r="L505">
            <v>5.19</v>
          </cell>
          <cell r="M505">
            <v>5.08</v>
          </cell>
          <cell r="O505">
            <v>1.6537999999999999</v>
          </cell>
          <cell r="P505">
            <v>0.82420000000000004</v>
          </cell>
          <cell r="Q505">
            <v>100.32759039068186</v>
          </cell>
          <cell r="U505">
            <v>4.6242999999999999</v>
          </cell>
          <cell r="V505">
            <v>14.943999999999999</v>
          </cell>
          <cell r="W505" t="str">
            <v>#N/A N/A</v>
          </cell>
        </row>
        <row r="506">
          <cell r="B506">
            <v>82.317999999999998</v>
          </cell>
          <cell r="D506">
            <v>1.3496999999999999</v>
          </cell>
          <cell r="E506">
            <v>928.1</v>
          </cell>
          <cell r="F506">
            <v>7.6547499999999999</v>
          </cell>
          <cell r="G506" t="e">
            <v>#VALUE!</v>
          </cell>
          <cell r="I506">
            <v>4.7516999999999996</v>
          </cell>
          <cell r="J506">
            <v>7.6707000000000001</v>
          </cell>
          <cell r="K506">
            <v>5.07</v>
          </cell>
          <cell r="L506">
            <v>5.2279999999999998</v>
          </cell>
          <cell r="M506">
            <v>5.12</v>
          </cell>
          <cell r="O506">
            <v>1.6556999999999999</v>
          </cell>
          <cell r="P506">
            <v>0.82269999999999999</v>
          </cell>
          <cell r="Q506">
            <v>100.62598760179895</v>
          </cell>
          <cell r="U506">
            <v>4.6745000000000001</v>
          </cell>
          <cell r="V506">
            <v>14.917</v>
          </cell>
          <cell r="W506" t="str">
            <v>#N/A N/A</v>
          </cell>
        </row>
        <row r="507">
          <cell r="B507">
            <v>82.197000000000003</v>
          </cell>
          <cell r="D507">
            <v>1.3512999999999999</v>
          </cell>
          <cell r="E507">
            <v>934.05</v>
          </cell>
          <cell r="F507">
            <v>7.7111400000000003</v>
          </cell>
          <cell r="G507" t="e">
            <v>#VALUE!</v>
          </cell>
          <cell r="I507">
            <v>4.8001000000000005</v>
          </cell>
          <cell r="J507">
            <v>7.6695000000000002</v>
          </cell>
          <cell r="K507">
            <v>5.07</v>
          </cell>
          <cell r="L507">
            <v>5.258</v>
          </cell>
          <cell r="M507">
            <v>5.1529999999999996</v>
          </cell>
          <cell r="O507">
            <v>1.6572</v>
          </cell>
          <cell r="P507">
            <v>0.82440000000000002</v>
          </cell>
          <cell r="Q507">
            <v>100.509461426492</v>
          </cell>
          <cell r="U507">
            <v>4.7249999999999996</v>
          </cell>
          <cell r="V507">
            <v>14.957000000000001</v>
          </cell>
          <cell r="W507" t="str">
            <v>#N/A N/A</v>
          </cell>
        </row>
        <row r="508">
          <cell r="B508">
            <v>82.197000000000003</v>
          </cell>
          <cell r="D508">
            <v>1.3512999999999999</v>
          </cell>
          <cell r="E508">
            <v>934.05</v>
          </cell>
          <cell r="F508">
            <v>7.7111400000000003</v>
          </cell>
          <cell r="G508" t="e">
            <v>#VALUE!</v>
          </cell>
          <cell r="I508">
            <v>4.8001000000000005</v>
          </cell>
          <cell r="J508">
            <v>7.6695000000000002</v>
          </cell>
          <cell r="K508">
            <v>5.07</v>
          </cell>
          <cell r="L508">
            <v>5.258</v>
          </cell>
          <cell r="M508">
            <v>5.1529999999999996</v>
          </cell>
          <cell r="O508">
            <v>1.6572</v>
          </cell>
          <cell r="P508">
            <v>0.82440000000000002</v>
          </cell>
          <cell r="Q508">
            <v>100.509461426492</v>
          </cell>
          <cell r="U508">
            <v>4.7249999999999996</v>
          </cell>
          <cell r="V508">
            <v>14.957000000000001</v>
          </cell>
          <cell r="W508" t="str">
            <v>#N/A N/A</v>
          </cell>
        </row>
        <row r="509">
          <cell r="B509">
            <v>82.197000000000003</v>
          </cell>
          <cell r="D509">
            <v>1.3512999999999999</v>
          </cell>
          <cell r="E509">
            <v>934.05</v>
          </cell>
          <cell r="F509">
            <v>7.7111400000000003</v>
          </cell>
          <cell r="G509" t="e">
            <v>#VALUE!</v>
          </cell>
          <cell r="I509">
            <v>4.8001000000000005</v>
          </cell>
          <cell r="J509">
            <v>7.6695000000000002</v>
          </cell>
          <cell r="K509">
            <v>5.07</v>
          </cell>
          <cell r="L509">
            <v>5.258</v>
          </cell>
          <cell r="M509">
            <v>5.1529999999999996</v>
          </cell>
          <cell r="O509">
            <v>1.6572</v>
          </cell>
          <cell r="P509">
            <v>0.82440000000000002</v>
          </cell>
          <cell r="Q509">
            <v>100.509461426492</v>
          </cell>
          <cell r="U509">
            <v>4.7249999999999996</v>
          </cell>
          <cell r="V509">
            <v>14.957000000000001</v>
          </cell>
          <cell r="W509" t="str">
            <v>#N/A N/A</v>
          </cell>
        </row>
        <row r="510">
          <cell r="B510">
            <v>82.364000000000004</v>
          </cell>
          <cell r="D510">
            <v>1.3464</v>
          </cell>
          <cell r="E510">
            <v>930.5</v>
          </cell>
          <cell r="F510">
            <v>7.6552899999999999</v>
          </cell>
          <cell r="G510" t="e">
            <v>#VALUE!</v>
          </cell>
          <cell r="I510">
            <v>4.782</v>
          </cell>
          <cell r="J510">
            <v>7.6688000000000001</v>
          </cell>
          <cell r="K510">
            <v>5.07</v>
          </cell>
          <cell r="L510">
            <v>5.26</v>
          </cell>
          <cell r="M510">
            <v>5.15</v>
          </cell>
          <cell r="O510">
            <v>1.6566999999999998</v>
          </cell>
          <cell r="P510">
            <v>0.8206</v>
          </cell>
          <cell r="Q510">
            <v>100.9444309042164</v>
          </cell>
          <cell r="U510">
            <v>4.7107000000000001</v>
          </cell>
          <cell r="V510">
            <v>14.920999999999999</v>
          </cell>
          <cell r="W510" t="str">
            <v>#N/A N/A</v>
          </cell>
        </row>
        <row r="511">
          <cell r="B511">
            <v>82.385999999999996</v>
          </cell>
          <cell r="D511">
            <v>1.3452999999999999</v>
          </cell>
          <cell r="E511">
            <v>931.7</v>
          </cell>
          <cell r="F511">
            <v>7.6647800000000004</v>
          </cell>
          <cell r="G511" t="e">
            <v>#VALUE!</v>
          </cell>
          <cell r="I511">
            <v>4.8245000000000005</v>
          </cell>
          <cell r="J511">
            <v>7.6547000000000001</v>
          </cell>
          <cell r="K511">
            <v>5.07</v>
          </cell>
          <cell r="L511">
            <v>5.2629999999999999</v>
          </cell>
          <cell r="M511">
            <v>5.1580000000000004</v>
          </cell>
          <cell r="O511">
            <v>1.6536999999999999</v>
          </cell>
          <cell r="P511">
            <v>0.82010000000000005</v>
          </cell>
          <cell r="Q511">
            <v>100.82307035727349</v>
          </cell>
          <cell r="U511">
            <v>4.7541000000000002</v>
          </cell>
          <cell r="V511">
            <v>15.167</v>
          </cell>
          <cell r="W511" t="str">
            <v>#N/A N/A</v>
          </cell>
        </row>
        <row r="512">
          <cell r="B512">
            <v>82.31</v>
          </cell>
          <cell r="D512">
            <v>1.3471</v>
          </cell>
          <cell r="E512">
            <v>932.2</v>
          </cell>
          <cell r="F512">
            <v>7.66533</v>
          </cell>
          <cell r="G512" t="e">
            <v>#VALUE!</v>
          </cell>
          <cell r="I512">
            <v>4.8468</v>
          </cell>
          <cell r="J512">
            <v>7.649</v>
          </cell>
          <cell r="K512">
            <v>5.07</v>
          </cell>
          <cell r="L512">
            <v>5.2930000000000001</v>
          </cell>
          <cell r="M512">
            <v>5.17</v>
          </cell>
          <cell r="O512">
            <v>1.6533</v>
          </cell>
          <cell r="P512">
            <v>0.82450000000000001</v>
          </cell>
          <cell r="Q512">
            <v>100.26076409945421</v>
          </cell>
          <cell r="U512">
            <v>4.7686000000000002</v>
          </cell>
          <cell r="V512">
            <v>15.188000000000001</v>
          </cell>
          <cell r="W512" t="str">
            <v>#N/A N/A</v>
          </cell>
        </row>
        <row r="513">
          <cell r="B513">
            <v>82.406000000000006</v>
          </cell>
          <cell r="D513">
            <v>1.3433999999999999</v>
          </cell>
          <cell r="E513">
            <v>933.2</v>
          </cell>
          <cell r="F513">
            <v>7.6869899999999998</v>
          </cell>
          <cell r="G513" t="e">
            <v>#VALUE!</v>
          </cell>
          <cell r="I513">
            <v>4.8387000000000002</v>
          </cell>
          <cell r="J513">
            <v>7.6524999999999999</v>
          </cell>
          <cell r="K513">
            <v>5.07</v>
          </cell>
          <cell r="L513">
            <v>5.2930000000000001</v>
          </cell>
          <cell r="M513">
            <v>5.17</v>
          </cell>
          <cell r="O513">
            <v>1.6503999999999999</v>
          </cell>
          <cell r="P513">
            <v>0.82050000000000001</v>
          </cell>
          <cell r="Q513">
            <v>100.57282145033514</v>
          </cell>
          <cell r="U513">
            <v>4.7686999999999999</v>
          </cell>
          <cell r="V513">
            <v>15.02</v>
          </cell>
          <cell r="W513" t="str">
            <v>#N/A N/A</v>
          </cell>
        </row>
        <row r="514">
          <cell r="B514">
            <v>82.331000000000003</v>
          </cell>
          <cell r="D514">
            <v>1.3451</v>
          </cell>
          <cell r="E514">
            <v>928.25</v>
          </cell>
          <cell r="F514">
            <v>7.6257999999999999</v>
          </cell>
          <cell r="G514" t="e">
            <v>#VALUE!</v>
          </cell>
          <cell r="I514">
            <v>4.8571999999999997</v>
          </cell>
          <cell r="J514">
            <v>7.6502999999999997</v>
          </cell>
          <cell r="K514">
            <v>5.07</v>
          </cell>
          <cell r="L514">
            <v>5.298</v>
          </cell>
          <cell r="M514">
            <v>5.1660000000000004</v>
          </cell>
          <cell r="O514">
            <v>1.6513</v>
          </cell>
          <cell r="P514">
            <v>0.81859999999999999</v>
          </cell>
          <cell r="Q514">
            <v>100.86122648424139</v>
          </cell>
          <cell r="U514">
            <v>4.7946</v>
          </cell>
          <cell r="V514">
            <v>15.2</v>
          </cell>
          <cell r="W514" t="str">
            <v>#N/A N/A</v>
          </cell>
        </row>
        <row r="515">
          <cell r="B515">
            <v>82.331000000000003</v>
          </cell>
          <cell r="D515">
            <v>1.3451</v>
          </cell>
          <cell r="E515">
            <v>928.25</v>
          </cell>
          <cell r="F515">
            <v>7.6257999999999999</v>
          </cell>
          <cell r="G515" t="e">
            <v>#VALUE!</v>
          </cell>
          <cell r="I515">
            <v>4.8571999999999997</v>
          </cell>
          <cell r="J515">
            <v>7.6502999999999997</v>
          </cell>
          <cell r="K515">
            <v>5.07</v>
          </cell>
          <cell r="L515">
            <v>5.298</v>
          </cell>
          <cell r="M515">
            <v>5.1660000000000004</v>
          </cell>
          <cell r="O515">
            <v>1.6513</v>
          </cell>
          <cell r="P515">
            <v>0.81859999999999999</v>
          </cell>
          <cell r="Q515">
            <v>100.86122648424139</v>
          </cell>
          <cell r="U515">
            <v>4.7946</v>
          </cell>
          <cell r="V515">
            <v>15.2</v>
          </cell>
          <cell r="W515" t="str">
            <v>#N/A N/A</v>
          </cell>
        </row>
        <row r="516">
          <cell r="B516">
            <v>82.331000000000003</v>
          </cell>
          <cell r="D516">
            <v>1.3451</v>
          </cell>
          <cell r="E516">
            <v>928.25</v>
          </cell>
          <cell r="F516">
            <v>7.6257999999999999</v>
          </cell>
          <cell r="G516" t="e">
            <v>#VALUE!</v>
          </cell>
          <cell r="I516">
            <v>4.8571999999999997</v>
          </cell>
          <cell r="J516">
            <v>7.6502999999999997</v>
          </cell>
          <cell r="K516">
            <v>5.07</v>
          </cell>
          <cell r="L516">
            <v>5.298</v>
          </cell>
          <cell r="M516">
            <v>5.1660000000000004</v>
          </cell>
          <cell r="O516">
            <v>1.6513</v>
          </cell>
          <cell r="P516">
            <v>0.81859999999999999</v>
          </cell>
          <cell r="Q516">
            <v>100.86122648424139</v>
          </cell>
          <cell r="U516">
            <v>4.7946</v>
          </cell>
          <cell r="V516">
            <v>15.2</v>
          </cell>
          <cell r="W516" t="str">
            <v>#N/A N/A</v>
          </cell>
        </row>
        <row r="517">
          <cell r="B517">
            <v>82.331999999999994</v>
          </cell>
          <cell r="D517">
            <v>1.3453999999999999</v>
          </cell>
          <cell r="E517">
            <v>928.8</v>
          </cell>
          <cell r="F517">
            <v>7.6334499999999998</v>
          </cell>
          <cell r="G517" t="e">
            <v>#VALUE!</v>
          </cell>
          <cell r="I517">
            <v>4.8573000000000004</v>
          </cell>
          <cell r="J517">
            <v>7.6458000000000004</v>
          </cell>
          <cell r="K517">
            <v>5.07</v>
          </cell>
          <cell r="L517">
            <v>5.3</v>
          </cell>
          <cell r="M517">
            <v>5.16</v>
          </cell>
          <cell r="O517">
            <v>1.6526999999999998</v>
          </cell>
          <cell r="P517">
            <v>0.81969999999999998</v>
          </cell>
          <cell r="Q517">
            <v>100.81127241673782</v>
          </cell>
          <cell r="U517">
            <v>4.7946999999999997</v>
          </cell>
          <cell r="V517">
            <v>15.1</v>
          </cell>
          <cell r="W517" t="str">
            <v>#N/A N/A</v>
          </cell>
        </row>
        <row r="518">
          <cell r="B518">
            <v>82.31</v>
          </cell>
          <cell r="D518">
            <v>1.3475999999999999</v>
          </cell>
          <cell r="E518">
            <v>927.65</v>
          </cell>
          <cell r="F518">
            <v>7.6232100000000003</v>
          </cell>
          <cell r="G518" t="e">
            <v>#VALUE!</v>
          </cell>
          <cell r="I518">
            <v>4.8818000000000001</v>
          </cell>
          <cell r="J518">
            <v>7.6521999999999997</v>
          </cell>
          <cell r="K518">
            <v>5.07</v>
          </cell>
          <cell r="L518">
            <v>5.29</v>
          </cell>
          <cell r="M518">
            <v>5.15</v>
          </cell>
          <cell r="O518">
            <v>1.6482000000000001</v>
          </cell>
          <cell r="P518">
            <v>0.81950000000000001</v>
          </cell>
          <cell r="Q518">
            <v>100.56131787675413</v>
          </cell>
          <cell r="U518">
            <v>4.8311999999999999</v>
          </cell>
          <cell r="V518">
            <v>15.667</v>
          </cell>
          <cell r="W518" t="str">
            <v>#N/A N/A</v>
          </cell>
        </row>
        <row r="519">
          <cell r="B519">
            <v>82.433000000000007</v>
          </cell>
          <cell r="D519">
            <v>1.3418000000000001</v>
          </cell>
          <cell r="E519">
            <v>929.7</v>
          </cell>
          <cell r="F519">
            <v>7.6509099999999997</v>
          </cell>
          <cell r="G519" t="e">
            <v>#VALUE!</v>
          </cell>
          <cell r="I519">
            <v>4.8674999999999997</v>
          </cell>
          <cell r="J519">
            <v>7.6467999999999998</v>
          </cell>
          <cell r="K519">
            <v>5.07</v>
          </cell>
          <cell r="L519">
            <v>5.32</v>
          </cell>
          <cell r="M519">
            <v>5.18</v>
          </cell>
          <cell r="O519">
            <v>1.6456</v>
          </cell>
          <cell r="P519">
            <v>0.82150000000000001</v>
          </cell>
          <cell r="Q519">
            <v>100.15824710894705</v>
          </cell>
          <cell r="U519">
            <v>4.8239000000000001</v>
          </cell>
          <cell r="V519">
            <v>16.016999999999999</v>
          </cell>
          <cell r="W519" t="str">
            <v>#N/A N/A</v>
          </cell>
        </row>
        <row r="520">
          <cell r="B520">
            <v>82.301000000000002</v>
          </cell>
          <cell r="D520">
            <v>1.3447</v>
          </cell>
          <cell r="E520">
            <v>928.4</v>
          </cell>
          <cell r="F520">
            <v>7.62202</v>
          </cell>
          <cell r="G520" t="e">
            <v>#VALUE!</v>
          </cell>
          <cell r="I520">
            <v>4.8879000000000001</v>
          </cell>
          <cell r="J520">
            <v>7.6516000000000002</v>
          </cell>
          <cell r="K520">
            <v>5.0599999999999996</v>
          </cell>
          <cell r="L520">
            <v>5.3150000000000004</v>
          </cell>
          <cell r="M520">
            <v>5.17</v>
          </cell>
          <cell r="O520">
            <v>1.6482999999999999</v>
          </cell>
          <cell r="P520">
            <v>0.8266</v>
          </cell>
          <cell r="Q520">
            <v>99.703605129445918</v>
          </cell>
          <cell r="U520">
            <v>4.8460000000000001</v>
          </cell>
          <cell r="V520">
            <v>16.062999999999999</v>
          </cell>
          <cell r="W520" t="str">
            <v>#N/A N/A</v>
          </cell>
        </row>
        <row r="521">
          <cell r="B521">
            <v>82.322000000000003</v>
          </cell>
          <cell r="D521">
            <v>1.3447</v>
          </cell>
          <cell r="E521">
            <v>928.7</v>
          </cell>
          <cell r="F521">
            <v>7.6088699999999996</v>
          </cell>
          <cell r="G521" t="e">
            <v>#VALUE!</v>
          </cell>
          <cell r="I521">
            <v>4.9516</v>
          </cell>
          <cell r="J521">
            <v>7.6472999999999995</v>
          </cell>
          <cell r="K521">
            <v>5.04</v>
          </cell>
          <cell r="L521">
            <v>5.3</v>
          </cell>
          <cell r="M521">
            <v>5.15</v>
          </cell>
          <cell r="O521">
            <v>1.6532</v>
          </cell>
          <cell r="P521">
            <v>0.83209999999999995</v>
          </cell>
          <cell r="Q521">
            <v>99.339021752193261</v>
          </cell>
          <cell r="U521">
            <v>4.9211999999999998</v>
          </cell>
          <cell r="V521">
            <v>15.9</v>
          </cell>
          <cell r="W521" t="str">
            <v>#N/A N/A</v>
          </cell>
        </row>
        <row r="522">
          <cell r="B522">
            <v>82.322000000000003</v>
          </cell>
          <cell r="D522">
            <v>1.3447</v>
          </cell>
          <cell r="E522">
            <v>928.7</v>
          </cell>
          <cell r="F522">
            <v>7.6088699999999996</v>
          </cell>
          <cell r="G522" t="e">
            <v>#VALUE!</v>
          </cell>
          <cell r="I522">
            <v>4.9516</v>
          </cell>
          <cell r="J522">
            <v>7.6472999999999995</v>
          </cell>
          <cell r="K522">
            <v>5.04</v>
          </cell>
          <cell r="L522">
            <v>5.3</v>
          </cell>
          <cell r="M522">
            <v>5.15</v>
          </cell>
          <cell r="O522">
            <v>1.6532</v>
          </cell>
          <cell r="P522">
            <v>0.83209999999999995</v>
          </cell>
          <cell r="Q522">
            <v>99.339021752193261</v>
          </cell>
          <cell r="U522">
            <v>4.9211999999999998</v>
          </cell>
          <cell r="V522">
            <v>15.9</v>
          </cell>
          <cell r="W522" t="str">
            <v>#N/A N/A</v>
          </cell>
        </row>
        <row r="523">
          <cell r="B523">
            <v>82.322000000000003</v>
          </cell>
          <cell r="D523">
            <v>1.3447</v>
          </cell>
          <cell r="E523">
            <v>928.7</v>
          </cell>
          <cell r="F523">
            <v>7.6088699999999996</v>
          </cell>
          <cell r="G523" t="e">
            <v>#VALUE!</v>
          </cell>
          <cell r="I523">
            <v>4.9516</v>
          </cell>
          <cell r="J523">
            <v>7.6472999999999995</v>
          </cell>
          <cell r="K523">
            <v>5.04</v>
          </cell>
          <cell r="L523">
            <v>5.3</v>
          </cell>
          <cell r="M523">
            <v>5.15</v>
          </cell>
          <cell r="O523">
            <v>1.6532</v>
          </cell>
          <cell r="P523">
            <v>0.83209999999999995</v>
          </cell>
          <cell r="Q523">
            <v>99.339021752193261</v>
          </cell>
          <cell r="U523">
            <v>4.9211999999999998</v>
          </cell>
          <cell r="V523">
            <v>15.9</v>
          </cell>
          <cell r="W523" t="str">
            <v>#N/A N/A</v>
          </cell>
        </row>
        <row r="524">
          <cell r="B524">
            <v>82.058000000000007</v>
          </cell>
          <cell r="D524">
            <v>1.3486</v>
          </cell>
          <cell r="E524">
            <v>927.95</v>
          </cell>
          <cell r="F524">
            <v>7.6196700000000002</v>
          </cell>
          <cell r="G524" t="e">
            <v>#VALUE!</v>
          </cell>
          <cell r="I524">
            <v>4.9271000000000003</v>
          </cell>
          <cell r="J524">
            <v>7.6512000000000002</v>
          </cell>
          <cell r="K524">
            <v>5.04</v>
          </cell>
          <cell r="L524">
            <v>5.2919999999999998</v>
          </cell>
          <cell r="M524">
            <v>5.15</v>
          </cell>
          <cell r="O524">
            <v>1.6501000000000001</v>
          </cell>
          <cell r="P524">
            <v>0.83430000000000004</v>
          </cell>
          <cell r="Q524">
            <v>98.891286108114585</v>
          </cell>
          <cell r="U524">
            <v>4.9069000000000003</v>
          </cell>
          <cell r="V524">
            <v>15.833</v>
          </cell>
          <cell r="W524" t="str">
            <v>#N/A N/A</v>
          </cell>
        </row>
        <row r="525">
          <cell r="B525">
            <v>81.89</v>
          </cell>
          <cell r="D525">
            <v>1.3528</v>
          </cell>
          <cell r="E525">
            <v>927.75</v>
          </cell>
          <cell r="F525">
            <v>7.6488699999999996</v>
          </cell>
          <cell r="G525" t="e">
            <v>#VALUE!</v>
          </cell>
          <cell r="I525">
            <v>4.9908000000000001</v>
          </cell>
          <cell r="J525">
            <v>7.6411999999999995</v>
          </cell>
          <cell r="K525">
            <v>5.04</v>
          </cell>
          <cell r="L525">
            <v>5.298</v>
          </cell>
          <cell r="M525">
            <v>5.16</v>
          </cell>
          <cell r="O525">
            <v>1.6467000000000001</v>
          </cell>
          <cell r="P525">
            <v>0.8357</v>
          </cell>
          <cell r="Q525">
            <v>98.522196960631817</v>
          </cell>
          <cell r="U525">
            <v>4.968</v>
          </cell>
          <cell r="V525">
            <v>15.467000000000001</v>
          </cell>
          <cell r="W525" t="str">
            <v>#N/A N/A</v>
          </cell>
        </row>
        <row r="526">
          <cell r="B526">
            <v>81.897000000000006</v>
          </cell>
          <cell r="D526">
            <v>1.3501000000000001</v>
          </cell>
          <cell r="E526">
            <v>928.8</v>
          </cell>
          <cell r="F526">
            <v>7.6767599999999998</v>
          </cell>
          <cell r="G526" t="e">
            <v>#VALUE!</v>
          </cell>
          <cell r="I526">
            <v>4.9641000000000002</v>
          </cell>
          <cell r="J526">
            <v>7.6357999999999997</v>
          </cell>
          <cell r="K526">
            <v>5.04</v>
          </cell>
          <cell r="L526">
            <v>5.298</v>
          </cell>
          <cell r="M526">
            <v>5.16</v>
          </cell>
          <cell r="O526">
            <v>1.6429</v>
          </cell>
          <cell r="P526">
            <v>0.84140000000000004</v>
          </cell>
          <cell r="Q526">
            <v>97.628951747088195</v>
          </cell>
          <cell r="U526">
            <v>4.9286000000000003</v>
          </cell>
          <cell r="V526">
            <v>15.513999999999999</v>
          </cell>
          <cell r="W526" t="str">
            <v>#N/A N/A</v>
          </cell>
        </row>
        <row r="527">
          <cell r="B527">
            <v>82.293999999999997</v>
          </cell>
          <cell r="D527">
            <v>1.3426</v>
          </cell>
          <cell r="E527">
            <v>926.75</v>
          </cell>
          <cell r="F527">
            <v>7.6571899999999999</v>
          </cell>
          <cell r="G527" t="e">
            <v>#VALUE!</v>
          </cell>
          <cell r="I527">
            <v>5.13</v>
          </cell>
          <cell r="J527">
            <v>7.6486999999999998</v>
          </cell>
          <cell r="K527">
            <v>5.04</v>
          </cell>
          <cell r="L527">
            <v>5.35</v>
          </cell>
          <cell r="M527">
            <v>5.21</v>
          </cell>
          <cell r="O527">
            <v>1.6463999999999999</v>
          </cell>
          <cell r="P527">
            <v>0.8417</v>
          </cell>
          <cell r="Q527">
            <v>97.802067244861576</v>
          </cell>
          <cell r="U527">
            <v>5.0765000000000002</v>
          </cell>
          <cell r="V527">
            <v>15.85</v>
          </cell>
          <cell r="W527" t="str">
            <v>#N/A N/A</v>
          </cell>
        </row>
        <row r="528">
          <cell r="B528">
            <v>82.691000000000003</v>
          </cell>
          <cell r="D528">
            <v>1.3351</v>
          </cell>
          <cell r="E528">
            <v>932.8</v>
          </cell>
          <cell r="F528">
            <v>7.6656300000000002</v>
          </cell>
          <cell r="G528" t="e">
            <v>#VALUE!</v>
          </cell>
          <cell r="I528">
            <v>5.0991</v>
          </cell>
          <cell r="J528">
            <v>7.6550000000000002</v>
          </cell>
          <cell r="K528">
            <v>5.04</v>
          </cell>
          <cell r="L528">
            <v>5.44</v>
          </cell>
          <cell r="M528">
            <v>5.282</v>
          </cell>
          <cell r="O528">
            <v>1.6505999999999998</v>
          </cell>
          <cell r="P528">
            <v>0.84160000000000001</v>
          </cell>
          <cell r="Q528">
            <v>98.063212927756638</v>
          </cell>
          <cell r="U528">
            <v>5.0370999999999997</v>
          </cell>
          <cell r="V528">
            <v>16.082999999999998</v>
          </cell>
          <cell r="W528" t="str">
            <v>#N/A N/A</v>
          </cell>
        </row>
        <row r="529">
          <cell r="B529">
            <v>82.691000000000003</v>
          </cell>
          <cell r="D529">
            <v>1.3351</v>
          </cell>
          <cell r="E529">
            <v>932.8</v>
          </cell>
          <cell r="F529">
            <v>7.6656300000000002</v>
          </cell>
          <cell r="G529" t="e">
            <v>#VALUE!</v>
          </cell>
          <cell r="I529">
            <v>5.0991</v>
          </cell>
          <cell r="J529">
            <v>7.6550000000000002</v>
          </cell>
          <cell r="K529">
            <v>5.04</v>
          </cell>
          <cell r="L529">
            <v>5.44</v>
          </cell>
          <cell r="M529">
            <v>5.282</v>
          </cell>
          <cell r="O529">
            <v>1.6505999999999998</v>
          </cell>
          <cell r="P529">
            <v>0.84160000000000001</v>
          </cell>
          <cell r="Q529">
            <v>98.063212927756638</v>
          </cell>
          <cell r="U529">
            <v>5.0370999999999997</v>
          </cell>
          <cell r="V529">
            <v>16.082999999999998</v>
          </cell>
          <cell r="W529" t="str">
            <v>#N/A N/A</v>
          </cell>
        </row>
        <row r="530">
          <cell r="B530">
            <v>82.691000000000003</v>
          </cell>
          <cell r="D530">
            <v>1.3351</v>
          </cell>
          <cell r="E530">
            <v>932.8</v>
          </cell>
          <cell r="F530">
            <v>7.6656300000000002</v>
          </cell>
          <cell r="G530" t="e">
            <v>#VALUE!</v>
          </cell>
          <cell r="I530">
            <v>5.0991</v>
          </cell>
          <cell r="J530">
            <v>7.6550000000000002</v>
          </cell>
          <cell r="K530">
            <v>5.04</v>
          </cell>
          <cell r="L530">
            <v>5.44</v>
          </cell>
          <cell r="M530">
            <v>5.282</v>
          </cell>
          <cell r="O530">
            <v>1.6505999999999998</v>
          </cell>
          <cell r="P530">
            <v>0.84160000000000001</v>
          </cell>
          <cell r="Q530">
            <v>98.063212927756638</v>
          </cell>
          <cell r="U530">
            <v>5.0370999999999997</v>
          </cell>
          <cell r="V530">
            <v>16.082999999999998</v>
          </cell>
          <cell r="W530" t="str">
            <v>#N/A N/A</v>
          </cell>
        </row>
        <row r="531">
          <cell r="B531">
            <v>82.712000000000003</v>
          </cell>
          <cell r="D531">
            <v>1.3359000000000001</v>
          </cell>
          <cell r="E531">
            <v>932.2</v>
          </cell>
          <cell r="F531">
            <v>7.6527399999999997</v>
          </cell>
          <cell r="G531" t="e">
            <v>#VALUE!</v>
          </cell>
          <cell r="I531">
            <v>5.1513999999999998</v>
          </cell>
          <cell r="J531">
            <v>7.6631999999999998</v>
          </cell>
          <cell r="K531">
            <v>5.04</v>
          </cell>
          <cell r="L531">
            <v>5.46</v>
          </cell>
          <cell r="M531">
            <v>5.2549999999999999</v>
          </cell>
          <cell r="O531">
            <v>1.6548</v>
          </cell>
          <cell r="P531">
            <v>0.84340000000000004</v>
          </cell>
          <cell r="Q531">
            <v>98.102916765473083</v>
          </cell>
          <cell r="U531">
            <v>5.0697999999999999</v>
          </cell>
          <cell r="V531">
            <v>16.25</v>
          </cell>
          <cell r="W531" t="str">
            <v>#N/A N/A</v>
          </cell>
        </row>
        <row r="532">
          <cell r="B532">
            <v>82.891000000000005</v>
          </cell>
          <cell r="D532">
            <v>1.3322000000000001</v>
          </cell>
          <cell r="E532">
            <v>930.3</v>
          </cell>
          <cell r="F532">
            <v>7.6432500000000001</v>
          </cell>
          <cell r="G532" t="e">
            <v>#VALUE!</v>
          </cell>
          <cell r="I532">
            <v>5.2927999999999997</v>
          </cell>
          <cell r="J532">
            <v>7.6456</v>
          </cell>
          <cell r="K532">
            <v>5.04</v>
          </cell>
          <cell r="L532">
            <v>5.4980000000000002</v>
          </cell>
          <cell r="M532">
            <v>5.27</v>
          </cell>
          <cell r="O532">
            <v>1.6555</v>
          </cell>
          <cell r="P532">
            <v>0.84360000000000002</v>
          </cell>
          <cell r="Q532">
            <v>98.121147463252726</v>
          </cell>
          <cell r="U532">
            <v>5.2046000000000001</v>
          </cell>
          <cell r="V532">
            <v>15.917</v>
          </cell>
          <cell r="W532" t="str">
            <v>#N/A N/A</v>
          </cell>
        </row>
        <row r="533">
          <cell r="B533">
            <v>83.034999999999997</v>
          </cell>
          <cell r="D533">
            <v>1.3294000000000001</v>
          </cell>
          <cell r="E533">
            <v>932</v>
          </cell>
          <cell r="F533">
            <v>7.6156199999999998</v>
          </cell>
          <cell r="G533" t="e">
            <v>#VALUE!</v>
          </cell>
          <cell r="I533">
            <v>5.1978999999999997</v>
          </cell>
          <cell r="J533">
            <v>7.6340000000000003</v>
          </cell>
          <cell r="K533">
            <v>5.04</v>
          </cell>
          <cell r="L533">
            <v>5.5</v>
          </cell>
          <cell r="M533">
            <v>5.2569999999999997</v>
          </cell>
          <cell r="O533">
            <v>1.6553</v>
          </cell>
          <cell r="P533">
            <v>0.84060000000000001</v>
          </cell>
          <cell r="Q533">
            <v>98.459433737806322</v>
          </cell>
          <cell r="U533">
            <v>5.1355000000000004</v>
          </cell>
          <cell r="V533">
            <v>15.862</v>
          </cell>
          <cell r="W533" t="str">
            <v>#N/A N/A</v>
          </cell>
        </row>
        <row r="534">
          <cell r="B534">
            <v>83.128</v>
          </cell>
          <cell r="D534">
            <v>1.3311999999999999</v>
          </cell>
          <cell r="E534">
            <v>929.8</v>
          </cell>
          <cell r="F534">
            <v>7.5571999999999999</v>
          </cell>
          <cell r="G534" t="e">
            <v>#VALUE!</v>
          </cell>
          <cell r="I534">
            <v>5.2211999999999996</v>
          </cell>
          <cell r="J534">
            <v>7.6425000000000001</v>
          </cell>
          <cell r="K534">
            <v>5.04</v>
          </cell>
          <cell r="L534">
            <v>5.49</v>
          </cell>
          <cell r="M534">
            <v>5.2480000000000002</v>
          </cell>
          <cell r="O534">
            <v>1.659</v>
          </cell>
          <cell r="P534">
            <v>0.83489999999999998</v>
          </cell>
          <cell r="Q534">
            <v>99.353215954006473</v>
          </cell>
          <cell r="U534">
            <v>5.1612</v>
          </cell>
          <cell r="V534">
            <v>15.786</v>
          </cell>
          <cell r="W534" t="str">
            <v>#N/A N/A</v>
          </cell>
        </row>
        <row r="535">
          <cell r="B535">
            <v>82.850999999999999</v>
          </cell>
          <cell r="D535">
            <v>1.3378000000000001</v>
          </cell>
          <cell r="E535">
            <v>927.7</v>
          </cell>
          <cell r="F535">
            <v>7.5105199999999996</v>
          </cell>
          <cell r="G535" t="e">
            <v>#VALUE!</v>
          </cell>
          <cell r="I535">
            <v>5.1627000000000001</v>
          </cell>
          <cell r="J535">
            <v>7.6245000000000003</v>
          </cell>
          <cell r="K535">
            <v>5.04</v>
          </cell>
          <cell r="L535">
            <v>5.492</v>
          </cell>
          <cell r="M535">
            <v>5.25</v>
          </cell>
          <cell r="O535">
            <v>1.6617</v>
          </cell>
          <cell r="P535">
            <v>0.84040000000000004</v>
          </cell>
          <cell r="Q535">
            <v>98.86363636363636</v>
          </cell>
          <cell r="U535">
            <v>5.0887000000000002</v>
          </cell>
          <cell r="V535">
            <v>15.929</v>
          </cell>
          <cell r="W535" t="str">
            <v>#N/A N/A</v>
          </cell>
        </row>
        <row r="536">
          <cell r="B536">
            <v>82.850999999999999</v>
          </cell>
          <cell r="D536">
            <v>1.3378000000000001</v>
          </cell>
          <cell r="E536">
            <v>927.7</v>
          </cell>
          <cell r="F536">
            <v>7.5105199999999996</v>
          </cell>
          <cell r="G536" t="e">
            <v>#VALUE!</v>
          </cell>
          <cell r="I536">
            <v>5.1627000000000001</v>
          </cell>
          <cell r="J536">
            <v>7.6245000000000003</v>
          </cell>
          <cell r="K536">
            <v>5.04</v>
          </cell>
          <cell r="L536">
            <v>5.492</v>
          </cell>
          <cell r="M536">
            <v>5.25</v>
          </cell>
          <cell r="O536">
            <v>1.6617</v>
          </cell>
          <cell r="P536">
            <v>0.84040000000000004</v>
          </cell>
          <cell r="Q536">
            <v>98.86363636363636</v>
          </cell>
          <cell r="U536">
            <v>5.0887000000000002</v>
          </cell>
          <cell r="V536">
            <v>15.929</v>
          </cell>
          <cell r="W536" t="str">
            <v>#N/A N/A</v>
          </cell>
        </row>
        <row r="537">
          <cell r="B537">
            <v>82.850999999999999</v>
          </cell>
          <cell r="D537">
            <v>1.3378000000000001</v>
          </cell>
          <cell r="E537">
            <v>927.7</v>
          </cell>
          <cell r="F537">
            <v>7.5105199999999996</v>
          </cell>
          <cell r="G537" t="e">
            <v>#VALUE!</v>
          </cell>
          <cell r="I537">
            <v>5.1627000000000001</v>
          </cell>
          <cell r="J537">
            <v>7.6245000000000003</v>
          </cell>
          <cell r="K537">
            <v>5.04</v>
          </cell>
          <cell r="L537">
            <v>5.492</v>
          </cell>
          <cell r="M537">
            <v>5.25</v>
          </cell>
          <cell r="O537">
            <v>1.6617</v>
          </cell>
          <cell r="P537">
            <v>0.84040000000000004</v>
          </cell>
          <cell r="Q537">
            <v>98.86363636363636</v>
          </cell>
          <cell r="U537">
            <v>5.0887000000000002</v>
          </cell>
          <cell r="V537">
            <v>15.929</v>
          </cell>
          <cell r="W537" t="str">
            <v>#N/A N/A</v>
          </cell>
        </row>
        <row r="538">
          <cell r="B538">
            <v>82.715000000000003</v>
          </cell>
          <cell r="D538">
            <v>1.3409</v>
          </cell>
          <cell r="E538">
            <v>928.75</v>
          </cell>
          <cell r="F538">
            <v>7.5114200000000002</v>
          </cell>
          <cell r="G538" t="e">
            <v>#VALUE!</v>
          </cell>
          <cell r="I538">
            <v>5.1334999999999997</v>
          </cell>
          <cell r="J538">
            <v>7.6312999999999995</v>
          </cell>
          <cell r="K538">
            <v>5.04</v>
          </cell>
          <cell r="L538">
            <v>5.49</v>
          </cell>
          <cell r="M538">
            <v>5.242</v>
          </cell>
          <cell r="O538">
            <v>1.6633</v>
          </cell>
          <cell r="P538">
            <v>0.84189999999999998</v>
          </cell>
          <cell r="Q538">
            <v>98.782515738211202</v>
          </cell>
          <cell r="U538">
            <v>5.0560999999999998</v>
          </cell>
          <cell r="V538">
            <v>15.067</v>
          </cell>
          <cell r="W538" t="str">
            <v>#N/A N/A</v>
          </cell>
        </row>
        <row r="539">
          <cell r="B539">
            <v>82.543999999999997</v>
          </cell>
          <cell r="D539">
            <v>1.3425</v>
          </cell>
          <cell r="E539">
            <v>924.4</v>
          </cell>
          <cell r="F539">
            <v>7.4918399999999998</v>
          </cell>
          <cell r="G539" t="e">
            <v>#VALUE!</v>
          </cell>
          <cell r="I539">
            <v>5.0814000000000004</v>
          </cell>
          <cell r="J539">
            <v>7.62</v>
          </cell>
          <cell r="K539">
            <v>5.04</v>
          </cell>
          <cell r="L539">
            <v>5.49</v>
          </cell>
          <cell r="M539">
            <v>5.24</v>
          </cell>
          <cell r="O539">
            <v>1.6648000000000001</v>
          </cell>
          <cell r="P539">
            <v>0.84640000000000004</v>
          </cell>
          <cell r="Q539">
            <v>98.345935727788287</v>
          </cell>
          <cell r="U539">
            <v>4.9945000000000004</v>
          </cell>
          <cell r="V539">
            <v>14.775</v>
          </cell>
          <cell r="W539" t="str">
            <v>#N/A N/A</v>
          </cell>
        </row>
        <row r="540">
          <cell r="B540">
            <v>82.518000000000001</v>
          </cell>
          <cell r="D540">
            <v>1.3427</v>
          </cell>
          <cell r="E540">
            <v>927.5</v>
          </cell>
          <cell r="F540">
            <v>7.5006599999999999</v>
          </cell>
          <cell r="G540" t="e">
            <v>#VALUE!</v>
          </cell>
          <cell r="I540">
            <v>5.1315999999999997</v>
          </cell>
          <cell r="J540">
            <v>7.6180000000000003</v>
          </cell>
          <cell r="K540">
            <v>5.04</v>
          </cell>
          <cell r="L540">
            <v>5.53</v>
          </cell>
          <cell r="M540">
            <v>5.26</v>
          </cell>
          <cell r="O540">
            <v>1.6615</v>
          </cell>
          <cell r="P540">
            <v>0.8458</v>
          </cell>
          <cell r="Q540">
            <v>98.220619531804203</v>
          </cell>
          <cell r="U540">
            <v>5.0418000000000003</v>
          </cell>
          <cell r="V540">
            <v>15.170999999999999</v>
          </cell>
          <cell r="W540" t="str">
            <v>#N/A N/A</v>
          </cell>
        </row>
        <row r="541">
          <cell r="B541">
            <v>82.730999999999995</v>
          </cell>
          <cell r="D541">
            <v>1.3393999999999999</v>
          </cell>
          <cell r="E541">
            <v>926.4</v>
          </cell>
          <cell r="F541">
            <v>7.4899899999999997</v>
          </cell>
          <cell r="G541" t="e">
            <v>#VALUE!</v>
          </cell>
          <cell r="I541">
            <v>5.1863000000000001</v>
          </cell>
          <cell r="J541">
            <v>7.6204999999999998</v>
          </cell>
          <cell r="K541">
            <v>5.04</v>
          </cell>
          <cell r="L541">
            <v>5.6520000000000001</v>
          </cell>
          <cell r="M541">
            <v>5.3170000000000002</v>
          </cell>
          <cell r="O541">
            <v>1.6625999999999999</v>
          </cell>
          <cell r="P541">
            <v>0.84650000000000003</v>
          </cell>
          <cell r="Q541">
            <v>98.204370939161251</v>
          </cell>
          <cell r="U541">
            <v>5.0747</v>
          </cell>
          <cell r="V541">
            <v>14.975</v>
          </cell>
          <cell r="W541" t="str">
            <v>#N/A N/A</v>
          </cell>
        </row>
        <row r="542">
          <cell r="B542">
            <v>82.335999999999999</v>
          </cell>
          <cell r="D542">
            <v>1.3452</v>
          </cell>
          <cell r="E542">
            <v>928</v>
          </cell>
          <cell r="F542">
            <v>7.4876500000000004</v>
          </cell>
          <cell r="G542" t="e">
            <v>#VALUE!</v>
          </cell>
          <cell r="I542">
            <v>5.13</v>
          </cell>
          <cell r="J542">
            <v>7.6207000000000003</v>
          </cell>
          <cell r="K542">
            <v>5.04</v>
          </cell>
          <cell r="L542">
            <v>5.6239999999999997</v>
          </cell>
          <cell r="M542">
            <v>5.2869999999999999</v>
          </cell>
          <cell r="O542">
            <v>1.6549</v>
          </cell>
          <cell r="P542">
            <v>0.84809999999999997</v>
          </cell>
          <cell r="Q542">
            <v>97.565145619620324</v>
          </cell>
          <cell r="U542">
            <v>5.0095000000000001</v>
          </cell>
          <cell r="V542">
            <v>15</v>
          </cell>
          <cell r="W542" t="str">
            <v>#N/A N/A</v>
          </cell>
        </row>
        <row r="543">
          <cell r="B543">
            <v>82.335999999999999</v>
          </cell>
          <cell r="D543">
            <v>1.3452</v>
          </cell>
          <cell r="E543">
            <v>928</v>
          </cell>
          <cell r="F543">
            <v>7.4876500000000004</v>
          </cell>
          <cell r="G543" t="e">
            <v>#VALUE!</v>
          </cell>
          <cell r="I543">
            <v>5.13</v>
          </cell>
          <cell r="J543">
            <v>7.6207000000000003</v>
          </cell>
          <cell r="K543">
            <v>5.04</v>
          </cell>
          <cell r="L543">
            <v>5.6239999999999997</v>
          </cell>
          <cell r="M543">
            <v>5.2869999999999999</v>
          </cell>
          <cell r="O543">
            <v>1.6549</v>
          </cell>
          <cell r="P543">
            <v>0.84809999999999997</v>
          </cell>
          <cell r="Q543">
            <v>97.565145619620324</v>
          </cell>
          <cell r="U543">
            <v>5.0095000000000001</v>
          </cell>
          <cell r="V543">
            <v>15</v>
          </cell>
          <cell r="W543" t="str">
            <v>#N/A N/A</v>
          </cell>
        </row>
        <row r="544">
          <cell r="B544">
            <v>82.335999999999999</v>
          </cell>
          <cell r="D544">
            <v>1.3452</v>
          </cell>
          <cell r="E544">
            <v>928</v>
          </cell>
          <cell r="F544">
            <v>7.4876500000000004</v>
          </cell>
          <cell r="G544" t="e">
            <v>#VALUE!</v>
          </cell>
          <cell r="I544">
            <v>5.13</v>
          </cell>
          <cell r="J544">
            <v>7.6207000000000003</v>
          </cell>
          <cell r="K544">
            <v>5.04</v>
          </cell>
          <cell r="L544">
            <v>5.6239999999999997</v>
          </cell>
          <cell r="M544">
            <v>5.2869999999999999</v>
          </cell>
          <cell r="O544">
            <v>1.6549</v>
          </cell>
          <cell r="P544">
            <v>0.84809999999999997</v>
          </cell>
          <cell r="Q544">
            <v>97.565145619620324</v>
          </cell>
          <cell r="U544">
            <v>5.0095000000000001</v>
          </cell>
          <cell r="V544">
            <v>15</v>
          </cell>
          <cell r="W544" t="str">
            <v>#N/A N/A</v>
          </cell>
        </row>
        <row r="545">
          <cell r="B545">
            <v>82.325000000000003</v>
          </cell>
          <cell r="D545">
            <v>1.3456999999999999</v>
          </cell>
          <cell r="E545">
            <v>926.9</v>
          </cell>
          <cell r="F545">
            <v>7.4840499999999999</v>
          </cell>
          <cell r="G545" t="e">
            <v>#VALUE!</v>
          </cell>
          <cell r="I545">
            <v>5.08</v>
          </cell>
          <cell r="J545">
            <v>7.6222000000000003</v>
          </cell>
          <cell r="K545">
            <v>5.03</v>
          </cell>
          <cell r="L545">
            <v>5.58</v>
          </cell>
          <cell r="M545">
            <v>5.25</v>
          </cell>
          <cell r="O545">
            <v>1.6549</v>
          </cell>
          <cell r="P545">
            <v>0.84770000000000001</v>
          </cell>
          <cell r="Q545">
            <v>97.611183201604348</v>
          </cell>
          <cell r="U545">
            <v>4.9622999999999999</v>
          </cell>
          <cell r="V545">
            <v>15.083</v>
          </cell>
          <cell r="W545" t="str">
            <v>#N/A N/A</v>
          </cell>
        </row>
        <row r="546">
          <cell r="B546">
            <v>82.295000000000002</v>
          </cell>
          <cell r="D546">
            <v>1.3468</v>
          </cell>
          <cell r="E546">
            <v>927.8</v>
          </cell>
          <cell r="F546">
            <v>7.5168099999999995</v>
          </cell>
          <cell r="G546" t="e">
            <v>#VALUE!</v>
          </cell>
          <cell r="I546">
            <v>5.0780000000000003</v>
          </cell>
          <cell r="J546">
            <v>7.6158999999999999</v>
          </cell>
          <cell r="K546">
            <v>5.03</v>
          </cell>
          <cell r="L546">
            <v>5.5869999999999997</v>
          </cell>
          <cell r="M546">
            <v>5.2729999999999997</v>
          </cell>
          <cell r="O546">
            <v>1.6541999999999999</v>
          </cell>
          <cell r="P546">
            <v>0.84689999999999999</v>
          </cell>
          <cell r="Q546">
            <v>97.662061636556857</v>
          </cell>
          <cell r="U546">
            <v>4.9550999999999998</v>
          </cell>
          <cell r="V546">
            <v>15.5</v>
          </cell>
          <cell r="W546" t="str">
            <v>#N/A N/A</v>
          </cell>
        </row>
        <row r="547">
          <cell r="B547">
            <v>82.316000000000003</v>
          </cell>
          <cell r="D547">
            <v>1.3442000000000001</v>
          </cell>
          <cell r="E547">
            <v>927.9</v>
          </cell>
          <cell r="F547">
            <v>7.5745399999999998</v>
          </cell>
          <cell r="G547" t="e">
            <v>#VALUE!</v>
          </cell>
          <cell r="I547">
            <v>5.0801999999999996</v>
          </cell>
          <cell r="J547">
            <v>7.6239999999999997</v>
          </cell>
          <cell r="K547">
            <v>5.0199999999999996</v>
          </cell>
          <cell r="L547">
            <v>5.53</v>
          </cell>
          <cell r="M547">
            <v>5.2279999999999998</v>
          </cell>
          <cell r="O547">
            <v>1.6514</v>
          </cell>
          <cell r="P547">
            <v>0.83740000000000003</v>
          </cell>
          <cell r="Q547">
            <v>98.602818246954854</v>
          </cell>
          <cell r="U547">
            <v>4.9661</v>
          </cell>
          <cell r="V547">
            <v>17.087</v>
          </cell>
          <cell r="W547" t="str">
            <v>#N/A N/A</v>
          </cell>
        </row>
        <row r="548">
          <cell r="B548">
            <v>82.332999999999998</v>
          </cell>
          <cell r="D548">
            <v>1.3463000000000001</v>
          </cell>
          <cell r="E548">
            <v>926.2</v>
          </cell>
          <cell r="F548">
            <v>7.5274799999999997</v>
          </cell>
          <cell r="G548" t="e">
            <v>#VALUE!</v>
          </cell>
          <cell r="I548">
            <v>5.1032999999999999</v>
          </cell>
          <cell r="J548">
            <v>7.6151</v>
          </cell>
          <cell r="K548">
            <v>5.01</v>
          </cell>
          <cell r="L548">
            <v>5.48</v>
          </cell>
          <cell r="M548">
            <v>5.22</v>
          </cell>
          <cell r="O548">
            <v>1.6558999999999999</v>
          </cell>
          <cell r="P548">
            <v>0.8468</v>
          </cell>
          <cell r="Q548">
            <v>97.773972602739718</v>
          </cell>
          <cell r="U548">
            <v>5</v>
          </cell>
          <cell r="V548">
            <v>16.75</v>
          </cell>
          <cell r="W548" t="str">
            <v>#N/A N/A</v>
          </cell>
        </row>
        <row r="549">
          <cell r="B549">
            <v>81.92</v>
          </cell>
          <cell r="D549">
            <v>1.3538000000000001</v>
          </cell>
          <cell r="E549">
            <v>922.6</v>
          </cell>
          <cell r="F549">
            <v>7.4843799999999998</v>
          </cell>
          <cell r="G549" t="e">
            <v>#VALUE!</v>
          </cell>
          <cell r="I549">
            <v>5.0244</v>
          </cell>
          <cell r="J549">
            <v>7.6132</v>
          </cell>
          <cell r="K549">
            <v>5</v>
          </cell>
          <cell r="L549">
            <v>5.5129999999999999</v>
          </cell>
          <cell r="M549">
            <v>5.258</v>
          </cell>
          <cell r="O549">
            <v>1.6539000000000001</v>
          </cell>
          <cell r="P549">
            <v>0.85009999999999997</v>
          </cell>
          <cell r="Q549">
            <v>97.27679096576874</v>
          </cell>
          <cell r="U549">
            <v>4.9213000000000005</v>
          </cell>
          <cell r="V549">
            <v>16.844000000000001</v>
          </cell>
          <cell r="W549" t="str">
            <v>#N/A N/A</v>
          </cell>
        </row>
        <row r="550">
          <cell r="B550">
            <v>81.92</v>
          </cell>
          <cell r="D550">
            <v>1.3538000000000001</v>
          </cell>
          <cell r="E550">
            <v>922.6</v>
          </cell>
          <cell r="F550">
            <v>7.4843799999999998</v>
          </cell>
          <cell r="G550" t="e">
            <v>#VALUE!</v>
          </cell>
          <cell r="I550">
            <v>5.0244</v>
          </cell>
          <cell r="J550">
            <v>7.6132</v>
          </cell>
          <cell r="K550">
            <v>5</v>
          </cell>
          <cell r="L550">
            <v>5.5129999999999999</v>
          </cell>
          <cell r="M550">
            <v>5.258</v>
          </cell>
          <cell r="O550">
            <v>1.6539000000000001</v>
          </cell>
          <cell r="P550">
            <v>0.85009999999999997</v>
          </cell>
          <cell r="Q550">
            <v>97.27679096576874</v>
          </cell>
          <cell r="U550">
            <v>4.9213000000000005</v>
          </cell>
          <cell r="V550">
            <v>16.844000000000001</v>
          </cell>
          <cell r="W550" t="str">
            <v>#N/A N/A</v>
          </cell>
        </row>
        <row r="551">
          <cell r="B551">
            <v>81.92</v>
          </cell>
          <cell r="D551">
            <v>1.3538000000000001</v>
          </cell>
          <cell r="E551">
            <v>922.6</v>
          </cell>
          <cell r="F551">
            <v>7.4843799999999998</v>
          </cell>
          <cell r="G551" t="e">
            <v>#VALUE!</v>
          </cell>
          <cell r="I551">
            <v>5.0244</v>
          </cell>
          <cell r="J551">
            <v>7.6132</v>
          </cell>
          <cell r="K551">
            <v>5</v>
          </cell>
          <cell r="L551">
            <v>5.5129999999999999</v>
          </cell>
          <cell r="M551">
            <v>5.258</v>
          </cell>
          <cell r="O551">
            <v>1.6539000000000001</v>
          </cell>
          <cell r="P551">
            <v>0.85009999999999997</v>
          </cell>
          <cell r="Q551">
            <v>97.27679096576874</v>
          </cell>
          <cell r="U551">
            <v>4.9213000000000005</v>
          </cell>
          <cell r="V551">
            <v>16.844000000000001</v>
          </cell>
          <cell r="W551" t="str">
            <v>#N/A N/A</v>
          </cell>
        </row>
        <row r="552">
          <cell r="B552">
            <v>81.394999999999996</v>
          </cell>
          <cell r="D552">
            <v>1.3632</v>
          </cell>
          <cell r="E552">
            <v>921.63</v>
          </cell>
          <cell r="F552">
            <v>7.5427099999999996</v>
          </cell>
          <cell r="G552" t="e">
            <v>#VALUE!</v>
          </cell>
          <cell r="I552">
            <v>4.9892000000000003</v>
          </cell>
          <cell r="J552">
            <v>7.6047000000000002</v>
          </cell>
          <cell r="K552">
            <v>5</v>
          </cell>
          <cell r="L552">
            <v>5.5280000000000005</v>
          </cell>
          <cell r="M552">
            <v>5.282</v>
          </cell>
          <cell r="O552">
            <v>1.6497999999999999</v>
          </cell>
          <cell r="P552">
            <v>0.85840000000000005</v>
          </cell>
          <cell r="Q552">
            <v>96.0973904939422</v>
          </cell>
          <cell r="U552">
            <v>4.8891999999999998</v>
          </cell>
          <cell r="V552">
            <v>16.536999999999999</v>
          </cell>
          <cell r="W552" t="str">
            <v>#N/A N/A</v>
          </cell>
        </row>
        <row r="553">
          <cell r="B553">
            <v>81.486000000000004</v>
          </cell>
          <cell r="D553">
            <v>1.3618000000000001</v>
          </cell>
          <cell r="E553">
            <v>918.03</v>
          </cell>
          <cell r="F553">
            <v>7.5056200000000004</v>
          </cell>
          <cell r="G553" t="e">
            <v>#VALUE!</v>
          </cell>
          <cell r="I553">
            <v>5.0372000000000003</v>
          </cell>
          <cell r="J553">
            <v>7.5948000000000002</v>
          </cell>
          <cell r="K553">
            <v>5</v>
          </cell>
          <cell r="L553">
            <v>5.5419999999999998</v>
          </cell>
          <cell r="M553">
            <v>5.3</v>
          </cell>
          <cell r="O553">
            <v>1.6545000000000001</v>
          </cell>
          <cell r="P553">
            <v>0.85509999999999997</v>
          </cell>
          <cell r="Q553">
            <v>96.743070985849613</v>
          </cell>
          <cell r="U553">
            <v>4.9356</v>
          </cell>
          <cell r="V553">
            <v>16.899999999999999</v>
          </cell>
          <cell r="W553" t="str">
            <v>#N/A N/A</v>
          </cell>
        </row>
        <row r="554">
          <cell r="B554">
            <v>81.433000000000007</v>
          </cell>
          <cell r="D554">
            <v>1.3622000000000001</v>
          </cell>
          <cell r="E554">
            <v>918.9</v>
          </cell>
          <cell r="F554">
            <v>7.4923599999999997</v>
          </cell>
          <cell r="G554" t="e">
            <v>#VALUE!</v>
          </cell>
          <cell r="I554">
            <v>5.0373000000000001</v>
          </cell>
          <cell r="J554">
            <v>7.5946999999999996</v>
          </cell>
          <cell r="K554">
            <v>5</v>
          </cell>
          <cell r="L554">
            <v>5.56</v>
          </cell>
          <cell r="M554">
            <v>5.3280000000000003</v>
          </cell>
          <cell r="O554">
            <v>1.6566000000000001</v>
          </cell>
          <cell r="P554">
            <v>0.85799999999999998</v>
          </cell>
          <cell r="Q554">
            <v>96.538461538461533</v>
          </cell>
          <cell r="U554">
            <v>4.9356</v>
          </cell>
          <cell r="V554">
            <v>16.783000000000001</v>
          </cell>
          <cell r="W554" t="str">
            <v>#N/A N/A</v>
          </cell>
        </row>
        <row r="555">
          <cell r="B555">
            <v>81.537999999999997</v>
          </cell>
          <cell r="D555">
            <v>1.3597999999999999</v>
          </cell>
          <cell r="E555">
            <v>920.95</v>
          </cell>
          <cell r="F555">
            <v>7.5029500000000002</v>
          </cell>
          <cell r="G555" t="e">
            <v>#VALUE!</v>
          </cell>
          <cell r="I555">
            <v>5.1402000000000001</v>
          </cell>
          <cell r="J555">
            <v>7.5983999999999998</v>
          </cell>
          <cell r="K555">
            <v>5</v>
          </cell>
          <cell r="L555">
            <v>5.59</v>
          </cell>
          <cell r="M555">
            <v>5.3629999999999995</v>
          </cell>
          <cell r="O555">
            <v>1.6548</v>
          </cell>
          <cell r="P555">
            <v>0.85589999999999999</v>
          </cell>
          <cell r="Q555">
            <v>96.670171749036101</v>
          </cell>
          <cell r="U555">
            <v>5.0469999999999997</v>
          </cell>
          <cell r="V555">
            <v>16.5</v>
          </cell>
          <cell r="W555" t="str">
            <v>#N/A N/A</v>
          </cell>
        </row>
        <row r="556">
          <cell r="B556">
            <v>81.465000000000003</v>
          </cell>
          <cell r="D556">
            <v>1.3627</v>
          </cell>
          <cell r="E556">
            <v>919.55</v>
          </cell>
          <cell r="F556">
            <v>7.4562999999999997</v>
          </cell>
          <cell r="G556" t="e">
            <v>#VALUE!</v>
          </cell>
          <cell r="I556">
            <v>5.1824000000000003</v>
          </cell>
          <cell r="J556">
            <v>7.601</v>
          </cell>
          <cell r="K556">
            <v>5</v>
          </cell>
          <cell r="L556">
            <v>5.5730000000000004</v>
          </cell>
          <cell r="M556">
            <v>5.35</v>
          </cell>
          <cell r="O556">
            <v>1.6598000000000002</v>
          </cell>
          <cell r="P556">
            <v>0.85680000000000001</v>
          </cell>
          <cell r="Q556">
            <v>96.860410830999072</v>
          </cell>
          <cell r="U556">
            <v>5.0867000000000004</v>
          </cell>
          <cell r="V556">
            <v>16.533000000000001</v>
          </cell>
          <cell r="W556" t="str">
            <v>#N/A N/A</v>
          </cell>
        </row>
        <row r="557">
          <cell r="B557">
            <v>81.465000000000003</v>
          </cell>
          <cell r="D557">
            <v>1.3627</v>
          </cell>
          <cell r="E557">
            <v>919.55</v>
          </cell>
          <cell r="F557">
            <v>7.4562999999999997</v>
          </cell>
          <cell r="G557" t="e">
            <v>#VALUE!</v>
          </cell>
          <cell r="I557">
            <v>5.1824000000000003</v>
          </cell>
          <cell r="J557">
            <v>7.601</v>
          </cell>
          <cell r="K557">
            <v>5</v>
          </cell>
          <cell r="L557">
            <v>5.5730000000000004</v>
          </cell>
          <cell r="M557">
            <v>5.35</v>
          </cell>
          <cell r="O557">
            <v>1.6598000000000002</v>
          </cell>
          <cell r="P557">
            <v>0.85680000000000001</v>
          </cell>
          <cell r="Q557">
            <v>96.860410830999072</v>
          </cell>
          <cell r="U557">
            <v>5.0867000000000004</v>
          </cell>
          <cell r="V557">
            <v>16.533000000000001</v>
          </cell>
          <cell r="W557" t="str">
            <v>#N/A N/A</v>
          </cell>
        </row>
        <row r="558">
          <cell r="B558">
            <v>81.465000000000003</v>
          </cell>
          <cell r="D558">
            <v>1.3627</v>
          </cell>
          <cell r="E558">
            <v>919.55</v>
          </cell>
          <cell r="F558">
            <v>7.4562999999999997</v>
          </cell>
          <cell r="G558" t="e">
            <v>#VALUE!</v>
          </cell>
          <cell r="I558">
            <v>5.1824000000000003</v>
          </cell>
          <cell r="J558">
            <v>7.601</v>
          </cell>
          <cell r="K558">
            <v>5</v>
          </cell>
          <cell r="L558">
            <v>5.5730000000000004</v>
          </cell>
          <cell r="M558">
            <v>5.35</v>
          </cell>
          <cell r="O558">
            <v>1.6598000000000002</v>
          </cell>
          <cell r="P558">
            <v>0.85680000000000001</v>
          </cell>
          <cell r="Q558">
            <v>96.860410830999072</v>
          </cell>
          <cell r="U558">
            <v>5.0867000000000004</v>
          </cell>
          <cell r="V558">
            <v>16.533000000000001</v>
          </cell>
          <cell r="W558" t="str">
            <v>#N/A N/A</v>
          </cell>
        </row>
        <row r="559">
          <cell r="B559">
            <v>81.433000000000007</v>
          </cell>
          <cell r="D559">
            <v>1.3622000000000001</v>
          </cell>
          <cell r="E559">
            <v>921</v>
          </cell>
          <cell r="F559">
            <v>7.4685800000000002</v>
          </cell>
          <cell r="G559" t="e">
            <v>#VALUE!</v>
          </cell>
          <cell r="I559">
            <v>5.1382000000000003</v>
          </cell>
          <cell r="J559">
            <v>7.6079999999999997</v>
          </cell>
          <cell r="K559">
            <v>5</v>
          </cell>
          <cell r="L559">
            <v>5.5529999999999999</v>
          </cell>
          <cell r="M559">
            <v>5.3529999999999998</v>
          </cell>
          <cell r="O559">
            <v>1.6579000000000002</v>
          </cell>
          <cell r="P559">
            <v>0.85980000000000001</v>
          </cell>
          <cell r="Q559">
            <v>96.411956268899758</v>
          </cell>
          <cell r="U559">
            <v>5.0434999999999999</v>
          </cell>
          <cell r="V559">
            <v>16.5</v>
          </cell>
          <cell r="W559" t="str">
            <v>#N/A N/A</v>
          </cell>
        </row>
        <row r="560">
          <cell r="B560">
            <v>80.86</v>
          </cell>
          <cell r="D560">
            <v>1.3711</v>
          </cell>
          <cell r="E560">
            <v>920.45</v>
          </cell>
          <cell r="F560">
            <v>7.5270900000000003</v>
          </cell>
          <cell r="G560" t="e">
            <v>#VALUE!</v>
          </cell>
          <cell r="I560">
            <v>5.0212000000000003</v>
          </cell>
          <cell r="J560">
            <v>7.5834999999999999</v>
          </cell>
          <cell r="K560">
            <v>5</v>
          </cell>
          <cell r="L560">
            <v>5.55</v>
          </cell>
          <cell r="M560">
            <v>5.35</v>
          </cell>
          <cell r="O560">
            <v>1.6556</v>
          </cell>
          <cell r="P560">
            <v>0.8619</v>
          </cell>
          <cell r="Q560">
            <v>96.043624550411877</v>
          </cell>
          <cell r="U560">
            <v>4.9139999999999997</v>
          </cell>
          <cell r="V560">
            <v>16.271000000000001</v>
          </cell>
          <cell r="W560" t="str">
            <v>#N/A N/A</v>
          </cell>
        </row>
        <row r="561">
          <cell r="B561">
            <v>80.73</v>
          </cell>
          <cell r="D561">
            <v>1.3767</v>
          </cell>
          <cell r="E561">
            <v>919.25</v>
          </cell>
          <cell r="F561">
            <v>7.5333500000000004</v>
          </cell>
          <cell r="G561" t="e">
            <v>#VALUE!</v>
          </cell>
          <cell r="I561">
            <v>5.0860000000000003</v>
          </cell>
          <cell r="J561">
            <v>7.5631000000000004</v>
          </cell>
          <cell r="K561">
            <v>5</v>
          </cell>
          <cell r="L561">
            <v>5.4820000000000002</v>
          </cell>
          <cell r="M561">
            <v>5.32</v>
          </cell>
          <cell r="O561">
            <v>1.6566000000000001</v>
          </cell>
          <cell r="P561">
            <v>0.86180000000000001</v>
          </cell>
          <cell r="Q561">
            <v>96.112787189603154</v>
          </cell>
          <cell r="U561">
            <v>4.9714999999999998</v>
          </cell>
          <cell r="V561">
            <v>16.814</v>
          </cell>
          <cell r="W561" t="str">
            <v>#N/A N/A</v>
          </cell>
        </row>
        <row r="562">
          <cell r="B562">
            <v>80.635000000000005</v>
          </cell>
          <cell r="D562">
            <v>1.3784000000000001</v>
          </cell>
          <cell r="E562">
            <v>918.85</v>
          </cell>
          <cell r="F562">
            <v>7.50373</v>
          </cell>
          <cell r="G562" t="e">
            <v>#VALUE!</v>
          </cell>
          <cell r="I562">
            <v>5.1238999999999999</v>
          </cell>
          <cell r="J562">
            <v>7.5673000000000004</v>
          </cell>
          <cell r="K562">
            <v>5.0599999999999996</v>
          </cell>
          <cell r="L562">
            <v>5.548</v>
          </cell>
          <cell r="M562">
            <v>5.37</v>
          </cell>
          <cell r="O562">
            <v>1.6581000000000001</v>
          </cell>
          <cell r="P562">
            <v>0.86450000000000005</v>
          </cell>
          <cell r="Q562">
            <v>95.899363794100637</v>
          </cell>
          <cell r="U562">
            <v>5.0218999999999996</v>
          </cell>
          <cell r="V562">
            <v>17.106000000000002</v>
          </cell>
          <cell r="W562" t="str">
            <v>#N/A N/A</v>
          </cell>
        </row>
        <row r="563">
          <cell r="B563">
            <v>80.575999999999993</v>
          </cell>
          <cell r="D563">
            <v>1.3791</v>
          </cell>
          <cell r="E563">
            <v>916.65</v>
          </cell>
          <cell r="F563">
            <v>7.50983</v>
          </cell>
          <cell r="G563" t="e">
            <v>#VALUE!</v>
          </cell>
          <cell r="I563">
            <v>5.0928000000000004</v>
          </cell>
          <cell r="J563">
            <v>7.5694999999999997</v>
          </cell>
          <cell r="K563">
            <v>5.07</v>
          </cell>
          <cell r="L563">
            <v>5.5830000000000002</v>
          </cell>
          <cell r="M563">
            <v>5.41</v>
          </cell>
          <cell r="O563">
            <v>1.6581999999999999</v>
          </cell>
          <cell r="P563">
            <v>0.86909999999999998</v>
          </cell>
          <cell r="Q563">
            <v>95.397537682660214</v>
          </cell>
          <cell r="U563">
            <v>5.0004</v>
          </cell>
          <cell r="V563">
            <v>16.643000000000001</v>
          </cell>
          <cell r="W563" t="str">
            <v>#N/A N/A</v>
          </cell>
        </row>
        <row r="564">
          <cell r="B564">
            <v>80.575999999999993</v>
          </cell>
          <cell r="D564">
            <v>1.3791</v>
          </cell>
          <cell r="E564">
            <v>916.65</v>
          </cell>
          <cell r="F564">
            <v>7.50983</v>
          </cell>
          <cell r="G564" t="e">
            <v>#VALUE!</v>
          </cell>
          <cell r="I564">
            <v>5.0928000000000004</v>
          </cell>
          <cell r="J564">
            <v>7.5694999999999997</v>
          </cell>
          <cell r="K564">
            <v>5.07</v>
          </cell>
          <cell r="L564">
            <v>5.5830000000000002</v>
          </cell>
          <cell r="M564">
            <v>5.41</v>
          </cell>
          <cell r="O564">
            <v>1.6581999999999999</v>
          </cell>
          <cell r="P564">
            <v>0.86909999999999998</v>
          </cell>
          <cell r="Q564">
            <v>95.397537682660214</v>
          </cell>
          <cell r="U564">
            <v>5.0004</v>
          </cell>
          <cell r="V564">
            <v>16.643000000000001</v>
          </cell>
          <cell r="W564" t="str">
            <v>#N/A N/A</v>
          </cell>
        </row>
        <row r="565">
          <cell r="B565">
            <v>80.575999999999993</v>
          </cell>
          <cell r="D565">
            <v>1.3791</v>
          </cell>
          <cell r="E565">
            <v>916.65</v>
          </cell>
          <cell r="F565">
            <v>7.50983</v>
          </cell>
          <cell r="G565" t="e">
            <v>#VALUE!</v>
          </cell>
          <cell r="I565">
            <v>5.0928000000000004</v>
          </cell>
          <cell r="J565">
            <v>7.5694999999999997</v>
          </cell>
          <cell r="K565">
            <v>5.07</v>
          </cell>
          <cell r="L565">
            <v>5.5830000000000002</v>
          </cell>
          <cell r="M565">
            <v>5.41</v>
          </cell>
          <cell r="O565">
            <v>1.6581999999999999</v>
          </cell>
          <cell r="P565">
            <v>0.86909999999999998</v>
          </cell>
          <cell r="Q565">
            <v>95.397537682660214</v>
          </cell>
          <cell r="U565">
            <v>5.0004</v>
          </cell>
          <cell r="V565">
            <v>16.643000000000001</v>
          </cell>
          <cell r="W565" t="str">
            <v>#N/A N/A</v>
          </cell>
        </row>
        <row r="566">
          <cell r="B566">
            <v>80.522000000000006</v>
          </cell>
          <cell r="D566">
            <v>1.3778999999999999</v>
          </cell>
          <cell r="E566">
            <v>918.22</v>
          </cell>
          <cell r="F566">
            <v>7.5327099999999998</v>
          </cell>
          <cell r="G566" t="e">
            <v>#VALUE!</v>
          </cell>
          <cell r="I566">
            <v>5.0385</v>
          </cell>
          <cell r="J566">
            <v>7.5678000000000001</v>
          </cell>
          <cell r="K566">
            <v>5.07</v>
          </cell>
          <cell r="L566">
            <v>5.585</v>
          </cell>
          <cell r="M566">
            <v>5.42</v>
          </cell>
          <cell r="O566">
            <v>1.6569</v>
          </cell>
          <cell r="P566">
            <v>0.87250000000000005</v>
          </cell>
          <cell r="Q566">
            <v>94.951289398280807</v>
          </cell>
          <cell r="U566">
            <v>4.9427000000000003</v>
          </cell>
          <cell r="V566">
            <v>16.137</v>
          </cell>
          <cell r="W566" t="str">
            <v>#N/A N/A</v>
          </cell>
        </row>
        <row r="567">
          <cell r="B567">
            <v>80.540000000000006</v>
          </cell>
          <cell r="D567">
            <v>1.3784000000000001</v>
          </cell>
          <cell r="E567">
            <v>918.22</v>
          </cell>
          <cell r="F567">
            <v>7.5068999999999999</v>
          </cell>
          <cell r="G567" t="e">
            <v>#VALUE!</v>
          </cell>
          <cell r="I567">
            <v>5.0491000000000001</v>
          </cell>
          <cell r="J567">
            <v>7.5651000000000002</v>
          </cell>
          <cell r="K567">
            <v>5.07</v>
          </cell>
          <cell r="L567">
            <v>5.585</v>
          </cell>
          <cell r="M567">
            <v>5.42</v>
          </cell>
          <cell r="O567">
            <v>1.6577999999999999</v>
          </cell>
          <cell r="P567">
            <v>0.87329999999999997</v>
          </cell>
          <cell r="Q567">
            <v>94.915836482308478</v>
          </cell>
          <cell r="U567">
            <v>4.9535</v>
          </cell>
          <cell r="V567">
            <v>16.257000000000001</v>
          </cell>
          <cell r="W567" t="str">
            <v>#N/A N/A</v>
          </cell>
        </row>
        <row r="568">
          <cell r="B568">
            <v>80.424000000000007</v>
          </cell>
          <cell r="D568">
            <v>1.3805000000000001</v>
          </cell>
          <cell r="E568">
            <v>916.85</v>
          </cell>
          <cell r="F568">
            <v>7.5301299999999998</v>
          </cell>
          <cell r="G568" t="e">
            <v>#VALUE!</v>
          </cell>
          <cell r="I568">
            <v>5.0282999999999998</v>
          </cell>
          <cell r="J568">
            <v>7.5640000000000001</v>
          </cell>
          <cell r="K568">
            <v>5.08</v>
          </cell>
          <cell r="L568">
            <v>5.5629999999999997</v>
          </cell>
          <cell r="M568">
            <v>5.4039999999999999</v>
          </cell>
          <cell r="O568">
            <v>1.6566000000000001</v>
          </cell>
          <cell r="P568">
            <v>0.87760000000000005</v>
          </cell>
          <cell r="Q568">
            <v>94.382406563354607</v>
          </cell>
          <cell r="U568">
            <v>4.9283000000000001</v>
          </cell>
          <cell r="V568">
            <v>16.707999999999998</v>
          </cell>
          <cell r="W568" t="str">
            <v>#N/A N/A</v>
          </cell>
        </row>
        <row r="569">
          <cell r="B569">
            <v>80.418999999999997</v>
          </cell>
          <cell r="D569">
            <v>1.3818999999999999</v>
          </cell>
          <cell r="E569">
            <v>915.05</v>
          </cell>
          <cell r="F569">
            <v>7.5017899999999997</v>
          </cell>
          <cell r="G569" t="e">
            <v>#VALUE!</v>
          </cell>
          <cell r="I569">
            <v>5.0159000000000002</v>
          </cell>
          <cell r="J569">
            <v>7.5632000000000001</v>
          </cell>
          <cell r="K569">
            <v>5.08</v>
          </cell>
          <cell r="L569">
            <v>5.56</v>
          </cell>
          <cell r="M569">
            <v>5.4</v>
          </cell>
          <cell r="O569">
            <v>1.661</v>
          </cell>
          <cell r="P569">
            <v>0.87939999999999996</v>
          </cell>
          <cell r="Q569">
            <v>94.439390493518317</v>
          </cell>
          <cell r="U569">
            <v>4.9138999999999999</v>
          </cell>
          <cell r="V569">
            <v>16.632999999999999</v>
          </cell>
          <cell r="W569" t="str">
            <v>#N/A N/A</v>
          </cell>
        </row>
        <row r="570">
          <cell r="B570">
            <v>80.287999999999997</v>
          </cell>
          <cell r="D570">
            <v>1.3814</v>
          </cell>
          <cell r="E570">
            <v>915.65</v>
          </cell>
          <cell r="F570">
            <v>7.5604800000000001</v>
          </cell>
          <cell r="G570" t="e">
            <v>#VALUE!</v>
          </cell>
          <cell r="I570">
            <v>4.9497</v>
          </cell>
          <cell r="J570">
            <v>7.5739999999999998</v>
          </cell>
          <cell r="K570">
            <v>5.08</v>
          </cell>
          <cell r="L570">
            <v>5.57</v>
          </cell>
          <cell r="M570">
            <v>5.41</v>
          </cell>
          <cell r="O570">
            <v>1.6587000000000001</v>
          </cell>
          <cell r="P570">
            <v>0.87580000000000002</v>
          </cell>
          <cell r="Q570">
            <v>94.696277688970085</v>
          </cell>
          <cell r="U570">
            <v>4.8383000000000003</v>
          </cell>
          <cell r="V570">
            <v>16.617000000000001</v>
          </cell>
          <cell r="W570" t="str">
            <v>#N/A N/A</v>
          </cell>
        </row>
        <row r="571">
          <cell r="B571">
            <v>80.287999999999997</v>
          </cell>
          <cell r="D571">
            <v>1.3814</v>
          </cell>
          <cell r="E571">
            <v>915.65</v>
          </cell>
          <cell r="F571">
            <v>7.5604800000000001</v>
          </cell>
          <cell r="G571" t="e">
            <v>#VALUE!</v>
          </cell>
          <cell r="I571">
            <v>4.9497</v>
          </cell>
          <cell r="J571">
            <v>7.5739999999999998</v>
          </cell>
          <cell r="K571">
            <v>5.08</v>
          </cell>
          <cell r="L571">
            <v>5.57</v>
          </cell>
          <cell r="M571">
            <v>5.41</v>
          </cell>
          <cell r="O571">
            <v>1.6587000000000001</v>
          </cell>
          <cell r="P571">
            <v>0.87580000000000002</v>
          </cell>
          <cell r="Q571">
            <v>94.696277688970085</v>
          </cell>
          <cell r="U571">
            <v>4.8383000000000003</v>
          </cell>
          <cell r="V571">
            <v>16.617000000000001</v>
          </cell>
          <cell r="W571" t="str">
            <v>#N/A N/A</v>
          </cell>
        </row>
        <row r="572">
          <cell r="B572">
            <v>80.287999999999997</v>
          </cell>
          <cell r="D572">
            <v>1.3814</v>
          </cell>
          <cell r="E572">
            <v>915.65</v>
          </cell>
          <cell r="F572">
            <v>7.5604800000000001</v>
          </cell>
          <cell r="G572" t="e">
            <v>#VALUE!</v>
          </cell>
          <cell r="I572">
            <v>4.9497</v>
          </cell>
          <cell r="J572">
            <v>7.5739999999999998</v>
          </cell>
          <cell r="K572">
            <v>5.08</v>
          </cell>
          <cell r="L572">
            <v>5.57</v>
          </cell>
          <cell r="M572">
            <v>5.41</v>
          </cell>
          <cell r="O572">
            <v>1.6587000000000001</v>
          </cell>
          <cell r="P572">
            <v>0.87580000000000002</v>
          </cell>
          <cell r="Q572">
            <v>94.696277688970085</v>
          </cell>
          <cell r="U572">
            <v>4.8383000000000003</v>
          </cell>
          <cell r="V572">
            <v>16.617000000000001</v>
          </cell>
          <cell r="W572" t="str">
            <v>#N/A N/A</v>
          </cell>
        </row>
        <row r="573">
          <cell r="B573">
            <v>80.353999999999999</v>
          </cell>
          <cell r="D573">
            <v>1.3812</v>
          </cell>
          <cell r="E573">
            <v>915.35</v>
          </cell>
          <cell r="F573">
            <v>7.54399</v>
          </cell>
          <cell r="G573" t="e">
            <v>#VALUE!</v>
          </cell>
          <cell r="I573">
            <v>4.9477000000000002</v>
          </cell>
          <cell r="J573">
            <v>7.5620000000000003</v>
          </cell>
          <cell r="K573">
            <v>5.08</v>
          </cell>
          <cell r="L573">
            <v>5.5380000000000003</v>
          </cell>
          <cell r="M573">
            <v>5.38</v>
          </cell>
          <cell r="O573">
            <v>1.6659999999999999</v>
          </cell>
          <cell r="P573">
            <v>0.88360000000000005</v>
          </cell>
          <cell r="Q573">
            <v>94.273426889995463</v>
          </cell>
          <cell r="U573">
            <v>4.8418999999999999</v>
          </cell>
          <cell r="V573">
            <v>17.966999999999999</v>
          </cell>
          <cell r="W573" t="str">
            <v>#N/A N/A</v>
          </cell>
        </row>
        <row r="574">
          <cell r="B574">
            <v>80.076999999999998</v>
          </cell>
          <cell r="D574">
            <v>1.3817999999999999</v>
          </cell>
          <cell r="E574">
            <v>913.25</v>
          </cell>
          <cell r="F574">
            <v>7.5636200000000002</v>
          </cell>
          <cell r="G574" t="e">
            <v>#VALUE!</v>
          </cell>
          <cell r="I574">
            <v>4.9085000000000001</v>
          </cell>
          <cell r="J574">
            <v>7.5625</v>
          </cell>
          <cell r="K574">
            <v>5.08</v>
          </cell>
          <cell r="L574">
            <v>5.56</v>
          </cell>
          <cell r="M574">
            <v>5.407</v>
          </cell>
          <cell r="O574">
            <v>1.6674</v>
          </cell>
          <cell r="P574">
            <v>0.88329999999999997</v>
          </cell>
          <cell r="Q574">
            <v>94.38469376202876</v>
          </cell>
          <cell r="U574">
            <v>4.7880000000000003</v>
          </cell>
          <cell r="V574">
            <v>20.693999999999999</v>
          </cell>
          <cell r="W574" t="str">
            <v>#N/A N/A</v>
          </cell>
        </row>
        <row r="575">
          <cell r="B575">
            <v>80.652000000000001</v>
          </cell>
          <cell r="D575">
            <v>1.3714</v>
          </cell>
          <cell r="E575">
            <v>913.97</v>
          </cell>
          <cell r="F575">
            <v>7.6200400000000004</v>
          </cell>
          <cell r="G575" t="e">
            <v>#VALUE!</v>
          </cell>
          <cell r="I575">
            <v>4.8982999999999999</v>
          </cell>
          <cell r="J575">
            <v>7.5610999999999997</v>
          </cell>
          <cell r="K575">
            <v>5.08</v>
          </cell>
          <cell r="L575">
            <v>5.5019999999999998</v>
          </cell>
          <cell r="M575">
            <v>5.3550000000000004</v>
          </cell>
          <cell r="O575">
            <v>1.6646000000000001</v>
          </cell>
          <cell r="P575">
            <v>0.88300000000000001</v>
          </cell>
          <cell r="Q575">
            <v>94.258210645526617</v>
          </cell>
          <cell r="U575">
            <v>4.7735000000000003</v>
          </cell>
          <cell r="V575">
            <v>21</v>
          </cell>
          <cell r="W575" t="str">
            <v>#N/A N/A</v>
          </cell>
        </row>
        <row r="576">
          <cell r="B576">
            <v>80.453000000000003</v>
          </cell>
          <cell r="D576">
            <v>1.3759000000000001</v>
          </cell>
          <cell r="E576">
            <v>918.22</v>
          </cell>
          <cell r="F576">
            <v>7.7116400000000001</v>
          </cell>
          <cell r="G576" t="e">
            <v>#VALUE!</v>
          </cell>
          <cell r="I576">
            <v>4.7854000000000001</v>
          </cell>
          <cell r="J576">
            <v>7.5655000000000001</v>
          </cell>
          <cell r="K576">
            <v>5.08</v>
          </cell>
          <cell r="L576">
            <v>5.45</v>
          </cell>
          <cell r="M576">
            <v>5.3150000000000004</v>
          </cell>
          <cell r="O576">
            <v>1.6560000000000001</v>
          </cell>
          <cell r="P576">
            <v>0.87860000000000005</v>
          </cell>
          <cell r="Q576">
            <v>94.240837696335078</v>
          </cell>
          <cell r="U576">
            <v>4.6021000000000001</v>
          </cell>
          <cell r="V576">
            <v>22.806000000000001</v>
          </cell>
          <cell r="W576" t="str">
            <v>#N/A N/A</v>
          </cell>
        </row>
        <row r="577">
          <cell r="B577">
            <v>80.945999999999998</v>
          </cell>
          <cell r="D577">
            <v>1.3637000000000001</v>
          </cell>
          <cell r="E577">
            <v>923.25</v>
          </cell>
          <cell r="F577">
            <v>7.7757199999999997</v>
          </cell>
          <cell r="G577" t="e">
            <v>#VALUE!</v>
          </cell>
          <cell r="I577">
            <v>4.7569999999999997</v>
          </cell>
          <cell r="J577">
            <v>7.5623000000000005</v>
          </cell>
          <cell r="K577">
            <v>5.09</v>
          </cell>
          <cell r="L577">
            <v>5.3840000000000003</v>
          </cell>
          <cell r="M577">
            <v>5.2530000000000001</v>
          </cell>
          <cell r="O577">
            <v>1.6488</v>
          </cell>
          <cell r="P577">
            <v>0.85329999999999995</v>
          </cell>
          <cell r="Q577">
            <v>96.61314895113091</v>
          </cell>
          <cell r="U577">
            <v>4.5614999999999997</v>
          </cell>
          <cell r="V577">
            <v>29.233000000000001</v>
          </cell>
          <cell r="W577" t="str">
            <v>#N/A N/A</v>
          </cell>
        </row>
        <row r="578">
          <cell r="B578">
            <v>80.945999999999998</v>
          </cell>
          <cell r="D578">
            <v>1.3637000000000001</v>
          </cell>
          <cell r="E578">
            <v>923.25</v>
          </cell>
          <cell r="F578">
            <v>7.7757199999999997</v>
          </cell>
          <cell r="G578" t="e">
            <v>#VALUE!</v>
          </cell>
          <cell r="I578">
            <v>4.7569999999999997</v>
          </cell>
          <cell r="J578">
            <v>7.5623000000000005</v>
          </cell>
          <cell r="K578">
            <v>5.09</v>
          </cell>
          <cell r="L578">
            <v>5.3840000000000003</v>
          </cell>
          <cell r="M578">
            <v>5.2530000000000001</v>
          </cell>
          <cell r="O578">
            <v>1.6488</v>
          </cell>
          <cell r="P578">
            <v>0.85329999999999995</v>
          </cell>
          <cell r="Q578">
            <v>96.61314895113091</v>
          </cell>
          <cell r="U578">
            <v>4.5614999999999997</v>
          </cell>
          <cell r="V578">
            <v>29.233000000000001</v>
          </cell>
          <cell r="W578" t="str">
            <v>#N/A N/A</v>
          </cell>
        </row>
        <row r="579">
          <cell r="B579">
            <v>80.945999999999998</v>
          </cell>
          <cell r="D579">
            <v>1.3637000000000001</v>
          </cell>
          <cell r="E579">
            <v>923.25</v>
          </cell>
          <cell r="F579">
            <v>7.7757199999999997</v>
          </cell>
          <cell r="G579" t="e">
            <v>#VALUE!</v>
          </cell>
          <cell r="I579">
            <v>4.7569999999999997</v>
          </cell>
          <cell r="J579">
            <v>7.5623000000000005</v>
          </cell>
          <cell r="K579">
            <v>5.09</v>
          </cell>
          <cell r="L579">
            <v>5.3840000000000003</v>
          </cell>
          <cell r="M579">
            <v>5.2530000000000001</v>
          </cell>
          <cell r="O579">
            <v>1.6488</v>
          </cell>
          <cell r="P579">
            <v>0.85329999999999995</v>
          </cell>
          <cell r="Q579">
            <v>96.61314895113091</v>
          </cell>
          <cell r="U579">
            <v>4.5614999999999997</v>
          </cell>
          <cell r="V579">
            <v>29.233000000000001</v>
          </cell>
          <cell r="W579" t="str">
            <v>#N/A N/A</v>
          </cell>
        </row>
        <row r="580">
          <cell r="B580">
            <v>80.849000000000004</v>
          </cell>
          <cell r="D580">
            <v>1.3684000000000001</v>
          </cell>
          <cell r="E580">
            <v>921.85</v>
          </cell>
          <cell r="F580">
            <v>7.7739799999999999</v>
          </cell>
          <cell r="G580" t="e">
            <v>#VALUE!</v>
          </cell>
          <cell r="I580">
            <v>4.8019999999999996</v>
          </cell>
          <cell r="J580">
            <v>7.5674000000000001</v>
          </cell>
          <cell r="K580">
            <v>5.09</v>
          </cell>
          <cell r="L580">
            <v>5.4089999999999998</v>
          </cell>
          <cell r="M580">
            <v>5.2690000000000001</v>
          </cell>
          <cell r="O580">
            <v>1.6444999999999999</v>
          </cell>
          <cell r="P580">
            <v>0.85199999999999998</v>
          </cell>
          <cell r="Q580">
            <v>96.508215962441312</v>
          </cell>
          <cell r="U580">
            <v>4.6356000000000002</v>
          </cell>
          <cell r="V580">
            <v>34.386000000000003</v>
          </cell>
          <cell r="W580" t="str">
            <v>#N/A N/A</v>
          </cell>
        </row>
        <row r="581">
          <cell r="B581">
            <v>80.77</v>
          </cell>
          <cell r="D581">
            <v>1.3693</v>
          </cell>
          <cell r="E581">
            <v>919.15</v>
          </cell>
          <cell r="F581">
            <v>7.7101800000000003</v>
          </cell>
          <cell r="G581" t="e">
            <v>#VALUE!</v>
          </cell>
          <cell r="I581">
            <v>4.7388000000000003</v>
          </cell>
          <cell r="J581">
            <v>7.5724</v>
          </cell>
          <cell r="K581">
            <v>5.0999999999999996</v>
          </cell>
          <cell r="L581">
            <v>5.37</v>
          </cell>
          <cell r="M581">
            <v>5.2220000000000004</v>
          </cell>
          <cell r="O581">
            <v>1.6478999999999999</v>
          </cell>
          <cell r="P581">
            <v>0.85880000000000001</v>
          </cell>
          <cell r="Q581">
            <v>95.94201210992081</v>
          </cell>
          <cell r="U581">
            <v>4.5613999999999999</v>
          </cell>
          <cell r="V581">
            <v>31.82</v>
          </cell>
          <cell r="W581" t="str">
            <v>#N/A N/A</v>
          </cell>
        </row>
        <row r="582">
          <cell r="B582">
            <v>80.872</v>
          </cell>
          <cell r="D582">
            <v>1.3671</v>
          </cell>
          <cell r="E582">
            <v>925.15</v>
          </cell>
          <cell r="F582">
            <v>7.8026799999999996</v>
          </cell>
          <cell r="G582" t="e">
            <v>#VALUE!</v>
          </cell>
          <cell r="I582">
            <v>4.7919</v>
          </cell>
          <cell r="J582">
            <v>7.5705</v>
          </cell>
          <cell r="K582">
            <v>5.0999999999999996</v>
          </cell>
          <cell r="L582">
            <v>5.31</v>
          </cell>
          <cell r="M582">
            <v>5.16</v>
          </cell>
          <cell r="O582">
            <v>1.6447000000000001</v>
          </cell>
          <cell r="P582">
            <v>0.85170000000000001</v>
          </cell>
          <cell r="Q582">
            <v>96.553950921686038</v>
          </cell>
          <cell r="U582">
            <v>4.6391</v>
          </cell>
          <cell r="V582">
            <v>32.1</v>
          </cell>
          <cell r="W582" t="str">
            <v>#N/A N/A</v>
          </cell>
        </row>
        <row r="583">
          <cell r="B583">
            <v>80.712999999999994</v>
          </cell>
          <cell r="D583">
            <v>1.3695999999999999</v>
          </cell>
          <cell r="E583">
            <v>922.88</v>
          </cell>
          <cell r="F583">
            <v>7.7467899999999998</v>
          </cell>
          <cell r="G583" t="e">
            <v>#VALUE!</v>
          </cell>
          <cell r="I583">
            <v>4.7653999999999996</v>
          </cell>
          <cell r="J583">
            <v>7.5753000000000004</v>
          </cell>
          <cell r="K583">
            <v>5.0999999999999996</v>
          </cell>
          <cell r="L583">
            <v>5.34</v>
          </cell>
          <cell r="M583">
            <v>5.19</v>
          </cell>
          <cell r="O583">
            <v>1.6501000000000001</v>
          </cell>
          <cell r="P583">
            <v>0.85819999999999996</v>
          </cell>
          <cell r="Q583">
            <v>96.137264041016095</v>
          </cell>
          <cell r="U583">
            <v>4.6143000000000001</v>
          </cell>
          <cell r="V583">
            <v>31.587</v>
          </cell>
          <cell r="W583" t="str">
            <v>#N/A N/A</v>
          </cell>
        </row>
        <row r="584">
          <cell r="B584">
            <v>80.177000000000007</v>
          </cell>
          <cell r="D584">
            <v>1.3786</v>
          </cell>
          <cell r="E584">
            <v>922.85</v>
          </cell>
          <cell r="F584">
            <v>7.7861200000000004</v>
          </cell>
          <cell r="G584" t="e">
            <v>#VALUE!</v>
          </cell>
          <cell r="I584">
            <v>4.6841999999999997</v>
          </cell>
          <cell r="J584">
            <v>7.5679999999999996</v>
          </cell>
          <cell r="K584">
            <v>5.0999999999999996</v>
          </cell>
          <cell r="L584">
            <v>5.34</v>
          </cell>
          <cell r="M584">
            <v>5.19</v>
          </cell>
          <cell r="O584">
            <v>1.6436999999999999</v>
          </cell>
          <cell r="P584">
            <v>0.85660000000000003</v>
          </cell>
          <cell r="Q584">
            <v>95.94326406724258</v>
          </cell>
          <cell r="U584">
            <v>4.4835000000000003</v>
          </cell>
          <cell r="V584">
            <v>29.878</v>
          </cell>
          <cell r="W584" t="str">
            <v>#N/A N/A</v>
          </cell>
        </row>
        <row r="585">
          <cell r="B585">
            <v>80.177000000000007</v>
          </cell>
          <cell r="D585">
            <v>1.3786</v>
          </cell>
          <cell r="E585">
            <v>922.85</v>
          </cell>
          <cell r="F585">
            <v>7.7861200000000004</v>
          </cell>
          <cell r="G585" t="e">
            <v>#VALUE!</v>
          </cell>
          <cell r="I585">
            <v>4.6841999999999997</v>
          </cell>
          <cell r="J585">
            <v>7.5679999999999996</v>
          </cell>
          <cell r="K585">
            <v>5.0999999999999996</v>
          </cell>
          <cell r="L585">
            <v>5.34</v>
          </cell>
          <cell r="M585">
            <v>5.19</v>
          </cell>
          <cell r="O585">
            <v>1.6436999999999999</v>
          </cell>
          <cell r="P585">
            <v>0.85660000000000003</v>
          </cell>
          <cell r="Q585">
            <v>95.94326406724258</v>
          </cell>
          <cell r="U585">
            <v>4.4835000000000003</v>
          </cell>
          <cell r="V585">
            <v>29.878</v>
          </cell>
          <cell r="W585" t="str">
            <v>#N/A N/A</v>
          </cell>
        </row>
        <row r="586">
          <cell r="B586">
            <v>80.177000000000007</v>
          </cell>
          <cell r="D586">
            <v>1.3786</v>
          </cell>
          <cell r="E586">
            <v>922.85</v>
          </cell>
          <cell r="F586">
            <v>7.7861200000000004</v>
          </cell>
          <cell r="G586" t="e">
            <v>#VALUE!</v>
          </cell>
          <cell r="I586">
            <v>4.6841999999999997</v>
          </cell>
          <cell r="J586">
            <v>7.5679999999999996</v>
          </cell>
          <cell r="K586">
            <v>5.0999999999999996</v>
          </cell>
          <cell r="L586">
            <v>5.34</v>
          </cell>
          <cell r="M586">
            <v>5.19</v>
          </cell>
          <cell r="O586">
            <v>1.6436999999999999</v>
          </cell>
          <cell r="P586">
            <v>0.85660000000000003</v>
          </cell>
          <cell r="Q586">
            <v>95.94326406724258</v>
          </cell>
          <cell r="U586">
            <v>4.4835000000000003</v>
          </cell>
          <cell r="V586">
            <v>29.878</v>
          </cell>
          <cell r="W586" t="str">
            <v>#N/A N/A</v>
          </cell>
        </row>
        <row r="587">
          <cell r="B587">
            <v>80.254999999999995</v>
          </cell>
          <cell r="D587">
            <v>1.3788</v>
          </cell>
          <cell r="E587">
            <v>923.47</v>
          </cell>
          <cell r="F587">
            <v>7.8052200000000003</v>
          </cell>
          <cell r="G587" t="e">
            <v>#VALUE!</v>
          </cell>
          <cell r="I587">
            <v>4.7370999999999999</v>
          </cell>
          <cell r="J587">
            <v>7.5609999999999999</v>
          </cell>
          <cell r="K587">
            <v>5.0999999999999996</v>
          </cell>
          <cell r="L587">
            <v>5.34</v>
          </cell>
          <cell r="M587">
            <v>5.1879999999999997</v>
          </cell>
          <cell r="O587">
            <v>1.6393</v>
          </cell>
          <cell r="P587">
            <v>0.85740000000000005</v>
          </cell>
          <cell r="Q587">
            <v>95.597154187077209</v>
          </cell>
          <cell r="U587">
            <v>4.5646000000000004</v>
          </cell>
          <cell r="V587">
            <v>29.25</v>
          </cell>
          <cell r="W587" t="str">
            <v>#N/A N/A</v>
          </cell>
        </row>
        <row r="588">
          <cell r="B588">
            <v>80.478999999999999</v>
          </cell>
          <cell r="D588">
            <v>1.3740999999999999</v>
          </cell>
          <cell r="E588">
            <v>922.55</v>
          </cell>
          <cell r="F588">
            <v>7.7837500000000004</v>
          </cell>
          <cell r="G588" t="e">
            <v>#VALUE!</v>
          </cell>
          <cell r="I588">
            <v>4.7676999999999996</v>
          </cell>
          <cell r="J588">
            <v>7.5702999999999996</v>
          </cell>
          <cell r="K588">
            <v>5.0999999999999996</v>
          </cell>
          <cell r="L588">
            <v>5.38</v>
          </cell>
          <cell r="M588">
            <v>5.2190000000000003</v>
          </cell>
          <cell r="O588">
            <v>1.6433</v>
          </cell>
          <cell r="P588">
            <v>0.85340000000000005</v>
          </cell>
          <cell r="Q588">
            <v>96.279587532224042</v>
          </cell>
          <cell r="U588">
            <v>4.5928000000000004</v>
          </cell>
          <cell r="V588">
            <v>27.45</v>
          </cell>
          <cell r="W588" t="str">
            <v>#N/A N/A</v>
          </cell>
        </row>
        <row r="589">
          <cell r="B589">
            <v>80.343000000000004</v>
          </cell>
          <cell r="D589">
            <v>1.3809</v>
          </cell>
          <cell r="E589">
            <v>924.1</v>
          </cell>
          <cell r="F589">
            <v>7.71739</v>
          </cell>
          <cell r="G589" t="e">
            <v>#VALUE!</v>
          </cell>
          <cell r="I589">
            <v>4.8766999999999996</v>
          </cell>
          <cell r="J589">
            <v>7.5747999999999998</v>
          </cell>
          <cell r="K589">
            <v>5.0999999999999996</v>
          </cell>
          <cell r="L589">
            <v>5.4189999999999996</v>
          </cell>
          <cell r="M589">
            <v>5.258</v>
          </cell>
          <cell r="O589">
            <v>1.6499000000000001</v>
          </cell>
          <cell r="P589">
            <v>0.86150000000000004</v>
          </cell>
          <cell r="Q589">
            <v>95.757399883923384</v>
          </cell>
          <cell r="U589">
            <v>4.7172999999999998</v>
          </cell>
          <cell r="V589">
            <v>27.356999999999999</v>
          </cell>
          <cell r="W589" t="str">
            <v>#N/A N/A</v>
          </cell>
        </row>
        <row r="590">
          <cell r="B590">
            <v>80.744</v>
          </cell>
          <cell r="D590">
            <v>1.3692</v>
          </cell>
          <cell r="E590">
            <v>925.05</v>
          </cell>
          <cell r="F590">
            <v>7.7962899999999999</v>
          </cell>
          <cell r="G590" t="e">
            <v>#VALUE!</v>
          </cell>
          <cell r="I590">
            <v>4.7678000000000003</v>
          </cell>
          <cell r="J590">
            <v>7.5687999999999995</v>
          </cell>
          <cell r="K590">
            <v>5.21</v>
          </cell>
          <cell r="L590">
            <v>5.468</v>
          </cell>
          <cell r="M590">
            <v>5.32</v>
          </cell>
          <cell r="O590">
            <v>1.6388</v>
          </cell>
          <cell r="P590">
            <v>0.85199999999999998</v>
          </cell>
          <cell r="Q590">
            <v>96.173708920187792</v>
          </cell>
          <cell r="U590">
            <v>4.5644</v>
          </cell>
          <cell r="V590">
            <v>27.172999999999998</v>
          </cell>
          <cell r="W590" t="str">
            <v>#N/A N/A</v>
          </cell>
        </row>
        <row r="591">
          <cell r="B591">
            <v>80.679000000000002</v>
          </cell>
          <cell r="D591">
            <v>1.3686</v>
          </cell>
          <cell r="E591">
            <v>930.5</v>
          </cell>
          <cell r="F591">
            <v>7.8675899999999999</v>
          </cell>
          <cell r="G591" t="e">
            <v>#VALUE!</v>
          </cell>
          <cell r="I591">
            <v>4.8075999999999999</v>
          </cell>
          <cell r="J591">
            <v>7.5739999999999998</v>
          </cell>
          <cell r="K591">
            <v>5.22</v>
          </cell>
          <cell r="L591">
            <v>5.3570000000000002</v>
          </cell>
          <cell r="M591">
            <v>5.27</v>
          </cell>
          <cell r="O591">
            <v>1.6408</v>
          </cell>
          <cell r="P591">
            <v>0.8448</v>
          </cell>
          <cell r="Q591">
            <v>97.111742424242436</v>
          </cell>
          <cell r="U591">
            <v>4.5926</v>
          </cell>
          <cell r="V591">
            <v>27.756</v>
          </cell>
          <cell r="W591" t="str">
            <v>#N/A N/A</v>
          </cell>
        </row>
        <row r="592">
          <cell r="B592">
            <v>80.679000000000002</v>
          </cell>
          <cell r="D592">
            <v>1.3686</v>
          </cell>
          <cell r="E592">
            <v>930.5</v>
          </cell>
          <cell r="F592">
            <v>7.8675899999999999</v>
          </cell>
          <cell r="G592" t="e">
            <v>#VALUE!</v>
          </cell>
          <cell r="I592">
            <v>4.8075999999999999</v>
          </cell>
          <cell r="J592">
            <v>7.5739999999999998</v>
          </cell>
          <cell r="K592">
            <v>5.22</v>
          </cell>
          <cell r="L592">
            <v>5.3570000000000002</v>
          </cell>
          <cell r="M592">
            <v>5.27</v>
          </cell>
          <cell r="O592">
            <v>1.6408</v>
          </cell>
          <cell r="P592">
            <v>0.8448</v>
          </cell>
          <cell r="Q592">
            <v>97.111742424242436</v>
          </cell>
          <cell r="U592">
            <v>4.5926</v>
          </cell>
          <cell r="V592">
            <v>27.756</v>
          </cell>
          <cell r="W592" t="str">
            <v>#N/A N/A</v>
          </cell>
        </row>
        <row r="593">
          <cell r="B593">
            <v>80.679000000000002</v>
          </cell>
          <cell r="D593">
            <v>1.3686</v>
          </cell>
          <cell r="E593">
            <v>930.5</v>
          </cell>
          <cell r="F593">
            <v>7.8675899999999999</v>
          </cell>
          <cell r="G593" t="e">
            <v>#VALUE!</v>
          </cell>
          <cell r="I593">
            <v>4.8075999999999999</v>
          </cell>
          <cell r="J593">
            <v>7.5739999999999998</v>
          </cell>
          <cell r="K593">
            <v>5.22</v>
          </cell>
          <cell r="L593">
            <v>5.3570000000000002</v>
          </cell>
          <cell r="M593">
            <v>5.27</v>
          </cell>
          <cell r="O593">
            <v>1.6408</v>
          </cell>
          <cell r="P593">
            <v>0.8448</v>
          </cell>
          <cell r="Q593">
            <v>97.111742424242436</v>
          </cell>
          <cell r="U593">
            <v>4.5926</v>
          </cell>
          <cell r="V593">
            <v>27.756</v>
          </cell>
          <cell r="W593" t="str">
            <v>#N/A N/A</v>
          </cell>
        </row>
        <row r="594">
          <cell r="B594">
            <v>81.048000000000002</v>
          </cell>
          <cell r="D594">
            <v>1.3620000000000001</v>
          </cell>
          <cell r="E594">
            <v>929.85</v>
          </cell>
          <cell r="F594">
            <v>7.8551200000000003</v>
          </cell>
          <cell r="G594" t="e">
            <v>#VALUE!</v>
          </cell>
          <cell r="I594">
            <v>4.7599</v>
          </cell>
          <cell r="J594">
            <v>7.5815000000000001</v>
          </cell>
          <cell r="K594">
            <v>5.23</v>
          </cell>
          <cell r="L594">
            <v>5.39</v>
          </cell>
          <cell r="M594">
            <v>5.2939999999999996</v>
          </cell>
          <cell r="O594">
            <v>1.6421999999999999</v>
          </cell>
          <cell r="P594">
            <v>0.84160000000000001</v>
          </cell>
          <cell r="Q594">
            <v>97.56416349809885</v>
          </cell>
          <cell r="U594">
            <v>4.5392999999999999</v>
          </cell>
          <cell r="V594">
            <v>26.667000000000002</v>
          </cell>
          <cell r="W594" t="str">
            <v>#N/A N/A</v>
          </cell>
        </row>
        <row r="595">
          <cell r="B595">
            <v>81.489000000000004</v>
          </cell>
          <cell r="D595">
            <v>1.3574999999999999</v>
          </cell>
          <cell r="E595">
            <v>932.38</v>
          </cell>
          <cell r="F595">
            <v>7.9001400000000004</v>
          </cell>
          <cell r="G595" t="e">
            <v>#VALUE!</v>
          </cell>
          <cell r="I595">
            <v>4.7243000000000004</v>
          </cell>
          <cell r="J595">
            <v>7.5815000000000001</v>
          </cell>
          <cell r="K595">
            <v>5.24</v>
          </cell>
          <cell r="L595">
            <v>5.4</v>
          </cell>
          <cell r="M595">
            <v>5.3</v>
          </cell>
          <cell r="O595">
            <v>1.6421000000000001</v>
          </cell>
          <cell r="P595">
            <v>0.83799999999999997</v>
          </cell>
          <cell r="Q595">
            <v>97.977326968973756</v>
          </cell>
          <cell r="U595">
            <v>4.4825999999999997</v>
          </cell>
          <cell r="V595">
            <v>26.763999999999999</v>
          </cell>
          <cell r="W595" t="str">
            <v>#N/A N/A</v>
          </cell>
        </row>
        <row r="596">
          <cell r="B596">
            <v>81.822000000000003</v>
          </cell>
          <cell r="D596">
            <v>1.3467</v>
          </cell>
          <cell r="E596">
            <v>935.7</v>
          </cell>
          <cell r="F596">
            <v>7.9742600000000001</v>
          </cell>
          <cell r="G596" t="e">
            <v>#VALUE!</v>
          </cell>
          <cell r="I596">
            <v>4.7243000000000004</v>
          </cell>
          <cell r="J596">
            <v>7.5857999999999999</v>
          </cell>
          <cell r="K596">
            <v>5.24</v>
          </cell>
          <cell r="L596">
            <v>5.4</v>
          </cell>
          <cell r="M596">
            <v>5.3</v>
          </cell>
          <cell r="O596">
            <v>1.6419000000000001</v>
          </cell>
          <cell r="P596">
            <v>0.8226</v>
          </cell>
          <cell r="Q596">
            <v>99.79941648431803</v>
          </cell>
          <cell r="U596">
            <v>4.4507000000000003</v>
          </cell>
          <cell r="V596">
            <v>28.233000000000001</v>
          </cell>
          <cell r="W596" t="str">
            <v>#N/A N/A</v>
          </cell>
        </row>
        <row r="597">
          <cell r="B597">
            <v>81.728999999999999</v>
          </cell>
          <cell r="D597">
            <v>1.3399000000000001</v>
          </cell>
          <cell r="E597">
            <v>946.15</v>
          </cell>
          <cell r="F597">
            <v>8.43797</v>
          </cell>
          <cell r="G597" t="e">
            <v>#VALUE!</v>
          </cell>
          <cell r="I597">
            <v>4.6571999999999996</v>
          </cell>
          <cell r="J597">
            <v>7.6040000000000001</v>
          </cell>
          <cell r="K597">
            <v>5.25</v>
          </cell>
          <cell r="L597">
            <v>5.34</v>
          </cell>
          <cell r="M597">
            <v>5.24</v>
          </cell>
          <cell r="O597">
            <v>1.6261000000000001</v>
          </cell>
          <cell r="P597">
            <v>0.78390000000000004</v>
          </cell>
          <cell r="Q597">
            <v>103.71858655440744</v>
          </cell>
          <cell r="U597">
            <v>4.3589000000000002</v>
          </cell>
          <cell r="V597">
            <v>32.497999999999998</v>
          </cell>
          <cell r="W597" t="str">
            <v>#N/A N/A</v>
          </cell>
        </row>
        <row r="598">
          <cell r="B598">
            <v>81.426000000000002</v>
          </cell>
          <cell r="D598">
            <v>1.3493999999999999</v>
          </cell>
          <cell r="E598">
            <v>943.6</v>
          </cell>
          <cell r="F598">
            <v>8.2532999999999994</v>
          </cell>
          <cell r="G598" t="e">
            <v>#VALUE!</v>
          </cell>
          <cell r="I598">
            <v>4.6847000000000003</v>
          </cell>
          <cell r="J598">
            <v>7.5984999999999996</v>
          </cell>
          <cell r="K598">
            <v>5.25</v>
          </cell>
          <cell r="L598">
            <v>5.3380000000000001</v>
          </cell>
          <cell r="M598">
            <v>5.23</v>
          </cell>
          <cell r="O598">
            <v>1.6278999999999999</v>
          </cell>
          <cell r="P598">
            <v>0.79330000000000001</v>
          </cell>
          <cell r="Q598">
            <v>102.60305054834235</v>
          </cell>
          <cell r="U598">
            <v>4.3585000000000003</v>
          </cell>
          <cell r="V598">
            <v>37.375</v>
          </cell>
          <cell r="W598" t="str">
            <v>#N/A N/A</v>
          </cell>
        </row>
        <row r="599">
          <cell r="B599">
            <v>81.426000000000002</v>
          </cell>
          <cell r="D599">
            <v>1.3493999999999999</v>
          </cell>
          <cell r="E599">
            <v>943.6</v>
          </cell>
          <cell r="F599">
            <v>8.2532999999999994</v>
          </cell>
          <cell r="G599" t="e">
            <v>#VALUE!</v>
          </cell>
          <cell r="I599">
            <v>4.6847000000000003</v>
          </cell>
          <cell r="J599">
            <v>7.5984999999999996</v>
          </cell>
          <cell r="K599">
            <v>5.25</v>
          </cell>
          <cell r="L599">
            <v>5.3380000000000001</v>
          </cell>
          <cell r="M599">
            <v>5.23</v>
          </cell>
          <cell r="O599">
            <v>1.6278999999999999</v>
          </cell>
          <cell r="P599">
            <v>0.79330000000000001</v>
          </cell>
          <cell r="Q599">
            <v>102.60305054834235</v>
          </cell>
          <cell r="U599">
            <v>4.3585000000000003</v>
          </cell>
          <cell r="V599">
            <v>37.375</v>
          </cell>
          <cell r="W599" t="str">
            <v>#N/A N/A</v>
          </cell>
        </row>
        <row r="600">
          <cell r="B600">
            <v>81.426000000000002</v>
          </cell>
          <cell r="D600">
            <v>1.3493999999999999</v>
          </cell>
          <cell r="E600">
            <v>943.6</v>
          </cell>
          <cell r="F600">
            <v>8.2532999999999994</v>
          </cell>
          <cell r="G600" t="e">
            <v>#VALUE!</v>
          </cell>
          <cell r="I600">
            <v>4.6847000000000003</v>
          </cell>
          <cell r="J600">
            <v>7.5984999999999996</v>
          </cell>
          <cell r="K600">
            <v>5.25</v>
          </cell>
          <cell r="L600">
            <v>5.3380000000000001</v>
          </cell>
          <cell r="M600">
            <v>5.23</v>
          </cell>
          <cell r="O600">
            <v>1.6278999999999999</v>
          </cell>
          <cell r="P600">
            <v>0.79330000000000001</v>
          </cell>
          <cell r="Q600">
            <v>102.60305054834235</v>
          </cell>
          <cell r="U600">
            <v>4.3585000000000003</v>
          </cell>
          <cell r="V600">
            <v>37.375</v>
          </cell>
          <cell r="W600" t="str">
            <v>#N/A N/A</v>
          </cell>
        </row>
        <row r="601">
          <cell r="B601">
            <v>81.400000000000006</v>
          </cell>
          <cell r="D601">
            <v>1.3468</v>
          </cell>
          <cell r="E601">
            <v>944.4</v>
          </cell>
          <cell r="F601">
            <v>8.2612000000000005</v>
          </cell>
          <cell r="G601" t="e">
            <v>#VALUE!</v>
          </cell>
          <cell r="I601">
            <v>4.6257000000000001</v>
          </cell>
          <cell r="J601">
            <v>7.5895000000000001</v>
          </cell>
          <cell r="K601">
            <v>5.26</v>
          </cell>
          <cell r="L601">
            <v>5.3789999999999996</v>
          </cell>
          <cell r="M601">
            <v>5.258</v>
          </cell>
          <cell r="O601">
            <v>1.6238999999999999</v>
          </cell>
          <cell r="P601">
            <v>0.79790000000000005</v>
          </cell>
          <cell r="Q601">
            <v>101.76087228976061</v>
          </cell>
          <cell r="U601">
            <v>4.2949999999999999</v>
          </cell>
          <cell r="V601">
            <v>36.405999999999999</v>
          </cell>
          <cell r="W601" t="str">
            <v>#N/A N/A</v>
          </cell>
        </row>
        <row r="602">
          <cell r="B602">
            <v>81.492000000000004</v>
          </cell>
          <cell r="D602">
            <v>1.3479000000000001</v>
          </cell>
          <cell r="E602">
            <v>948.3</v>
          </cell>
          <cell r="F602">
            <v>8.2955699999999997</v>
          </cell>
          <cell r="G602" t="e">
            <v>#VALUE!</v>
          </cell>
          <cell r="I602">
            <v>4.5903999999999998</v>
          </cell>
          <cell r="J602">
            <v>7.5940000000000003</v>
          </cell>
          <cell r="K602">
            <v>5.26</v>
          </cell>
          <cell r="L602">
            <v>5.38</v>
          </cell>
          <cell r="M602">
            <v>5.2549999999999999</v>
          </cell>
          <cell r="O602">
            <v>1.625</v>
          </cell>
          <cell r="P602">
            <v>0.8004</v>
          </cell>
          <cell r="Q602">
            <v>101.51174412793603</v>
          </cell>
          <cell r="U602">
            <v>4.2526999999999999</v>
          </cell>
          <cell r="V602">
            <v>34.396000000000001</v>
          </cell>
          <cell r="W602" t="str">
            <v>#N/A N/A</v>
          </cell>
        </row>
        <row r="603">
          <cell r="B603">
            <v>81.248999999999995</v>
          </cell>
          <cell r="D603">
            <v>1.3532</v>
          </cell>
          <cell r="E603">
            <v>944.13</v>
          </cell>
          <cell r="F603">
            <v>8.2129999999999992</v>
          </cell>
          <cell r="G603" t="e">
            <v>#VALUE!</v>
          </cell>
          <cell r="I603">
            <v>4.6452</v>
          </cell>
          <cell r="J603">
            <v>7.5961999999999996</v>
          </cell>
          <cell r="K603">
            <v>5.26</v>
          </cell>
          <cell r="L603">
            <v>5.4169999999999998</v>
          </cell>
          <cell r="M603">
            <v>5.2830000000000004</v>
          </cell>
          <cell r="O603">
            <v>1.6320999999999999</v>
          </cell>
          <cell r="P603">
            <v>0.80430000000000001</v>
          </cell>
          <cell r="Q603">
            <v>101.46089767499689</v>
          </cell>
          <cell r="U603">
            <v>4.3720999999999997</v>
          </cell>
          <cell r="V603">
            <v>33.563000000000002</v>
          </cell>
          <cell r="W603" t="str">
            <v>#N/A N/A</v>
          </cell>
        </row>
        <row r="604">
          <cell r="B604">
            <v>81.144999999999996</v>
          </cell>
          <cell r="D604">
            <v>1.3562000000000001</v>
          </cell>
          <cell r="E604">
            <v>944.1</v>
          </cell>
          <cell r="F604">
            <v>8.1597200000000001</v>
          </cell>
          <cell r="G604" t="e">
            <v>#VALUE!</v>
          </cell>
          <cell r="I604">
            <v>4.6452</v>
          </cell>
          <cell r="J604">
            <v>7.5869999999999997</v>
          </cell>
          <cell r="K604">
            <v>5.26</v>
          </cell>
          <cell r="L604">
            <v>5.45</v>
          </cell>
          <cell r="M604">
            <v>5.3079999999999998</v>
          </cell>
          <cell r="O604">
            <v>1.6341999999999999</v>
          </cell>
          <cell r="P604">
            <v>0.81420000000000003</v>
          </cell>
          <cell r="Q604">
            <v>100.35617784328174</v>
          </cell>
          <cell r="U604">
            <v>4.4073000000000002</v>
          </cell>
          <cell r="V604">
            <v>34.606000000000002</v>
          </cell>
          <cell r="W604" t="str">
            <v>#N/A N/A</v>
          </cell>
        </row>
        <row r="605">
          <cell r="B605">
            <v>80.667000000000002</v>
          </cell>
          <cell r="D605">
            <v>1.3669</v>
          </cell>
          <cell r="E605">
            <v>941.7</v>
          </cell>
          <cell r="F605">
            <v>8.1105900000000002</v>
          </cell>
          <cell r="G605" t="e">
            <v>#VALUE!</v>
          </cell>
          <cell r="I605">
            <v>4.6155999999999997</v>
          </cell>
          <cell r="J605">
            <v>7.5666000000000002</v>
          </cell>
          <cell r="K605">
            <v>5.26</v>
          </cell>
          <cell r="L605">
            <v>5.45</v>
          </cell>
          <cell r="M605">
            <v>5.3</v>
          </cell>
          <cell r="O605">
            <v>1.6421999999999999</v>
          </cell>
          <cell r="P605">
            <v>0.82440000000000002</v>
          </cell>
          <cell r="Q605">
            <v>99.59970887918486</v>
          </cell>
          <cell r="U605">
            <v>4.4104999999999999</v>
          </cell>
          <cell r="V605">
            <v>34.200000000000003</v>
          </cell>
          <cell r="W605" t="str">
            <v>#N/A N/A</v>
          </cell>
        </row>
        <row r="606">
          <cell r="B606">
            <v>80.667000000000002</v>
          </cell>
          <cell r="D606">
            <v>1.3669</v>
          </cell>
          <cell r="E606">
            <v>941.7</v>
          </cell>
          <cell r="F606">
            <v>8.1105900000000002</v>
          </cell>
          <cell r="G606" t="e">
            <v>#VALUE!</v>
          </cell>
          <cell r="I606">
            <v>4.6155999999999997</v>
          </cell>
          <cell r="J606">
            <v>7.5666000000000002</v>
          </cell>
          <cell r="K606">
            <v>5.26</v>
          </cell>
          <cell r="L606">
            <v>5.45</v>
          </cell>
          <cell r="M606">
            <v>5.3</v>
          </cell>
          <cell r="O606">
            <v>1.6421999999999999</v>
          </cell>
          <cell r="P606">
            <v>0.82440000000000002</v>
          </cell>
          <cell r="Q606">
            <v>99.59970887918486</v>
          </cell>
          <cell r="U606">
            <v>4.4104999999999999</v>
          </cell>
          <cell r="V606">
            <v>34.200000000000003</v>
          </cell>
          <cell r="W606" t="str">
            <v>#N/A N/A</v>
          </cell>
        </row>
        <row r="607">
          <cell r="B607">
            <v>80.667000000000002</v>
          </cell>
          <cell r="D607">
            <v>1.3669</v>
          </cell>
          <cell r="E607">
            <v>941.7</v>
          </cell>
          <cell r="F607">
            <v>8.1105900000000002</v>
          </cell>
          <cell r="G607" t="e">
            <v>#VALUE!</v>
          </cell>
          <cell r="I607">
            <v>4.6155999999999997</v>
          </cell>
          <cell r="J607">
            <v>7.5666000000000002</v>
          </cell>
          <cell r="K607">
            <v>5.26</v>
          </cell>
          <cell r="L607">
            <v>5.45</v>
          </cell>
          <cell r="M607">
            <v>5.3</v>
          </cell>
          <cell r="O607">
            <v>1.6421999999999999</v>
          </cell>
          <cell r="P607">
            <v>0.82440000000000002</v>
          </cell>
          <cell r="Q607">
            <v>99.59970887918486</v>
          </cell>
          <cell r="U607">
            <v>4.4104999999999999</v>
          </cell>
          <cell r="V607">
            <v>34.200000000000003</v>
          </cell>
          <cell r="W607" t="str">
            <v>#N/A N/A</v>
          </cell>
        </row>
        <row r="608">
          <cell r="B608">
            <v>80.739000000000004</v>
          </cell>
          <cell r="D608">
            <v>1.3651</v>
          </cell>
          <cell r="E608">
            <v>939</v>
          </cell>
          <cell r="F608">
            <v>8.0889000000000006</v>
          </cell>
          <cell r="G608" t="e">
            <v>#VALUE!</v>
          </cell>
          <cell r="I608">
            <v>4.5626999999999995</v>
          </cell>
          <cell r="J608">
            <v>7.5620000000000003</v>
          </cell>
          <cell r="K608">
            <v>5.27</v>
          </cell>
          <cell r="L608">
            <v>5.492</v>
          </cell>
          <cell r="M608">
            <v>5.335</v>
          </cell>
          <cell r="O608">
            <v>1.6419000000000001</v>
          </cell>
          <cell r="P608">
            <v>0.82930000000000004</v>
          </cell>
          <cell r="Q608">
            <v>98.993126733389616</v>
          </cell>
          <cell r="U608">
            <v>4.3361000000000001</v>
          </cell>
          <cell r="V608">
            <v>33.667000000000002</v>
          </cell>
          <cell r="W608" t="str">
            <v>#N/A N/A</v>
          </cell>
        </row>
        <row r="609">
          <cell r="B609">
            <v>80.756</v>
          </cell>
          <cell r="D609">
            <v>1.3633999999999999</v>
          </cell>
          <cell r="E609">
            <v>939.7</v>
          </cell>
          <cell r="F609">
            <v>8.1829699999999992</v>
          </cell>
          <cell r="G609" t="e">
            <v>#VALUE!</v>
          </cell>
          <cell r="I609">
            <v>4.5061999999999998</v>
          </cell>
          <cell r="J609">
            <v>7.5564999999999998</v>
          </cell>
          <cell r="K609">
            <v>5.27</v>
          </cell>
          <cell r="L609">
            <v>5.5270000000000001</v>
          </cell>
          <cell r="M609">
            <v>5.367</v>
          </cell>
          <cell r="O609">
            <v>1.637</v>
          </cell>
          <cell r="P609">
            <v>0.82240000000000002</v>
          </cell>
          <cell r="Q609">
            <v>99.525778210116727</v>
          </cell>
          <cell r="U609">
            <v>4.2161</v>
          </cell>
          <cell r="V609">
            <v>34.466999999999999</v>
          </cell>
          <cell r="W609" t="str">
            <v>#N/A N/A</v>
          </cell>
        </row>
        <row r="610">
          <cell r="B610">
            <v>80.7</v>
          </cell>
          <cell r="D610">
            <v>1.3662000000000001</v>
          </cell>
          <cell r="E610">
            <v>940.6</v>
          </cell>
          <cell r="F610">
            <v>8.1532499999999999</v>
          </cell>
          <cell r="G610" t="e">
            <v>#VALUE!</v>
          </cell>
          <cell r="I610">
            <v>4.5587</v>
          </cell>
          <cell r="J610">
            <v>7.5487000000000002</v>
          </cell>
          <cell r="K610">
            <v>5.27</v>
          </cell>
          <cell r="L610">
            <v>5.548</v>
          </cell>
          <cell r="M610">
            <v>5.39</v>
          </cell>
          <cell r="O610">
            <v>1.6383000000000001</v>
          </cell>
          <cell r="P610">
            <v>0.8165</v>
          </cell>
          <cell r="Q610">
            <v>100.32455603184324</v>
          </cell>
          <cell r="U610">
            <v>4.2968999999999999</v>
          </cell>
          <cell r="V610">
            <v>34.924999999999997</v>
          </cell>
          <cell r="W610" t="str">
            <v>#N/A N/A</v>
          </cell>
        </row>
        <row r="611">
          <cell r="B611">
            <v>80.793999999999997</v>
          </cell>
          <cell r="D611">
            <v>1.3654999999999999</v>
          </cell>
          <cell r="E611">
            <v>940.4</v>
          </cell>
          <cell r="F611">
            <v>8.1089099999999998</v>
          </cell>
          <cell r="G611" t="e">
            <v>#VALUE!</v>
          </cell>
          <cell r="I611">
            <v>4.5061</v>
          </cell>
          <cell r="J611">
            <v>7.5410000000000004</v>
          </cell>
          <cell r="K611">
            <v>5.28</v>
          </cell>
          <cell r="L611">
            <v>5.5209999999999999</v>
          </cell>
          <cell r="M611">
            <v>5.3579999999999997</v>
          </cell>
          <cell r="O611">
            <v>1.6417999999999999</v>
          </cell>
          <cell r="P611">
            <v>0.81830000000000003</v>
          </cell>
          <cell r="Q611">
            <v>100.31773188317241</v>
          </cell>
          <cell r="U611">
            <v>4.2262000000000004</v>
          </cell>
          <cell r="V611">
            <v>34.368000000000002</v>
          </cell>
          <cell r="W611" t="str">
            <v>#N/A N/A</v>
          </cell>
        </row>
        <row r="612">
          <cell r="B612">
            <v>80.790999999999997</v>
          </cell>
          <cell r="D612">
            <v>1.3635999999999999</v>
          </cell>
          <cell r="E612">
            <v>938.3</v>
          </cell>
          <cell r="F612">
            <v>8.0934600000000003</v>
          </cell>
          <cell r="G612" t="e">
            <v>#VALUE!</v>
          </cell>
          <cell r="I612">
            <v>4.5292000000000003</v>
          </cell>
          <cell r="J612">
            <v>7.5449999999999999</v>
          </cell>
          <cell r="K612">
            <v>5.29</v>
          </cell>
          <cell r="L612">
            <v>5.5650000000000004</v>
          </cell>
          <cell r="M612">
            <v>5.4269999999999996</v>
          </cell>
          <cell r="O612">
            <v>1.6457999999999999</v>
          </cell>
          <cell r="P612">
            <v>0.81610000000000005</v>
          </cell>
          <cell r="Q612">
            <v>100.83323122166401</v>
          </cell>
          <cell r="U612">
            <v>4.2442000000000002</v>
          </cell>
          <cell r="V612">
            <v>33.448</v>
          </cell>
          <cell r="W612" t="str">
            <v>#N/A N/A</v>
          </cell>
        </row>
        <row r="613">
          <cell r="B613">
            <v>80.790999999999997</v>
          </cell>
          <cell r="D613">
            <v>1.3635999999999999</v>
          </cell>
          <cell r="E613">
            <v>938.3</v>
          </cell>
          <cell r="F613">
            <v>8.0934600000000003</v>
          </cell>
          <cell r="G613" t="e">
            <v>#VALUE!</v>
          </cell>
          <cell r="I613">
            <v>4.5292000000000003</v>
          </cell>
          <cell r="J613">
            <v>7.5449999999999999</v>
          </cell>
          <cell r="K613">
            <v>5.29</v>
          </cell>
          <cell r="L613">
            <v>5.5650000000000004</v>
          </cell>
          <cell r="M613">
            <v>5.4269999999999996</v>
          </cell>
          <cell r="O613">
            <v>1.6457999999999999</v>
          </cell>
          <cell r="P613">
            <v>0.81610000000000005</v>
          </cell>
          <cell r="Q613">
            <v>100.83323122166401</v>
          </cell>
          <cell r="U613">
            <v>4.2442000000000002</v>
          </cell>
          <cell r="V613">
            <v>33.448</v>
          </cell>
          <cell r="W613" t="str">
            <v>#N/A N/A</v>
          </cell>
        </row>
        <row r="614">
          <cell r="B614">
            <v>80.790999999999997</v>
          </cell>
          <cell r="D614">
            <v>1.3635999999999999</v>
          </cell>
          <cell r="E614">
            <v>938.3</v>
          </cell>
          <cell r="F614">
            <v>8.0934600000000003</v>
          </cell>
          <cell r="G614" t="e">
            <v>#VALUE!</v>
          </cell>
          <cell r="I614">
            <v>4.5292000000000003</v>
          </cell>
          <cell r="J614">
            <v>7.5449999999999999</v>
          </cell>
          <cell r="K614">
            <v>5.29</v>
          </cell>
          <cell r="L614">
            <v>5.5650000000000004</v>
          </cell>
          <cell r="M614">
            <v>5.4269999999999996</v>
          </cell>
          <cell r="O614">
            <v>1.6457999999999999</v>
          </cell>
          <cell r="P614">
            <v>0.81610000000000005</v>
          </cell>
          <cell r="Q614">
            <v>100.83323122166401</v>
          </cell>
          <cell r="U614">
            <v>4.2442000000000002</v>
          </cell>
          <cell r="V614">
            <v>33.448</v>
          </cell>
          <cell r="W614" t="str">
            <v>#N/A N/A</v>
          </cell>
        </row>
        <row r="615">
          <cell r="B615">
            <v>80.813999999999993</v>
          </cell>
          <cell r="D615">
            <v>1.3625</v>
          </cell>
          <cell r="E615">
            <v>937.32</v>
          </cell>
          <cell r="F615">
            <v>8.0941299999999998</v>
          </cell>
          <cell r="G615" t="e">
            <v>#VALUE!</v>
          </cell>
          <cell r="I615">
            <v>4.5290999999999997</v>
          </cell>
          <cell r="J615">
            <v>7.5442999999999998</v>
          </cell>
          <cell r="K615">
            <v>5.3</v>
          </cell>
          <cell r="L615">
            <v>5.5819999999999999</v>
          </cell>
          <cell r="M615">
            <v>5.4530000000000003</v>
          </cell>
          <cell r="O615">
            <v>1.6473</v>
          </cell>
          <cell r="P615">
            <v>0.82079999999999997</v>
          </cell>
          <cell r="Q615">
            <v>100.34722222222223</v>
          </cell>
          <cell r="U615">
            <v>4.2442000000000002</v>
          </cell>
          <cell r="V615">
            <v>34.667000000000002</v>
          </cell>
          <cell r="W615" t="str">
            <v>#N/A N/A</v>
          </cell>
        </row>
        <row r="616">
          <cell r="B616">
            <v>80.88</v>
          </cell>
          <cell r="D616">
            <v>1.3609</v>
          </cell>
          <cell r="E616">
            <v>938.8</v>
          </cell>
          <cell r="F616">
            <v>8.0839700000000008</v>
          </cell>
          <cell r="G616" t="e">
            <v>#VALUE!</v>
          </cell>
          <cell r="I616">
            <v>4.5465999999999998</v>
          </cell>
          <cell r="J616">
            <v>7.5510000000000002</v>
          </cell>
          <cell r="K616">
            <v>5.3</v>
          </cell>
          <cell r="L616">
            <v>5.5629999999999997</v>
          </cell>
          <cell r="M616">
            <v>5.4359999999999999</v>
          </cell>
          <cell r="O616">
            <v>1.6484999999999999</v>
          </cell>
          <cell r="P616">
            <v>0.82279999999999998</v>
          </cell>
          <cell r="Q616">
            <v>100.17622751579971</v>
          </cell>
          <cell r="U616">
            <v>4.2548000000000004</v>
          </cell>
          <cell r="V616">
            <v>33.167000000000002</v>
          </cell>
          <cell r="W616" t="str">
            <v>#N/A N/A</v>
          </cell>
        </row>
        <row r="617">
          <cell r="B617">
            <v>80.622</v>
          </cell>
          <cell r="D617">
            <v>1.367</v>
          </cell>
          <cell r="E617">
            <v>938.03</v>
          </cell>
          <cell r="F617">
            <v>8.1362199999999998</v>
          </cell>
          <cell r="G617" t="e">
            <v>#VALUE!</v>
          </cell>
          <cell r="I617">
            <v>4.4668999999999999</v>
          </cell>
          <cell r="J617">
            <v>7.5564999999999998</v>
          </cell>
          <cell r="K617">
            <v>5.31</v>
          </cell>
          <cell r="L617">
            <v>5.55</v>
          </cell>
          <cell r="M617">
            <v>5.42</v>
          </cell>
          <cell r="O617">
            <v>1.6442000000000001</v>
          </cell>
          <cell r="P617">
            <v>0.82579999999999998</v>
          </cell>
          <cell r="Q617">
            <v>99.551949624606451</v>
          </cell>
          <cell r="U617">
            <v>4.1459000000000001</v>
          </cell>
          <cell r="V617">
            <v>33.332999999999998</v>
          </cell>
          <cell r="W617" t="str">
            <v>#N/A N/A</v>
          </cell>
        </row>
        <row r="618">
          <cell r="B618">
            <v>80.471999999999994</v>
          </cell>
          <cell r="D618">
            <v>1.3686</v>
          </cell>
          <cell r="E618">
            <v>939.2</v>
          </cell>
          <cell r="F618">
            <v>8.1389700000000005</v>
          </cell>
          <cell r="G618" t="e">
            <v>#VALUE!</v>
          </cell>
          <cell r="I618">
            <v>4.5076000000000001</v>
          </cell>
          <cell r="J618">
            <v>7.5354999999999999</v>
          </cell>
          <cell r="K618">
            <v>5.32</v>
          </cell>
          <cell r="L618">
            <v>5.548</v>
          </cell>
          <cell r="M618">
            <v>5.4119999999999999</v>
          </cell>
          <cell r="O618">
            <v>1.645</v>
          </cell>
          <cell r="P618">
            <v>0.82689999999999997</v>
          </cell>
          <cell r="Q618">
            <v>99.467892127222157</v>
          </cell>
          <cell r="U618">
            <v>4.2091000000000003</v>
          </cell>
          <cell r="V618">
            <v>32.5</v>
          </cell>
          <cell r="W618" t="str">
            <v>#N/A N/A</v>
          </cell>
        </row>
        <row r="619">
          <cell r="B619">
            <v>79.959000000000003</v>
          </cell>
          <cell r="D619">
            <v>1.3775999999999999</v>
          </cell>
          <cell r="E619">
            <v>940.4</v>
          </cell>
          <cell r="F619">
            <v>8.2918900000000004</v>
          </cell>
          <cell r="G619" t="e">
            <v>#VALUE!</v>
          </cell>
          <cell r="I619">
            <v>4.3815999999999997</v>
          </cell>
          <cell r="J619">
            <v>7.5395000000000003</v>
          </cell>
          <cell r="K619">
            <v>5.33</v>
          </cell>
          <cell r="L619">
            <v>5.4950000000000001</v>
          </cell>
          <cell r="M619">
            <v>5.3620000000000001</v>
          </cell>
          <cell r="O619">
            <v>1.6355</v>
          </cell>
          <cell r="P619">
            <v>0.82709999999999995</v>
          </cell>
          <cell r="Q619">
            <v>98.869544190545284</v>
          </cell>
          <cell r="U619">
            <v>4.0407999999999999</v>
          </cell>
          <cell r="V619">
            <v>32.149000000000001</v>
          </cell>
          <cell r="W619" t="str">
            <v>#N/A N/A</v>
          </cell>
        </row>
        <row r="620">
          <cell r="B620">
            <v>79.959000000000003</v>
          </cell>
          <cell r="D620">
            <v>1.3775999999999999</v>
          </cell>
          <cell r="E620">
            <v>940.4</v>
          </cell>
          <cell r="F620">
            <v>8.2918900000000004</v>
          </cell>
          <cell r="G620" t="e">
            <v>#VALUE!</v>
          </cell>
          <cell r="I620">
            <v>4.3815999999999997</v>
          </cell>
          <cell r="J620">
            <v>7.5395000000000003</v>
          </cell>
          <cell r="K620">
            <v>5.33</v>
          </cell>
          <cell r="L620">
            <v>5.4950000000000001</v>
          </cell>
          <cell r="M620">
            <v>5.3620000000000001</v>
          </cell>
          <cell r="O620">
            <v>1.6355</v>
          </cell>
          <cell r="P620">
            <v>0.82709999999999995</v>
          </cell>
          <cell r="Q620">
            <v>98.869544190545284</v>
          </cell>
          <cell r="U620">
            <v>4.0407999999999999</v>
          </cell>
          <cell r="V620">
            <v>32.149000000000001</v>
          </cell>
          <cell r="W620" t="str">
            <v>#N/A N/A</v>
          </cell>
        </row>
        <row r="621">
          <cell r="B621">
            <v>79.959000000000003</v>
          </cell>
          <cell r="D621">
            <v>1.3775999999999999</v>
          </cell>
          <cell r="E621">
            <v>940.4</v>
          </cell>
          <cell r="F621">
            <v>8.2918900000000004</v>
          </cell>
          <cell r="G621" t="e">
            <v>#VALUE!</v>
          </cell>
          <cell r="I621">
            <v>4.3815999999999997</v>
          </cell>
          <cell r="J621">
            <v>7.5395000000000003</v>
          </cell>
          <cell r="K621">
            <v>5.33</v>
          </cell>
          <cell r="L621">
            <v>5.4950000000000001</v>
          </cell>
          <cell r="M621">
            <v>5.3620000000000001</v>
          </cell>
          <cell r="O621">
            <v>1.6355</v>
          </cell>
          <cell r="P621">
            <v>0.82709999999999995</v>
          </cell>
          <cell r="Q621">
            <v>98.869544190545284</v>
          </cell>
          <cell r="U621">
            <v>4.0407999999999999</v>
          </cell>
          <cell r="V621">
            <v>32.149000000000001</v>
          </cell>
          <cell r="W621" t="str">
            <v>#N/A N/A</v>
          </cell>
        </row>
        <row r="622">
          <cell r="B622">
            <v>79.816000000000003</v>
          </cell>
          <cell r="D622">
            <v>1.3797999999999999</v>
          </cell>
          <cell r="E622">
            <v>939.9</v>
          </cell>
          <cell r="F622">
            <v>8.2879900000000006</v>
          </cell>
          <cell r="G622" t="e">
            <v>#VALUE!</v>
          </cell>
          <cell r="I622">
            <v>4.3220000000000001</v>
          </cell>
          <cell r="J622">
            <v>7.5213999999999999</v>
          </cell>
          <cell r="K622">
            <v>5.33</v>
          </cell>
          <cell r="L622">
            <v>5.44</v>
          </cell>
          <cell r="M622">
            <v>5.3159999999999998</v>
          </cell>
          <cell r="O622">
            <v>1.6358999999999999</v>
          </cell>
          <cell r="P622">
            <v>0.82420000000000004</v>
          </cell>
          <cell r="Q622">
            <v>99.24168891045862</v>
          </cell>
          <cell r="U622">
            <v>3.9849000000000001</v>
          </cell>
          <cell r="V622">
            <v>33</v>
          </cell>
          <cell r="W622" t="str">
            <v>#N/A N/A</v>
          </cell>
        </row>
        <row r="623">
          <cell r="B623">
            <v>79.703999999999994</v>
          </cell>
          <cell r="D623">
            <v>1.3829</v>
          </cell>
          <cell r="E623">
            <v>936.65</v>
          </cell>
          <cell r="F623">
            <v>8.2020400000000002</v>
          </cell>
          <cell r="G623" t="e">
            <v>#VALUE!</v>
          </cell>
          <cell r="I623">
            <v>4.3678999999999997</v>
          </cell>
          <cell r="J623">
            <v>7.5244999999999997</v>
          </cell>
          <cell r="K623">
            <v>5.34</v>
          </cell>
          <cell r="L623">
            <v>5.4820000000000002</v>
          </cell>
          <cell r="M623">
            <v>5.36</v>
          </cell>
          <cell r="O623">
            <v>1.6431</v>
          </cell>
          <cell r="P623">
            <v>0.83179999999999998</v>
          </cell>
          <cell r="Q623">
            <v>98.767732628035589</v>
          </cell>
          <cell r="U623">
            <v>4.0651000000000002</v>
          </cell>
          <cell r="V623">
            <v>32.332999999999998</v>
          </cell>
          <cell r="W623" t="str">
            <v>#N/A N/A</v>
          </cell>
        </row>
        <row r="624">
          <cell r="B624">
            <v>79.364999999999995</v>
          </cell>
          <cell r="D624">
            <v>1.3902999999999999</v>
          </cell>
          <cell r="E624">
            <v>931.4</v>
          </cell>
          <cell r="F624">
            <v>8.1601999999999997</v>
          </cell>
          <cell r="G624" t="e">
            <v>#VALUE!</v>
          </cell>
          <cell r="I624">
            <v>4.4101999999999997</v>
          </cell>
          <cell r="J624">
            <v>7.5205000000000002</v>
          </cell>
          <cell r="K624">
            <v>5.34</v>
          </cell>
          <cell r="L624">
            <v>5.4560000000000004</v>
          </cell>
          <cell r="M624">
            <v>5.3369999999999997</v>
          </cell>
          <cell r="O624">
            <v>1.6468</v>
          </cell>
          <cell r="P624">
            <v>0.8417</v>
          </cell>
          <cell r="Q624">
            <v>97.825828680052268</v>
          </cell>
          <cell r="U624">
            <v>4.1071</v>
          </cell>
          <cell r="V624">
            <v>32.332999999999998</v>
          </cell>
          <cell r="W624" t="str">
            <v>#N/A N/A</v>
          </cell>
        </row>
        <row r="625">
          <cell r="B625">
            <v>79.513000000000005</v>
          </cell>
          <cell r="D625">
            <v>1.3895999999999999</v>
          </cell>
          <cell r="E625">
            <v>927.8</v>
          </cell>
          <cell r="F625">
            <v>8.0468399999999995</v>
          </cell>
          <cell r="G625" t="e">
            <v>#VALUE!</v>
          </cell>
          <cell r="I625">
            <v>4.4642999999999997</v>
          </cell>
          <cell r="J625">
            <v>7.5105000000000004</v>
          </cell>
          <cell r="K625">
            <v>5.35</v>
          </cell>
          <cell r="L625">
            <v>5.46</v>
          </cell>
          <cell r="M625">
            <v>5.34</v>
          </cell>
          <cell r="O625">
            <v>1.6484999999999999</v>
          </cell>
          <cell r="P625">
            <v>0.84119999999999995</v>
          </cell>
          <cell r="Q625">
            <v>97.985021398002843</v>
          </cell>
          <cell r="U625">
            <v>4.1775000000000002</v>
          </cell>
          <cell r="V625">
            <v>32.667000000000002</v>
          </cell>
          <cell r="W625" t="str">
            <v>#N/A N/A</v>
          </cell>
        </row>
        <row r="626">
          <cell r="B626">
            <v>79.617000000000004</v>
          </cell>
          <cell r="D626">
            <v>1.3856999999999999</v>
          </cell>
          <cell r="E626">
            <v>928</v>
          </cell>
          <cell r="F626">
            <v>8.0541599999999995</v>
          </cell>
          <cell r="G626" t="e">
            <v>#VALUE!</v>
          </cell>
          <cell r="I626">
            <v>4.4543999999999997</v>
          </cell>
          <cell r="J626">
            <v>7.516</v>
          </cell>
          <cell r="K626">
            <v>5.35</v>
          </cell>
          <cell r="L626">
            <v>5.49</v>
          </cell>
          <cell r="M626">
            <v>5.3680000000000003</v>
          </cell>
          <cell r="O626">
            <v>1.6496</v>
          </cell>
          <cell r="P626">
            <v>0.84119999999999995</v>
          </cell>
          <cell r="Q626">
            <v>98.050404184498348</v>
          </cell>
          <cell r="U626">
            <v>4.1703999999999999</v>
          </cell>
          <cell r="V626">
            <v>32.167000000000002</v>
          </cell>
          <cell r="W626" t="str">
            <v>#N/A N/A</v>
          </cell>
        </row>
        <row r="627">
          <cell r="B627">
            <v>79.617000000000004</v>
          </cell>
          <cell r="D627">
            <v>1.3856999999999999</v>
          </cell>
          <cell r="E627">
            <v>928</v>
          </cell>
          <cell r="F627">
            <v>8.0541599999999995</v>
          </cell>
          <cell r="G627" t="e">
            <v>#VALUE!</v>
          </cell>
          <cell r="I627">
            <v>4.4543999999999997</v>
          </cell>
          <cell r="J627">
            <v>7.516</v>
          </cell>
          <cell r="K627">
            <v>5.35</v>
          </cell>
          <cell r="L627">
            <v>5.49</v>
          </cell>
          <cell r="M627">
            <v>5.3680000000000003</v>
          </cell>
          <cell r="O627">
            <v>1.6496</v>
          </cell>
          <cell r="P627">
            <v>0.84119999999999995</v>
          </cell>
          <cell r="Q627">
            <v>98.050404184498348</v>
          </cell>
          <cell r="U627">
            <v>4.1703999999999999</v>
          </cell>
          <cell r="V627">
            <v>32.167000000000002</v>
          </cell>
          <cell r="W627" t="str">
            <v>#N/A N/A</v>
          </cell>
        </row>
        <row r="628">
          <cell r="B628">
            <v>79.617000000000004</v>
          </cell>
          <cell r="D628">
            <v>1.3856999999999999</v>
          </cell>
          <cell r="E628">
            <v>928</v>
          </cell>
          <cell r="F628">
            <v>8.0541599999999995</v>
          </cell>
          <cell r="G628" t="e">
            <v>#VALUE!</v>
          </cell>
          <cell r="I628">
            <v>4.4543999999999997</v>
          </cell>
          <cell r="J628">
            <v>7.516</v>
          </cell>
          <cell r="K628">
            <v>5.35</v>
          </cell>
          <cell r="L628">
            <v>5.49</v>
          </cell>
          <cell r="M628">
            <v>5.3680000000000003</v>
          </cell>
          <cell r="O628">
            <v>1.6496</v>
          </cell>
          <cell r="P628">
            <v>0.84119999999999995</v>
          </cell>
          <cell r="Q628">
            <v>98.050404184498348</v>
          </cell>
          <cell r="U628">
            <v>4.1703999999999999</v>
          </cell>
          <cell r="V628">
            <v>32.167000000000002</v>
          </cell>
          <cell r="W628" t="str">
            <v>#N/A N/A</v>
          </cell>
        </row>
        <row r="629">
          <cell r="B629">
            <v>79.72</v>
          </cell>
          <cell r="D629">
            <v>1.3867</v>
          </cell>
          <cell r="E629">
            <v>930</v>
          </cell>
          <cell r="F629">
            <v>8.0764200000000006</v>
          </cell>
          <cell r="G629" t="e">
            <v>#VALUE!</v>
          </cell>
          <cell r="I629">
            <v>4.4660000000000002</v>
          </cell>
          <cell r="J629">
            <v>7.5214999999999996</v>
          </cell>
          <cell r="K629">
            <v>5.35</v>
          </cell>
          <cell r="L629">
            <v>5.4980000000000002</v>
          </cell>
          <cell r="M629">
            <v>5.3719999999999999</v>
          </cell>
          <cell r="O629">
            <v>1.6468</v>
          </cell>
          <cell r="P629">
            <v>0.83499999999999996</v>
          </cell>
          <cell r="Q629">
            <v>98.610778443113773</v>
          </cell>
          <cell r="U629">
            <v>4.2022000000000004</v>
          </cell>
          <cell r="V629">
            <v>31.5</v>
          </cell>
          <cell r="W629" t="str">
            <v>#N/A N/A</v>
          </cell>
        </row>
        <row r="630">
          <cell r="B630">
            <v>79.209000000000003</v>
          </cell>
          <cell r="D630">
            <v>1.3875</v>
          </cell>
          <cell r="E630">
            <v>930.2</v>
          </cell>
          <cell r="F630">
            <v>8.0342000000000002</v>
          </cell>
          <cell r="G630" t="e">
            <v>#VALUE!</v>
          </cell>
          <cell r="I630">
            <v>4.4717000000000002</v>
          </cell>
          <cell r="J630">
            <v>7.5244999999999997</v>
          </cell>
          <cell r="K630">
            <v>5.35</v>
          </cell>
          <cell r="L630">
            <v>5.4829999999999997</v>
          </cell>
          <cell r="M630">
            <v>5.36</v>
          </cell>
          <cell r="O630">
            <v>1.649</v>
          </cell>
          <cell r="P630">
            <v>0.83620000000000005</v>
          </cell>
          <cell r="Q630">
            <v>98.600813202583097</v>
          </cell>
          <cell r="U630">
            <v>4.1492000000000004</v>
          </cell>
          <cell r="V630">
            <v>30.202999999999999</v>
          </cell>
          <cell r="W630" t="str">
            <v>#N/A N/A</v>
          </cell>
        </row>
        <row r="631">
          <cell r="B631">
            <v>79.3</v>
          </cell>
          <cell r="D631">
            <v>1.3958999999999999</v>
          </cell>
          <cell r="E631">
            <v>925.2</v>
          </cell>
          <cell r="F631">
            <v>7.96577</v>
          </cell>
          <cell r="G631" t="e">
            <v>#VALUE!</v>
          </cell>
          <cell r="I631">
            <v>4.5457999999999998</v>
          </cell>
          <cell r="J631">
            <v>7.5125000000000002</v>
          </cell>
          <cell r="K631">
            <v>5.35</v>
          </cell>
          <cell r="L631">
            <v>5.4829999999999997</v>
          </cell>
          <cell r="M631">
            <v>5.36</v>
          </cell>
          <cell r="O631">
            <v>1.6539000000000001</v>
          </cell>
          <cell r="P631">
            <v>0.85470000000000002</v>
          </cell>
          <cell r="Q631">
            <v>96.753246753246756</v>
          </cell>
          <cell r="U631">
            <v>4.2058</v>
          </cell>
          <cell r="V631">
            <v>28.184999999999999</v>
          </cell>
          <cell r="W631" t="str">
            <v>#N/A N/A</v>
          </cell>
        </row>
        <row r="632">
          <cell r="B632">
            <v>78.581999999999994</v>
          </cell>
          <cell r="D632">
            <v>1.4077</v>
          </cell>
          <cell r="E632">
            <v>918.7</v>
          </cell>
          <cell r="F632">
            <v>8.0260300000000004</v>
          </cell>
          <cell r="G632" t="e">
            <v>#VALUE!</v>
          </cell>
          <cell r="I632">
            <v>4.6957000000000004</v>
          </cell>
          <cell r="J632">
            <v>7.508</v>
          </cell>
          <cell r="K632">
            <v>5.35</v>
          </cell>
          <cell r="L632">
            <v>5.5339999999999998</v>
          </cell>
          <cell r="M632">
            <v>5.4</v>
          </cell>
          <cell r="O632">
            <v>1.6501000000000001</v>
          </cell>
          <cell r="P632">
            <v>0.86299999999999999</v>
          </cell>
          <cell r="Q632">
            <v>95.602549246813453</v>
          </cell>
          <cell r="U632">
            <v>4.3623000000000003</v>
          </cell>
          <cell r="V632">
            <v>28.667999999999999</v>
          </cell>
          <cell r="W632" t="str">
            <v>#N/A N/A</v>
          </cell>
        </row>
        <row r="633">
          <cell r="B633">
            <v>78.596999999999994</v>
          </cell>
          <cell r="D633">
            <v>1.4081000000000001</v>
          </cell>
          <cell r="E633">
            <v>921.15</v>
          </cell>
          <cell r="F633">
            <v>7.97187</v>
          </cell>
          <cell r="G633" t="e">
            <v>#VALUE!</v>
          </cell>
          <cell r="I633">
            <v>4.6203000000000003</v>
          </cell>
          <cell r="J633">
            <v>7.5036000000000005</v>
          </cell>
          <cell r="K633">
            <v>5.35</v>
          </cell>
          <cell r="L633">
            <v>5.5670000000000002</v>
          </cell>
          <cell r="M633">
            <v>5.43</v>
          </cell>
          <cell r="O633">
            <v>1.6524000000000001</v>
          </cell>
          <cell r="P633">
            <v>0.86570000000000003</v>
          </cell>
          <cell r="Q633">
            <v>95.437218435947784</v>
          </cell>
          <cell r="U633">
            <v>4.2911999999999999</v>
          </cell>
          <cell r="V633">
            <v>28.3</v>
          </cell>
          <cell r="W633" t="str">
            <v>#N/A N/A</v>
          </cell>
        </row>
        <row r="634">
          <cell r="B634">
            <v>78.596999999999994</v>
          </cell>
          <cell r="D634">
            <v>1.4081000000000001</v>
          </cell>
          <cell r="E634">
            <v>921.15</v>
          </cell>
          <cell r="F634">
            <v>7.97187</v>
          </cell>
          <cell r="G634" t="e">
            <v>#VALUE!</v>
          </cell>
          <cell r="I634">
            <v>4.6203000000000003</v>
          </cell>
          <cell r="J634">
            <v>7.5036000000000005</v>
          </cell>
          <cell r="K634">
            <v>5.35</v>
          </cell>
          <cell r="L634">
            <v>5.5670000000000002</v>
          </cell>
          <cell r="M634">
            <v>5.43</v>
          </cell>
          <cell r="O634">
            <v>1.6524000000000001</v>
          </cell>
          <cell r="P634">
            <v>0.86570000000000003</v>
          </cell>
          <cell r="Q634">
            <v>95.437218435947784</v>
          </cell>
          <cell r="U634">
            <v>4.2911999999999999</v>
          </cell>
          <cell r="V634">
            <v>28.3</v>
          </cell>
          <cell r="W634" t="str">
            <v>#N/A N/A</v>
          </cell>
        </row>
        <row r="635">
          <cell r="B635">
            <v>78.596999999999994</v>
          </cell>
          <cell r="D635">
            <v>1.4081000000000001</v>
          </cell>
          <cell r="E635">
            <v>921.15</v>
          </cell>
          <cell r="F635">
            <v>7.97187</v>
          </cell>
          <cell r="G635" t="e">
            <v>#VALUE!</v>
          </cell>
          <cell r="I635">
            <v>4.6203000000000003</v>
          </cell>
          <cell r="J635">
            <v>7.5036000000000005</v>
          </cell>
          <cell r="K635">
            <v>5.35</v>
          </cell>
          <cell r="L635">
            <v>5.5670000000000002</v>
          </cell>
          <cell r="M635">
            <v>5.43</v>
          </cell>
          <cell r="O635">
            <v>1.6524000000000001</v>
          </cell>
          <cell r="P635">
            <v>0.86570000000000003</v>
          </cell>
          <cell r="Q635">
            <v>95.437218435947784</v>
          </cell>
          <cell r="U635">
            <v>4.2911999999999999</v>
          </cell>
          <cell r="V635">
            <v>28.3</v>
          </cell>
          <cell r="W635" t="str">
            <v>#N/A N/A</v>
          </cell>
        </row>
        <row r="636">
          <cell r="B636">
            <v>78.527000000000001</v>
          </cell>
          <cell r="D636">
            <v>1.4087000000000001</v>
          </cell>
          <cell r="E636">
            <v>919.5</v>
          </cell>
          <cell r="F636">
            <v>7.9996499999999999</v>
          </cell>
          <cell r="G636" t="e">
            <v>#VALUE!</v>
          </cell>
          <cell r="I636">
            <v>4.6281999999999996</v>
          </cell>
          <cell r="J636">
            <v>7.51</v>
          </cell>
          <cell r="K636">
            <v>5.35</v>
          </cell>
          <cell r="L636">
            <v>5.5670000000000002</v>
          </cell>
          <cell r="M636">
            <v>5.43</v>
          </cell>
          <cell r="O636">
            <v>1.6533</v>
          </cell>
          <cell r="P636">
            <v>0.86719999999999997</v>
          </cell>
          <cell r="Q636">
            <v>95.324031365313658</v>
          </cell>
          <cell r="U636">
            <v>4.3018999999999998</v>
          </cell>
          <cell r="V636">
            <v>23.603999999999999</v>
          </cell>
          <cell r="W636" t="str">
            <v>#N/A N/A</v>
          </cell>
        </row>
        <row r="637">
          <cell r="B637">
            <v>78.313000000000002</v>
          </cell>
          <cell r="D637">
            <v>1.4144000000000001</v>
          </cell>
          <cell r="E637">
            <v>921</v>
          </cell>
          <cell r="F637">
            <v>8.0380500000000001</v>
          </cell>
          <cell r="G637" t="e">
            <v>#VALUE!</v>
          </cell>
          <cell r="I637">
            <v>4.6242000000000001</v>
          </cell>
          <cell r="J637">
            <v>7.5145</v>
          </cell>
          <cell r="K637">
            <v>5.35</v>
          </cell>
          <cell r="L637">
            <v>5.5670000000000002</v>
          </cell>
          <cell r="M637">
            <v>5.43</v>
          </cell>
          <cell r="O637">
            <v>1.6497000000000002</v>
          </cell>
          <cell r="P637">
            <v>0.86980000000000002</v>
          </cell>
          <cell r="Q637">
            <v>94.832145320763402</v>
          </cell>
          <cell r="U637">
            <v>4.2628000000000004</v>
          </cell>
          <cell r="V637">
            <v>27</v>
          </cell>
          <cell r="W637" t="str">
            <v>#N/A N/A</v>
          </cell>
        </row>
        <row r="638">
          <cell r="B638">
            <v>78.492999999999995</v>
          </cell>
          <cell r="D638">
            <v>1.4121000000000001</v>
          </cell>
          <cell r="E638">
            <v>921.05</v>
          </cell>
          <cell r="F638">
            <v>7.96394</v>
          </cell>
          <cell r="G638" t="e">
            <v>#VALUE!</v>
          </cell>
          <cell r="I638">
            <v>4.6201999999999996</v>
          </cell>
          <cell r="J638">
            <v>7.5194999999999999</v>
          </cell>
          <cell r="K638">
            <v>5.35</v>
          </cell>
          <cell r="L638">
            <v>5.5670000000000002</v>
          </cell>
          <cell r="M638">
            <v>5.43</v>
          </cell>
          <cell r="O638">
            <v>1.6539000000000001</v>
          </cell>
          <cell r="P638">
            <v>0.87439999999999996</v>
          </cell>
          <cell r="Q638">
            <v>94.573421774931404</v>
          </cell>
          <cell r="U638">
            <v>4.2592999999999996</v>
          </cell>
          <cell r="V638">
            <v>26.388000000000002</v>
          </cell>
          <cell r="W638" t="str">
            <v>#N/A N/A</v>
          </cell>
        </row>
        <row r="639">
          <cell r="B639">
            <v>78.337999999999994</v>
          </cell>
          <cell r="D639">
            <v>1.4147000000000001</v>
          </cell>
          <cell r="E639">
            <v>920.8</v>
          </cell>
          <cell r="F639">
            <v>7.9514399999999998</v>
          </cell>
          <cell r="G639" t="e">
            <v>#VALUE!</v>
          </cell>
          <cell r="I639">
            <v>4.5629999999999997</v>
          </cell>
          <cell r="J639">
            <v>7.516</v>
          </cell>
          <cell r="K639">
            <v>5.35</v>
          </cell>
          <cell r="L639">
            <v>5.6</v>
          </cell>
          <cell r="M639">
            <v>5.4619999999999997</v>
          </cell>
          <cell r="O639">
            <v>1.6591</v>
          </cell>
          <cell r="P639">
            <v>0.87860000000000005</v>
          </cell>
          <cell r="Q639">
            <v>94.417254723423625</v>
          </cell>
          <cell r="U639">
            <v>4.2130999999999998</v>
          </cell>
          <cell r="V639">
            <v>23.434000000000001</v>
          </cell>
          <cell r="W639" t="str">
            <v>#N/A N/A</v>
          </cell>
        </row>
        <row r="640">
          <cell r="B640">
            <v>77.718999999999994</v>
          </cell>
          <cell r="D640">
            <v>1.4235</v>
          </cell>
          <cell r="E640">
            <v>913.7</v>
          </cell>
          <cell r="F640">
            <v>7.95906</v>
          </cell>
          <cell r="G640" t="e">
            <v>#VALUE!</v>
          </cell>
          <cell r="I640">
            <v>4.5865</v>
          </cell>
          <cell r="J640">
            <v>7.5061</v>
          </cell>
          <cell r="K640">
            <v>5.35</v>
          </cell>
          <cell r="L640">
            <v>5.6</v>
          </cell>
          <cell r="M640">
            <v>5.46</v>
          </cell>
          <cell r="O640">
            <v>1.6602999999999999</v>
          </cell>
          <cell r="P640">
            <v>0.88580000000000003</v>
          </cell>
          <cell r="Q640">
            <v>93.717543463535776</v>
          </cell>
          <cell r="U640">
            <v>4.2430000000000003</v>
          </cell>
          <cell r="V640">
            <v>22.997</v>
          </cell>
          <cell r="W640" t="str">
            <v>#N/A N/A</v>
          </cell>
        </row>
        <row r="641">
          <cell r="B641">
            <v>77.718999999999994</v>
          </cell>
          <cell r="D641">
            <v>1.4235</v>
          </cell>
          <cell r="E641">
            <v>913.7</v>
          </cell>
          <cell r="F641">
            <v>7.95906</v>
          </cell>
          <cell r="G641" t="e">
            <v>#VALUE!</v>
          </cell>
          <cell r="I641">
            <v>4.5865</v>
          </cell>
          <cell r="J641">
            <v>7.5061</v>
          </cell>
          <cell r="K641">
            <v>5.35</v>
          </cell>
          <cell r="L641">
            <v>5.6</v>
          </cell>
          <cell r="M641">
            <v>5.46</v>
          </cell>
          <cell r="O641">
            <v>1.6602999999999999</v>
          </cell>
          <cell r="P641">
            <v>0.88580000000000003</v>
          </cell>
          <cell r="Q641">
            <v>93.717543463535776</v>
          </cell>
          <cell r="U641">
            <v>4.2430000000000003</v>
          </cell>
          <cell r="V641">
            <v>22.997</v>
          </cell>
          <cell r="W641" t="str">
            <v>#N/A N/A</v>
          </cell>
        </row>
        <row r="642">
          <cell r="B642">
            <v>77.718999999999994</v>
          </cell>
          <cell r="D642">
            <v>1.4235</v>
          </cell>
          <cell r="E642">
            <v>913.7</v>
          </cell>
          <cell r="F642">
            <v>7.95906</v>
          </cell>
          <cell r="G642" t="e">
            <v>#VALUE!</v>
          </cell>
          <cell r="I642">
            <v>4.5865</v>
          </cell>
          <cell r="J642">
            <v>7.5061</v>
          </cell>
          <cell r="K642">
            <v>5.35</v>
          </cell>
          <cell r="L642">
            <v>5.6</v>
          </cell>
          <cell r="M642">
            <v>5.46</v>
          </cell>
          <cell r="O642">
            <v>1.6602999999999999</v>
          </cell>
          <cell r="P642">
            <v>0.88580000000000003</v>
          </cell>
          <cell r="Q642">
            <v>93.717543463535776</v>
          </cell>
          <cell r="U642">
            <v>4.2430000000000003</v>
          </cell>
          <cell r="V642">
            <v>22.997</v>
          </cell>
          <cell r="W642" t="str">
            <v>#N/A N/A</v>
          </cell>
        </row>
        <row r="643">
          <cell r="B643">
            <v>77.903999999999996</v>
          </cell>
          <cell r="D643">
            <v>1.423</v>
          </cell>
          <cell r="E643">
            <v>914.55</v>
          </cell>
          <cell r="F643">
            <v>7.89818</v>
          </cell>
          <cell r="G643" t="e">
            <v>#VALUE!</v>
          </cell>
          <cell r="I643">
            <v>4.5452000000000004</v>
          </cell>
          <cell r="J643">
            <v>7.5084999999999997</v>
          </cell>
          <cell r="K643">
            <v>5.35</v>
          </cell>
          <cell r="L643">
            <v>5.6129999999999995</v>
          </cell>
          <cell r="M643">
            <v>5.47</v>
          </cell>
          <cell r="O643">
            <v>1.6623000000000001</v>
          </cell>
          <cell r="P643">
            <v>0.8931</v>
          </cell>
          <cell r="Q643">
            <v>93.063486731609018</v>
          </cell>
          <cell r="U643">
            <v>4.2289000000000003</v>
          </cell>
          <cell r="V643">
            <v>23.228000000000002</v>
          </cell>
          <cell r="W643" t="str">
            <v>#N/A N/A</v>
          </cell>
        </row>
        <row r="644">
          <cell r="B644">
            <v>78.302999999999997</v>
          </cell>
          <cell r="D644">
            <v>1.4157</v>
          </cell>
          <cell r="E644">
            <v>915.95</v>
          </cell>
          <cell r="F644">
            <v>7.9091399999999998</v>
          </cell>
          <cell r="G644" t="e">
            <v>#VALUE!</v>
          </cell>
          <cell r="I644">
            <v>4.5216000000000003</v>
          </cell>
          <cell r="J644">
            <v>7.5061</v>
          </cell>
          <cell r="K644">
            <v>5.34</v>
          </cell>
          <cell r="L644">
            <v>5.6050000000000004</v>
          </cell>
          <cell r="M644">
            <v>5.46</v>
          </cell>
          <cell r="O644">
            <v>1.6635</v>
          </cell>
          <cell r="P644">
            <v>0.88439999999999996</v>
          </cell>
          <cell r="Q644">
            <v>94.046811397557676</v>
          </cell>
          <cell r="U644">
            <v>4.1974</v>
          </cell>
          <cell r="V644">
            <v>23.497</v>
          </cell>
          <cell r="W644" t="str">
            <v>#N/A N/A</v>
          </cell>
        </row>
        <row r="645">
          <cell r="B645">
            <v>78.572999999999993</v>
          </cell>
          <cell r="D645">
            <v>1.4117999999999999</v>
          </cell>
          <cell r="E645">
            <v>916.25</v>
          </cell>
          <cell r="F645">
            <v>7.8602499999999997</v>
          </cell>
          <cell r="G645" t="e">
            <v>#VALUE!</v>
          </cell>
          <cell r="I645">
            <v>4.5587999999999997</v>
          </cell>
          <cell r="J645">
            <v>7.5025000000000004</v>
          </cell>
          <cell r="K645">
            <v>5.34</v>
          </cell>
          <cell r="L645">
            <v>5.6050000000000004</v>
          </cell>
          <cell r="M645">
            <v>5.46</v>
          </cell>
          <cell r="O645">
            <v>1.6653</v>
          </cell>
          <cell r="P645">
            <v>0.88560000000000005</v>
          </cell>
          <cell r="Q645">
            <v>94.021002710027091</v>
          </cell>
          <cell r="U645">
            <v>4.2464000000000004</v>
          </cell>
          <cell r="V645">
            <v>24.733000000000001</v>
          </cell>
          <cell r="W645" t="str">
            <v>#N/A N/A</v>
          </cell>
        </row>
        <row r="646">
          <cell r="B646">
            <v>78.480999999999995</v>
          </cell>
          <cell r="D646">
            <v>1.4133</v>
          </cell>
          <cell r="E646">
            <v>916.55</v>
          </cell>
          <cell r="F646">
            <v>7.8667100000000003</v>
          </cell>
          <cell r="G646" t="e">
            <v>#VALUE!</v>
          </cell>
          <cell r="I646">
            <v>4.5097000000000005</v>
          </cell>
          <cell r="J646">
            <v>7.5061</v>
          </cell>
          <cell r="K646">
            <v>5.34</v>
          </cell>
          <cell r="L646">
            <v>5.58</v>
          </cell>
          <cell r="M646">
            <v>5.43</v>
          </cell>
          <cell r="O646">
            <v>1.6600999999999999</v>
          </cell>
          <cell r="P646">
            <v>0.88839999999999997</v>
          </cell>
          <cell r="Q646">
            <v>93.43201260693381</v>
          </cell>
          <cell r="U646">
            <v>4.1973000000000003</v>
          </cell>
          <cell r="V646">
            <v>24.062999999999999</v>
          </cell>
          <cell r="W646" t="str">
            <v>#N/A N/A</v>
          </cell>
        </row>
        <row r="647">
          <cell r="B647">
            <v>78.308000000000007</v>
          </cell>
          <cell r="D647">
            <v>1.4137</v>
          </cell>
          <cell r="E647">
            <v>916.8</v>
          </cell>
          <cell r="F647">
            <v>7.8395799999999998</v>
          </cell>
          <cell r="G647" t="e">
            <v>#VALUE!</v>
          </cell>
          <cell r="I647">
            <v>4.6356000000000002</v>
          </cell>
          <cell r="J647">
            <v>7.5053999999999998</v>
          </cell>
          <cell r="K647">
            <v>5.34</v>
          </cell>
          <cell r="L647">
            <v>5.5469999999999997</v>
          </cell>
          <cell r="M647">
            <v>5.4</v>
          </cell>
          <cell r="O647">
            <v>1.6644000000000001</v>
          </cell>
          <cell r="P647">
            <v>0.89729999999999999</v>
          </cell>
          <cell r="Q647">
            <v>92.744901370779004</v>
          </cell>
          <cell r="U647">
            <v>4.3308</v>
          </cell>
          <cell r="V647">
            <v>24.062999999999999</v>
          </cell>
          <cell r="W647" t="str">
            <v>#N/A N/A</v>
          </cell>
        </row>
        <row r="648">
          <cell r="B648">
            <v>78.308000000000007</v>
          </cell>
          <cell r="D648">
            <v>1.4137</v>
          </cell>
          <cell r="E648">
            <v>916.8</v>
          </cell>
          <cell r="F648">
            <v>7.8395799999999998</v>
          </cell>
          <cell r="G648" t="e">
            <v>#VALUE!</v>
          </cell>
          <cell r="I648">
            <v>4.6356000000000002</v>
          </cell>
          <cell r="J648">
            <v>7.5053999999999998</v>
          </cell>
          <cell r="K648">
            <v>5.34</v>
          </cell>
          <cell r="L648">
            <v>5.5469999999999997</v>
          </cell>
          <cell r="M648">
            <v>5.4</v>
          </cell>
          <cell r="O648">
            <v>1.6644000000000001</v>
          </cell>
          <cell r="P648">
            <v>0.89729999999999999</v>
          </cell>
          <cell r="Q648">
            <v>92.744901370779004</v>
          </cell>
          <cell r="U648">
            <v>4.3308</v>
          </cell>
          <cell r="V648">
            <v>24.062999999999999</v>
          </cell>
          <cell r="W648" t="str">
            <v>#N/A N/A</v>
          </cell>
        </row>
        <row r="649">
          <cell r="B649">
            <v>78.308000000000007</v>
          </cell>
          <cell r="D649">
            <v>1.4137</v>
          </cell>
          <cell r="E649">
            <v>916.8</v>
          </cell>
          <cell r="F649">
            <v>7.8395799999999998</v>
          </cell>
          <cell r="G649" t="e">
            <v>#VALUE!</v>
          </cell>
          <cell r="I649">
            <v>4.6356000000000002</v>
          </cell>
          <cell r="J649">
            <v>7.5053999999999998</v>
          </cell>
          <cell r="K649">
            <v>5.34</v>
          </cell>
          <cell r="L649">
            <v>5.5469999999999997</v>
          </cell>
          <cell r="M649">
            <v>5.4</v>
          </cell>
          <cell r="O649">
            <v>1.6644000000000001</v>
          </cell>
          <cell r="P649">
            <v>0.89729999999999999</v>
          </cell>
          <cell r="Q649">
            <v>92.744901370779004</v>
          </cell>
          <cell r="U649">
            <v>4.3308</v>
          </cell>
          <cell r="V649">
            <v>24.062999999999999</v>
          </cell>
          <cell r="W649" t="str">
            <v>#N/A N/A</v>
          </cell>
        </row>
        <row r="650">
          <cell r="B650">
            <v>78.671999999999997</v>
          </cell>
          <cell r="D650">
            <v>1.4054</v>
          </cell>
          <cell r="E650">
            <v>914.6</v>
          </cell>
          <cell r="F650">
            <v>7.7917899999999998</v>
          </cell>
          <cell r="G650" t="e">
            <v>#VALUE!</v>
          </cell>
          <cell r="I650">
            <v>4.6356000000000002</v>
          </cell>
          <cell r="J650">
            <v>7.5065</v>
          </cell>
          <cell r="K650">
            <v>5.34</v>
          </cell>
          <cell r="L650">
            <v>5.5720000000000001</v>
          </cell>
          <cell r="M650">
            <v>5.4320000000000004</v>
          </cell>
          <cell r="O650">
            <v>1.6657</v>
          </cell>
          <cell r="P650">
            <v>0.89480000000000004</v>
          </cell>
          <cell r="Q650">
            <v>93.076665176575773</v>
          </cell>
          <cell r="U650">
            <v>4.3308</v>
          </cell>
          <cell r="V650">
            <v>24.068000000000001</v>
          </cell>
          <cell r="W650" t="str">
            <v>#N/A N/A</v>
          </cell>
        </row>
        <row r="651">
          <cell r="B651">
            <v>78.525999999999996</v>
          </cell>
          <cell r="D651">
            <v>1.4093</v>
          </cell>
          <cell r="E651">
            <v>918.35</v>
          </cell>
          <cell r="F651">
            <v>7.8508199999999997</v>
          </cell>
          <cell r="G651" t="e">
            <v>#VALUE!</v>
          </cell>
          <cell r="I651">
            <v>4.6475</v>
          </cell>
          <cell r="J651">
            <v>7.5120000000000005</v>
          </cell>
          <cell r="K651">
            <v>5.34</v>
          </cell>
          <cell r="L651">
            <v>5.5979999999999999</v>
          </cell>
          <cell r="M651">
            <v>5.4589999999999996</v>
          </cell>
          <cell r="O651">
            <v>1.6676</v>
          </cell>
          <cell r="P651">
            <v>0.89700000000000002</v>
          </cell>
          <cell r="Q651">
            <v>92.954292084726859</v>
          </cell>
          <cell r="U651">
            <v>4.3733000000000004</v>
          </cell>
          <cell r="V651">
            <v>23.03</v>
          </cell>
          <cell r="W651" t="str">
            <v>#N/A N/A</v>
          </cell>
        </row>
        <row r="652">
          <cell r="B652">
            <v>78.375</v>
          </cell>
          <cell r="D652">
            <v>1.4144999999999999</v>
          </cell>
          <cell r="E652">
            <v>919.75</v>
          </cell>
          <cell r="F652">
            <v>7.8455200000000005</v>
          </cell>
          <cell r="G652" t="e">
            <v>#VALUE!</v>
          </cell>
          <cell r="I652">
            <v>4.6494999999999997</v>
          </cell>
          <cell r="J652">
            <v>7.5110000000000001</v>
          </cell>
          <cell r="K652">
            <v>5.34</v>
          </cell>
          <cell r="L652">
            <v>5.5979999999999999</v>
          </cell>
          <cell r="M652">
            <v>5.46</v>
          </cell>
          <cell r="O652">
            <v>1.6716</v>
          </cell>
          <cell r="P652">
            <v>0.89829999999999999</v>
          </cell>
          <cell r="Q652">
            <v>93.042413447623289</v>
          </cell>
          <cell r="U652">
            <v>4.3662000000000001</v>
          </cell>
          <cell r="V652">
            <v>23.236000000000001</v>
          </cell>
          <cell r="W652" t="str">
            <v>#N/A N/A</v>
          </cell>
        </row>
        <row r="653">
          <cell r="B653">
            <v>78.078000000000003</v>
          </cell>
          <cell r="D653">
            <v>1.4217</v>
          </cell>
          <cell r="E653">
            <v>915.25</v>
          </cell>
          <cell r="F653">
            <v>7.7741400000000001</v>
          </cell>
          <cell r="G653" t="e">
            <v>#VALUE!</v>
          </cell>
          <cell r="I653">
            <v>4.6355000000000004</v>
          </cell>
          <cell r="J653">
            <v>7.5069999999999997</v>
          </cell>
          <cell r="K653">
            <v>5.34</v>
          </cell>
          <cell r="L653">
            <v>5.6070000000000002</v>
          </cell>
          <cell r="M653">
            <v>5.47</v>
          </cell>
          <cell r="O653">
            <v>1.6821999999999999</v>
          </cell>
          <cell r="P653">
            <v>0.90480000000000005</v>
          </cell>
          <cell r="Q653">
            <v>92.959770114942515</v>
          </cell>
          <cell r="U653">
            <v>4.3379000000000003</v>
          </cell>
          <cell r="V653">
            <v>22.065999999999999</v>
          </cell>
          <cell r="W653" t="str">
            <v>#N/A N/A</v>
          </cell>
        </row>
        <row r="654">
          <cell r="B654">
            <v>78.224000000000004</v>
          </cell>
          <cell r="D654">
            <v>1.4178999999999999</v>
          </cell>
          <cell r="E654">
            <v>917.7</v>
          </cell>
          <cell r="F654">
            <v>7.80762</v>
          </cell>
          <cell r="G654" t="e">
            <v>#VALUE!</v>
          </cell>
          <cell r="I654">
            <v>4.6812000000000005</v>
          </cell>
          <cell r="J654">
            <v>7.5125000000000002</v>
          </cell>
          <cell r="K654">
            <v>5.34</v>
          </cell>
          <cell r="L654">
            <v>5.6129999999999995</v>
          </cell>
          <cell r="M654">
            <v>5.48</v>
          </cell>
          <cell r="O654">
            <v>1.6792</v>
          </cell>
          <cell r="P654">
            <v>0.90349999999999997</v>
          </cell>
          <cell r="Q654">
            <v>92.927504150525735</v>
          </cell>
          <cell r="U654">
            <v>4.4126000000000003</v>
          </cell>
          <cell r="V654">
            <v>22.802</v>
          </cell>
          <cell r="W654" t="str">
            <v>#N/A N/A</v>
          </cell>
        </row>
        <row r="655">
          <cell r="B655">
            <v>78.224000000000004</v>
          </cell>
          <cell r="D655">
            <v>1.4178999999999999</v>
          </cell>
          <cell r="E655">
            <v>917.7</v>
          </cell>
          <cell r="F655">
            <v>7.80762</v>
          </cell>
          <cell r="G655" t="e">
            <v>#VALUE!</v>
          </cell>
          <cell r="I655">
            <v>4.6812000000000005</v>
          </cell>
          <cell r="J655">
            <v>7.5125000000000002</v>
          </cell>
          <cell r="K655">
            <v>5.34</v>
          </cell>
          <cell r="L655">
            <v>5.6129999999999995</v>
          </cell>
          <cell r="M655">
            <v>5.48</v>
          </cell>
          <cell r="O655">
            <v>1.6792</v>
          </cell>
          <cell r="P655">
            <v>0.90349999999999997</v>
          </cell>
          <cell r="Q655">
            <v>92.927504150525735</v>
          </cell>
          <cell r="U655">
            <v>4.4126000000000003</v>
          </cell>
          <cell r="V655">
            <v>22.802</v>
          </cell>
          <cell r="W655" t="str">
            <v>#N/A N/A</v>
          </cell>
        </row>
        <row r="656">
          <cell r="B656">
            <v>78.224000000000004</v>
          </cell>
          <cell r="D656">
            <v>1.4178999999999999</v>
          </cell>
          <cell r="E656">
            <v>917.7</v>
          </cell>
          <cell r="F656">
            <v>7.80762</v>
          </cell>
          <cell r="G656" t="e">
            <v>#VALUE!</v>
          </cell>
          <cell r="I656">
            <v>4.6812000000000005</v>
          </cell>
          <cell r="J656">
            <v>7.5125000000000002</v>
          </cell>
          <cell r="K656">
            <v>5.34</v>
          </cell>
          <cell r="L656">
            <v>5.6129999999999995</v>
          </cell>
          <cell r="M656">
            <v>5.48</v>
          </cell>
          <cell r="O656">
            <v>1.6792</v>
          </cell>
          <cell r="P656">
            <v>0.90349999999999997</v>
          </cell>
          <cell r="Q656">
            <v>92.927504150525735</v>
          </cell>
          <cell r="U656">
            <v>4.4126000000000003</v>
          </cell>
          <cell r="V656">
            <v>22.802</v>
          </cell>
          <cell r="W656" t="str">
            <v>#N/A N/A</v>
          </cell>
        </row>
        <row r="657">
          <cell r="B657">
            <v>78.087999999999994</v>
          </cell>
          <cell r="D657">
            <v>1.4212</v>
          </cell>
          <cell r="E657">
            <v>917.7</v>
          </cell>
          <cell r="F657">
            <v>7.8247999999999998</v>
          </cell>
          <cell r="G657" t="e">
            <v>#VALUE!</v>
          </cell>
          <cell r="I657">
            <v>4.6772</v>
          </cell>
          <cell r="J657">
            <v>7.5283999999999995</v>
          </cell>
          <cell r="K657">
            <v>5.34</v>
          </cell>
          <cell r="L657">
            <v>5.6420000000000003</v>
          </cell>
          <cell r="M657">
            <v>5.51</v>
          </cell>
          <cell r="O657">
            <v>1.6774</v>
          </cell>
          <cell r="P657">
            <v>0.89980000000000004</v>
          </cell>
          <cell r="Q657">
            <v>93.209602133807508</v>
          </cell>
          <cell r="U657">
            <v>4.3983999999999996</v>
          </cell>
          <cell r="V657">
            <v>22.702999999999999</v>
          </cell>
          <cell r="W657" t="str">
            <v>#N/A N/A</v>
          </cell>
        </row>
        <row r="658">
          <cell r="B658">
            <v>78.251000000000005</v>
          </cell>
          <cell r="D658">
            <v>1.4157</v>
          </cell>
          <cell r="E658">
            <v>918.15</v>
          </cell>
          <cell r="F658">
            <v>7.8682800000000004</v>
          </cell>
          <cell r="G658" t="e">
            <v>#VALUE!</v>
          </cell>
          <cell r="I658">
            <v>4.6472999999999995</v>
          </cell>
          <cell r="J658">
            <v>7.5148000000000001</v>
          </cell>
          <cell r="K658">
            <v>5.34</v>
          </cell>
          <cell r="L658">
            <v>5.6059999999999999</v>
          </cell>
          <cell r="M658">
            <v>5.48</v>
          </cell>
          <cell r="O658">
            <v>1.6753</v>
          </cell>
          <cell r="P658">
            <v>0.88660000000000005</v>
          </cell>
          <cell r="Q658">
            <v>94.478908188585592</v>
          </cell>
          <cell r="U658">
            <v>4.3380000000000001</v>
          </cell>
          <cell r="V658">
            <v>22.5</v>
          </cell>
          <cell r="W658" t="str">
            <v>#N/A N/A</v>
          </cell>
        </row>
        <row r="659">
          <cell r="B659">
            <v>78.12</v>
          </cell>
          <cell r="D659">
            <v>1.4194</v>
          </cell>
          <cell r="E659">
            <v>917.75</v>
          </cell>
          <cell r="F659">
            <v>7.8824199999999998</v>
          </cell>
          <cell r="G659" t="e">
            <v>#VALUE!</v>
          </cell>
          <cell r="I659">
            <v>4.5522</v>
          </cell>
          <cell r="J659">
            <v>7.5160999999999998</v>
          </cell>
          <cell r="K659">
            <v>5.34</v>
          </cell>
          <cell r="L659">
            <v>5.58</v>
          </cell>
          <cell r="M659">
            <v>5.45</v>
          </cell>
          <cell r="O659">
            <v>1.6768999999999998</v>
          </cell>
          <cell r="P659">
            <v>0.89019999999999999</v>
          </cell>
          <cell r="Q659">
            <v>94.186699618063358</v>
          </cell>
          <cell r="U659">
            <v>4.2072000000000003</v>
          </cell>
          <cell r="V659">
            <v>23.268999999999998</v>
          </cell>
          <cell r="W659" t="str">
            <v>#N/A N/A</v>
          </cell>
        </row>
        <row r="660">
          <cell r="B660">
            <v>77.59</v>
          </cell>
          <cell r="D660">
            <v>1.4285999999999999</v>
          </cell>
          <cell r="E660">
            <v>916.25</v>
          </cell>
          <cell r="F660">
            <v>7.9224100000000002</v>
          </cell>
          <cell r="G660" t="e">
            <v>#VALUE!</v>
          </cell>
          <cell r="I660">
            <v>4.4893000000000001</v>
          </cell>
          <cell r="J660">
            <v>7.5148000000000001</v>
          </cell>
          <cell r="K660">
            <v>5.34</v>
          </cell>
          <cell r="L660">
            <v>5.6</v>
          </cell>
          <cell r="M660">
            <v>5.4640000000000004</v>
          </cell>
          <cell r="O660">
            <v>1.6707999999999998</v>
          </cell>
          <cell r="P660">
            <v>0.89359999999999995</v>
          </cell>
          <cell r="Q660">
            <v>93.487018800358101</v>
          </cell>
          <cell r="U660">
            <v>4.1402999999999999</v>
          </cell>
          <cell r="V660">
            <v>24.065999999999999</v>
          </cell>
          <cell r="W660" t="str">
            <v>#N/A N/A</v>
          </cell>
        </row>
        <row r="661">
          <cell r="B661">
            <v>77.406999999999996</v>
          </cell>
          <cell r="D661">
            <v>1.4264999999999999</v>
          </cell>
          <cell r="E661">
            <v>916.25</v>
          </cell>
          <cell r="F661">
            <v>7.9578800000000003</v>
          </cell>
          <cell r="G661" t="e">
            <v>#VALUE!</v>
          </cell>
          <cell r="I661">
            <v>4.3914999999999997</v>
          </cell>
          <cell r="J661">
            <v>7.508</v>
          </cell>
          <cell r="K661">
            <v>5.34</v>
          </cell>
          <cell r="L661">
            <v>5.5519999999999996</v>
          </cell>
          <cell r="M661">
            <v>5.4080000000000004</v>
          </cell>
          <cell r="O661">
            <v>1.6722999999999999</v>
          </cell>
          <cell r="P661">
            <v>0.89410000000000001</v>
          </cell>
          <cell r="Q661">
            <v>93.518622078067324</v>
          </cell>
          <cell r="U661">
            <v>4.0278</v>
          </cell>
          <cell r="V661">
            <v>23.95</v>
          </cell>
          <cell r="W661" t="str">
            <v>#N/A N/A</v>
          </cell>
        </row>
        <row r="662">
          <cell r="B662">
            <v>77.406999999999996</v>
          </cell>
          <cell r="D662">
            <v>1.4264999999999999</v>
          </cell>
          <cell r="E662">
            <v>916.25</v>
          </cell>
          <cell r="F662">
            <v>7.9578800000000003</v>
          </cell>
          <cell r="G662" t="e">
            <v>#VALUE!</v>
          </cell>
          <cell r="I662">
            <v>4.3914999999999997</v>
          </cell>
          <cell r="J662">
            <v>7.508</v>
          </cell>
          <cell r="K662">
            <v>5.34</v>
          </cell>
          <cell r="L662">
            <v>5.5519999999999996</v>
          </cell>
          <cell r="M662">
            <v>5.4080000000000004</v>
          </cell>
          <cell r="O662">
            <v>1.6722999999999999</v>
          </cell>
          <cell r="P662">
            <v>0.89410000000000001</v>
          </cell>
          <cell r="Q662">
            <v>93.518622078067324</v>
          </cell>
          <cell r="U662">
            <v>4.0278</v>
          </cell>
          <cell r="V662">
            <v>23.95</v>
          </cell>
          <cell r="W662" t="str">
            <v>#N/A N/A</v>
          </cell>
        </row>
        <row r="663">
          <cell r="B663">
            <v>77.406999999999996</v>
          </cell>
          <cell r="D663">
            <v>1.4264999999999999</v>
          </cell>
          <cell r="E663">
            <v>916.25</v>
          </cell>
          <cell r="F663">
            <v>7.9578800000000003</v>
          </cell>
          <cell r="G663" t="e">
            <v>#VALUE!</v>
          </cell>
          <cell r="I663">
            <v>4.3914999999999997</v>
          </cell>
          <cell r="J663">
            <v>7.508</v>
          </cell>
          <cell r="K663">
            <v>5.34</v>
          </cell>
          <cell r="L663">
            <v>5.5519999999999996</v>
          </cell>
          <cell r="M663">
            <v>5.4080000000000004</v>
          </cell>
          <cell r="O663">
            <v>1.6722999999999999</v>
          </cell>
          <cell r="P663">
            <v>0.89410000000000001</v>
          </cell>
          <cell r="Q663">
            <v>93.518622078067324</v>
          </cell>
          <cell r="U663">
            <v>4.0278</v>
          </cell>
          <cell r="V663">
            <v>23.95</v>
          </cell>
          <cell r="W663" t="str">
            <v>#N/A N/A</v>
          </cell>
        </row>
        <row r="664">
          <cell r="B664">
            <v>78.06</v>
          </cell>
          <cell r="D664">
            <v>1.4142000000000001</v>
          </cell>
          <cell r="E664">
            <v>918.7</v>
          </cell>
          <cell r="F664">
            <v>8.0376200000000004</v>
          </cell>
          <cell r="G664" t="e">
            <v>#VALUE!</v>
          </cell>
          <cell r="I664">
            <v>4.4108000000000001</v>
          </cell>
          <cell r="J664">
            <v>7.5086000000000004</v>
          </cell>
          <cell r="K664">
            <v>5.34</v>
          </cell>
          <cell r="L664">
            <v>5.4770000000000003</v>
          </cell>
          <cell r="M664">
            <v>5.3390000000000004</v>
          </cell>
          <cell r="O664">
            <v>1.6665000000000001</v>
          </cell>
          <cell r="P664">
            <v>0.88009999999999999</v>
          </cell>
          <cell r="Q664">
            <v>94.676741279400076</v>
          </cell>
          <cell r="U664">
            <v>4.0837000000000003</v>
          </cell>
          <cell r="V664">
            <v>24.995000000000001</v>
          </cell>
          <cell r="W664" t="str">
            <v>#N/A N/A</v>
          </cell>
        </row>
        <row r="665">
          <cell r="B665">
            <v>77.588999999999999</v>
          </cell>
          <cell r="D665">
            <v>1.4247000000000001</v>
          </cell>
          <cell r="E665">
            <v>918.5</v>
          </cell>
          <cell r="F665">
            <v>8.0099800000000005</v>
          </cell>
          <cell r="G665" t="e">
            <v>#VALUE!</v>
          </cell>
          <cell r="I665">
            <v>4.4030000000000005</v>
          </cell>
          <cell r="J665">
            <v>7.5046999999999997</v>
          </cell>
          <cell r="K665">
            <v>5.34</v>
          </cell>
          <cell r="L665">
            <v>5.4909999999999997</v>
          </cell>
          <cell r="M665">
            <v>5.3520000000000003</v>
          </cell>
          <cell r="O665">
            <v>1.6718999999999999</v>
          </cell>
          <cell r="P665">
            <v>0.8952</v>
          </cell>
          <cell r="Q665">
            <v>93.381367292225207</v>
          </cell>
          <cell r="U665">
            <v>4.0555000000000003</v>
          </cell>
          <cell r="V665">
            <v>24.099</v>
          </cell>
          <cell r="W665" t="str">
            <v>#N/A N/A</v>
          </cell>
        </row>
        <row r="666">
          <cell r="B666">
            <v>77.546000000000006</v>
          </cell>
          <cell r="D666">
            <v>1.4236</v>
          </cell>
          <cell r="E666">
            <v>918</v>
          </cell>
          <cell r="F666">
            <v>8.0541099999999997</v>
          </cell>
          <cell r="G666" t="e">
            <v>#VALUE!</v>
          </cell>
          <cell r="I666">
            <v>4.3388</v>
          </cell>
          <cell r="J666">
            <v>7.4926000000000004</v>
          </cell>
          <cell r="K666">
            <v>5.34</v>
          </cell>
          <cell r="L666">
            <v>5.4569999999999999</v>
          </cell>
          <cell r="M666">
            <v>5.32</v>
          </cell>
          <cell r="O666">
            <v>1.6699000000000002</v>
          </cell>
          <cell r="P666">
            <v>0.89849999999999997</v>
          </cell>
          <cell r="Q666">
            <v>92.927100723427941</v>
          </cell>
          <cell r="U666">
            <v>3.9854000000000003</v>
          </cell>
          <cell r="V666">
            <v>24.263999999999999</v>
          </cell>
          <cell r="W666" t="str">
            <v>#N/A N/A</v>
          </cell>
        </row>
        <row r="667">
          <cell r="B667">
            <v>77.278000000000006</v>
          </cell>
          <cell r="D667">
            <v>1.4304999999999999</v>
          </cell>
          <cell r="E667">
            <v>915.1</v>
          </cell>
          <cell r="F667">
            <v>8.0246600000000008</v>
          </cell>
          <cell r="G667" t="e">
            <v>#VALUE!</v>
          </cell>
          <cell r="I667">
            <v>4.3775000000000004</v>
          </cell>
          <cell r="J667">
            <v>7.4820000000000002</v>
          </cell>
          <cell r="K667">
            <v>5.35</v>
          </cell>
          <cell r="L667">
            <v>5.4980000000000002</v>
          </cell>
          <cell r="M667">
            <v>5.359</v>
          </cell>
          <cell r="O667">
            <v>1.6696</v>
          </cell>
          <cell r="P667">
            <v>0.90720000000000001</v>
          </cell>
          <cell r="Q667">
            <v>92.019400352733683</v>
          </cell>
          <cell r="U667">
            <v>4.0236999999999998</v>
          </cell>
          <cell r="V667">
            <v>24.396000000000001</v>
          </cell>
          <cell r="W667" t="str">
            <v>#N/A N/A</v>
          </cell>
        </row>
        <row r="668">
          <cell r="B668">
            <v>77.027000000000001</v>
          </cell>
          <cell r="D668">
            <v>1.4390000000000001</v>
          </cell>
          <cell r="E668">
            <v>907.65</v>
          </cell>
          <cell r="F668">
            <v>7.9482499999999998</v>
          </cell>
          <cell r="G668" t="e">
            <v>#VALUE!</v>
          </cell>
          <cell r="I668">
            <v>4.4005999999999998</v>
          </cell>
          <cell r="J668">
            <v>7.4976000000000003</v>
          </cell>
          <cell r="K668">
            <v>5.35</v>
          </cell>
          <cell r="L668">
            <v>5.5069999999999997</v>
          </cell>
          <cell r="M668">
            <v>5.37</v>
          </cell>
          <cell r="O668">
            <v>1.6731</v>
          </cell>
          <cell r="P668">
            <v>0.9163</v>
          </cell>
          <cell r="Q668">
            <v>91.296518607442977</v>
          </cell>
          <cell r="U668">
            <v>4.0526999999999997</v>
          </cell>
          <cell r="V668">
            <v>24.198</v>
          </cell>
          <cell r="W668" t="str">
            <v>#N/A N/A</v>
          </cell>
        </row>
        <row r="669">
          <cell r="B669">
            <v>77.027000000000001</v>
          </cell>
          <cell r="D669">
            <v>1.4390000000000001</v>
          </cell>
          <cell r="E669">
            <v>907.65</v>
          </cell>
          <cell r="F669">
            <v>7.9482499999999998</v>
          </cell>
          <cell r="G669" t="e">
            <v>#VALUE!</v>
          </cell>
          <cell r="I669">
            <v>4.4005999999999998</v>
          </cell>
          <cell r="J669">
            <v>7.4976000000000003</v>
          </cell>
          <cell r="K669">
            <v>5.35</v>
          </cell>
          <cell r="L669">
            <v>5.5069999999999997</v>
          </cell>
          <cell r="M669">
            <v>5.37</v>
          </cell>
          <cell r="O669">
            <v>1.6731</v>
          </cell>
          <cell r="P669">
            <v>0.9163</v>
          </cell>
          <cell r="Q669">
            <v>91.296518607442977</v>
          </cell>
          <cell r="U669">
            <v>4.0526999999999997</v>
          </cell>
          <cell r="V669">
            <v>24.198</v>
          </cell>
          <cell r="W669" t="str">
            <v>#N/A N/A</v>
          </cell>
        </row>
        <row r="670">
          <cell r="B670">
            <v>77.027000000000001</v>
          </cell>
          <cell r="D670">
            <v>1.4390000000000001</v>
          </cell>
          <cell r="E670">
            <v>907.65</v>
          </cell>
          <cell r="F670">
            <v>7.9482499999999998</v>
          </cell>
          <cell r="G670" t="e">
            <v>#VALUE!</v>
          </cell>
          <cell r="I670">
            <v>4.4005999999999998</v>
          </cell>
          <cell r="J670">
            <v>7.4976000000000003</v>
          </cell>
          <cell r="K670">
            <v>5.35</v>
          </cell>
          <cell r="L670">
            <v>5.5069999999999997</v>
          </cell>
          <cell r="M670">
            <v>5.37</v>
          </cell>
          <cell r="O670">
            <v>1.6731</v>
          </cell>
          <cell r="P670">
            <v>0.9163</v>
          </cell>
          <cell r="Q670">
            <v>91.296518607442977</v>
          </cell>
          <cell r="U670">
            <v>4.0526999999999997</v>
          </cell>
          <cell r="V670">
            <v>24.198</v>
          </cell>
          <cell r="W670" t="str">
            <v>#N/A N/A</v>
          </cell>
        </row>
        <row r="671">
          <cell r="B671">
            <v>76.837000000000003</v>
          </cell>
          <cell r="D671">
            <v>1.4421999999999999</v>
          </cell>
          <cell r="E671">
            <v>909.45</v>
          </cell>
          <cell r="F671">
            <v>7.9279099999999998</v>
          </cell>
          <cell r="G671" t="e">
            <v>#VALUE!</v>
          </cell>
          <cell r="I671">
            <v>4.3811</v>
          </cell>
          <cell r="J671">
            <v>7.4744999999999999</v>
          </cell>
          <cell r="K671">
            <v>5.35</v>
          </cell>
          <cell r="L671">
            <v>5.5179999999999998</v>
          </cell>
          <cell r="M671">
            <v>5.38</v>
          </cell>
          <cell r="O671">
            <v>1.6804999999999999</v>
          </cell>
          <cell r="P671">
            <v>0.92010000000000003</v>
          </cell>
          <cell r="Q671">
            <v>91.3215954787523</v>
          </cell>
          <cell r="U671">
            <v>4.0491999999999999</v>
          </cell>
          <cell r="V671">
            <v>24.129000000000001</v>
          </cell>
          <cell r="W671" t="str">
            <v>#N/A N/A</v>
          </cell>
        </row>
        <row r="672">
          <cell r="B672">
            <v>76.772999999999996</v>
          </cell>
          <cell r="D672">
            <v>1.4433</v>
          </cell>
          <cell r="E672">
            <v>907.1</v>
          </cell>
          <cell r="F672">
            <v>7.8948599999999995</v>
          </cell>
          <cell r="G672" t="e">
            <v>#VALUE!</v>
          </cell>
          <cell r="I672">
            <v>4.3789999999999996</v>
          </cell>
          <cell r="J672">
            <v>7.4714999999999998</v>
          </cell>
          <cell r="K672">
            <v>5.35</v>
          </cell>
          <cell r="L672">
            <v>5.5419999999999998</v>
          </cell>
          <cell r="M672">
            <v>5.4080000000000004</v>
          </cell>
          <cell r="O672">
            <v>1.6758999999999999</v>
          </cell>
          <cell r="P672">
            <v>0.91879999999999995</v>
          </cell>
          <cell r="Q672">
            <v>91.200478885502832</v>
          </cell>
          <cell r="U672">
            <v>4.0457000000000001</v>
          </cell>
          <cell r="V672">
            <v>24.49</v>
          </cell>
          <cell r="W672" t="str">
            <v>#N/A N/A</v>
          </cell>
        </row>
        <row r="673">
          <cell r="B673">
            <v>76.478999999999999</v>
          </cell>
          <cell r="D673">
            <v>1.4464999999999999</v>
          </cell>
          <cell r="E673">
            <v>903.2</v>
          </cell>
          <cell r="F673">
            <v>7.8419799999999995</v>
          </cell>
          <cell r="G673" t="e">
            <v>#VALUE!</v>
          </cell>
          <cell r="I673">
            <v>4.4707999999999997</v>
          </cell>
          <cell r="J673">
            <v>7.4640000000000004</v>
          </cell>
          <cell r="K673">
            <v>5.35</v>
          </cell>
          <cell r="L673">
            <v>5.5640000000000001</v>
          </cell>
          <cell r="M673">
            <v>5.431</v>
          </cell>
          <cell r="O673">
            <v>1.6768000000000001</v>
          </cell>
          <cell r="P673">
            <v>0.92620000000000002</v>
          </cell>
          <cell r="Q673">
            <v>90.520405959835898</v>
          </cell>
          <cell r="U673">
            <v>4.1685999999999996</v>
          </cell>
          <cell r="V673">
            <v>24.49</v>
          </cell>
          <cell r="W673" t="str">
            <v>#N/A N/A</v>
          </cell>
        </row>
        <row r="674">
          <cell r="B674">
            <v>76.593999999999994</v>
          </cell>
          <cell r="D674">
            <v>1.4439</v>
          </cell>
          <cell r="E674">
            <v>907.5</v>
          </cell>
          <cell r="F674">
            <v>7.9074600000000004</v>
          </cell>
          <cell r="G674" t="e">
            <v>#VALUE!</v>
          </cell>
          <cell r="I674">
            <v>4.3457999999999997</v>
          </cell>
          <cell r="J674">
            <v>7.4587000000000003</v>
          </cell>
          <cell r="K674">
            <v>5.35</v>
          </cell>
          <cell r="L674">
            <v>5.593</v>
          </cell>
          <cell r="M674">
            <v>5.46</v>
          </cell>
          <cell r="O674">
            <v>1.6718999999999999</v>
          </cell>
          <cell r="P674">
            <v>0.91449999999999998</v>
          </cell>
          <cell r="Q674">
            <v>91.410606889010381</v>
          </cell>
          <cell r="U674">
            <v>4.0107999999999997</v>
          </cell>
          <cell r="V674">
            <v>25.890999999999998</v>
          </cell>
          <cell r="W674" t="str">
            <v>#N/A N/A</v>
          </cell>
        </row>
        <row r="675">
          <cell r="B675">
            <v>76.337000000000003</v>
          </cell>
          <cell r="D675">
            <v>1.4518</v>
          </cell>
          <cell r="E675">
            <v>907.1</v>
          </cell>
          <cell r="F675">
            <v>7.9053899999999997</v>
          </cell>
          <cell r="G675" t="e">
            <v>#VALUE!</v>
          </cell>
          <cell r="I675">
            <v>4.3164999999999996</v>
          </cell>
          <cell r="J675">
            <v>7.4558</v>
          </cell>
          <cell r="K675">
            <v>5.35</v>
          </cell>
          <cell r="L675">
            <v>5.5430000000000001</v>
          </cell>
          <cell r="M675">
            <v>5.42</v>
          </cell>
          <cell r="O675">
            <v>1.6732</v>
          </cell>
          <cell r="P675">
            <v>0.92279999999999995</v>
          </cell>
          <cell r="Q675">
            <v>90.658864325964458</v>
          </cell>
          <cell r="U675">
            <v>3.9515000000000002</v>
          </cell>
          <cell r="V675">
            <v>29.225000000000001</v>
          </cell>
          <cell r="W675" t="str">
            <v>#N/A N/A</v>
          </cell>
        </row>
        <row r="676">
          <cell r="B676">
            <v>76.337000000000003</v>
          </cell>
          <cell r="D676">
            <v>1.4518</v>
          </cell>
          <cell r="E676">
            <v>907.1</v>
          </cell>
          <cell r="F676">
            <v>7.9053899999999997</v>
          </cell>
          <cell r="G676" t="e">
            <v>#VALUE!</v>
          </cell>
          <cell r="I676">
            <v>4.3164999999999996</v>
          </cell>
          <cell r="J676">
            <v>7.4558</v>
          </cell>
          <cell r="K676">
            <v>5.35</v>
          </cell>
          <cell r="L676">
            <v>5.5430000000000001</v>
          </cell>
          <cell r="M676">
            <v>5.42</v>
          </cell>
          <cell r="O676">
            <v>1.6732</v>
          </cell>
          <cell r="P676">
            <v>0.92279999999999995</v>
          </cell>
          <cell r="Q676">
            <v>90.658864325964458</v>
          </cell>
          <cell r="U676">
            <v>3.9515000000000002</v>
          </cell>
          <cell r="V676">
            <v>29.225000000000001</v>
          </cell>
          <cell r="W676" t="str">
            <v>#N/A N/A</v>
          </cell>
        </row>
        <row r="677">
          <cell r="B677">
            <v>76.337000000000003</v>
          </cell>
          <cell r="D677">
            <v>1.4518</v>
          </cell>
          <cell r="E677">
            <v>907.1</v>
          </cell>
          <cell r="F677">
            <v>7.9053899999999997</v>
          </cell>
          <cell r="G677" t="e">
            <v>#VALUE!</v>
          </cell>
          <cell r="I677">
            <v>4.3164999999999996</v>
          </cell>
          <cell r="J677">
            <v>7.4558</v>
          </cell>
          <cell r="K677">
            <v>5.35</v>
          </cell>
          <cell r="L677">
            <v>5.5430000000000001</v>
          </cell>
          <cell r="M677">
            <v>5.42</v>
          </cell>
          <cell r="O677">
            <v>1.6732</v>
          </cell>
          <cell r="P677">
            <v>0.92279999999999995</v>
          </cell>
          <cell r="Q677">
            <v>90.658864325964458</v>
          </cell>
          <cell r="U677">
            <v>3.9515000000000002</v>
          </cell>
          <cell r="V677">
            <v>29.225000000000001</v>
          </cell>
          <cell r="W677" t="str">
            <v>#N/A N/A</v>
          </cell>
        </row>
        <row r="678">
          <cell r="B678">
            <v>76.424999999999997</v>
          </cell>
          <cell r="D678">
            <v>1.4481999999999999</v>
          </cell>
          <cell r="E678">
            <v>908.1</v>
          </cell>
          <cell r="F678">
            <v>7.9317000000000002</v>
          </cell>
          <cell r="G678" t="e">
            <v>#VALUE!</v>
          </cell>
          <cell r="I678">
            <v>4.3338000000000001</v>
          </cell>
          <cell r="J678">
            <v>7.4550999999999998</v>
          </cell>
          <cell r="K678">
            <v>5.35</v>
          </cell>
          <cell r="L678">
            <v>5.548</v>
          </cell>
          <cell r="M678">
            <v>5.4279999999999999</v>
          </cell>
          <cell r="O678">
            <v>1.6692</v>
          </cell>
          <cell r="P678">
            <v>0.92030000000000001</v>
          </cell>
          <cell r="Q678">
            <v>90.687819189394759</v>
          </cell>
          <cell r="U678">
            <v>3.9619999999999997</v>
          </cell>
          <cell r="V678">
            <v>31.45</v>
          </cell>
          <cell r="W678" t="str">
            <v>#N/A N/A</v>
          </cell>
        </row>
        <row r="679">
          <cell r="B679">
            <v>76.040000000000006</v>
          </cell>
          <cell r="D679">
            <v>1.4551000000000001</v>
          </cell>
          <cell r="E679">
            <v>906.3</v>
          </cell>
          <cell r="F679">
            <v>7.9125199999999998</v>
          </cell>
          <cell r="G679" t="e">
            <v>#VALUE!</v>
          </cell>
          <cell r="I679">
            <v>4.3726000000000003</v>
          </cell>
          <cell r="J679">
            <v>7.4530000000000003</v>
          </cell>
          <cell r="K679">
            <v>5.35</v>
          </cell>
          <cell r="L679">
            <v>5.5350000000000001</v>
          </cell>
          <cell r="M679">
            <v>5.42</v>
          </cell>
          <cell r="O679">
            <v>1.6665000000000001</v>
          </cell>
          <cell r="P679">
            <v>0.92579999999999996</v>
          </cell>
          <cell r="Q679">
            <v>90.003240440699955</v>
          </cell>
          <cell r="U679">
            <v>3.9935</v>
          </cell>
          <cell r="V679">
            <v>29.675000000000001</v>
          </cell>
          <cell r="W679" t="str">
            <v>#N/A N/A</v>
          </cell>
        </row>
        <row r="680">
          <cell r="B680">
            <v>75.412000000000006</v>
          </cell>
          <cell r="D680">
            <v>1.4657</v>
          </cell>
          <cell r="E680">
            <v>906.1</v>
          </cell>
          <cell r="F680">
            <v>8.0081299999999995</v>
          </cell>
          <cell r="G680" t="e">
            <v>#VALUE!</v>
          </cell>
          <cell r="I680">
            <v>4.3083999999999998</v>
          </cell>
          <cell r="J680">
            <v>7.4429999999999996</v>
          </cell>
          <cell r="K680">
            <v>5.35</v>
          </cell>
          <cell r="L680">
            <v>5.4989999999999997</v>
          </cell>
          <cell r="M680">
            <v>5.39</v>
          </cell>
          <cell r="O680">
            <v>1.6611</v>
          </cell>
          <cell r="P680">
            <v>0.93659999999999999</v>
          </cell>
          <cell r="Q680">
            <v>88.677130044843054</v>
          </cell>
          <cell r="U680">
            <v>3.8748</v>
          </cell>
          <cell r="V680">
            <v>30.045999999999999</v>
          </cell>
          <cell r="W680" t="str">
            <v>#N/A N/A</v>
          </cell>
        </row>
        <row r="681">
          <cell r="B681">
            <v>75.456000000000003</v>
          </cell>
          <cell r="D681">
            <v>1.4681999999999999</v>
          </cell>
          <cell r="E681">
            <v>907.3</v>
          </cell>
          <cell r="F681">
            <v>8.0668600000000001</v>
          </cell>
          <cell r="G681" t="e">
            <v>#VALUE!</v>
          </cell>
          <cell r="I681">
            <v>4.2828999999999997</v>
          </cell>
          <cell r="J681">
            <v>7.4215999999999998</v>
          </cell>
          <cell r="K681">
            <v>5.35</v>
          </cell>
          <cell r="L681">
            <v>5.42</v>
          </cell>
          <cell r="M681">
            <v>5.3170000000000002</v>
          </cell>
          <cell r="O681">
            <v>1.6539999999999999</v>
          </cell>
          <cell r="P681">
            <v>0.92459999999999998</v>
          </cell>
          <cell r="Q681">
            <v>89.444083928185165</v>
          </cell>
          <cell r="U681">
            <v>3.8121999999999998</v>
          </cell>
          <cell r="V681">
            <v>32.042999999999999</v>
          </cell>
          <cell r="W681" t="str">
            <v>#N/A N/A</v>
          </cell>
        </row>
        <row r="682">
          <cell r="B682">
            <v>75.400000000000006</v>
          </cell>
          <cell r="D682">
            <v>1.4668000000000001</v>
          </cell>
          <cell r="E682">
            <v>910.4</v>
          </cell>
          <cell r="F682">
            <v>8.2110500000000002</v>
          </cell>
          <cell r="G682" t="e">
            <v>#VALUE!</v>
          </cell>
          <cell r="I682">
            <v>4.2133000000000003</v>
          </cell>
          <cell r="J682">
            <v>7.4108000000000001</v>
          </cell>
          <cell r="K682">
            <v>5.35</v>
          </cell>
          <cell r="L682">
            <v>5.4340000000000002</v>
          </cell>
          <cell r="M682">
            <v>5.34</v>
          </cell>
          <cell r="O682">
            <v>1.6472</v>
          </cell>
          <cell r="P682">
            <v>0.91379999999999995</v>
          </cell>
          <cell r="Q682">
            <v>90.129131100897354</v>
          </cell>
          <cell r="U682">
            <v>3.7530000000000001</v>
          </cell>
          <cell r="V682">
            <v>21.123000000000001</v>
          </cell>
          <cell r="W682" t="str">
            <v>#N/A N/A</v>
          </cell>
        </row>
        <row r="683">
          <cell r="B683">
            <v>75.400000000000006</v>
          </cell>
          <cell r="D683">
            <v>1.4668000000000001</v>
          </cell>
          <cell r="E683">
            <v>910.4</v>
          </cell>
          <cell r="F683">
            <v>8.2110500000000002</v>
          </cell>
          <cell r="G683" t="e">
            <v>#VALUE!</v>
          </cell>
          <cell r="I683">
            <v>4.2133000000000003</v>
          </cell>
          <cell r="J683">
            <v>7.4108000000000001</v>
          </cell>
          <cell r="K683">
            <v>5.35</v>
          </cell>
          <cell r="L683">
            <v>5.4340000000000002</v>
          </cell>
          <cell r="M683">
            <v>5.34</v>
          </cell>
          <cell r="O683">
            <v>1.6472</v>
          </cell>
          <cell r="P683">
            <v>0.91379999999999995</v>
          </cell>
          <cell r="Q683">
            <v>90.129131100897354</v>
          </cell>
          <cell r="U683">
            <v>3.7530000000000001</v>
          </cell>
          <cell r="V683">
            <v>21.123000000000001</v>
          </cell>
          <cell r="W683" t="str">
            <v>#N/A N/A</v>
          </cell>
        </row>
        <row r="684">
          <cell r="B684">
            <v>75.400000000000006</v>
          </cell>
          <cell r="D684">
            <v>1.4668000000000001</v>
          </cell>
          <cell r="E684">
            <v>910.4</v>
          </cell>
          <cell r="F684">
            <v>8.2110500000000002</v>
          </cell>
          <cell r="G684" t="e">
            <v>#VALUE!</v>
          </cell>
          <cell r="I684">
            <v>4.2133000000000003</v>
          </cell>
          <cell r="J684">
            <v>7.4108000000000001</v>
          </cell>
          <cell r="K684">
            <v>5.35</v>
          </cell>
          <cell r="L684">
            <v>5.4340000000000002</v>
          </cell>
          <cell r="M684">
            <v>5.34</v>
          </cell>
          <cell r="O684">
            <v>1.6472</v>
          </cell>
          <cell r="P684">
            <v>0.91379999999999995</v>
          </cell>
          <cell r="Q684">
            <v>90.129131100897354</v>
          </cell>
          <cell r="U684">
            <v>3.7530000000000001</v>
          </cell>
          <cell r="V684">
            <v>21.123000000000001</v>
          </cell>
          <cell r="W684" t="str">
            <v>#N/A N/A</v>
          </cell>
        </row>
        <row r="685">
          <cell r="B685">
            <v>75.902000000000001</v>
          </cell>
          <cell r="D685">
            <v>1.4546999999999999</v>
          </cell>
          <cell r="E685">
            <v>913.8</v>
          </cell>
          <cell r="F685">
            <v>8.3144500000000008</v>
          </cell>
          <cell r="G685" t="e">
            <v>#VALUE!</v>
          </cell>
          <cell r="I685">
            <v>4.2133000000000003</v>
          </cell>
          <cell r="J685">
            <v>7.4165000000000001</v>
          </cell>
          <cell r="K685">
            <v>5.36</v>
          </cell>
          <cell r="L685">
            <v>5.4649999999999999</v>
          </cell>
          <cell r="M685">
            <v>5.3719999999999999</v>
          </cell>
          <cell r="O685">
            <v>1.6425000000000001</v>
          </cell>
          <cell r="P685">
            <v>0.88529999999999998</v>
          </cell>
          <cell r="Q685">
            <v>92.76516435106744</v>
          </cell>
          <cell r="U685">
            <v>3.7528999999999999</v>
          </cell>
          <cell r="V685">
            <v>29.12</v>
          </cell>
          <cell r="W685" t="str">
            <v>#N/A N/A</v>
          </cell>
        </row>
        <row r="686">
          <cell r="B686">
            <v>75.881</v>
          </cell>
          <cell r="D686">
            <v>1.4599</v>
          </cell>
          <cell r="E686">
            <v>914.6</v>
          </cell>
          <cell r="F686">
            <v>8.2938100000000006</v>
          </cell>
          <cell r="G686" t="e">
            <v>#VALUE!</v>
          </cell>
          <cell r="I686">
            <v>4.2634999999999996</v>
          </cell>
          <cell r="J686">
            <v>7.4283999999999999</v>
          </cell>
          <cell r="K686">
            <v>5.36</v>
          </cell>
          <cell r="L686">
            <v>5.4630000000000001</v>
          </cell>
          <cell r="M686">
            <v>5.37</v>
          </cell>
          <cell r="O686">
            <v>1.6433</v>
          </cell>
          <cell r="P686">
            <v>0.88890000000000002</v>
          </cell>
          <cell r="Q686">
            <v>92.434469569130385</v>
          </cell>
          <cell r="U686">
            <v>3.8433000000000002</v>
          </cell>
          <cell r="V686">
            <v>32.805</v>
          </cell>
          <cell r="W686" t="str">
            <v>#N/A N/A</v>
          </cell>
        </row>
        <row r="687">
          <cell r="B687">
            <v>75.813999999999993</v>
          </cell>
          <cell r="D687">
            <v>1.4670000000000001</v>
          </cell>
          <cell r="E687">
            <v>914.3</v>
          </cell>
          <cell r="F687">
            <v>8.2021999999999995</v>
          </cell>
          <cell r="G687" t="e">
            <v>#VALUE!</v>
          </cell>
          <cell r="I687">
            <v>4.25</v>
          </cell>
          <cell r="J687">
            <v>7.4253</v>
          </cell>
          <cell r="K687">
            <v>5.37</v>
          </cell>
          <cell r="L687">
            <v>5.49</v>
          </cell>
          <cell r="M687">
            <v>5.41</v>
          </cell>
          <cell r="O687">
            <v>1.6469</v>
          </cell>
          <cell r="P687">
            <v>0.9012</v>
          </cell>
          <cell r="Q687">
            <v>91.372614292055047</v>
          </cell>
          <cell r="U687">
            <v>3.8189000000000002</v>
          </cell>
          <cell r="V687">
            <v>32.313000000000002</v>
          </cell>
          <cell r="W687" t="str">
            <v>#N/A N/A</v>
          </cell>
        </row>
        <row r="688">
          <cell r="B688">
            <v>76.069000000000003</v>
          </cell>
          <cell r="D688">
            <v>1.4633</v>
          </cell>
          <cell r="E688">
            <v>919.8</v>
          </cell>
          <cell r="F688">
            <v>8.3014399999999995</v>
          </cell>
          <cell r="G688" t="e">
            <v>#VALUE!</v>
          </cell>
          <cell r="I688">
            <v>4.1402999999999999</v>
          </cell>
          <cell r="J688">
            <v>7.4275000000000002</v>
          </cell>
          <cell r="K688">
            <v>5.38</v>
          </cell>
          <cell r="L688">
            <v>5.4950000000000001</v>
          </cell>
          <cell r="M688">
            <v>5.43</v>
          </cell>
          <cell r="O688">
            <v>1.6425000000000001</v>
          </cell>
          <cell r="P688">
            <v>0.89019999999999999</v>
          </cell>
          <cell r="Q688">
            <v>92.254549539429348</v>
          </cell>
          <cell r="U688">
            <v>3.6661000000000001</v>
          </cell>
          <cell r="V688">
            <v>35.575000000000003</v>
          </cell>
          <cell r="W688" t="str">
            <v>#N/A N/A</v>
          </cell>
        </row>
        <row r="689">
          <cell r="B689">
            <v>75.826999999999998</v>
          </cell>
          <cell r="D689">
            <v>1.4662999999999999</v>
          </cell>
          <cell r="E689">
            <v>917.6</v>
          </cell>
          <cell r="F689">
            <v>8.2812099999999997</v>
          </cell>
          <cell r="G689" t="e">
            <v>#VALUE!</v>
          </cell>
          <cell r="I689">
            <v>4.1669999999999998</v>
          </cell>
          <cell r="J689">
            <v>7.4257</v>
          </cell>
          <cell r="K689">
            <v>5.39</v>
          </cell>
          <cell r="L689">
            <v>5.53</v>
          </cell>
          <cell r="M689">
            <v>5.4610000000000003</v>
          </cell>
          <cell r="O689">
            <v>1.6372</v>
          </cell>
          <cell r="P689">
            <v>0.89159999999999995</v>
          </cell>
          <cell r="Q689">
            <v>91.812471960520412</v>
          </cell>
          <cell r="U689">
            <v>3.6934</v>
          </cell>
          <cell r="V689">
            <v>37.65</v>
          </cell>
          <cell r="W689" t="str">
            <v>#N/A N/A</v>
          </cell>
        </row>
        <row r="690">
          <cell r="B690">
            <v>75.826999999999998</v>
          </cell>
          <cell r="D690">
            <v>1.4662999999999999</v>
          </cell>
          <cell r="E690">
            <v>917.6</v>
          </cell>
          <cell r="F690">
            <v>8.2812099999999997</v>
          </cell>
          <cell r="G690" t="e">
            <v>#VALUE!</v>
          </cell>
          <cell r="I690">
            <v>4.1669999999999998</v>
          </cell>
          <cell r="J690">
            <v>7.4257</v>
          </cell>
          <cell r="K690">
            <v>5.39</v>
          </cell>
          <cell r="L690">
            <v>5.53</v>
          </cell>
          <cell r="M690">
            <v>5.4610000000000003</v>
          </cell>
          <cell r="O690">
            <v>1.6372</v>
          </cell>
          <cell r="P690">
            <v>0.89159999999999995</v>
          </cell>
          <cell r="Q690">
            <v>91.812471960520412</v>
          </cell>
          <cell r="U690">
            <v>3.6934</v>
          </cell>
          <cell r="V690">
            <v>37.65</v>
          </cell>
          <cell r="W690" t="str">
            <v>#N/A N/A</v>
          </cell>
        </row>
        <row r="691">
          <cell r="B691">
            <v>75.826999999999998</v>
          </cell>
          <cell r="D691">
            <v>1.4662999999999999</v>
          </cell>
          <cell r="E691">
            <v>917.6</v>
          </cell>
          <cell r="F691">
            <v>8.2812099999999997</v>
          </cell>
          <cell r="G691" t="e">
            <v>#VALUE!</v>
          </cell>
          <cell r="I691">
            <v>4.1669999999999998</v>
          </cell>
          <cell r="J691">
            <v>7.4257</v>
          </cell>
          <cell r="K691">
            <v>5.39</v>
          </cell>
          <cell r="L691">
            <v>5.53</v>
          </cell>
          <cell r="M691">
            <v>5.4610000000000003</v>
          </cell>
          <cell r="O691">
            <v>1.6372</v>
          </cell>
          <cell r="P691">
            <v>0.89159999999999995</v>
          </cell>
          <cell r="Q691">
            <v>91.812471960520412</v>
          </cell>
          <cell r="U691">
            <v>3.6934</v>
          </cell>
          <cell r="V691">
            <v>37.65</v>
          </cell>
          <cell r="W691" t="str">
            <v>#N/A N/A</v>
          </cell>
        </row>
        <row r="692">
          <cell r="B692">
            <v>75.78</v>
          </cell>
          <cell r="D692">
            <v>1.4661</v>
          </cell>
          <cell r="E692">
            <v>920.6</v>
          </cell>
          <cell r="F692">
            <v>8.3649100000000001</v>
          </cell>
          <cell r="G692" t="e">
            <v>#VALUE!</v>
          </cell>
          <cell r="I692">
            <v>4.0713999999999997</v>
          </cell>
          <cell r="J692">
            <v>7.4328000000000003</v>
          </cell>
          <cell r="K692">
            <v>5.42</v>
          </cell>
          <cell r="L692">
            <v>5.62</v>
          </cell>
          <cell r="M692">
            <v>5.524</v>
          </cell>
          <cell r="O692">
            <v>1.6371</v>
          </cell>
          <cell r="P692">
            <v>0.88539999999999996</v>
          </cell>
          <cell r="Q692">
            <v>92.449740230404345</v>
          </cell>
          <cell r="U692">
            <v>3.5413000000000001</v>
          </cell>
          <cell r="V692">
            <v>23.829000000000001</v>
          </cell>
          <cell r="W692" t="str">
            <v>#N/A N/A</v>
          </cell>
        </row>
        <row r="693">
          <cell r="B693">
            <v>75.204999999999998</v>
          </cell>
          <cell r="D693">
            <v>1.4783999999999999</v>
          </cell>
          <cell r="E693">
            <v>922.2</v>
          </cell>
          <cell r="F693">
            <v>8.3817299999999992</v>
          </cell>
          <cell r="G693" t="e">
            <v>#VALUE!</v>
          </cell>
          <cell r="I693">
            <v>4.0960999999999999</v>
          </cell>
          <cell r="J693">
            <v>7.4218000000000002</v>
          </cell>
          <cell r="K693">
            <v>5.45</v>
          </cell>
          <cell r="L693">
            <v>5.6470000000000002</v>
          </cell>
          <cell r="M693">
            <v>5.5469999999999997</v>
          </cell>
          <cell r="O693">
            <v>1.6400999999999999</v>
          </cell>
          <cell r="P693">
            <v>0.88829999999999998</v>
          </cell>
          <cell r="Q693">
            <v>92.31678486997636</v>
          </cell>
          <cell r="U693">
            <v>3.5446</v>
          </cell>
          <cell r="V693">
            <v>48.966999999999999</v>
          </cell>
          <cell r="W693" t="str">
            <v>#N/A N/A</v>
          </cell>
        </row>
        <row r="694">
          <cell r="B694">
            <v>75.072999999999993</v>
          </cell>
          <cell r="D694">
            <v>1.4842</v>
          </cell>
          <cell r="E694">
            <v>932.3</v>
          </cell>
          <cell r="F694">
            <v>8.5819499999999991</v>
          </cell>
          <cell r="G694" t="e">
            <v>#VALUE!</v>
          </cell>
          <cell r="I694">
            <v>4.0067000000000004</v>
          </cell>
          <cell r="J694">
            <v>7.4184999999999999</v>
          </cell>
          <cell r="K694">
            <v>5.48</v>
          </cell>
          <cell r="L694">
            <v>5.75</v>
          </cell>
          <cell r="M694">
            <v>5.6459999999999999</v>
          </cell>
          <cell r="O694">
            <v>1.6369</v>
          </cell>
          <cell r="P694">
            <v>0.87409999999999999</v>
          </cell>
          <cell r="Q694">
            <v>93.633451550165887</v>
          </cell>
          <cell r="U694">
            <v>3.3452000000000002</v>
          </cell>
          <cell r="V694">
            <v>55.558</v>
          </cell>
          <cell r="W694" t="str">
            <v>#N/A N/A</v>
          </cell>
        </row>
        <row r="695">
          <cell r="B695">
            <v>75.051000000000002</v>
          </cell>
          <cell r="D695">
            <v>1.4850000000000001</v>
          </cell>
          <cell r="E695">
            <v>933.6</v>
          </cell>
          <cell r="F695">
            <v>8.6093700000000002</v>
          </cell>
          <cell r="G695" t="e">
            <v>#VALUE!</v>
          </cell>
          <cell r="I695">
            <v>4.0065</v>
          </cell>
          <cell r="J695">
            <v>7.4145000000000003</v>
          </cell>
          <cell r="K695">
            <v>5.49</v>
          </cell>
          <cell r="L695">
            <v>5.7519999999999998</v>
          </cell>
          <cell r="M695">
            <v>5.65</v>
          </cell>
          <cell r="O695">
            <v>1.635</v>
          </cell>
          <cell r="P695">
            <v>0.87029999999999996</v>
          </cell>
          <cell r="Q695">
            <v>93.933126508100656</v>
          </cell>
          <cell r="U695">
            <v>3.3443999999999998</v>
          </cell>
          <cell r="V695">
            <v>55.055999999999997</v>
          </cell>
          <cell r="W695" t="str">
            <v>#N/A N/A</v>
          </cell>
        </row>
        <row r="696">
          <cell r="B696">
            <v>75.052999999999997</v>
          </cell>
          <cell r="D696">
            <v>1.4832000000000001</v>
          </cell>
          <cell r="E696">
            <v>930</v>
          </cell>
          <cell r="F696">
            <v>8.59023</v>
          </cell>
          <cell r="G696" t="e">
            <v>#VALUE!</v>
          </cell>
          <cell r="I696">
            <v>3.9988999999999999</v>
          </cell>
          <cell r="J696">
            <v>7.4059999999999997</v>
          </cell>
          <cell r="K696">
            <v>5.5</v>
          </cell>
          <cell r="L696">
            <v>5.72</v>
          </cell>
          <cell r="M696">
            <v>5.6180000000000003</v>
          </cell>
          <cell r="O696">
            <v>1.6355</v>
          </cell>
          <cell r="P696">
            <v>0.87580000000000002</v>
          </cell>
          <cell r="Q696">
            <v>93.371774377711802</v>
          </cell>
          <cell r="U696">
            <v>3.4026000000000001</v>
          </cell>
          <cell r="V696">
            <v>57.822000000000003</v>
          </cell>
          <cell r="W696" t="str">
            <v>#N/A N/A</v>
          </cell>
        </row>
        <row r="697">
          <cell r="B697">
            <v>75.052999999999997</v>
          </cell>
          <cell r="D697">
            <v>1.4832000000000001</v>
          </cell>
          <cell r="E697">
            <v>930</v>
          </cell>
          <cell r="F697">
            <v>8.59023</v>
          </cell>
          <cell r="G697" t="e">
            <v>#VALUE!</v>
          </cell>
          <cell r="I697">
            <v>3.9988999999999999</v>
          </cell>
          <cell r="J697">
            <v>7.4059999999999997</v>
          </cell>
          <cell r="K697">
            <v>5.5</v>
          </cell>
          <cell r="L697">
            <v>5.72</v>
          </cell>
          <cell r="M697">
            <v>5.6180000000000003</v>
          </cell>
          <cell r="O697">
            <v>1.6355</v>
          </cell>
          <cell r="P697">
            <v>0.87580000000000002</v>
          </cell>
          <cell r="Q697">
            <v>93.371774377711802</v>
          </cell>
          <cell r="U697">
            <v>3.4026000000000001</v>
          </cell>
          <cell r="V697">
            <v>57.822000000000003</v>
          </cell>
          <cell r="W697" t="str">
            <v>#N/A N/A</v>
          </cell>
        </row>
        <row r="698">
          <cell r="B698">
            <v>75.052999999999997</v>
          </cell>
          <cell r="D698">
            <v>1.4832000000000001</v>
          </cell>
          <cell r="E698">
            <v>930</v>
          </cell>
          <cell r="F698">
            <v>8.59023</v>
          </cell>
          <cell r="G698" t="e">
            <v>#VALUE!</v>
          </cell>
          <cell r="I698">
            <v>3.9988999999999999</v>
          </cell>
          <cell r="J698">
            <v>7.4059999999999997</v>
          </cell>
          <cell r="K698">
            <v>5.5</v>
          </cell>
          <cell r="L698">
            <v>5.72</v>
          </cell>
          <cell r="M698">
            <v>5.6180000000000003</v>
          </cell>
          <cell r="O698">
            <v>1.6355</v>
          </cell>
          <cell r="P698">
            <v>0.87580000000000002</v>
          </cell>
          <cell r="Q698">
            <v>93.371774377711802</v>
          </cell>
          <cell r="U698">
            <v>3.4026000000000001</v>
          </cell>
          <cell r="V698">
            <v>57.822000000000003</v>
          </cell>
          <cell r="W698" t="str">
            <v>#N/A N/A</v>
          </cell>
        </row>
        <row r="699">
          <cell r="B699">
            <v>74.858999999999995</v>
          </cell>
          <cell r="D699">
            <v>1.4858</v>
          </cell>
          <cell r="E699">
            <v>930.8</v>
          </cell>
          <cell r="F699">
            <v>8.5962300000000003</v>
          </cell>
          <cell r="G699" t="e">
            <v>#VALUE!</v>
          </cell>
          <cell r="I699">
            <v>3.8391000000000002</v>
          </cell>
          <cell r="J699">
            <v>7.3968999999999996</v>
          </cell>
          <cell r="K699">
            <v>5.51</v>
          </cell>
          <cell r="L699">
            <v>5.7149999999999999</v>
          </cell>
          <cell r="M699">
            <v>5.6630000000000003</v>
          </cell>
          <cell r="O699">
            <v>1.6351</v>
          </cell>
          <cell r="P699">
            <v>0.87780000000000002</v>
          </cell>
          <cell r="Q699">
            <v>93.136249715197081</v>
          </cell>
          <cell r="U699">
            <v>3.2044000000000001</v>
          </cell>
          <cell r="V699">
            <v>57.475000000000001</v>
          </cell>
          <cell r="W699" t="str">
            <v>#N/A N/A</v>
          </cell>
        </row>
        <row r="700">
          <cell r="B700">
            <v>75.096000000000004</v>
          </cell>
          <cell r="D700">
            <v>1.4818</v>
          </cell>
          <cell r="E700">
            <v>930.9</v>
          </cell>
          <cell r="F700">
            <v>8.5704399999999996</v>
          </cell>
          <cell r="G700" t="e">
            <v>#VALUE!</v>
          </cell>
          <cell r="I700">
            <v>3.9477000000000002</v>
          </cell>
          <cell r="J700">
            <v>7.3864999999999998</v>
          </cell>
          <cell r="K700">
            <v>5.53</v>
          </cell>
          <cell r="L700">
            <v>5.72</v>
          </cell>
          <cell r="M700">
            <v>5.694</v>
          </cell>
          <cell r="O700">
            <v>1.6388</v>
          </cell>
          <cell r="P700">
            <v>0.87549999999999994</v>
          </cell>
          <cell r="Q700">
            <v>93.59223300970875</v>
          </cell>
          <cell r="U700">
            <v>3.3746</v>
          </cell>
          <cell r="V700">
            <v>54.902999999999999</v>
          </cell>
          <cell r="W700" t="str">
            <v>#N/A N/A</v>
          </cell>
        </row>
        <row r="701">
          <cell r="B701">
            <v>75.075999999999993</v>
          </cell>
          <cell r="D701">
            <v>1.4772000000000001</v>
          </cell>
          <cell r="E701">
            <v>931.1</v>
          </cell>
          <cell r="F701">
            <v>8.4466900000000003</v>
          </cell>
          <cell r="G701" t="e">
            <v>#VALUE!</v>
          </cell>
          <cell r="I701">
            <v>4.0347</v>
          </cell>
          <cell r="J701">
            <v>7.3925000000000001</v>
          </cell>
          <cell r="K701">
            <v>5.55</v>
          </cell>
          <cell r="L701">
            <v>5.8680000000000003</v>
          </cell>
          <cell r="M701">
            <v>5.9249999999999998</v>
          </cell>
          <cell r="O701">
            <v>1.6489</v>
          </cell>
          <cell r="P701">
            <v>0.88339999999999996</v>
          </cell>
          <cell r="Q701">
            <v>93.326918723115242</v>
          </cell>
          <cell r="U701">
            <v>3.4946999999999999</v>
          </cell>
          <cell r="V701">
            <v>54.83</v>
          </cell>
          <cell r="W701" t="str">
            <v>#N/A N/A</v>
          </cell>
        </row>
        <row r="702">
          <cell r="B702">
            <v>75.587999999999994</v>
          </cell>
          <cell r="D702">
            <v>1.476</v>
          </cell>
          <cell r="E702">
            <v>929.3</v>
          </cell>
          <cell r="F702">
            <v>8.4724400000000006</v>
          </cell>
          <cell r="G702" t="e">
            <v>#VALUE!</v>
          </cell>
          <cell r="I702">
            <v>3.9344000000000001</v>
          </cell>
          <cell r="J702">
            <v>7.3860000000000001</v>
          </cell>
          <cell r="K702">
            <v>5.58</v>
          </cell>
          <cell r="L702">
            <v>5.9020000000000001</v>
          </cell>
          <cell r="M702">
            <v>6.0250000000000004</v>
          </cell>
          <cell r="O702">
            <v>1.6495</v>
          </cell>
          <cell r="P702">
            <v>0.88029999999999997</v>
          </cell>
          <cell r="Q702">
            <v>93.689651255253892</v>
          </cell>
          <cell r="U702">
            <v>3.4016000000000002</v>
          </cell>
          <cell r="V702">
            <v>46.424999999999997</v>
          </cell>
          <cell r="W702" t="str">
            <v>#N/A N/A</v>
          </cell>
        </row>
        <row r="703">
          <cell r="B703">
            <v>76.147000000000006</v>
          </cell>
          <cell r="D703">
            <v>1.4702999999999999</v>
          </cell>
          <cell r="E703">
            <v>924.7</v>
          </cell>
          <cell r="F703">
            <v>8.3420500000000004</v>
          </cell>
          <cell r="G703" t="e">
            <v>#VALUE!</v>
          </cell>
          <cell r="I703">
            <v>3.9379</v>
          </cell>
          <cell r="J703">
            <v>7.3875000000000002</v>
          </cell>
          <cell r="K703">
            <v>5.6</v>
          </cell>
          <cell r="L703">
            <v>5.6879999999999997</v>
          </cell>
          <cell r="M703">
            <v>5.7720000000000002</v>
          </cell>
          <cell r="O703">
            <v>1.6560999999999999</v>
          </cell>
          <cell r="P703">
            <v>0.88339999999999996</v>
          </cell>
          <cell r="Q703">
            <v>93.734435136970802</v>
          </cell>
          <cell r="U703">
            <v>3.3818000000000001</v>
          </cell>
          <cell r="V703">
            <v>39.889000000000003</v>
          </cell>
          <cell r="W703" t="str">
            <v>#N/A N/A</v>
          </cell>
        </row>
        <row r="704">
          <cell r="B704">
            <v>76.147000000000006</v>
          </cell>
          <cell r="D704">
            <v>1.4702999999999999</v>
          </cell>
          <cell r="E704">
            <v>924.7</v>
          </cell>
          <cell r="F704">
            <v>8.3420500000000004</v>
          </cell>
          <cell r="G704" t="e">
            <v>#VALUE!</v>
          </cell>
          <cell r="I704">
            <v>3.9379</v>
          </cell>
          <cell r="J704">
            <v>7.3875000000000002</v>
          </cell>
          <cell r="K704">
            <v>5.6</v>
          </cell>
          <cell r="L704">
            <v>5.6879999999999997</v>
          </cell>
          <cell r="M704">
            <v>5.7720000000000002</v>
          </cell>
          <cell r="O704">
            <v>1.6560999999999999</v>
          </cell>
          <cell r="P704">
            <v>0.88339999999999996</v>
          </cell>
          <cell r="Q704">
            <v>93.734435136970802</v>
          </cell>
          <cell r="U704">
            <v>3.3818000000000001</v>
          </cell>
          <cell r="V704">
            <v>39.889000000000003</v>
          </cell>
          <cell r="W704" t="str">
            <v>#N/A N/A</v>
          </cell>
        </row>
        <row r="705">
          <cell r="B705">
            <v>76.147000000000006</v>
          </cell>
          <cell r="D705">
            <v>1.4702999999999999</v>
          </cell>
          <cell r="E705">
            <v>924.7</v>
          </cell>
          <cell r="F705">
            <v>8.3420500000000004</v>
          </cell>
          <cell r="G705" t="e">
            <v>#VALUE!</v>
          </cell>
          <cell r="I705">
            <v>3.9379</v>
          </cell>
          <cell r="J705">
            <v>7.3875000000000002</v>
          </cell>
          <cell r="K705">
            <v>5.6</v>
          </cell>
          <cell r="L705">
            <v>5.6879999999999997</v>
          </cell>
          <cell r="M705">
            <v>5.7720000000000002</v>
          </cell>
          <cell r="O705">
            <v>1.6560999999999999</v>
          </cell>
          <cell r="P705">
            <v>0.88339999999999996</v>
          </cell>
          <cell r="Q705">
            <v>93.734435136970802</v>
          </cell>
          <cell r="U705">
            <v>3.3818000000000001</v>
          </cell>
          <cell r="V705">
            <v>39.889000000000003</v>
          </cell>
          <cell r="W705" t="str">
            <v>#N/A N/A</v>
          </cell>
        </row>
        <row r="706">
          <cell r="B706">
            <v>75.935000000000002</v>
          </cell>
          <cell r="D706">
            <v>1.4666000000000001</v>
          </cell>
          <cell r="E706">
            <v>924.5</v>
          </cell>
          <cell r="F706">
            <v>8.3650000000000002</v>
          </cell>
          <cell r="G706" t="e">
            <v>#VALUE!</v>
          </cell>
          <cell r="I706">
            <v>3.8458999999999999</v>
          </cell>
          <cell r="J706">
            <v>7.4024999999999999</v>
          </cell>
          <cell r="K706">
            <v>5.61</v>
          </cell>
          <cell r="L706">
            <v>5.69</v>
          </cell>
          <cell r="M706">
            <v>5.7480000000000002</v>
          </cell>
          <cell r="O706">
            <v>1.6554</v>
          </cell>
          <cell r="P706">
            <v>0.88149999999999995</v>
          </cell>
          <cell r="Q706">
            <v>93.896766874645493</v>
          </cell>
          <cell r="U706">
            <v>3.2416999999999998</v>
          </cell>
          <cell r="V706">
            <v>41.360999999999997</v>
          </cell>
          <cell r="W706" t="str">
            <v>#N/A N/A</v>
          </cell>
        </row>
        <row r="707">
          <cell r="B707">
            <v>75.694000000000003</v>
          </cell>
          <cell r="D707">
            <v>1.4756</v>
          </cell>
          <cell r="E707">
            <v>925</v>
          </cell>
          <cell r="F707">
            <v>8.4190400000000007</v>
          </cell>
          <cell r="G707" t="e">
            <v>#VALUE!</v>
          </cell>
          <cell r="I707">
            <v>3.8925999999999998</v>
          </cell>
          <cell r="J707">
            <v>7.4059999999999997</v>
          </cell>
          <cell r="K707">
            <v>5.63</v>
          </cell>
          <cell r="L707">
            <v>5.77</v>
          </cell>
          <cell r="M707">
            <v>5.8220000000000001</v>
          </cell>
          <cell r="O707">
            <v>1.6492</v>
          </cell>
          <cell r="P707">
            <v>0.87360000000000004</v>
          </cell>
          <cell r="Q707">
            <v>94.391025641025635</v>
          </cell>
          <cell r="U707">
            <v>3.2757000000000001</v>
          </cell>
          <cell r="V707">
            <v>41.951999999999998</v>
          </cell>
          <cell r="W707" t="str">
            <v>#N/A N/A</v>
          </cell>
        </row>
        <row r="708">
          <cell r="B708">
            <v>76.412999999999997</v>
          </cell>
          <cell r="D708">
            <v>1.4668000000000001</v>
          </cell>
          <cell r="E708">
            <v>924.5</v>
          </cell>
          <cell r="F708">
            <v>8.3532899999999994</v>
          </cell>
          <cell r="G708" t="e">
            <v>#VALUE!</v>
          </cell>
          <cell r="I708">
            <v>3.9546999999999999</v>
          </cell>
          <cell r="J708">
            <v>7.3925000000000001</v>
          </cell>
          <cell r="K708">
            <v>5.66</v>
          </cell>
          <cell r="L708">
            <v>5.9020000000000001</v>
          </cell>
          <cell r="M708">
            <v>6</v>
          </cell>
          <cell r="O708">
            <v>1.6494</v>
          </cell>
          <cell r="P708">
            <v>0.87170000000000003</v>
          </cell>
          <cell r="Q708">
            <v>94.60823677870826</v>
          </cell>
          <cell r="U708">
            <v>3.3235000000000001</v>
          </cell>
          <cell r="V708">
            <v>41.954999999999998</v>
          </cell>
          <cell r="W708" t="str">
            <v>#N/A N/A</v>
          </cell>
        </row>
        <row r="709">
          <cell r="B709">
            <v>76.382999999999996</v>
          </cell>
          <cell r="D709">
            <v>1.4651000000000001</v>
          </cell>
          <cell r="E709">
            <v>924</v>
          </cell>
          <cell r="F709">
            <v>8.3143600000000006</v>
          </cell>
          <cell r="G709" t="e">
            <v>#VALUE!</v>
          </cell>
          <cell r="I709">
            <v>4.0076000000000001</v>
          </cell>
          <cell r="J709">
            <v>7.4094999999999995</v>
          </cell>
          <cell r="K709">
            <v>5.67</v>
          </cell>
          <cell r="L709">
            <v>5.9</v>
          </cell>
          <cell r="M709">
            <v>5.9969999999999999</v>
          </cell>
          <cell r="O709">
            <v>1.6526000000000001</v>
          </cell>
          <cell r="P709">
            <v>0.87539999999999996</v>
          </cell>
          <cell r="Q709">
            <v>94.391135480923012</v>
          </cell>
          <cell r="U709">
            <v>3.3818000000000001</v>
          </cell>
          <cell r="V709">
            <v>41.917000000000002</v>
          </cell>
          <cell r="W709" t="str">
            <v>#N/A N/A</v>
          </cell>
        </row>
        <row r="710">
          <cell r="B710">
            <v>76.287999999999997</v>
          </cell>
          <cell r="D710">
            <v>1.4654</v>
          </cell>
          <cell r="E710">
            <v>921.1</v>
          </cell>
          <cell r="F710">
            <v>8.2469300000000008</v>
          </cell>
          <cell r="G710" t="e">
            <v>#VALUE!</v>
          </cell>
          <cell r="I710">
            <v>4.1048</v>
          </cell>
          <cell r="J710">
            <v>7.4030000000000005</v>
          </cell>
          <cell r="K710">
            <v>5.67</v>
          </cell>
          <cell r="L710">
            <v>5.9980000000000002</v>
          </cell>
          <cell r="M710">
            <v>6.11</v>
          </cell>
          <cell r="O710">
            <v>1.6554</v>
          </cell>
          <cell r="P710">
            <v>0.87709999999999999</v>
          </cell>
          <cell r="Q710">
            <v>94.367802987116633</v>
          </cell>
          <cell r="U710">
            <v>3.4956</v>
          </cell>
          <cell r="V710">
            <v>41.286999999999999</v>
          </cell>
          <cell r="W710" t="str">
            <v>#N/A N/A</v>
          </cell>
        </row>
        <row r="711">
          <cell r="B711">
            <v>76.287999999999997</v>
          </cell>
          <cell r="D711">
            <v>1.4654</v>
          </cell>
          <cell r="E711">
            <v>921.1</v>
          </cell>
          <cell r="F711">
            <v>8.2469300000000008</v>
          </cell>
          <cell r="G711" t="e">
            <v>#VALUE!</v>
          </cell>
          <cell r="I711">
            <v>4.1048</v>
          </cell>
          <cell r="J711">
            <v>7.4030000000000005</v>
          </cell>
          <cell r="K711">
            <v>5.67</v>
          </cell>
          <cell r="L711">
            <v>5.9980000000000002</v>
          </cell>
          <cell r="M711">
            <v>6.11</v>
          </cell>
          <cell r="O711">
            <v>1.6554</v>
          </cell>
          <cell r="P711">
            <v>0.87709999999999999</v>
          </cell>
          <cell r="Q711">
            <v>94.367802987116633</v>
          </cell>
          <cell r="U711">
            <v>3.4956</v>
          </cell>
          <cell r="V711">
            <v>41.286999999999999</v>
          </cell>
          <cell r="W711" t="str">
            <v>#N/A N/A</v>
          </cell>
        </row>
        <row r="712">
          <cell r="B712">
            <v>76.287999999999997</v>
          </cell>
          <cell r="D712">
            <v>1.4654</v>
          </cell>
          <cell r="E712">
            <v>921.1</v>
          </cell>
          <cell r="F712">
            <v>8.2469300000000008</v>
          </cell>
          <cell r="G712" t="e">
            <v>#VALUE!</v>
          </cell>
          <cell r="I712">
            <v>4.1048</v>
          </cell>
          <cell r="J712">
            <v>7.4030000000000005</v>
          </cell>
          <cell r="K712">
            <v>5.67</v>
          </cell>
          <cell r="L712">
            <v>5.9980000000000002</v>
          </cell>
          <cell r="M712">
            <v>6.11</v>
          </cell>
          <cell r="O712">
            <v>1.6554</v>
          </cell>
          <cell r="P712">
            <v>0.87709999999999999</v>
          </cell>
          <cell r="Q712">
            <v>94.367802987116633</v>
          </cell>
          <cell r="U712">
            <v>3.4956</v>
          </cell>
          <cell r="V712">
            <v>41.286999999999999</v>
          </cell>
          <cell r="W712" t="str">
            <v>#N/A N/A</v>
          </cell>
        </row>
        <row r="713">
          <cell r="B713">
            <v>76.061999999999998</v>
          </cell>
          <cell r="D713">
            <v>1.4703999999999999</v>
          </cell>
          <cell r="E713">
            <v>923.6</v>
          </cell>
          <cell r="F713">
            <v>8.2692099999999993</v>
          </cell>
          <cell r="G713" t="e">
            <v>#VALUE!</v>
          </cell>
          <cell r="I713">
            <v>4.1566999999999998</v>
          </cell>
          <cell r="J713">
            <v>7.3914999999999997</v>
          </cell>
          <cell r="K713">
            <v>5.68</v>
          </cell>
          <cell r="L713">
            <v>6</v>
          </cell>
          <cell r="M713">
            <v>6.0650000000000004</v>
          </cell>
          <cell r="O713">
            <v>1.6595</v>
          </cell>
          <cell r="P713">
            <v>0.88380000000000003</v>
          </cell>
          <cell r="Q713">
            <v>93.884362978049325</v>
          </cell>
          <cell r="U713">
            <v>3.5545999999999998</v>
          </cell>
          <cell r="V713">
            <v>40.688000000000002</v>
          </cell>
          <cell r="W713" t="str">
            <v>#N/A N/A</v>
          </cell>
        </row>
        <row r="714">
          <cell r="B714">
            <v>76.221999999999994</v>
          </cell>
          <cell r="D714">
            <v>1.4699</v>
          </cell>
          <cell r="E714">
            <v>923.95</v>
          </cell>
          <cell r="F714">
            <v>8.2660800000000005</v>
          </cell>
          <cell r="G714" t="e">
            <v>#VALUE!</v>
          </cell>
          <cell r="I714">
            <v>3.9694000000000003</v>
          </cell>
          <cell r="J714">
            <v>7.3815</v>
          </cell>
          <cell r="K714">
            <v>5.69</v>
          </cell>
          <cell r="L714">
            <v>5.992</v>
          </cell>
          <cell r="M714">
            <v>6.06</v>
          </cell>
          <cell r="O714">
            <v>1.6663000000000001</v>
          </cell>
          <cell r="P714">
            <v>0.88780000000000003</v>
          </cell>
          <cell r="Q714">
            <v>93.844334309529174</v>
          </cell>
          <cell r="U714">
            <v>3.3094999999999999</v>
          </cell>
          <cell r="V714">
            <v>39.256999999999998</v>
          </cell>
          <cell r="W714" t="str">
            <v>#N/A N/A</v>
          </cell>
        </row>
        <row r="715">
          <cell r="B715">
            <v>76.144000000000005</v>
          </cell>
          <cell r="D715">
            <v>1.4685999999999999</v>
          </cell>
          <cell r="E715">
            <v>926.6</v>
          </cell>
          <cell r="F715">
            <v>8.2720300000000009</v>
          </cell>
          <cell r="G715" t="e">
            <v>#VALUE!</v>
          </cell>
          <cell r="I715">
            <v>4.0892999999999997</v>
          </cell>
          <cell r="J715">
            <v>7.3765000000000001</v>
          </cell>
          <cell r="K715">
            <v>5.7</v>
          </cell>
          <cell r="L715">
            <v>5.9370000000000003</v>
          </cell>
          <cell r="M715">
            <v>6.0149999999999997</v>
          </cell>
          <cell r="O715">
            <v>1.6671</v>
          </cell>
          <cell r="P715">
            <v>0.88119999999999998</v>
          </cell>
          <cell r="Q715">
            <v>94.592600998638218</v>
          </cell>
          <cell r="U715">
            <v>3.4645999999999999</v>
          </cell>
          <cell r="V715">
            <v>46.901000000000003</v>
          </cell>
          <cell r="W715" t="str">
            <v>#N/A N/A</v>
          </cell>
        </row>
        <row r="716">
          <cell r="B716">
            <v>76.561999999999998</v>
          </cell>
          <cell r="D716">
            <v>1.4613</v>
          </cell>
          <cell r="E716">
            <v>925.45</v>
          </cell>
          <cell r="F716">
            <v>8.2537300000000009</v>
          </cell>
          <cell r="G716" t="e">
            <v>#VALUE!</v>
          </cell>
          <cell r="I716">
            <v>4.2011000000000003</v>
          </cell>
          <cell r="J716">
            <v>7.3724999999999996</v>
          </cell>
          <cell r="K716">
            <v>5.71</v>
          </cell>
          <cell r="L716">
            <v>5.8179999999999996</v>
          </cell>
          <cell r="M716">
            <v>5.89</v>
          </cell>
          <cell r="O716">
            <v>1.6682999999999999</v>
          </cell>
          <cell r="P716">
            <v>0.874</v>
          </cell>
          <cell r="Q716">
            <v>95.440503432494268</v>
          </cell>
          <cell r="U716">
            <v>3.5653000000000001</v>
          </cell>
          <cell r="V716">
            <v>45.939</v>
          </cell>
          <cell r="W716" t="str">
            <v>#N/A N/A</v>
          </cell>
        </row>
        <row r="717">
          <cell r="B717">
            <v>77.436000000000007</v>
          </cell>
          <cell r="D717">
            <v>1.4452</v>
          </cell>
          <cell r="E717">
            <v>930</v>
          </cell>
          <cell r="F717">
            <v>8.2023499999999991</v>
          </cell>
          <cell r="G717" t="e">
            <v>#VALUE!</v>
          </cell>
          <cell r="I717">
            <v>4.234</v>
          </cell>
          <cell r="J717">
            <v>7.3784999999999998</v>
          </cell>
          <cell r="K717">
            <v>5.74</v>
          </cell>
          <cell r="L717">
            <v>5.82</v>
          </cell>
          <cell r="M717">
            <v>5.8849999999999998</v>
          </cell>
          <cell r="O717">
            <v>1.6652</v>
          </cell>
          <cell r="P717">
            <v>0.8629</v>
          </cell>
          <cell r="Q717">
            <v>96.488585004056091</v>
          </cell>
          <cell r="U717">
            <v>3.6318999999999999</v>
          </cell>
          <cell r="V717">
            <v>44.735999999999997</v>
          </cell>
          <cell r="W717" t="str">
            <v>#N/A N/A</v>
          </cell>
        </row>
        <row r="718">
          <cell r="B718">
            <v>77.436000000000007</v>
          </cell>
          <cell r="D718">
            <v>1.4452</v>
          </cell>
          <cell r="E718">
            <v>930</v>
          </cell>
          <cell r="F718">
            <v>8.2023499999999991</v>
          </cell>
          <cell r="G718" t="e">
            <v>#VALUE!</v>
          </cell>
          <cell r="I718">
            <v>4.234</v>
          </cell>
          <cell r="J718">
            <v>7.3784999999999998</v>
          </cell>
          <cell r="K718">
            <v>5.74</v>
          </cell>
          <cell r="L718">
            <v>5.82</v>
          </cell>
          <cell r="M718">
            <v>5.8849999999999998</v>
          </cell>
          <cell r="O718">
            <v>1.6652</v>
          </cell>
          <cell r="P718">
            <v>0.8629</v>
          </cell>
          <cell r="Q718">
            <v>96.488585004056091</v>
          </cell>
          <cell r="U718">
            <v>3.6318999999999999</v>
          </cell>
          <cell r="V718">
            <v>44.735999999999997</v>
          </cell>
          <cell r="W718" t="str">
            <v>#N/A N/A</v>
          </cell>
        </row>
        <row r="719">
          <cell r="B719">
            <v>77.436000000000007</v>
          </cell>
          <cell r="D719">
            <v>1.4452</v>
          </cell>
          <cell r="E719">
            <v>930</v>
          </cell>
          <cell r="F719">
            <v>8.2023499999999991</v>
          </cell>
          <cell r="G719" t="e">
            <v>#VALUE!</v>
          </cell>
          <cell r="I719">
            <v>4.234</v>
          </cell>
          <cell r="J719">
            <v>7.3784999999999998</v>
          </cell>
          <cell r="K719">
            <v>5.74</v>
          </cell>
          <cell r="L719">
            <v>5.82</v>
          </cell>
          <cell r="M719">
            <v>5.8849999999999998</v>
          </cell>
          <cell r="O719">
            <v>1.6652</v>
          </cell>
          <cell r="P719">
            <v>0.8629</v>
          </cell>
          <cell r="Q719">
            <v>96.488585004056091</v>
          </cell>
          <cell r="U719">
            <v>3.6318999999999999</v>
          </cell>
          <cell r="V719">
            <v>44.735999999999997</v>
          </cell>
          <cell r="W719" t="str">
            <v>#N/A N/A</v>
          </cell>
        </row>
        <row r="720">
          <cell r="B720">
            <v>77.400999999999996</v>
          </cell>
          <cell r="D720">
            <v>1.4381999999999999</v>
          </cell>
          <cell r="E720">
            <v>933.65</v>
          </cell>
          <cell r="F720">
            <v>8.2443200000000001</v>
          </cell>
          <cell r="G720" t="e">
            <v>#VALUE!</v>
          </cell>
          <cell r="I720">
            <v>4.1448999999999998</v>
          </cell>
          <cell r="J720">
            <v>7.3819999999999997</v>
          </cell>
          <cell r="K720">
            <v>5.76</v>
          </cell>
          <cell r="L720">
            <v>5.798</v>
          </cell>
          <cell r="M720">
            <v>5.8849999999999998</v>
          </cell>
          <cell r="O720">
            <v>1.6566000000000001</v>
          </cell>
          <cell r="P720">
            <v>0.85870000000000002</v>
          </cell>
          <cell r="Q720">
            <v>96.459764760684763</v>
          </cell>
          <cell r="U720">
            <v>3.5238</v>
          </cell>
          <cell r="V720">
            <v>47.433999999999997</v>
          </cell>
          <cell r="W720" t="str">
            <v>#N/A N/A</v>
          </cell>
        </row>
        <row r="721">
          <cell r="B721">
            <v>77.412000000000006</v>
          </cell>
          <cell r="D721">
            <v>1.4409000000000001</v>
          </cell>
          <cell r="E721">
            <v>938.55</v>
          </cell>
          <cell r="F721">
            <v>8.2899799999999999</v>
          </cell>
          <cell r="G721" t="e">
            <v>#VALUE!</v>
          </cell>
          <cell r="I721">
            <v>4.1178999999999997</v>
          </cell>
          <cell r="J721">
            <v>7.3776000000000002</v>
          </cell>
          <cell r="K721">
            <v>5.77</v>
          </cell>
          <cell r="L721">
            <v>5.7969999999999997</v>
          </cell>
          <cell r="M721">
            <v>5.8780000000000001</v>
          </cell>
          <cell r="O721">
            <v>1.6596</v>
          </cell>
          <cell r="P721">
            <v>0.85809999999999997</v>
          </cell>
          <cell r="Q721">
            <v>96.702016082041723</v>
          </cell>
          <cell r="U721">
            <v>3.5099</v>
          </cell>
          <cell r="V721">
            <v>46.231000000000002</v>
          </cell>
          <cell r="W721" t="str">
            <v>#N/A N/A</v>
          </cell>
        </row>
        <row r="722">
          <cell r="B722">
            <v>77.587000000000003</v>
          </cell>
          <cell r="D722">
            <v>1.4359999999999999</v>
          </cell>
          <cell r="E722">
            <v>939.45</v>
          </cell>
          <cell r="F722">
            <v>8.2862200000000001</v>
          </cell>
          <cell r="G722" t="e">
            <v>#VALUE!</v>
          </cell>
          <cell r="I722">
            <v>4.0278</v>
          </cell>
          <cell r="J722">
            <v>7.3768000000000002</v>
          </cell>
          <cell r="K722">
            <v>5.77</v>
          </cell>
          <cell r="L722">
            <v>5.7969999999999997</v>
          </cell>
          <cell r="M722">
            <v>5.8780000000000001</v>
          </cell>
          <cell r="O722">
            <v>1.6588000000000001</v>
          </cell>
          <cell r="P722">
            <v>0.85829999999999995</v>
          </cell>
          <cell r="Q722">
            <v>96.632878946755213</v>
          </cell>
          <cell r="U722">
            <v>3.4336000000000002</v>
          </cell>
          <cell r="V722">
            <v>46</v>
          </cell>
          <cell r="W722" t="str">
            <v>#N/A N/A</v>
          </cell>
        </row>
        <row r="723">
          <cell r="B723">
            <v>77.793999999999997</v>
          </cell>
          <cell r="D723">
            <v>1.4348000000000001</v>
          </cell>
          <cell r="E723">
            <v>943.6</v>
          </cell>
          <cell r="F723">
            <v>8.3549900000000008</v>
          </cell>
          <cell r="G723" t="e">
            <v>#VALUE!</v>
          </cell>
          <cell r="I723">
            <v>4.0507</v>
          </cell>
          <cell r="J723">
            <v>7.3693999999999997</v>
          </cell>
          <cell r="K723">
            <v>5.78</v>
          </cell>
          <cell r="L723">
            <v>5.758</v>
          </cell>
          <cell r="M723">
            <v>5.8120000000000003</v>
          </cell>
          <cell r="O723">
            <v>1.6585000000000001</v>
          </cell>
          <cell r="P723">
            <v>0.85860000000000003</v>
          </cell>
          <cell r="Q723">
            <v>96.581644537619383</v>
          </cell>
          <cell r="U723">
            <v>3.4579</v>
          </cell>
          <cell r="V723">
            <v>46.231000000000002</v>
          </cell>
          <cell r="W723" t="str">
            <v>#N/A N/A</v>
          </cell>
        </row>
        <row r="724">
          <cell r="B724">
            <v>77.721000000000004</v>
          </cell>
          <cell r="D724">
            <v>1.4355</v>
          </cell>
          <cell r="E724">
            <v>940.65</v>
          </cell>
          <cell r="F724">
            <v>8.2485300000000006</v>
          </cell>
          <cell r="G724" t="e">
            <v>#VALUE!</v>
          </cell>
          <cell r="I724">
            <v>4.1679000000000004</v>
          </cell>
          <cell r="J724">
            <v>7.3696000000000002</v>
          </cell>
          <cell r="K724">
            <v>5.78</v>
          </cell>
          <cell r="L724">
            <v>5.76</v>
          </cell>
          <cell r="M724">
            <v>5.81</v>
          </cell>
          <cell r="O724">
            <v>1.6602999999999999</v>
          </cell>
          <cell r="P724">
            <v>0.86499999999999999</v>
          </cell>
          <cell r="Q724">
            <v>95.971098265895947</v>
          </cell>
          <cell r="U724">
            <v>3.5766</v>
          </cell>
          <cell r="V724">
            <v>45.493000000000002</v>
          </cell>
          <cell r="W724" t="str">
            <v>#N/A N/A</v>
          </cell>
        </row>
        <row r="725">
          <cell r="B725">
            <v>77.721000000000004</v>
          </cell>
          <cell r="D725">
            <v>1.4355</v>
          </cell>
          <cell r="E725">
            <v>940.65</v>
          </cell>
          <cell r="F725">
            <v>8.2485300000000006</v>
          </cell>
          <cell r="G725" t="e">
            <v>#VALUE!</v>
          </cell>
          <cell r="I725">
            <v>4.1679000000000004</v>
          </cell>
          <cell r="J725">
            <v>7.3696000000000002</v>
          </cell>
          <cell r="K725">
            <v>5.78</v>
          </cell>
          <cell r="L725">
            <v>5.76</v>
          </cell>
          <cell r="M725">
            <v>5.81</v>
          </cell>
          <cell r="O725">
            <v>1.6602999999999999</v>
          </cell>
          <cell r="P725">
            <v>0.86499999999999999</v>
          </cell>
          <cell r="Q725">
            <v>95.971098265895947</v>
          </cell>
          <cell r="U725">
            <v>3.5766</v>
          </cell>
          <cell r="V725">
            <v>45.493000000000002</v>
          </cell>
          <cell r="W725" t="str">
            <v>#N/A N/A</v>
          </cell>
        </row>
        <row r="726">
          <cell r="B726">
            <v>77.721000000000004</v>
          </cell>
          <cell r="D726">
            <v>1.4355</v>
          </cell>
          <cell r="E726">
            <v>940.65</v>
          </cell>
          <cell r="F726">
            <v>8.2485300000000006</v>
          </cell>
          <cell r="G726" t="e">
            <v>#VALUE!</v>
          </cell>
          <cell r="I726">
            <v>4.1679000000000004</v>
          </cell>
          <cell r="J726">
            <v>7.3696000000000002</v>
          </cell>
          <cell r="K726">
            <v>5.78</v>
          </cell>
          <cell r="L726">
            <v>5.76</v>
          </cell>
          <cell r="M726">
            <v>5.81</v>
          </cell>
          <cell r="O726">
            <v>1.6602999999999999</v>
          </cell>
          <cell r="P726">
            <v>0.86499999999999999</v>
          </cell>
          <cell r="Q726">
            <v>95.971098265895947</v>
          </cell>
          <cell r="U726">
            <v>3.5766</v>
          </cell>
          <cell r="V726">
            <v>45.493000000000002</v>
          </cell>
          <cell r="W726" t="str">
            <v>#N/A N/A</v>
          </cell>
        </row>
        <row r="727">
          <cell r="B727">
            <v>77.572000000000003</v>
          </cell>
          <cell r="D727">
            <v>1.4405999999999999</v>
          </cell>
          <cell r="E727">
            <v>939.6</v>
          </cell>
          <cell r="F727">
            <v>8.2083399999999997</v>
          </cell>
          <cell r="G727" t="e">
            <v>#VALUE!</v>
          </cell>
          <cell r="I727">
            <v>4.2125000000000004</v>
          </cell>
          <cell r="J727">
            <v>7.3475000000000001</v>
          </cell>
          <cell r="K727">
            <v>5.79</v>
          </cell>
          <cell r="L727">
            <v>5.7750000000000004</v>
          </cell>
          <cell r="M727">
            <v>5.8179999999999996</v>
          </cell>
          <cell r="O727">
            <v>1.6671</v>
          </cell>
          <cell r="P727">
            <v>0.87119999999999997</v>
          </cell>
          <cell r="Q727">
            <v>95.678374655647389</v>
          </cell>
          <cell r="U727">
            <v>3.6364000000000001</v>
          </cell>
          <cell r="V727">
            <v>45.493000000000002</v>
          </cell>
          <cell r="W727" t="str">
            <v>#N/A N/A</v>
          </cell>
        </row>
        <row r="728">
          <cell r="B728">
            <v>77.596999999999994</v>
          </cell>
          <cell r="D728">
            <v>1.4394</v>
          </cell>
          <cell r="E728">
            <v>940.1</v>
          </cell>
          <cell r="F728">
            <v>8.2338000000000005</v>
          </cell>
          <cell r="G728" t="e">
            <v>#VALUE!</v>
          </cell>
          <cell r="I728">
            <v>4.2125000000000004</v>
          </cell>
          <cell r="J728">
            <v>7.3296999999999999</v>
          </cell>
          <cell r="K728">
            <v>5.79</v>
          </cell>
          <cell r="L728">
            <v>5.7750000000000004</v>
          </cell>
          <cell r="M728">
            <v>5.8179999999999996</v>
          </cell>
          <cell r="O728">
            <v>1.6649</v>
          </cell>
          <cell r="P728">
            <v>0.871</v>
          </cell>
          <cell r="Q728">
            <v>95.574052812858795</v>
          </cell>
          <cell r="U728">
            <v>3.6366000000000001</v>
          </cell>
          <cell r="V728">
            <v>45.493000000000002</v>
          </cell>
          <cell r="W728" t="str">
            <v>#N/A N/A</v>
          </cell>
        </row>
        <row r="729">
          <cell r="B729">
            <v>77.150000000000006</v>
          </cell>
          <cell r="D729">
            <v>1.4504000000000001</v>
          </cell>
          <cell r="E729">
            <v>938.9</v>
          </cell>
          <cell r="F729">
            <v>8.2233400000000003</v>
          </cell>
          <cell r="G729" t="e">
            <v>#VALUE!</v>
          </cell>
          <cell r="I729">
            <v>4.2748999999999997</v>
          </cell>
          <cell r="J729">
            <v>7.3444000000000003</v>
          </cell>
          <cell r="K729">
            <v>5.8</v>
          </cell>
          <cell r="L729">
            <v>5.7450000000000001</v>
          </cell>
          <cell r="M729">
            <v>5.782</v>
          </cell>
          <cell r="O729">
            <v>1.6684000000000001</v>
          </cell>
          <cell r="P729">
            <v>0.87350000000000005</v>
          </cell>
          <cell r="Q729">
            <v>95.500858614768163</v>
          </cell>
          <cell r="U729">
            <v>3.7035</v>
          </cell>
          <cell r="V729">
            <v>45.493000000000002</v>
          </cell>
          <cell r="W729" t="str">
            <v>#N/A N/A</v>
          </cell>
        </row>
        <row r="730">
          <cell r="B730">
            <v>76.606999999999999</v>
          </cell>
          <cell r="D730">
            <v>1.4637</v>
          </cell>
          <cell r="E730">
            <v>940.6</v>
          </cell>
          <cell r="F730">
            <v>8.2801100000000005</v>
          </cell>
          <cell r="G730" t="e">
            <v>#VALUE!</v>
          </cell>
          <cell r="I730">
            <v>4.1969000000000003</v>
          </cell>
          <cell r="J730">
            <v>7.3094000000000001</v>
          </cell>
          <cell r="K730">
            <v>5.81</v>
          </cell>
          <cell r="L730">
            <v>5.7030000000000003</v>
          </cell>
          <cell r="M730">
            <v>5.74</v>
          </cell>
          <cell r="O730">
            <v>1.6654</v>
          </cell>
          <cell r="P730">
            <v>0.877</v>
          </cell>
          <cell r="Q730">
            <v>94.948688711516539</v>
          </cell>
          <cell r="U730">
            <v>3.6156000000000001</v>
          </cell>
          <cell r="V730">
            <v>45.493000000000002</v>
          </cell>
          <cell r="W730" t="str">
            <v>#N/A N/A</v>
          </cell>
        </row>
        <row r="731">
          <cell r="B731">
            <v>76.218000000000004</v>
          </cell>
          <cell r="D731">
            <v>1.4712000000000001</v>
          </cell>
          <cell r="E731">
            <v>935.6</v>
          </cell>
          <cell r="F731">
            <v>8.2954299999999996</v>
          </cell>
          <cell r="G731" t="e">
            <v>#VALUE!</v>
          </cell>
          <cell r="I731">
            <v>4.0731999999999999</v>
          </cell>
          <cell r="J731">
            <v>7.3041</v>
          </cell>
          <cell r="K731">
            <v>5.82</v>
          </cell>
          <cell r="L731">
            <v>5.7</v>
          </cell>
          <cell r="M731">
            <v>5.742</v>
          </cell>
          <cell r="O731">
            <v>1.6583999999999999</v>
          </cell>
          <cell r="P731">
            <v>0.87350000000000005</v>
          </cell>
          <cell r="Q731">
            <v>94.92844876931882</v>
          </cell>
          <cell r="U731">
            <v>3.4910999999999999</v>
          </cell>
          <cell r="V731">
            <v>44.963999999999999</v>
          </cell>
          <cell r="W731" t="str">
            <v>#N/A N/A</v>
          </cell>
        </row>
        <row r="732">
          <cell r="B732">
            <v>76.218000000000004</v>
          </cell>
          <cell r="D732">
            <v>1.4712000000000001</v>
          </cell>
          <cell r="E732">
            <v>935.6</v>
          </cell>
          <cell r="F732">
            <v>8.2954299999999996</v>
          </cell>
          <cell r="G732" t="e">
            <v>#VALUE!</v>
          </cell>
          <cell r="I732">
            <v>4.0731999999999999</v>
          </cell>
          <cell r="J732">
            <v>7.3041</v>
          </cell>
          <cell r="K732">
            <v>5.82</v>
          </cell>
          <cell r="L732">
            <v>5.7</v>
          </cell>
          <cell r="M732">
            <v>5.742</v>
          </cell>
          <cell r="O732">
            <v>1.6583999999999999</v>
          </cell>
          <cell r="P732">
            <v>0.87350000000000005</v>
          </cell>
          <cell r="Q732">
            <v>94.92844876931882</v>
          </cell>
          <cell r="U732">
            <v>3.4910999999999999</v>
          </cell>
          <cell r="V732">
            <v>44.963999999999999</v>
          </cell>
          <cell r="W732" t="str">
            <v>#N/A N/A</v>
          </cell>
        </row>
        <row r="733">
          <cell r="B733">
            <v>76.218000000000004</v>
          </cell>
          <cell r="D733">
            <v>1.4712000000000001</v>
          </cell>
          <cell r="E733">
            <v>935.6</v>
          </cell>
          <cell r="F733">
            <v>8.2954299999999996</v>
          </cell>
          <cell r="G733" t="e">
            <v>#VALUE!</v>
          </cell>
          <cell r="I733">
            <v>4.0731999999999999</v>
          </cell>
          <cell r="J733">
            <v>7.3041</v>
          </cell>
          <cell r="K733">
            <v>5.82</v>
          </cell>
          <cell r="L733">
            <v>5.7</v>
          </cell>
          <cell r="M733">
            <v>5.742</v>
          </cell>
          <cell r="O733">
            <v>1.6583999999999999</v>
          </cell>
          <cell r="P733">
            <v>0.87350000000000005</v>
          </cell>
          <cell r="Q733">
            <v>94.92844876931882</v>
          </cell>
          <cell r="U733">
            <v>3.4910999999999999</v>
          </cell>
          <cell r="V733">
            <v>44.963999999999999</v>
          </cell>
          <cell r="W733" t="str">
            <v>#N/A N/A</v>
          </cell>
        </row>
        <row r="734">
          <cell r="B734">
            <v>76.694999999999993</v>
          </cell>
          <cell r="D734">
            <v>1.4582999999999999</v>
          </cell>
          <cell r="E734">
            <v>936</v>
          </cell>
          <cell r="F734">
            <v>8.3719000000000001</v>
          </cell>
          <cell r="G734" t="e">
            <v>#VALUE!</v>
          </cell>
          <cell r="I734">
            <v>4.0232000000000001</v>
          </cell>
          <cell r="J734">
            <v>7.2971000000000004</v>
          </cell>
          <cell r="K734">
            <v>5.82</v>
          </cell>
          <cell r="L734">
            <v>5.7</v>
          </cell>
          <cell r="M734">
            <v>5.74</v>
          </cell>
          <cell r="O734">
            <v>1.6566999999999998</v>
          </cell>
          <cell r="P734">
            <v>0.87670000000000003</v>
          </cell>
          <cell r="Q734">
            <v>94.485000570320508</v>
          </cell>
          <cell r="U734">
            <v>3.4397000000000002</v>
          </cell>
          <cell r="V734">
            <v>45.326999999999998</v>
          </cell>
          <cell r="W734" t="str">
            <v>#N/A N/A</v>
          </cell>
        </row>
        <row r="735">
          <cell r="B735">
            <v>76.647999999999996</v>
          </cell>
          <cell r="D735">
            <v>1.4607999999999999</v>
          </cell>
          <cell r="E735">
            <v>935.9</v>
          </cell>
          <cell r="F735">
            <v>8.4024400000000004</v>
          </cell>
          <cell r="G735" t="e">
            <v>#VALUE!</v>
          </cell>
          <cell r="I735">
            <v>4.0231000000000003</v>
          </cell>
          <cell r="J735">
            <v>7.3071000000000002</v>
          </cell>
          <cell r="K735">
            <v>5.82</v>
          </cell>
          <cell r="L735">
            <v>5.7</v>
          </cell>
          <cell r="M735">
            <v>5.74</v>
          </cell>
          <cell r="O735">
            <v>1.6543000000000001</v>
          </cell>
          <cell r="P735">
            <v>0.87829999999999997</v>
          </cell>
          <cell r="Q735">
            <v>94.176249573038845</v>
          </cell>
          <cell r="U735">
            <v>3.4394999999999998</v>
          </cell>
          <cell r="V735">
            <v>45.326999999999998</v>
          </cell>
          <cell r="W735" t="str">
            <v>#N/A N/A</v>
          </cell>
        </row>
        <row r="736">
          <cell r="B736">
            <v>75.971999999999994</v>
          </cell>
          <cell r="D736">
            <v>1.4732000000000001</v>
          </cell>
          <cell r="E736">
            <v>936.95</v>
          </cell>
          <cell r="F736">
            <v>8.5665999999999993</v>
          </cell>
          <cell r="G736" t="e">
            <v>#VALUE!</v>
          </cell>
          <cell r="I736">
            <v>3.9032999999999998</v>
          </cell>
          <cell r="J736">
            <v>7.2965999999999998</v>
          </cell>
          <cell r="K736">
            <v>5.84</v>
          </cell>
          <cell r="L736">
            <v>5.8120000000000003</v>
          </cell>
          <cell r="M736">
            <v>5.8570000000000002</v>
          </cell>
          <cell r="O736">
            <v>1.6440999999999999</v>
          </cell>
          <cell r="P736">
            <v>0.88039999999999996</v>
          </cell>
          <cell r="Q736">
            <v>93.372330758746031</v>
          </cell>
          <cell r="U736">
            <v>3.2763</v>
          </cell>
          <cell r="V736">
            <v>46.161999999999999</v>
          </cell>
          <cell r="W736" t="str">
            <v>#N/A N/A</v>
          </cell>
        </row>
        <row r="737">
          <cell r="B737">
            <v>75.888999999999996</v>
          </cell>
          <cell r="D737">
            <v>1.4742</v>
          </cell>
          <cell r="E737">
            <v>936.6</v>
          </cell>
          <cell r="F737">
            <v>8.5491299999999999</v>
          </cell>
          <cell r="G737" t="e">
            <v>#VALUE!</v>
          </cell>
          <cell r="I737">
            <v>3.8917999999999999</v>
          </cell>
          <cell r="J737">
            <v>7.2750000000000004</v>
          </cell>
          <cell r="K737">
            <v>5.85</v>
          </cell>
          <cell r="L737">
            <v>5.827</v>
          </cell>
          <cell r="M737">
            <v>5.86</v>
          </cell>
          <cell r="O737">
            <v>1.6407</v>
          </cell>
          <cell r="P737">
            <v>0.88190000000000002</v>
          </cell>
          <cell r="Q737">
            <v>93.020750652001354</v>
          </cell>
          <cell r="U737">
            <v>3.2524000000000002</v>
          </cell>
          <cell r="V737">
            <v>49.098999999999997</v>
          </cell>
          <cell r="W737" t="str">
            <v>#N/A N/A</v>
          </cell>
        </row>
        <row r="738">
          <cell r="B738">
            <v>75.793000000000006</v>
          </cell>
          <cell r="D738">
            <v>1.4767000000000001</v>
          </cell>
          <cell r="E738">
            <v>938.45</v>
          </cell>
          <cell r="F738">
            <v>8.6443300000000001</v>
          </cell>
          <cell r="G738" t="e">
            <v>#VALUE!</v>
          </cell>
          <cell r="I738">
            <v>3.8651</v>
          </cell>
          <cell r="J738">
            <v>7.2750000000000004</v>
          </cell>
          <cell r="K738">
            <v>5.86</v>
          </cell>
          <cell r="L738">
            <v>5.8280000000000003</v>
          </cell>
          <cell r="M738">
            <v>5.8289999999999997</v>
          </cell>
          <cell r="O738">
            <v>1.6354</v>
          </cell>
          <cell r="P738">
            <v>0.87439999999999996</v>
          </cell>
          <cell r="Q738">
            <v>93.515553522415374</v>
          </cell>
          <cell r="U738">
            <v>3.1840999999999999</v>
          </cell>
          <cell r="V738">
            <v>51.664999999999999</v>
          </cell>
          <cell r="W738" t="str">
            <v>#N/A N/A</v>
          </cell>
        </row>
        <row r="739">
          <cell r="B739">
            <v>75.793000000000006</v>
          </cell>
          <cell r="D739">
            <v>1.4767000000000001</v>
          </cell>
          <cell r="E739">
            <v>938.45</v>
          </cell>
          <cell r="F739">
            <v>8.6443300000000001</v>
          </cell>
          <cell r="G739" t="e">
            <v>#VALUE!</v>
          </cell>
          <cell r="I739">
            <v>3.8651</v>
          </cell>
          <cell r="J739">
            <v>7.2750000000000004</v>
          </cell>
          <cell r="K739">
            <v>5.86</v>
          </cell>
          <cell r="L739">
            <v>5.8280000000000003</v>
          </cell>
          <cell r="M739">
            <v>5.8289999999999997</v>
          </cell>
          <cell r="O739">
            <v>1.6354</v>
          </cell>
          <cell r="P739">
            <v>0.87439999999999996</v>
          </cell>
          <cell r="Q739">
            <v>93.515553522415374</v>
          </cell>
          <cell r="U739">
            <v>3.1840999999999999</v>
          </cell>
          <cell r="V739">
            <v>51.664999999999999</v>
          </cell>
          <cell r="W739" t="str">
            <v>#N/A N/A</v>
          </cell>
        </row>
        <row r="740">
          <cell r="B740">
            <v>75.793000000000006</v>
          </cell>
          <cell r="D740">
            <v>1.4767000000000001</v>
          </cell>
          <cell r="E740">
            <v>938.45</v>
          </cell>
          <cell r="F740">
            <v>8.6443300000000001</v>
          </cell>
          <cell r="G740" t="e">
            <v>#VALUE!</v>
          </cell>
          <cell r="I740">
            <v>3.8651</v>
          </cell>
          <cell r="J740">
            <v>7.2750000000000004</v>
          </cell>
          <cell r="K740">
            <v>5.86</v>
          </cell>
          <cell r="L740">
            <v>5.8280000000000003</v>
          </cell>
          <cell r="M740">
            <v>5.8289999999999997</v>
          </cell>
          <cell r="O740">
            <v>1.6354</v>
          </cell>
          <cell r="P740">
            <v>0.87439999999999996</v>
          </cell>
          <cell r="Q740">
            <v>93.515553522415374</v>
          </cell>
          <cell r="U740">
            <v>3.1840999999999999</v>
          </cell>
          <cell r="V740">
            <v>51.664999999999999</v>
          </cell>
          <cell r="W740" t="str">
            <v>#N/A N/A</v>
          </cell>
        </row>
        <row r="741">
          <cell r="B741">
            <v>76.174000000000007</v>
          </cell>
          <cell r="D741">
            <v>1.4687000000000001</v>
          </cell>
          <cell r="E741">
            <v>940.45</v>
          </cell>
          <cell r="F741">
            <v>8.6159300000000005</v>
          </cell>
          <cell r="G741" t="e">
            <v>#VALUE!</v>
          </cell>
          <cell r="I741">
            <v>3.8311000000000002</v>
          </cell>
          <cell r="J741">
            <v>7.2709999999999999</v>
          </cell>
          <cell r="K741">
            <v>5.86</v>
          </cell>
          <cell r="L741">
            <v>5.8769999999999998</v>
          </cell>
          <cell r="M741">
            <v>5.8230000000000004</v>
          </cell>
          <cell r="O741">
            <v>1.6421000000000001</v>
          </cell>
          <cell r="P741">
            <v>0.87150000000000005</v>
          </cell>
          <cell r="Q741">
            <v>94.211130235226619</v>
          </cell>
          <cell r="U741">
            <v>3.1534</v>
          </cell>
          <cell r="V741">
            <v>52.497999999999998</v>
          </cell>
          <cell r="W741" t="str">
            <v>#N/A N/A</v>
          </cell>
        </row>
        <row r="742">
          <cell r="B742">
            <v>76.111000000000004</v>
          </cell>
          <cell r="D742">
            <v>1.4715</v>
          </cell>
          <cell r="E742">
            <v>939.3</v>
          </cell>
          <cell r="F742">
            <v>8.5882799999999992</v>
          </cell>
          <cell r="G742" t="e">
            <v>#VALUE!</v>
          </cell>
          <cell r="I742">
            <v>3.7822</v>
          </cell>
          <cell r="J742">
            <v>7.2675000000000001</v>
          </cell>
          <cell r="K742">
            <v>5.87</v>
          </cell>
          <cell r="L742">
            <v>5.992</v>
          </cell>
          <cell r="M742">
            <v>5.9030000000000005</v>
          </cell>
          <cell r="O742">
            <v>1.6393</v>
          </cell>
          <cell r="P742">
            <v>0.88160000000000005</v>
          </cell>
          <cell r="Q742">
            <v>92.973003629764065</v>
          </cell>
          <cell r="U742">
            <v>3.0756999999999999</v>
          </cell>
          <cell r="V742">
            <v>52.368000000000002</v>
          </cell>
          <cell r="W742" t="str">
            <v>#N/A N/A</v>
          </cell>
        </row>
        <row r="743">
          <cell r="B743">
            <v>76.418999999999997</v>
          </cell>
          <cell r="D743">
            <v>1.4661999999999999</v>
          </cell>
          <cell r="E743">
            <v>937.45</v>
          </cell>
          <cell r="F743">
            <v>8.5635300000000001</v>
          </cell>
          <cell r="G743" t="e">
            <v>#VALUE!</v>
          </cell>
          <cell r="I743">
            <v>3.8214999999999999</v>
          </cell>
          <cell r="J743">
            <v>7.2626999999999997</v>
          </cell>
          <cell r="K743">
            <v>5.88</v>
          </cell>
          <cell r="L743">
            <v>5.9850000000000003</v>
          </cell>
          <cell r="M743">
            <v>5.8529999999999998</v>
          </cell>
          <cell r="O743">
            <v>1.6358000000000001</v>
          </cell>
          <cell r="P743">
            <v>0.88009999999999999</v>
          </cell>
          <cell r="Q743">
            <v>92.932621293034885</v>
          </cell>
          <cell r="U743">
            <v>3.1326999999999998</v>
          </cell>
          <cell r="V743">
            <v>54.25</v>
          </cell>
          <cell r="W743" t="str">
            <v>#N/A N/A</v>
          </cell>
        </row>
        <row r="744">
          <cell r="B744">
            <v>75.933999999999997</v>
          </cell>
          <cell r="D744">
            <v>1.4802999999999999</v>
          </cell>
          <cell r="E744">
            <v>937.55</v>
          </cell>
          <cell r="F744">
            <v>8.5822800000000008</v>
          </cell>
          <cell r="G744" t="e">
            <v>#VALUE!</v>
          </cell>
          <cell r="I744">
            <v>3.8837000000000002</v>
          </cell>
          <cell r="J744">
            <v>7.2708000000000004</v>
          </cell>
          <cell r="K744">
            <v>5.89</v>
          </cell>
          <cell r="L744">
            <v>5.8929999999999998</v>
          </cell>
          <cell r="M744">
            <v>5.73</v>
          </cell>
          <cell r="O744">
            <v>1.6313</v>
          </cell>
          <cell r="P744">
            <v>0.89480000000000004</v>
          </cell>
          <cell r="Q744">
            <v>91.154447921323197</v>
          </cell>
          <cell r="U744">
            <v>3.1526999999999998</v>
          </cell>
          <cell r="V744">
            <v>58.591000000000001</v>
          </cell>
          <cell r="W744" t="str">
            <v>#N/A N/A</v>
          </cell>
        </row>
        <row r="745">
          <cell r="B745">
            <v>75.977999999999994</v>
          </cell>
          <cell r="D745">
            <v>1.4819</v>
          </cell>
          <cell r="E745">
            <v>937.5</v>
          </cell>
          <cell r="F745">
            <v>8.6139399999999995</v>
          </cell>
          <cell r="G745" t="e">
            <v>#VALUE!</v>
          </cell>
          <cell r="I745">
            <v>3.7835000000000001</v>
          </cell>
          <cell r="J745">
            <v>7.2621000000000002</v>
          </cell>
          <cell r="K745">
            <v>5.89</v>
          </cell>
          <cell r="L745">
            <v>5.6920000000000002</v>
          </cell>
          <cell r="M745">
            <v>5.5229999999999997</v>
          </cell>
          <cell r="O745">
            <v>1.6293</v>
          </cell>
          <cell r="P745">
            <v>0.89280000000000004</v>
          </cell>
          <cell r="Q745">
            <v>91.246639784946225</v>
          </cell>
          <cell r="U745">
            <v>3.0371999999999999</v>
          </cell>
          <cell r="V745">
            <v>60.423999999999999</v>
          </cell>
          <cell r="W745" t="str">
            <v>#N/A N/A</v>
          </cell>
        </row>
        <row r="746">
          <cell r="B746">
            <v>75.977999999999994</v>
          </cell>
          <cell r="D746">
            <v>1.4819</v>
          </cell>
          <cell r="E746">
            <v>937.5</v>
          </cell>
          <cell r="F746">
            <v>8.6139399999999995</v>
          </cell>
          <cell r="G746" t="e">
            <v>#VALUE!</v>
          </cell>
          <cell r="I746">
            <v>3.7835000000000001</v>
          </cell>
          <cell r="J746">
            <v>7.2621000000000002</v>
          </cell>
          <cell r="K746">
            <v>5.89</v>
          </cell>
          <cell r="L746">
            <v>5.6920000000000002</v>
          </cell>
          <cell r="M746">
            <v>5.5229999999999997</v>
          </cell>
          <cell r="O746">
            <v>1.6293</v>
          </cell>
          <cell r="P746">
            <v>0.89280000000000004</v>
          </cell>
          <cell r="Q746">
            <v>91.246639784946225</v>
          </cell>
          <cell r="U746">
            <v>3.0371999999999999</v>
          </cell>
          <cell r="V746">
            <v>60.423999999999999</v>
          </cell>
          <cell r="W746" t="str">
            <v>#N/A N/A</v>
          </cell>
        </row>
        <row r="747">
          <cell r="B747">
            <v>75.977999999999994</v>
          </cell>
          <cell r="D747">
            <v>1.4819</v>
          </cell>
          <cell r="E747">
            <v>937.5</v>
          </cell>
          <cell r="F747">
            <v>8.6139399999999995</v>
          </cell>
          <cell r="G747" t="e">
            <v>#VALUE!</v>
          </cell>
          <cell r="I747">
            <v>3.7835000000000001</v>
          </cell>
          <cell r="J747">
            <v>7.2621000000000002</v>
          </cell>
          <cell r="K747">
            <v>5.89</v>
          </cell>
          <cell r="L747">
            <v>5.6920000000000002</v>
          </cell>
          <cell r="M747">
            <v>5.5229999999999997</v>
          </cell>
          <cell r="O747">
            <v>1.6293</v>
          </cell>
          <cell r="P747">
            <v>0.89280000000000004</v>
          </cell>
          <cell r="Q747">
            <v>91.246639784946225</v>
          </cell>
          <cell r="U747">
            <v>3.0371999999999999</v>
          </cell>
          <cell r="V747">
            <v>60.423999999999999</v>
          </cell>
          <cell r="W747" t="str">
            <v>#N/A N/A</v>
          </cell>
        </row>
        <row r="748">
          <cell r="B748">
            <v>75.613</v>
          </cell>
          <cell r="D748">
            <v>1.4875</v>
          </cell>
          <cell r="E748">
            <v>937.35</v>
          </cell>
          <cell r="F748">
            <v>8.6707999999999998</v>
          </cell>
          <cell r="G748" t="e">
            <v>#VALUE!</v>
          </cell>
          <cell r="I748">
            <v>3.7646999999999999</v>
          </cell>
          <cell r="J748">
            <v>7.2550999999999997</v>
          </cell>
          <cell r="K748">
            <v>5.89</v>
          </cell>
          <cell r="L748">
            <v>5.71</v>
          </cell>
          <cell r="M748">
            <v>5.53</v>
          </cell>
          <cell r="O748">
            <v>1.6253</v>
          </cell>
          <cell r="P748">
            <v>0.8962</v>
          </cell>
          <cell r="Q748">
            <v>90.677304173175628</v>
          </cell>
          <cell r="U748">
            <v>3.0436000000000001</v>
          </cell>
          <cell r="V748">
            <v>65.424000000000007</v>
          </cell>
          <cell r="W748" t="str">
            <v>#N/A N/A</v>
          </cell>
        </row>
        <row r="749">
          <cell r="B749">
            <v>75.573999999999998</v>
          </cell>
          <cell r="D749">
            <v>1.4844999999999999</v>
          </cell>
          <cell r="E749">
            <v>935.55</v>
          </cell>
          <cell r="F749">
            <v>8.7382100000000005</v>
          </cell>
          <cell r="G749" t="e">
            <v>#VALUE!</v>
          </cell>
          <cell r="I749">
            <v>3.6751</v>
          </cell>
          <cell r="J749">
            <v>7.2397999999999998</v>
          </cell>
          <cell r="K749">
            <v>5.89</v>
          </cell>
          <cell r="L749">
            <v>5.5730000000000004</v>
          </cell>
          <cell r="M749">
            <v>5.4249999999999998</v>
          </cell>
          <cell r="O749">
            <v>1.62</v>
          </cell>
          <cell r="P749">
            <v>0.88829999999999998</v>
          </cell>
          <cell r="Q749">
            <v>91.185410334346514</v>
          </cell>
          <cell r="U749">
            <v>2.9626000000000001</v>
          </cell>
          <cell r="V749">
            <v>60.412999999999997</v>
          </cell>
          <cell r="W749" t="str">
            <v>#N/A N/A</v>
          </cell>
        </row>
        <row r="750">
          <cell r="B750">
            <v>76.257999999999996</v>
          </cell>
          <cell r="D750">
            <v>1.4656</v>
          </cell>
          <cell r="E750">
            <v>943.1</v>
          </cell>
          <cell r="F750">
            <v>8.79101</v>
          </cell>
          <cell r="G750" t="e">
            <v>#VALUE!</v>
          </cell>
          <cell r="I750">
            <v>3.7345000000000002</v>
          </cell>
          <cell r="J750">
            <v>7.2435</v>
          </cell>
          <cell r="K750">
            <v>5.88</v>
          </cell>
          <cell r="L750">
            <v>5.4450000000000003</v>
          </cell>
          <cell r="M750">
            <v>5.3469999999999995</v>
          </cell>
          <cell r="O750">
            <v>1.6118000000000001</v>
          </cell>
          <cell r="P750">
            <v>0.87860000000000005</v>
          </cell>
          <cell r="Q750">
            <v>91.725472342362863</v>
          </cell>
          <cell r="U750">
            <v>3.0059999999999998</v>
          </cell>
          <cell r="V750">
            <v>73.254000000000005</v>
          </cell>
          <cell r="W750" t="str">
            <v>#N/A N/A</v>
          </cell>
        </row>
        <row r="751">
          <cell r="B751">
            <v>76.174000000000007</v>
          </cell>
          <cell r="D751">
            <v>1.4689000000000001</v>
          </cell>
          <cell r="E751">
            <v>947.4</v>
          </cell>
          <cell r="F751">
            <v>8.8500700000000005</v>
          </cell>
          <cell r="G751" t="e">
            <v>#VALUE!</v>
          </cell>
          <cell r="I751">
            <v>3.6211000000000002</v>
          </cell>
          <cell r="J751">
            <v>7.2469999999999999</v>
          </cell>
          <cell r="K751">
            <v>5.88</v>
          </cell>
          <cell r="L751">
            <v>5.5120000000000005</v>
          </cell>
          <cell r="M751">
            <v>5.4450000000000003</v>
          </cell>
          <cell r="O751">
            <v>1.6143999999999998</v>
          </cell>
          <cell r="P751">
            <v>0.88239999999999996</v>
          </cell>
          <cell r="Q751">
            <v>91.477787851314602</v>
          </cell>
          <cell r="U751">
            <v>2.8715000000000002</v>
          </cell>
          <cell r="V751">
            <v>74.760999999999996</v>
          </cell>
          <cell r="W751" t="str">
            <v>#N/A N/A</v>
          </cell>
        </row>
        <row r="752">
          <cell r="B752">
            <v>76.382999999999996</v>
          </cell>
          <cell r="D752">
            <v>1.4623999999999999</v>
          </cell>
          <cell r="E752">
            <v>945.7</v>
          </cell>
          <cell r="F752">
            <v>8.8389400000000009</v>
          </cell>
          <cell r="G752" t="e">
            <v>#VALUE!</v>
          </cell>
          <cell r="I752">
            <v>3.6297000000000001</v>
          </cell>
          <cell r="J752">
            <v>7.2417999999999996</v>
          </cell>
          <cell r="K752">
            <v>5.87</v>
          </cell>
          <cell r="L752">
            <v>5.4279999999999999</v>
          </cell>
          <cell r="M752">
            <v>5.3579999999999997</v>
          </cell>
          <cell r="O752">
            <v>1.6093999999999999</v>
          </cell>
          <cell r="P752">
            <v>0.87790000000000001</v>
          </cell>
          <cell r="Q752">
            <v>91.661920492083368</v>
          </cell>
          <cell r="U752">
            <v>2.8599000000000001</v>
          </cell>
          <cell r="V752">
            <v>75.055999999999997</v>
          </cell>
          <cell r="W752" t="str">
            <v>#N/A N/A</v>
          </cell>
        </row>
        <row r="753">
          <cell r="B753">
            <v>76.382999999999996</v>
          </cell>
          <cell r="D753">
            <v>1.4623999999999999</v>
          </cell>
          <cell r="E753">
            <v>945.7</v>
          </cell>
          <cell r="F753">
            <v>8.8389400000000009</v>
          </cell>
          <cell r="G753" t="e">
            <v>#VALUE!</v>
          </cell>
          <cell r="I753">
            <v>3.6297000000000001</v>
          </cell>
          <cell r="J753">
            <v>7.2417999999999996</v>
          </cell>
          <cell r="K753">
            <v>5.87</v>
          </cell>
          <cell r="L753">
            <v>5.4279999999999999</v>
          </cell>
          <cell r="M753">
            <v>5.3579999999999997</v>
          </cell>
          <cell r="O753">
            <v>1.6093999999999999</v>
          </cell>
          <cell r="P753">
            <v>0.87790000000000001</v>
          </cell>
          <cell r="Q753">
            <v>91.661920492083368</v>
          </cell>
          <cell r="U753">
            <v>2.8599000000000001</v>
          </cell>
          <cell r="V753">
            <v>75.055999999999997</v>
          </cell>
          <cell r="W753" t="str">
            <v>#N/A N/A</v>
          </cell>
        </row>
        <row r="754">
          <cell r="B754">
            <v>76.382999999999996</v>
          </cell>
          <cell r="D754">
            <v>1.4623999999999999</v>
          </cell>
          <cell r="E754">
            <v>945.7</v>
          </cell>
          <cell r="F754">
            <v>8.8389400000000009</v>
          </cell>
          <cell r="G754" t="e">
            <v>#VALUE!</v>
          </cell>
          <cell r="I754">
            <v>3.6297000000000001</v>
          </cell>
          <cell r="J754">
            <v>7.2417999999999996</v>
          </cell>
          <cell r="K754">
            <v>5.87</v>
          </cell>
          <cell r="L754">
            <v>5.4279999999999999</v>
          </cell>
          <cell r="M754">
            <v>5.3579999999999997</v>
          </cell>
          <cell r="O754">
            <v>1.6093999999999999</v>
          </cell>
          <cell r="P754">
            <v>0.87790000000000001</v>
          </cell>
          <cell r="Q754">
            <v>91.661920492083368</v>
          </cell>
          <cell r="U754">
            <v>2.8599000000000001</v>
          </cell>
          <cell r="V754">
            <v>75.055999999999997</v>
          </cell>
          <cell r="W754" t="str">
            <v>#N/A N/A</v>
          </cell>
        </row>
        <row r="755">
          <cell r="B755">
            <v>76.866</v>
          </cell>
          <cell r="D755">
            <v>1.4445999999999999</v>
          </cell>
          <cell r="E755">
            <v>951.9</v>
          </cell>
          <cell r="F755">
            <v>8.9696099999999994</v>
          </cell>
          <cell r="G755" t="e">
            <v>#VALUE!</v>
          </cell>
          <cell r="I755">
            <v>3.6295999999999999</v>
          </cell>
          <cell r="J755">
            <v>7.2672999999999996</v>
          </cell>
          <cell r="K755">
            <v>5.86</v>
          </cell>
          <cell r="L755">
            <v>5.4050000000000002</v>
          </cell>
          <cell r="M755">
            <v>5.3460000000000001</v>
          </cell>
          <cell r="O755">
            <v>1.6019999999999999</v>
          </cell>
          <cell r="P755">
            <v>0.86099999999999999</v>
          </cell>
          <cell r="Q755">
            <v>93.031358885017411</v>
          </cell>
          <cell r="U755">
            <v>2.8595000000000002</v>
          </cell>
          <cell r="V755">
            <v>78.650000000000006</v>
          </cell>
          <cell r="W755" t="str">
            <v>#N/A N/A</v>
          </cell>
        </row>
        <row r="756">
          <cell r="B756">
            <v>76.346000000000004</v>
          </cell>
          <cell r="D756">
            <v>1.4605000000000001</v>
          </cell>
          <cell r="E756">
            <v>946.5</v>
          </cell>
          <cell r="F756">
            <v>8.8569700000000005</v>
          </cell>
          <cell r="G756" t="e">
            <v>#VALUE!</v>
          </cell>
          <cell r="I756">
            <v>3.4331999999999998</v>
          </cell>
          <cell r="J756">
            <v>7.2392000000000003</v>
          </cell>
          <cell r="K756">
            <v>5.86</v>
          </cell>
          <cell r="L756">
            <v>5.4080000000000004</v>
          </cell>
          <cell r="M756">
            <v>5.3019999999999996</v>
          </cell>
          <cell r="O756">
            <v>1.6061000000000001</v>
          </cell>
          <cell r="P756">
            <v>0.86870000000000003</v>
          </cell>
          <cell r="Q756">
            <v>92.442730516864273</v>
          </cell>
          <cell r="U756">
            <v>2.5571000000000002</v>
          </cell>
          <cell r="V756">
            <v>79.546000000000006</v>
          </cell>
          <cell r="W756" t="str">
            <v>#N/A N/A</v>
          </cell>
        </row>
        <row r="757">
          <cell r="B757">
            <v>76.400999999999996</v>
          </cell>
          <cell r="D757">
            <v>1.4558</v>
          </cell>
          <cell r="E757">
            <v>953.3</v>
          </cell>
          <cell r="F757">
            <v>9.05185</v>
          </cell>
          <cell r="G757" t="e">
            <v>#VALUE!</v>
          </cell>
          <cell r="I757">
            <v>3.5979999999999999</v>
          </cell>
          <cell r="J757">
            <v>7.2404999999999999</v>
          </cell>
          <cell r="K757">
            <v>5.82</v>
          </cell>
          <cell r="L757">
            <v>5.2679999999999998</v>
          </cell>
          <cell r="M757">
            <v>5.0469999999999997</v>
          </cell>
          <cell r="O757">
            <v>1.5872999999999999</v>
          </cell>
          <cell r="P757">
            <v>0.86470000000000002</v>
          </cell>
          <cell r="Q757">
            <v>91.783277437261461</v>
          </cell>
          <cell r="U757">
            <v>2.7355</v>
          </cell>
          <cell r="V757">
            <v>78.046000000000006</v>
          </cell>
          <cell r="W757" t="str">
            <v>#N/A N/A</v>
          </cell>
        </row>
        <row r="758">
          <cell r="B758">
            <v>75.691999999999993</v>
          </cell>
          <cell r="D758">
            <v>1.4734</v>
          </cell>
          <cell r="E758">
            <v>948.7</v>
          </cell>
          <cell r="F758">
            <v>8.8941200000000009</v>
          </cell>
          <cell r="G758" t="e">
            <v>#VALUE!</v>
          </cell>
          <cell r="I758">
            <v>3.7018</v>
          </cell>
          <cell r="J758">
            <v>7.2252999999999998</v>
          </cell>
          <cell r="K758">
            <v>5.79</v>
          </cell>
          <cell r="L758">
            <v>5.3049999999999997</v>
          </cell>
          <cell r="M758">
            <v>5.1020000000000003</v>
          </cell>
          <cell r="O758">
            <v>1.6017000000000001</v>
          </cell>
          <cell r="P758">
            <v>0.87790000000000001</v>
          </cell>
          <cell r="Q758">
            <v>91.223373960587779</v>
          </cell>
          <cell r="U758">
            <v>2.8989000000000003</v>
          </cell>
          <cell r="V758">
            <v>75.775000000000006</v>
          </cell>
          <cell r="W758" t="str">
            <v>#N/A N/A</v>
          </cell>
        </row>
        <row r="759">
          <cell r="B759">
            <v>75.972999999999999</v>
          </cell>
          <cell r="D759">
            <v>1.4670000000000001</v>
          </cell>
          <cell r="E759">
            <v>948.8</v>
          </cell>
          <cell r="F759">
            <v>8.8762100000000004</v>
          </cell>
          <cell r="G759" t="e">
            <v>#VALUE!</v>
          </cell>
          <cell r="I759">
            <v>3.5493999999999999</v>
          </cell>
          <cell r="J759">
            <v>7.2115</v>
          </cell>
          <cell r="K759">
            <v>5.76</v>
          </cell>
          <cell r="L759">
            <v>5.3920000000000003</v>
          </cell>
          <cell r="M759">
            <v>5.1929999999999996</v>
          </cell>
          <cell r="O759">
            <v>1.6087</v>
          </cell>
          <cell r="P759">
            <v>0.87829999999999997</v>
          </cell>
          <cell r="Q759">
            <v>91.580325629056134</v>
          </cell>
          <cell r="U759">
            <v>2.7503000000000002</v>
          </cell>
          <cell r="V759">
            <v>73.811999999999998</v>
          </cell>
          <cell r="W759" t="str">
            <v>#N/A N/A</v>
          </cell>
        </row>
        <row r="760">
          <cell r="B760">
            <v>75.972999999999999</v>
          </cell>
          <cell r="D760">
            <v>1.4670000000000001</v>
          </cell>
          <cell r="E760">
            <v>948.8</v>
          </cell>
          <cell r="F760">
            <v>8.8762100000000004</v>
          </cell>
          <cell r="G760" t="e">
            <v>#VALUE!</v>
          </cell>
          <cell r="I760">
            <v>3.5493999999999999</v>
          </cell>
          <cell r="J760">
            <v>7.2115</v>
          </cell>
          <cell r="K760">
            <v>5.76</v>
          </cell>
          <cell r="L760">
            <v>5.3920000000000003</v>
          </cell>
          <cell r="M760">
            <v>5.1929999999999996</v>
          </cell>
          <cell r="O760">
            <v>1.6087</v>
          </cell>
          <cell r="P760">
            <v>0.87829999999999997</v>
          </cell>
          <cell r="Q760">
            <v>91.580325629056134</v>
          </cell>
          <cell r="U760">
            <v>2.7503000000000002</v>
          </cell>
          <cell r="V760">
            <v>73.811999999999998</v>
          </cell>
          <cell r="W760" t="str">
            <v>#N/A N/A</v>
          </cell>
        </row>
        <row r="761">
          <cell r="B761">
            <v>75.972999999999999</v>
          </cell>
          <cell r="D761">
            <v>1.4670000000000001</v>
          </cell>
          <cell r="E761">
            <v>948.8</v>
          </cell>
          <cell r="F761">
            <v>8.8762100000000004</v>
          </cell>
          <cell r="G761" t="e">
            <v>#VALUE!</v>
          </cell>
          <cell r="I761">
            <v>3.5493999999999999</v>
          </cell>
          <cell r="J761">
            <v>7.2115</v>
          </cell>
          <cell r="K761">
            <v>5.76</v>
          </cell>
          <cell r="L761">
            <v>5.3920000000000003</v>
          </cell>
          <cell r="M761">
            <v>5.1929999999999996</v>
          </cell>
          <cell r="O761">
            <v>1.6087</v>
          </cell>
          <cell r="P761">
            <v>0.87829999999999997</v>
          </cell>
          <cell r="Q761">
            <v>91.580325629056134</v>
          </cell>
          <cell r="U761">
            <v>2.7503000000000002</v>
          </cell>
          <cell r="V761">
            <v>73.811999999999998</v>
          </cell>
          <cell r="W761" t="str">
            <v>#N/A N/A</v>
          </cell>
        </row>
        <row r="762">
          <cell r="B762">
            <v>75.578999999999994</v>
          </cell>
          <cell r="D762">
            <v>1.4782</v>
          </cell>
          <cell r="E762">
            <v>948.1</v>
          </cell>
          <cell r="F762">
            <v>8.8831600000000002</v>
          </cell>
          <cell r="G762" t="e">
            <v>#VALUE!</v>
          </cell>
          <cell r="I762">
            <v>3.5806</v>
          </cell>
          <cell r="J762">
            <v>7.2495000000000003</v>
          </cell>
          <cell r="K762">
            <v>5.7</v>
          </cell>
          <cell r="L762">
            <v>5.2370000000000001</v>
          </cell>
          <cell r="M762">
            <v>5.0620000000000003</v>
          </cell>
          <cell r="O762">
            <v>1.6108</v>
          </cell>
          <cell r="P762">
            <v>0.88470000000000004</v>
          </cell>
          <cell r="Q762">
            <v>91.036509551260309</v>
          </cell>
          <cell r="U762">
            <v>2.79</v>
          </cell>
          <cell r="V762">
            <v>77.400999999999996</v>
          </cell>
          <cell r="W762" t="str">
            <v>#N/A N/A</v>
          </cell>
        </row>
        <row r="763">
          <cell r="B763">
            <v>75.545000000000002</v>
          </cell>
          <cell r="D763">
            <v>1.4773000000000001</v>
          </cell>
          <cell r="E763">
            <v>942.2</v>
          </cell>
          <cell r="F763">
            <v>8.8101400000000005</v>
          </cell>
          <cell r="G763" t="e">
            <v>#VALUE!</v>
          </cell>
          <cell r="I763">
            <v>3.6768999999999998</v>
          </cell>
          <cell r="J763">
            <v>7.1944999999999997</v>
          </cell>
          <cell r="K763">
            <v>5.65</v>
          </cell>
          <cell r="L763">
            <v>5.2569999999999997</v>
          </cell>
          <cell r="M763">
            <v>5.077</v>
          </cell>
          <cell r="O763">
            <v>1.615</v>
          </cell>
          <cell r="P763">
            <v>0.88829999999999998</v>
          </cell>
          <cell r="Q763">
            <v>90.903973882697287</v>
          </cell>
          <cell r="U763">
            <v>2.8835999999999999</v>
          </cell>
          <cell r="V763">
            <v>76.441000000000003</v>
          </cell>
          <cell r="W763" t="str">
            <v>#N/A N/A</v>
          </cell>
        </row>
        <row r="764">
          <cell r="B764">
            <v>75.031999999999996</v>
          </cell>
          <cell r="D764">
            <v>1.4786000000000001</v>
          </cell>
          <cell r="E764">
            <v>944.9</v>
          </cell>
          <cell r="F764">
            <v>8.8098500000000008</v>
          </cell>
          <cell r="G764" t="e">
            <v>#VALUE!</v>
          </cell>
          <cell r="I764">
            <v>3.6656</v>
          </cell>
          <cell r="J764">
            <v>7.1916000000000002</v>
          </cell>
          <cell r="K764">
            <v>5.6</v>
          </cell>
          <cell r="L764">
            <v>5.27</v>
          </cell>
          <cell r="M764">
            <v>5.09</v>
          </cell>
          <cell r="O764">
            <v>1.6149</v>
          </cell>
          <cell r="P764">
            <v>0.88939999999999997</v>
          </cell>
          <cell r="Q764">
            <v>90.78592309422082</v>
          </cell>
          <cell r="U764">
            <v>2.8378999999999999</v>
          </cell>
          <cell r="V764">
            <v>75.570999999999998</v>
          </cell>
          <cell r="W764" t="str">
            <v>#N/A N/A</v>
          </cell>
        </row>
        <row r="765">
          <cell r="B765">
            <v>75.177999999999997</v>
          </cell>
          <cell r="D765">
            <v>1.4849000000000001</v>
          </cell>
          <cell r="E765">
            <v>943.6</v>
          </cell>
          <cell r="F765">
            <v>8.8650900000000004</v>
          </cell>
          <cell r="G765" t="e">
            <v>#VALUE!</v>
          </cell>
          <cell r="I765">
            <v>3.5930999999999997</v>
          </cell>
          <cell r="J765">
            <v>7.1818</v>
          </cell>
          <cell r="K765">
            <v>5.5</v>
          </cell>
          <cell r="L765">
            <v>5.2379999999999995</v>
          </cell>
          <cell r="M765">
            <v>5.0419999999999998</v>
          </cell>
          <cell r="O765">
            <v>1.6076999999999999</v>
          </cell>
          <cell r="P765">
            <v>0.89610000000000001</v>
          </cell>
          <cell r="Q765">
            <v>89.705390023434887</v>
          </cell>
          <cell r="U765">
            <v>2.7603999999999997</v>
          </cell>
          <cell r="V765">
            <v>76.099000000000004</v>
          </cell>
          <cell r="W765" t="str">
            <v>#N/A N/A</v>
          </cell>
        </row>
        <row r="766">
          <cell r="B766">
            <v>75.444999999999993</v>
          </cell>
          <cell r="D766">
            <v>1.4813000000000001</v>
          </cell>
          <cell r="E766">
            <v>943.6</v>
          </cell>
          <cell r="F766">
            <v>8.8876299999999997</v>
          </cell>
          <cell r="G766" t="e">
            <v>#VALUE!</v>
          </cell>
          <cell r="I766">
            <v>3.5926</v>
          </cell>
          <cell r="J766">
            <v>7.1890000000000001</v>
          </cell>
          <cell r="K766">
            <v>5.46</v>
          </cell>
          <cell r="L766">
            <v>5.2480000000000002</v>
          </cell>
          <cell r="M766">
            <v>5.0469999999999997</v>
          </cell>
          <cell r="O766">
            <v>1.605</v>
          </cell>
          <cell r="P766">
            <v>0.90149999999999997</v>
          </cell>
          <cell r="Q766">
            <v>89.018302828618971</v>
          </cell>
          <cell r="U766">
            <v>2.7401</v>
          </cell>
          <cell r="V766">
            <v>75.933999999999997</v>
          </cell>
          <cell r="W766" t="str">
            <v>#N/A N/A</v>
          </cell>
        </row>
        <row r="767">
          <cell r="B767">
            <v>75.444999999999993</v>
          </cell>
          <cell r="D767">
            <v>1.4813000000000001</v>
          </cell>
          <cell r="E767">
            <v>943.6</v>
          </cell>
          <cell r="F767">
            <v>8.8876299999999997</v>
          </cell>
          <cell r="G767" t="e">
            <v>#VALUE!</v>
          </cell>
          <cell r="I767">
            <v>3.5926</v>
          </cell>
          <cell r="J767">
            <v>7.1890000000000001</v>
          </cell>
          <cell r="K767">
            <v>5.46</v>
          </cell>
          <cell r="L767">
            <v>5.2480000000000002</v>
          </cell>
          <cell r="M767">
            <v>5.0469999999999997</v>
          </cell>
          <cell r="O767">
            <v>1.605</v>
          </cell>
          <cell r="P767">
            <v>0.90149999999999997</v>
          </cell>
          <cell r="Q767">
            <v>89.018302828618971</v>
          </cell>
          <cell r="U767">
            <v>2.7401</v>
          </cell>
          <cell r="V767">
            <v>75.933999999999997</v>
          </cell>
          <cell r="W767" t="str">
            <v>#N/A N/A</v>
          </cell>
        </row>
        <row r="768">
          <cell r="B768">
            <v>75.444999999999993</v>
          </cell>
          <cell r="D768">
            <v>1.4813000000000001</v>
          </cell>
          <cell r="E768">
            <v>943.6</v>
          </cell>
          <cell r="F768">
            <v>8.8876299999999997</v>
          </cell>
          <cell r="G768" t="e">
            <v>#VALUE!</v>
          </cell>
          <cell r="I768">
            <v>3.5926</v>
          </cell>
          <cell r="J768">
            <v>7.1890000000000001</v>
          </cell>
          <cell r="K768">
            <v>5.46</v>
          </cell>
          <cell r="L768">
            <v>5.2480000000000002</v>
          </cell>
          <cell r="M768">
            <v>5.0469999999999997</v>
          </cell>
          <cell r="O768">
            <v>1.605</v>
          </cell>
          <cell r="P768">
            <v>0.90149999999999997</v>
          </cell>
          <cell r="Q768">
            <v>89.018302828618971</v>
          </cell>
          <cell r="U768">
            <v>2.7401</v>
          </cell>
          <cell r="V768">
            <v>75.933999999999997</v>
          </cell>
          <cell r="W768" t="str">
            <v>#N/A N/A</v>
          </cell>
        </row>
        <row r="769">
          <cell r="B769">
            <v>75.37</v>
          </cell>
          <cell r="D769">
            <v>1.4837</v>
          </cell>
          <cell r="E769">
            <v>941.7</v>
          </cell>
          <cell r="F769">
            <v>8.8246400000000005</v>
          </cell>
          <cell r="G769" t="e">
            <v>#VALUE!</v>
          </cell>
          <cell r="I769">
            <v>3.6444000000000001</v>
          </cell>
          <cell r="J769">
            <v>7.1883999999999997</v>
          </cell>
          <cell r="K769">
            <v>5.41</v>
          </cell>
          <cell r="L769">
            <v>5.3469999999999995</v>
          </cell>
          <cell r="M769">
            <v>5.1559999999999997</v>
          </cell>
          <cell r="O769">
            <v>1.6129</v>
          </cell>
          <cell r="P769">
            <v>0.9083</v>
          </cell>
          <cell r="Q769">
            <v>88.786744467686887</v>
          </cell>
          <cell r="U769">
            <v>2.7736000000000001</v>
          </cell>
          <cell r="V769">
            <v>73.668000000000006</v>
          </cell>
          <cell r="W769" t="str">
            <v>#N/A N/A</v>
          </cell>
        </row>
        <row r="770">
          <cell r="B770">
            <v>76.116</v>
          </cell>
          <cell r="D770">
            <v>1.4645999999999999</v>
          </cell>
          <cell r="E770">
            <v>945.2</v>
          </cell>
          <cell r="F770">
            <v>8.8437699999999992</v>
          </cell>
          <cell r="G770" t="e">
            <v>#VALUE!</v>
          </cell>
          <cell r="I770">
            <v>3.5701000000000001</v>
          </cell>
          <cell r="J770">
            <v>7.1840000000000002</v>
          </cell>
          <cell r="K770">
            <v>5.39</v>
          </cell>
          <cell r="L770">
            <v>5.327</v>
          </cell>
          <cell r="M770">
            <v>5.1349999999999998</v>
          </cell>
          <cell r="O770">
            <v>1.6111</v>
          </cell>
          <cell r="P770">
            <v>0.89829999999999999</v>
          </cell>
          <cell r="Q770">
            <v>89.674941556272955</v>
          </cell>
          <cell r="U770">
            <v>2.6358999999999999</v>
          </cell>
          <cell r="V770">
            <v>76.105999999999995</v>
          </cell>
          <cell r="W770" t="str">
            <v>#N/A N/A</v>
          </cell>
        </row>
        <row r="771">
          <cell r="B771">
            <v>76.141000000000005</v>
          </cell>
          <cell r="D771">
            <v>1.464</v>
          </cell>
          <cell r="E771">
            <v>944.1</v>
          </cell>
          <cell r="F771">
            <v>8.8514900000000001</v>
          </cell>
          <cell r="G771" t="e">
            <v>#VALUE!</v>
          </cell>
          <cell r="I771">
            <v>3.5884999999999998</v>
          </cell>
          <cell r="J771">
            <v>7.1840000000000002</v>
          </cell>
          <cell r="K771">
            <v>5.39</v>
          </cell>
          <cell r="L771">
            <v>5.327</v>
          </cell>
          <cell r="M771">
            <v>5.1349999999999998</v>
          </cell>
          <cell r="O771">
            <v>1.6071</v>
          </cell>
          <cell r="P771">
            <v>0.89739999999999998</v>
          </cell>
          <cell r="Q771">
            <v>89.542010251838647</v>
          </cell>
          <cell r="U771">
            <v>2.6492</v>
          </cell>
          <cell r="V771">
            <v>76.658000000000001</v>
          </cell>
          <cell r="W771" t="str">
            <v>#N/A N/A</v>
          </cell>
        </row>
        <row r="772">
          <cell r="B772">
            <v>76.938000000000002</v>
          </cell>
          <cell r="D772">
            <v>1.4483999999999999</v>
          </cell>
          <cell r="E772">
            <v>946.8</v>
          </cell>
          <cell r="F772">
            <v>8.8162599999999998</v>
          </cell>
          <cell r="G772" t="e">
            <v>#VALUE!</v>
          </cell>
          <cell r="I772">
            <v>3.7568999999999999</v>
          </cell>
          <cell r="J772">
            <v>7.1840000000000002</v>
          </cell>
          <cell r="K772">
            <v>5.39</v>
          </cell>
          <cell r="L772">
            <v>5.327</v>
          </cell>
          <cell r="M772">
            <v>5.1349999999999998</v>
          </cell>
          <cell r="O772">
            <v>1.6013999999999999</v>
          </cell>
          <cell r="P772">
            <v>0.89639999999999997</v>
          </cell>
          <cell r="Q772">
            <v>89.323962516733602</v>
          </cell>
          <cell r="U772">
            <v>2.8241000000000001</v>
          </cell>
          <cell r="V772">
            <v>78.316999999999993</v>
          </cell>
          <cell r="W772" t="str">
            <v>#N/A N/A</v>
          </cell>
        </row>
        <row r="773">
          <cell r="B773">
            <v>76.67</v>
          </cell>
          <cell r="D773">
            <v>1.4506000000000001</v>
          </cell>
          <cell r="E773">
            <v>945</v>
          </cell>
          <cell r="F773">
            <v>8.7945799999999998</v>
          </cell>
          <cell r="G773" t="e">
            <v>#VALUE!</v>
          </cell>
          <cell r="I773">
            <v>3.6428000000000003</v>
          </cell>
          <cell r="J773">
            <v>7.1840000000000002</v>
          </cell>
          <cell r="K773">
            <v>5.39</v>
          </cell>
          <cell r="L773">
            <v>5.327</v>
          </cell>
          <cell r="M773">
            <v>5.1349999999999998</v>
          </cell>
          <cell r="O773">
            <v>1.6015000000000001</v>
          </cell>
          <cell r="P773">
            <v>0.89610000000000001</v>
          </cell>
          <cell r="Q773">
            <v>89.359446490347068</v>
          </cell>
          <cell r="U773">
            <v>2.6890000000000001</v>
          </cell>
          <cell r="V773">
            <v>78.45</v>
          </cell>
          <cell r="W773" t="str">
            <v>#N/A N/A</v>
          </cell>
        </row>
        <row r="774">
          <cell r="B774">
            <v>76.67</v>
          </cell>
          <cell r="D774">
            <v>1.4506000000000001</v>
          </cell>
          <cell r="E774">
            <v>945</v>
          </cell>
          <cell r="F774">
            <v>8.7945799999999998</v>
          </cell>
          <cell r="G774" t="e">
            <v>#VALUE!</v>
          </cell>
          <cell r="I774">
            <v>3.6428000000000003</v>
          </cell>
          <cell r="J774">
            <v>7.1840000000000002</v>
          </cell>
          <cell r="K774">
            <v>5.39</v>
          </cell>
          <cell r="L774">
            <v>5.327</v>
          </cell>
          <cell r="M774">
            <v>5.1349999999999998</v>
          </cell>
          <cell r="O774">
            <v>1.6015000000000001</v>
          </cell>
          <cell r="P774">
            <v>0.89610000000000001</v>
          </cell>
          <cell r="Q774">
            <v>89.359446490347068</v>
          </cell>
          <cell r="U774">
            <v>2.6890000000000001</v>
          </cell>
          <cell r="V774">
            <v>78.45</v>
          </cell>
          <cell r="W774" t="str">
            <v>#N/A N/A</v>
          </cell>
        </row>
        <row r="775">
          <cell r="B775">
            <v>76.67</v>
          </cell>
          <cell r="D775">
            <v>1.4506000000000001</v>
          </cell>
          <cell r="E775">
            <v>945</v>
          </cell>
          <cell r="F775">
            <v>8.7945799999999998</v>
          </cell>
          <cell r="G775" t="e">
            <v>#VALUE!</v>
          </cell>
          <cell r="I775">
            <v>3.6428000000000003</v>
          </cell>
          <cell r="J775">
            <v>7.1840000000000002</v>
          </cell>
          <cell r="K775">
            <v>5.39</v>
          </cell>
          <cell r="L775">
            <v>5.327</v>
          </cell>
          <cell r="M775">
            <v>5.1349999999999998</v>
          </cell>
          <cell r="O775">
            <v>1.6015000000000001</v>
          </cell>
          <cell r="P775">
            <v>0.89610000000000001</v>
          </cell>
          <cell r="Q775">
            <v>89.359446490347068</v>
          </cell>
          <cell r="U775">
            <v>2.6890000000000001</v>
          </cell>
          <cell r="V775">
            <v>78.45</v>
          </cell>
          <cell r="W775" t="str">
            <v>#N/A N/A</v>
          </cell>
        </row>
        <row r="776">
          <cell r="B776">
            <v>76.584000000000003</v>
          </cell>
          <cell r="D776">
            <v>1.4501999999999999</v>
          </cell>
          <cell r="E776">
            <v>946.8</v>
          </cell>
          <cell r="F776">
            <v>8.8610199999999999</v>
          </cell>
          <cell r="G776" t="e">
            <v>#VALUE!</v>
          </cell>
          <cell r="I776">
            <v>3.6143999999999998</v>
          </cell>
          <cell r="J776">
            <v>7.1840000000000002</v>
          </cell>
          <cell r="K776">
            <v>5.36</v>
          </cell>
          <cell r="L776">
            <v>5.3120000000000003</v>
          </cell>
          <cell r="M776">
            <v>5.1180000000000003</v>
          </cell>
          <cell r="O776">
            <v>1.5994999999999999</v>
          </cell>
          <cell r="P776">
            <v>0.9042</v>
          </cell>
          <cell r="Q776">
            <v>88.448352134483514</v>
          </cell>
          <cell r="U776">
            <v>2.6486000000000001</v>
          </cell>
          <cell r="V776">
            <v>85.5</v>
          </cell>
          <cell r="W776" t="str">
            <v>#N/A N/A</v>
          </cell>
        </row>
        <row r="777">
          <cell r="B777">
            <v>76.314999999999998</v>
          </cell>
          <cell r="D777">
            <v>1.4583999999999999</v>
          </cell>
          <cell r="E777">
            <v>944.3</v>
          </cell>
          <cell r="F777">
            <v>8.7944099999999992</v>
          </cell>
          <cell r="G777" t="e">
            <v>#VALUE!</v>
          </cell>
          <cell r="I777">
            <v>3.6579000000000002</v>
          </cell>
          <cell r="J777">
            <v>7.1840000000000002</v>
          </cell>
          <cell r="K777">
            <v>5.35</v>
          </cell>
          <cell r="L777">
            <v>5.28</v>
          </cell>
          <cell r="M777">
            <v>5.08</v>
          </cell>
          <cell r="O777">
            <v>1.6072</v>
          </cell>
          <cell r="P777">
            <v>0.90429999999999999</v>
          </cell>
          <cell r="Q777">
            <v>88.864314939732395</v>
          </cell>
          <cell r="U777">
            <v>2.6920999999999999</v>
          </cell>
          <cell r="V777">
            <v>83.655000000000001</v>
          </cell>
          <cell r="W777" t="str">
            <v>#N/A N/A</v>
          </cell>
        </row>
        <row r="778">
          <cell r="B778">
            <v>76.399000000000001</v>
          </cell>
          <cell r="D778">
            <v>1.4574</v>
          </cell>
          <cell r="E778">
            <v>945.5</v>
          </cell>
          <cell r="F778">
            <v>8.7455199999999991</v>
          </cell>
          <cell r="G778" t="e">
            <v>#VALUE!</v>
          </cell>
          <cell r="I778">
            <v>3.7282000000000002</v>
          </cell>
          <cell r="J778">
            <v>7.2</v>
          </cell>
          <cell r="K778">
            <v>5.33</v>
          </cell>
          <cell r="L778">
            <v>5.2130000000000001</v>
          </cell>
          <cell r="M778">
            <v>5.01</v>
          </cell>
          <cell r="O778">
            <v>1.6152</v>
          </cell>
          <cell r="P778">
            <v>0.89410000000000001</v>
          </cell>
          <cell r="Q778">
            <v>90.325466950005591</v>
          </cell>
          <cell r="U778">
            <v>2.7324999999999999</v>
          </cell>
          <cell r="V778">
            <v>83.192999999999998</v>
          </cell>
          <cell r="W778" t="str">
            <v>#N/A N/A</v>
          </cell>
        </row>
        <row r="779">
          <cell r="B779">
            <v>76.155000000000001</v>
          </cell>
          <cell r="D779">
            <v>1.4630000000000001</v>
          </cell>
          <cell r="E779">
            <v>944.7</v>
          </cell>
          <cell r="F779">
            <v>8.7532999999999994</v>
          </cell>
          <cell r="G779" t="e">
            <v>#VALUE!</v>
          </cell>
          <cell r="I779">
            <v>3.8163</v>
          </cell>
          <cell r="J779">
            <v>7.1904000000000003</v>
          </cell>
          <cell r="K779">
            <v>5.31</v>
          </cell>
          <cell r="L779">
            <v>5.2119999999999997</v>
          </cell>
          <cell r="M779">
            <v>5.0049999999999999</v>
          </cell>
          <cell r="O779">
            <v>1.6057000000000001</v>
          </cell>
          <cell r="P779">
            <v>0.90290000000000004</v>
          </cell>
          <cell r="Q779">
            <v>88.919038653228483</v>
          </cell>
          <cell r="U779">
            <v>2.7662</v>
          </cell>
          <cell r="V779">
            <v>82.400999999999996</v>
          </cell>
          <cell r="W779" t="str">
            <v>#N/A N/A</v>
          </cell>
        </row>
        <row r="780">
          <cell r="B780">
            <v>76.100999999999999</v>
          </cell>
          <cell r="D780">
            <v>1.4668999999999999</v>
          </cell>
          <cell r="E780">
            <v>945.3</v>
          </cell>
          <cell r="F780">
            <v>8.7808299999999999</v>
          </cell>
          <cell r="G780" t="e">
            <v>#VALUE!</v>
          </cell>
          <cell r="I780">
            <v>3.7686000000000002</v>
          </cell>
          <cell r="J780">
            <v>7.1825000000000001</v>
          </cell>
          <cell r="K780">
            <v>5.29</v>
          </cell>
          <cell r="L780">
            <v>5.2229999999999999</v>
          </cell>
          <cell r="M780">
            <v>5.0199999999999996</v>
          </cell>
          <cell r="O780">
            <v>1.6019999999999999</v>
          </cell>
          <cell r="P780">
            <v>0.90629999999999999</v>
          </cell>
          <cell r="Q780">
            <v>88.381330685203565</v>
          </cell>
          <cell r="U780">
            <v>2.7557999999999998</v>
          </cell>
          <cell r="V780">
            <v>83.162000000000006</v>
          </cell>
          <cell r="W780" t="str">
            <v>#N/A N/A</v>
          </cell>
        </row>
        <row r="781">
          <cell r="B781">
            <v>76.100999999999999</v>
          </cell>
          <cell r="D781">
            <v>1.4668999999999999</v>
          </cell>
          <cell r="E781">
            <v>945.3</v>
          </cell>
          <cell r="F781">
            <v>8.7808299999999999</v>
          </cell>
          <cell r="G781" t="e">
            <v>#VALUE!</v>
          </cell>
          <cell r="I781">
            <v>3.7686000000000002</v>
          </cell>
          <cell r="J781">
            <v>7.1825000000000001</v>
          </cell>
          <cell r="K781">
            <v>5.29</v>
          </cell>
          <cell r="L781">
            <v>5.2229999999999999</v>
          </cell>
          <cell r="M781">
            <v>5.0199999999999996</v>
          </cell>
          <cell r="O781">
            <v>1.6019999999999999</v>
          </cell>
          <cell r="P781">
            <v>0.90629999999999999</v>
          </cell>
          <cell r="Q781">
            <v>88.381330685203565</v>
          </cell>
          <cell r="U781">
            <v>2.7557999999999998</v>
          </cell>
          <cell r="V781">
            <v>83.162000000000006</v>
          </cell>
          <cell r="W781" t="str">
            <v>#N/A N/A</v>
          </cell>
        </row>
        <row r="782">
          <cell r="B782">
            <v>76.100999999999999</v>
          </cell>
          <cell r="D782">
            <v>1.4668999999999999</v>
          </cell>
          <cell r="E782">
            <v>945.3</v>
          </cell>
          <cell r="F782">
            <v>8.7808299999999999</v>
          </cell>
          <cell r="G782" t="e">
            <v>#VALUE!</v>
          </cell>
          <cell r="I782">
            <v>3.7686000000000002</v>
          </cell>
          <cell r="J782">
            <v>7.1825000000000001</v>
          </cell>
          <cell r="K782">
            <v>5.29</v>
          </cell>
          <cell r="L782">
            <v>5.2229999999999999</v>
          </cell>
          <cell r="M782">
            <v>5.0199999999999996</v>
          </cell>
          <cell r="O782">
            <v>1.6019999999999999</v>
          </cell>
          <cell r="P782">
            <v>0.90629999999999999</v>
          </cell>
          <cell r="Q782">
            <v>88.381330685203565</v>
          </cell>
          <cell r="U782">
            <v>2.7557999999999998</v>
          </cell>
          <cell r="V782">
            <v>83.162000000000006</v>
          </cell>
          <cell r="W782" t="str">
            <v>#N/A N/A</v>
          </cell>
        </row>
        <row r="783">
          <cell r="B783">
            <v>76.257000000000005</v>
          </cell>
          <cell r="D783">
            <v>1.4653</v>
          </cell>
          <cell r="E783">
            <v>944.2</v>
          </cell>
          <cell r="F783">
            <v>8.7285299999999992</v>
          </cell>
          <cell r="G783" t="e">
            <v>#VALUE!</v>
          </cell>
          <cell r="I783">
            <v>3.7686000000000002</v>
          </cell>
          <cell r="J783">
            <v>7.1623000000000001</v>
          </cell>
          <cell r="K783">
            <v>5.27</v>
          </cell>
          <cell r="L783">
            <v>5.2149999999999999</v>
          </cell>
          <cell r="M783">
            <v>5.0019999999999998</v>
          </cell>
          <cell r="O783">
            <v>1.6149</v>
          </cell>
          <cell r="P783">
            <v>0.91290000000000004</v>
          </cell>
          <cell r="Q783">
            <v>88.448899112717712</v>
          </cell>
          <cell r="U783">
            <v>2.7557</v>
          </cell>
          <cell r="V783">
            <v>83.058999999999997</v>
          </cell>
          <cell r="W783" t="str">
            <v>#N/A N/A</v>
          </cell>
        </row>
        <row r="784">
          <cell r="B784">
            <v>75.998000000000005</v>
          </cell>
          <cell r="D784">
            <v>1.4739</v>
          </cell>
          <cell r="E784">
            <v>944</v>
          </cell>
          <cell r="F784">
            <v>8.7777600000000007</v>
          </cell>
          <cell r="G784" t="e">
            <v>#VALUE!</v>
          </cell>
          <cell r="I784">
            <v>3.8959000000000001</v>
          </cell>
          <cell r="J784">
            <v>7.1580000000000004</v>
          </cell>
          <cell r="K784">
            <v>5.25</v>
          </cell>
          <cell r="L784">
            <v>5.2679999999999998</v>
          </cell>
          <cell r="M784">
            <v>5.048</v>
          </cell>
          <cell r="O784">
            <v>1.6114999999999999</v>
          </cell>
          <cell r="P784">
            <v>0.92120000000000002</v>
          </cell>
          <cell r="Q784">
            <v>87.467433782023434</v>
          </cell>
          <cell r="U784">
            <v>2.9363000000000001</v>
          </cell>
          <cell r="V784">
            <v>84.67</v>
          </cell>
          <cell r="W784" t="str">
            <v>#N/A N/A</v>
          </cell>
        </row>
        <row r="785">
          <cell r="B785">
            <v>76.116</v>
          </cell>
          <cell r="D785">
            <v>1.4692000000000001</v>
          </cell>
          <cell r="E785">
            <v>947.4</v>
          </cell>
          <cell r="F785">
            <v>8.7580299999999998</v>
          </cell>
          <cell r="G785" t="e">
            <v>#VALUE!</v>
          </cell>
          <cell r="I785">
            <v>3.8902000000000001</v>
          </cell>
          <cell r="J785">
            <v>7.1436000000000002</v>
          </cell>
          <cell r="K785">
            <v>5.24</v>
          </cell>
          <cell r="L785">
            <v>5.25</v>
          </cell>
          <cell r="M785">
            <v>5.0279999999999996</v>
          </cell>
          <cell r="O785">
            <v>1.6175999999999999</v>
          </cell>
          <cell r="P785">
            <v>0.91690000000000005</v>
          </cell>
          <cell r="Q785">
            <v>88.210273748500384</v>
          </cell>
          <cell r="U785">
            <v>2.9775</v>
          </cell>
          <cell r="V785">
            <v>85.162000000000006</v>
          </cell>
          <cell r="W785" t="str">
            <v>#N/A N/A</v>
          </cell>
        </row>
        <row r="786">
          <cell r="B786">
            <v>75.600999999999999</v>
          </cell>
          <cell r="D786">
            <v>1.4816</v>
          </cell>
          <cell r="E786">
            <v>948.3</v>
          </cell>
          <cell r="F786">
            <v>8.8357799999999997</v>
          </cell>
          <cell r="G786" t="e">
            <v>#VALUE!</v>
          </cell>
          <cell r="I786">
            <v>3.7706</v>
          </cell>
          <cell r="J786">
            <v>7.1413000000000002</v>
          </cell>
          <cell r="K786">
            <v>5.22</v>
          </cell>
          <cell r="L786">
            <v>5.35</v>
          </cell>
          <cell r="M786">
            <v>5.12</v>
          </cell>
          <cell r="O786">
            <v>1.6132</v>
          </cell>
          <cell r="P786">
            <v>0.9204</v>
          </cell>
          <cell r="Q786">
            <v>87.635810517166448</v>
          </cell>
          <cell r="U786">
            <v>2.7964000000000002</v>
          </cell>
          <cell r="V786">
            <v>86.066000000000003</v>
          </cell>
          <cell r="W786" t="str">
            <v>#N/A N/A</v>
          </cell>
        </row>
        <row r="787">
          <cell r="B787">
            <v>75.52</v>
          </cell>
          <cell r="D787">
            <v>1.4823</v>
          </cell>
          <cell r="E787">
            <v>948.55</v>
          </cell>
          <cell r="F787">
            <v>8.8759399999999999</v>
          </cell>
          <cell r="G787" t="e">
            <v>#VALUE!</v>
          </cell>
          <cell r="I787">
            <v>3.8014999999999999</v>
          </cell>
          <cell r="J787">
            <v>7.1417999999999999</v>
          </cell>
          <cell r="K787">
            <v>5.22</v>
          </cell>
          <cell r="L787">
            <v>5.2949999999999999</v>
          </cell>
          <cell r="M787">
            <v>5.0529999999999999</v>
          </cell>
          <cell r="O787">
            <v>1.6078999999999999</v>
          </cell>
          <cell r="P787">
            <v>0.92059999999999997</v>
          </cell>
          <cell r="Q787">
            <v>87.328915924397137</v>
          </cell>
          <cell r="U787">
            <v>2.8303000000000003</v>
          </cell>
          <cell r="V787">
            <v>87.593999999999994</v>
          </cell>
          <cell r="W787" t="str">
            <v>#N/A N/A</v>
          </cell>
        </row>
        <row r="788">
          <cell r="B788">
            <v>75.52</v>
          </cell>
          <cell r="D788">
            <v>1.4823</v>
          </cell>
          <cell r="E788">
            <v>948.55</v>
          </cell>
          <cell r="F788">
            <v>8.8759399999999999</v>
          </cell>
          <cell r="G788" t="e">
            <v>#VALUE!</v>
          </cell>
          <cell r="I788">
            <v>3.8014999999999999</v>
          </cell>
          <cell r="J788">
            <v>7.1417999999999999</v>
          </cell>
          <cell r="K788">
            <v>5.22</v>
          </cell>
          <cell r="L788">
            <v>5.2949999999999999</v>
          </cell>
          <cell r="M788">
            <v>5.0529999999999999</v>
          </cell>
          <cell r="O788">
            <v>1.6078999999999999</v>
          </cell>
          <cell r="P788">
            <v>0.92059999999999997</v>
          </cell>
          <cell r="Q788">
            <v>87.328915924397137</v>
          </cell>
          <cell r="U788">
            <v>2.8303000000000003</v>
          </cell>
          <cell r="V788">
            <v>87.593999999999994</v>
          </cell>
          <cell r="W788" t="str">
            <v>#N/A N/A</v>
          </cell>
        </row>
        <row r="789">
          <cell r="B789">
            <v>75.52</v>
          </cell>
          <cell r="D789">
            <v>1.4823</v>
          </cell>
          <cell r="E789">
            <v>948.55</v>
          </cell>
          <cell r="F789">
            <v>8.8759399999999999</v>
          </cell>
          <cell r="G789" t="e">
            <v>#VALUE!</v>
          </cell>
          <cell r="I789">
            <v>3.8014999999999999</v>
          </cell>
          <cell r="J789">
            <v>7.1417999999999999</v>
          </cell>
          <cell r="K789">
            <v>5.22</v>
          </cell>
          <cell r="L789">
            <v>5.2949999999999999</v>
          </cell>
          <cell r="M789">
            <v>5.0529999999999999</v>
          </cell>
          <cell r="O789">
            <v>1.6078999999999999</v>
          </cell>
          <cell r="P789">
            <v>0.92059999999999997</v>
          </cell>
          <cell r="Q789">
            <v>87.328915924397137</v>
          </cell>
          <cell r="U789">
            <v>2.8303000000000003</v>
          </cell>
          <cell r="V789">
            <v>87.593999999999994</v>
          </cell>
          <cell r="W789" t="str">
            <v>#N/A N/A</v>
          </cell>
        </row>
        <row r="790">
          <cell r="B790">
            <v>75.528999999999996</v>
          </cell>
          <cell r="D790">
            <v>1.4828000000000001</v>
          </cell>
          <cell r="E790">
            <v>948.1</v>
          </cell>
          <cell r="F790">
            <v>8.7854200000000002</v>
          </cell>
          <cell r="G790" t="e">
            <v>#VALUE!</v>
          </cell>
          <cell r="I790">
            <v>3.8963999999999999</v>
          </cell>
          <cell r="J790">
            <v>7.1521999999999997</v>
          </cell>
          <cell r="K790">
            <v>5.2</v>
          </cell>
          <cell r="L790">
            <v>5.31</v>
          </cell>
          <cell r="M790">
            <v>5.08</v>
          </cell>
          <cell r="O790">
            <v>1.611</v>
          </cell>
          <cell r="P790">
            <v>0.9244</v>
          </cell>
          <cell r="Q790">
            <v>87.137602769363909</v>
          </cell>
          <cell r="U790">
            <v>2.9605000000000001</v>
          </cell>
          <cell r="V790">
            <v>84.438999999999993</v>
          </cell>
          <cell r="W790" t="str">
            <v>#N/A N/A</v>
          </cell>
        </row>
        <row r="791">
          <cell r="B791">
            <v>74.763000000000005</v>
          </cell>
          <cell r="D791">
            <v>1.4914000000000001</v>
          </cell>
          <cell r="E791">
            <v>946.6</v>
          </cell>
          <cell r="F791">
            <v>8.8051700000000004</v>
          </cell>
          <cell r="G791" t="e">
            <v>#VALUE!</v>
          </cell>
          <cell r="I791">
            <v>3.8595999999999999</v>
          </cell>
          <cell r="J791">
            <v>7.1580000000000004</v>
          </cell>
          <cell r="K791">
            <v>5.19</v>
          </cell>
          <cell r="L791">
            <v>5.32</v>
          </cell>
          <cell r="M791">
            <v>5.09</v>
          </cell>
          <cell r="O791">
            <v>1.6128</v>
          </cell>
          <cell r="P791">
            <v>0.93089999999999995</v>
          </cell>
          <cell r="Q791">
            <v>86.625845955526913</v>
          </cell>
          <cell r="U791">
            <v>2.8780999999999999</v>
          </cell>
          <cell r="V791">
            <v>81.741</v>
          </cell>
          <cell r="W791" t="str">
            <v>#N/A N/A</v>
          </cell>
        </row>
        <row r="792">
          <cell r="B792">
            <v>74.212999999999994</v>
          </cell>
          <cell r="D792">
            <v>1.5125</v>
          </cell>
          <cell r="E792">
            <v>937.5</v>
          </cell>
          <cell r="F792">
            <v>8.8021999999999991</v>
          </cell>
          <cell r="G792" t="e">
            <v>#VALUE!</v>
          </cell>
          <cell r="I792">
            <v>3.8481000000000001</v>
          </cell>
          <cell r="J792">
            <v>7.1420000000000003</v>
          </cell>
          <cell r="K792">
            <v>5.19</v>
          </cell>
          <cell r="L792">
            <v>5.2969999999999997</v>
          </cell>
          <cell r="M792">
            <v>5.0629999999999997</v>
          </cell>
          <cell r="O792">
            <v>1.6103000000000001</v>
          </cell>
          <cell r="P792">
            <v>0.94210000000000005</v>
          </cell>
          <cell r="Q792">
            <v>85.46332661076319</v>
          </cell>
          <cell r="U792">
            <v>2.8883999999999999</v>
          </cell>
          <cell r="V792">
            <v>79.825000000000003</v>
          </cell>
          <cell r="W792" t="str">
            <v>#N/A N/A</v>
          </cell>
        </row>
        <row r="793">
          <cell r="B793">
            <v>73.721000000000004</v>
          </cell>
          <cell r="D793">
            <v>1.5217000000000001</v>
          </cell>
          <cell r="E793">
            <v>937.2</v>
          </cell>
          <cell r="F793">
            <v>8.8943700000000003</v>
          </cell>
          <cell r="G793" t="e">
            <v>#VALUE!</v>
          </cell>
          <cell r="I793">
            <v>3.6696999999999997</v>
          </cell>
          <cell r="J793">
            <v>7.1132999999999997</v>
          </cell>
          <cell r="K793">
            <v>5.19</v>
          </cell>
          <cell r="L793">
            <v>5.2750000000000004</v>
          </cell>
          <cell r="M793">
            <v>5.0279999999999996</v>
          </cell>
          <cell r="O793">
            <v>1.5972</v>
          </cell>
          <cell r="P793">
            <v>0.94879999999999998</v>
          </cell>
          <cell r="Q793">
            <v>84.169477234401342</v>
          </cell>
          <cell r="U793">
            <v>2.6667000000000001</v>
          </cell>
          <cell r="V793">
            <v>82.932000000000002</v>
          </cell>
          <cell r="W793" t="str">
            <v>#N/A N/A</v>
          </cell>
        </row>
        <row r="794">
          <cell r="B794">
            <v>73.713999999999999</v>
          </cell>
          <cell r="D794">
            <v>1.5175000000000001</v>
          </cell>
          <cell r="E794">
            <v>941.1</v>
          </cell>
          <cell r="F794">
            <v>9.0299399999999999</v>
          </cell>
          <cell r="G794" t="e">
            <v>#VALUE!</v>
          </cell>
          <cell r="I794">
            <v>3.5091999999999999</v>
          </cell>
          <cell r="J794">
            <v>7.1115000000000004</v>
          </cell>
          <cell r="K794">
            <v>5.18</v>
          </cell>
          <cell r="L794">
            <v>5.2279999999999998</v>
          </cell>
          <cell r="M794">
            <v>4.97</v>
          </cell>
          <cell r="O794">
            <v>1.5838999999999999</v>
          </cell>
          <cell r="P794">
            <v>0.93630000000000002</v>
          </cell>
          <cell r="Q794">
            <v>84.582932820677129</v>
          </cell>
          <cell r="U794">
            <v>2.4689000000000001</v>
          </cell>
          <cell r="V794">
            <v>84.200999999999993</v>
          </cell>
          <cell r="W794" t="str">
            <v>#N/A N/A</v>
          </cell>
        </row>
        <row r="795">
          <cell r="B795">
            <v>73.713999999999999</v>
          </cell>
          <cell r="D795">
            <v>1.5175000000000001</v>
          </cell>
          <cell r="E795">
            <v>941.1</v>
          </cell>
          <cell r="F795">
            <v>9.0299399999999999</v>
          </cell>
          <cell r="G795" t="e">
            <v>#VALUE!</v>
          </cell>
          <cell r="I795">
            <v>3.5091999999999999</v>
          </cell>
          <cell r="J795">
            <v>7.1115000000000004</v>
          </cell>
          <cell r="K795">
            <v>5.18</v>
          </cell>
          <cell r="L795">
            <v>5.2279999999999998</v>
          </cell>
          <cell r="M795">
            <v>4.97</v>
          </cell>
          <cell r="O795">
            <v>1.5838999999999999</v>
          </cell>
          <cell r="P795">
            <v>0.93630000000000002</v>
          </cell>
          <cell r="Q795">
            <v>84.582932820677129</v>
          </cell>
          <cell r="U795">
            <v>2.4689000000000001</v>
          </cell>
          <cell r="V795">
            <v>84.200999999999993</v>
          </cell>
          <cell r="W795" t="str">
            <v>#N/A N/A</v>
          </cell>
        </row>
        <row r="796">
          <cell r="B796">
            <v>73.713999999999999</v>
          </cell>
          <cell r="D796">
            <v>1.5175000000000001</v>
          </cell>
          <cell r="E796">
            <v>941.1</v>
          </cell>
          <cell r="F796">
            <v>9.0299399999999999</v>
          </cell>
          <cell r="G796" t="e">
            <v>#VALUE!</v>
          </cell>
          <cell r="I796">
            <v>3.5091999999999999</v>
          </cell>
          <cell r="J796">
            <v>7.1115000000000004</v>
          </cell>
          <cell r="K796">
            <v>5.18</v>
          </cell>
          <cell r="L796">
            <v>5.2279999999999998</v>
          </cell>
          <cell r="M796">
            <v>4.97</v>
          </cell>
          <cell r="O796">
            <v>1.5838999999999999</v>
          </cell>
          <cell r="P796">
            <v>0.93630000000000002</v>
          </cell>
          <cell r="Q796">
            <v>84.582932820677129</v>
          </cell>
          <cell r="U796">
            <v>2.4689000000000001</v>
          </cell>
          <cell r="V796">
            <v>84.200999999999993</v>
          </cell>
          <cell r="W796" t="str">
            <v>#N/A N/A</v>
          </cell>
        </row>
        <row r="797">
          <cell r="B797">
            <v>73.703999999999994</v>
          </cell>
          <cell r="D797">
            <v>1.5185</v>
          </cell>
          <cell r="E797">
            <v>947.2</v>
          </cell>
          <cell r="F797">
            <v>9.1486000000000001</v>
          </cell>
          <cell r="G797" t="e">
            <v>#VALUE!</v>
          </cell>
          <cell r="I797">
            <v>3.5468000000000002</v>
          </cell>
          <cell r="J797">
            <v>7.1040999999999999</v>
          </cell>
          <cell r="K797">
            <v>5.17</v>
          </cell>
          <cell r="L797">
            <v>5.1870000000000003</v>
          </cell>
          <cell r="M797">
            <v>4.92</v>
          </cell>
          <cell r="O797">
            <v>1.5827</v>
          </cell>
          <cell r="P797">
            <v>0.94079999999999997</v>
          </cell>
          <cell r="Q797">
            <v>84.114583333333343</v>
          </cell>
          <cell r="U797">
            <v>2.5053000000000001</v>
          </cell>
          <cell r="V797">
            <v>86.228999999999999</v>
          </cell>
          <cell r="W797" t="str">
            <v>#N/A N/A</v>
          </cell>
        </row>
        <row r="798">
          <cell r="B798">
            <v>73.664000000000001</v>
          </cell>
          <cell r="D798">
            <v>1.5225</v>
          </cell>
          <cell r="E798">
            <v>948.55</v>
          </cell>
          <cell r="F798">
            <v>9.2275899999999993</v>
          </cell>
          <cell r="G798" t="e">
            <v>#VALUE!</v>
          </cell>
          <cell r="I798">
            <v>3.6242000000000001</v>
          </cell>
          <cell r="J798">
            <v>7.1059999999999999</v>
          </cell>
          <cell r="K798">
            <v>5.17</v>
          </cell>
          <cell r="L798">
            <v>5.2030000000000003</v>
          </cell>
          <cell r="M798">
            <v>4.9370000000000003</v>
          </cell>
          <cell r="O798">
            <v>1.5748</v>
          </cell>
          <cell r="P798">
            <v>0.92490000000000006</v>
          </cell>
          <cell r="Q798">
            <v>85.133527948967441</v>
          </cell>
          <cell r="U798">
            <v>2.5419</v>
          </cell>
          <cell r="V798">
            <v>84.766999999999996</v>
          </cell>
          <cell r="W798" t="str">
            <v>#N/A N/A</v>
          </cell>
        </row>
        <row r="799">
          <cell r="B799">
            <v>73.478999999999999</v>
          </cell>
          <cell r="D799">
            <v>1.5283</v>
          </cell>
          <cell r="E799">
            <v>947.75</v>
          </cell>
          <cell r="F799">
            <v>9.1226299999999991</v>
          </cell>
          <cell r="G799" t="e">
            <v>#VALUE!</v>
          </cell>
          <cell r="I799">
            <v>3.6680000000000001</v>
          </cell>
          <cell r="J799">
            <v>7.1081000000000003</v>
          </cell>
          <cell r="K799">
            <v>5.17</v>
          </cell>
          <cell r="L799">
            <v>5.1920000000000002</v>
          </cell>
          <cell r="M799">
            <v>4.92</v>
          </cell>
          <cell r="O799">
            <v>1.5817000000000001</v>
          </cell>
          <cell r="P799">
            <v>0.93289999999999995</v>
          </cell>
          <cell r="Q799">
            <v>84.77328759781328</v>
          </cell>
          <cell r="U799">
            <v>2.5718000000000001</v>
          </cell>
          <cell r="V799">
            <v>84.863</v>
          </cell>
          <cell r="W799" t="str">
            <v>#N/A N/A</v>
          </cell>
        </row>
        <row r="800">
          <cell r="B800">
            <v>73.001000000000005</v>
          </cell>
          <cell r="D800">
            <v>1.5369000000000002</v>
          </cell>
          <cell r="E800">
            <v>953.9</v>
          </cell>
          <cell r="F800">
            <v>9.2656600000000005</v>
          </cell>
          <cell r="G800" t="e">
            <v>#VALUE!</v>
          </cell>
          <cell r="I800">
            <v>3.5826000000000002</v>
          </cell>
          <cell r="J800">
            <v>7.1059000000000001</v>
          </cell>
          <cell r="K800">
            <v>5.17</v>
          </cell>
          <cell r="L800">
            <v>5.2279999999999998</v>
          </cell>
          <cell r="M800">
            <v>4.9480000000000004</v>
          </cell>
          <cell r="O800">
            <v>1.5771999999999999</v>
          </cell>
          <cell r="P800">
            <v>0.93140000000000001</v>
          </cell>
          <cell r="Q800">
            <v>84.668241357096846</v>
          </cell>
          <cell r="U800">
            <v>2.4748999999999999</v>
          </cell>
          <cell r="V800">
            <v>85.658000000000001</v>
          </cell>
          <cell r="W800" t="str">
            <v>#N/A N/A</v>
          </cell>
        </row>
        <row r="801">
          <cell r="B801">
            <v>73.027000000000001</v>
          </cell>
          <cell r="D801">
            <v>1.5344</v>
          </cell>
          <cell r="E801">
            <v>957.2</v>
          </cell>
          <cell r="F801">
            <v>9.3203499999999995</v>
          </cell>
          <cell r="G801" t="e">
            <v>#VALUE!</v>
          </cell>
          <cell r="I801">
            <v>3.5316999999999998</v>
          </cell>
          <cell r="J801">
            <v>7.1109999999999998</v>
          </cell>
          <cell r="K801">
            <v>5.17</v>
          </cell>
          <cell r="L801">
            <v>5.27</v>
          </cell>
          <cell r="M801">
            <v>4.9950000000000001</v>
          </cell>
          <cell r="O801">
            <v>1.5724</v>
          </cell>
          <cell r="P801">
            <v>0.93110000000000004</v>
          </cell>
          <cell r="Q801">
            <v>84.437761787133496</v>
          </cell>
          <cell r="U801">
            <v>2.4279000000000002</v>
          </cell>
          <cell r="V801">
            <v>91.462000000000003</v>
          </cell>
          <cell r="W801" t="str">
            <v>#N/A N/A</v>
          </cell>
        </row>
        <row r="802">
          <cell r="B802">
            <v>73.027000000000001</v>
          </cell>
          <cell r="D802">
            <v>1.5344</v>
          </cell>
          <cell r="E802">
            <v>957.2</v>
          </cell>
          <cell r="F802">
            <v>9.3203499999999995</v>
          </cell>
          <cell r="G802" t="e">
            <v>#VALUE!</v>
          </cell>
          <cell r="I802">
            <v>3.5316999999999998</v>
          </cell>
          <cell r="J802">
            <v>7.1109999999999998</v>
          </cell>
          <cell r="K802">
            <v>5.17</v>
          </cell>
          <cell r="L802">
            <v>5.27</v>
          </cell>
          <cell r="M802">
            <v>4.9950000000000001</v>
          </cell>
          <cell r="O802">
            <v>1.5724</v>
          </cell>
          <cell r="P802">
            <v>0.93110000000000004</v>
          </cell>
          <cell r="Q802">
            <v>84.437761787133496</v>
          </cell>
          <cell r="U802">
            <v>2.4279000000000002</v>
          </cell>
          <cell r="V802">
            <v>91.462000000000003</v>
          </cell>
          <cell r="W802" t="str">
            <v>#N/A N/A</v>
          </cell>
        </row>
        <row r="803">
          <cell r="B803">
            <v>73.027000000000001</v>
          </cell>
          <cell r="D803">
            <v>1.5344</v>
          </cell>
          <cell r="E803">
            <v>957.2</v>
          </cell>
          <cell r="F803">
            <v>9.3203499999999995</v>
          </cell>
          <cell r="G803" t="e">
            <v>#VALUE!</v>
          </cell>
          <cell r="I803">
            <v>3.5316999999999998</v>
          </cell>
          <cell r="J803">
            <v>7.1109999999999998</v>
          </cell>
          <cell r="K803">
            <v>5.17</v>
          </cell>
          <cell r="L803">
            <v>5.27</v>
          </cell>
          <cell r="M803">
            <v>4.9950000000000001</v>
          </cell>
          <cell r="O803">
            <v>1.5724</v>
          </cell>
          <cell r="P803">
            <v>0.93110000000000004</v>
          </cell>
          <cell r="Q803">
            <v>84.437761787133496</v>
          </cell>
          <cell r="U803">
            <v>2.4279000000000002</v>
          </cell>
          <cell r="V803">
            <v>91.462000000000003</v>
          </cell>
          <cell r="W803" t="str">
            <v>#N/A N/A</v>
          </cell>
        </row>
        <row r="804">
          <cell r="B804">
            <v>72.992999999999995</v>
          </cell>
          <cell r="D804">
            <v>1.5339</v>
          </cell>
          <cell r="E804">
            <v>966.75</v>
          </cell>
          <cell r="F804">
            <v>9.4956300000000002</v>
          </cell>
          <cell r="G804" t="e">
            <v>#VALUE!</v>
          </cell>
          <cell r="I804">
            <v>3.4548999999999999</v>
          </cell>
          <cell r="J804">
            <v>7.1047000000000002</v>
          </cell>
          <cell r="K804">
            <v>5.17</v>
          </cell>
          <cell r="L804">
            <v>5.3769999999999998</v>
          </cell>
          <cell r="M804">
            <v>5.1370000000000005</v>
          </cell>
          <cell r="O804">
            <v>1.5630999999999999</v>
          </cell>
          <cell r="P804">
            <v>0.91659999999999997</v>
          </cell>
          <cell r="Q804">
            <v>85.266201178267508</v>
          </cell>
          <cell r="U804">
            <v>2.3744999999999998</v>
          </cell>
          <cell r="V804">
            <v>106.401</v>
          </cell>
          <cell r="W804" t="str">
            <v>#N/A N/A</v>
          </cell>
        </row>
        <row r="805">
          <cell r="B805">
            <v>73.277000000000001</v>
          </cell>
          <cell r="D805">
            <v>1.5331999999999999</v>
          </cell>
          <cell r="E805">
            <v>965.9</v>
          </cell>
          <cell r="F805">
            <v>9.36585</v>
          </cell>
          <cell r="G805" t="e">
            <v>#VALUE!</v>
          </cell>
          <cell r="I805">
            <v>3.5920999999999998</v>
          </cell>
          <cell r="J805">
            <v>7.1029</v>
          </cell>
          <cell r="K805">
            <v>5.17</v>
          </cell>
          <cell r="L805">
            <v>5.3579999999999997</v>
          </cell>
          <cell r="M805">
            <v>5.157</v>
          </cell>
          <cell r="O805">
            <v>1.5811999999999999</v>
          </cell>
          <cell r="P805">
            <v>0.92689999999999995</v>
          </cell>
          <cell r="Q805">
            <v>85.295069586794696</v>
          </cell>
          <cell r="U805">
            <v>2.625</v>
          </cell>
          <cell r="V805">
            <v>107.741</v>
          </cell>
          <cell r="W805" t="str">
            <v>#N/A N/A</v>
          </cell>
        </row>
        <row r="806">
          <cell r="B806">
            <v>72.403999999999996</v>
          </cell>
          <cell r="D806">
            <v>1.5514999999999999</v>
          </cell>
          <cell r="E806">
            <v>969.95</v>
          </cell>
          <cell r="F806">
            <v>9.5046999999999997</v>
          </cell>
          <cell r="G806" t="e">
            <v>#VALUE!</v>
          </cell>
          <cell r="I806">
            <v>3.4603999999999999</v>
          </cell>
          <cell r="J806">
            <v>7.101</v>
          </cell>
          <cell r="K806">
            <v>5.18</v>
          </cell>
          <cell r="L806">
            <v>5.3529999999999998</v>
          </cell>
          <cell r="M806">
            <v>5.16</v>
          </cell>
          <cell r="O806">
            <v>1.5808</v>
          </cell>
          <cell r="P806">
            <v>0.93320000000000003</v>
          </cell>
          <cell r="Q806">
            <v>84.697813973424772</v>
          </cell>
          <cell r="U806">
            <v>2.4607000000000001</v>
          </cell>
          <cell r="V806">
            <v>100.482</v>
          </cell>
          <cell r="W806" t="str">
            <v>#N/A N/A</v>
          </cell>
        </row>
        <row r="807">
          <cell r="B807">
            <v>72.072000000000003</v>
          </cell>
          <cell r="D807">
            <v>1.5573000000000001</v>
          </cell>
          <cell r="E807">
            <v>981</v>
          </cell>
          <cell r="F807">
            <v>9.7019199999999994</v>
          </cell>
          <cell r="G807" t="e">
            <v>#VALUE!</v>
          </cell>
          <cell r="I807">
            <v>3.5261</v>
          </cell>
          <cell r="J807">
            <v>7.09</v>
          </cell>
          <cell r="K807">
            <v>5.21</v>
          </cell>
          <cell r="L807">
            <v>5.4379999999999997</v>
          </cell>
          <cell r="M807">
            <v>5.2720000000000002</v>
          </cell>
          <cell r="O807">
            <v>1.5810999999999999</v>
          </cell>
          <cell r="P807">
            <v>0.94430000000000003</v>
          </cell>
          <cell r="Q807">
            <v>83.718098062056541</v>
          </cell>
          <cell r="U807">
            <v>2.5005999999999999</v>
          </cell>
          <cell r="V807">
            <v>111.959</v>
          </cell>
          <cell r="W807" t="str">
            <v>#N/A N/A</v>
          </cell>
        </row>
        <row r="808">
          <cell r="B808">
            <v>71.656999999999996</v>
          </cell>
          <cell r="D808">
            <v>1.5646</v>
          </cell>
          <cell r="E808">
            <v>997.4</v>
          </cell>
          <cell r="F808">
            <v>9.99559</v>
          </cell>
          <cell r="G808" t="e">
            <v>#VALUE!</v>
          </cell>
          <cell r="I808">
            <v>3.4679000000000002</v>
          </cell>
          <cell r="J808">
            <v>7.0894000000000004</v>
          </cell>
          <cell r="K808">
            <v>5.23</v>
          </cell>
          <cell r="L808">
            <v>5.4050000000000002</v>
          </cell>
          <cell r="M808">
            <v>5.2469999999999999</v>
          </cell>
          <cell r="O808">
            <v>1.5685</v>
          </cell>
          <cell r="P808">
            <v>0.9385</v>
          </cell>
          <cell r="Q808">
            <v>83.564198188598823</v>
          </cell>
          <cell r="U808">
            <v>2.3965999999999998</v>
          </cell>
          <cell r="V808">
            <v>112.233</v>
          </cell>
          <cell r="W808" t="str">
            <v>#N/A N/A</v>
          </cell>
        </row>
        <row r="809">
          <cell r="B809">
            <v>71.656999999999996</v>
          </cell>
          <cell r="D809">
            <v>1.5646</v>
          </cell>
          <cell r="E809">
            <v>997.4</v>
          </cell>
          <cell r="F809">
            <v>9.99559</v>
          </cell>
          <cell r="G809" t="e">
            <v>#VALUE!</v>
          </cell>
          <cell r="I809">
            <v>3.4679000000000002</v>
          </cell>
          <cell r="J809">
            <v>7.0894000000000004</v>
          </cell>
          <cell r="K809">
            <v>5.23</v>
          </cell>
          <cell r="L809">
            <v>5.4050000000000002</v>
          </cell>
          <cell r="M809">
            <v>5.2469999999999999</v>
          </cell>
          <cell r="O809">
            <v>1.5685</v>
          </cell>
          <cell r="P809">
            <v>0.9385</v>
          </cell>
          <cell r="Q809">
            <v>83.564198188598823</v>
          </cell>
          <cell r="U809">
            <v>2.3965999999999998</v>
          </cell>
          <cell r="V809">
            <v>112.233</v>
          </cell>
          <cell r="W809" t="str">
            <v>#N/A N/A</v>
          </cell>
        </row>
        <row r="810">
          <cell r="B810">
            <v>71.656999999999996</v>
          </cell>
          <cell r="D810">
            <v>1.5646</v>
          </cell>
          <cell r="E810">
            <v>997.4</v>
          </cell>
          <cell r="F810">
            <v>9.99559</v>
          </cell>
          <cell r="G810" t="e">
            <v>#VALUE!</v>
          </cell>
          <cell r="I810">
            <v>3.4679000000000002</v>
          </cell>
          <cell r="J810">
            <v>7.0894000000000004</v>
          </cell>
          <cell r="K810">
            <v>5.23</v>
          </cell>
          <cell r="L810">
            <v>5.4050000000000002</v>
          </cell>
          <cell r="M810">
            <v>5.2469999999999999</v>
          </cell>
          <cell r="O810">
            <v>1.5685</v>
          </cell>
          <cell r="P810">
            <v>0.9385</v>
          </cell>
          <cell r="Q810">
            <v>83.564198188598823</v>
          </cell>
          <cell r="U810">
            <v>2.3965999999999998</v>
          </cell>
          <cell r="V810">
            <v>112.233</v>
          </cell>
          <cell r="W810" t="str">
            <v>#N/A N/A</v>
          </cell>
        </row>
        <row r="811">
          <cell r="B811">
            <v>71.459000000000003</v>
          </cell>
          <cell r="D811">
            <v>1.5718000000000001</v>
          </cell>
          <cell r="E811">
            <v>1022.5</v>
          </cell>
          <cell r="F811">
            <v>10.53201</v>
          </cell>
          <cell r="G811" t="e">
            <v>#VALUE!</v>
          </cell>
          <cell r="I811">
            <v>3.3060999999999998</v>
          </cell>
          <cell r="J811">
            <v>7.0782999999999996</v>
          </cell>
          <cell r="K811">
            <v>5.26</v>
          </cell>
          <cell r="L811">
            <v>5.48</v>
          </cell>
          <cell r="M811">
            <v>5.3280000000000003</v>
          </cell>
          <cell r="O811">
            <v>1.5529999999999999</v>
          </cell>
          <cell r="P811">
            <v>0.91349999999999998</v>
          </cell>
          <cell r="Q811">
            <v>85.002736726874659</v>
          </cell>
          <cell r="U811">
            <v>2.2006999999999999</v>
          </cell>
          <cell r="V811">
            <v>126.794</v>
          </cell>
          <cell r="W811" t="str">
            <v>#N/A N/A</v>
          </cell>
        </row>
        <row r="812">
          <cell r="B812">
            <v>71.570999999999998</v>
          </cell>
          <cell r="D812">
            <v>1.5800999999999998</v>
          </cell>
          <cell r="E812">
            <v>1008</v>
          </cell>
          <cell r="F812">
            <v>10.22012</v>
          </cell>
          <cell r="G812" t="e">
            <v>#VALUE!</v>
          </cell>
          <cell r="I812">
            <v>3.4828000000000001</v>
          </cell>
          <cell r="J812">
            <v>7.08</v>
          </cell>
          <cell r="K812">
            <v>5.26</v>
          </cell>
          <cell r="L812">
            <v>5.3220000000000001</v>
          </cell>
          <cell r="M812">
            <v>5.13</v>
          </cell>
          <cell r="O812">
            <v>1.5663</v>
          </cell>
          <cell r="P812">
            <v>0.92900000000000005</v>
          </cell>
          <cell r="Q812">
            <v>84.300322927879435</v>
          </cell>
          <cell r="U812">
            <v>2.4531000000000001</v>
          </cell>
          <cell r="V812">
            <v>116.857</v>
          </cell>
          <cell r="W812" t="str">
            <v>#N/A N/A</v>
          </cell>
        </row>
        <row r="813">
          <cell r="B813">
            <v>72.144000000000005</v>
          </cell>
          <cell r="D813">
            <v>1.5669</v>
          </cell>
          <cell r="E813">
            <v>1009.8</v>
          </cell>
          <cell r="F813">
            <v>10.208769999999999</v>
          </cell>
          <cell r="G813" t="e">
            <v>#VALUE!</v>
          </cell>
          <cell r="I813">
            <v>3.3281999999999998</v>
          </cell>
          <cell r="J813">
            <v>7.0629999999999997</v>
          </cell>
          <cell r="K813">
            <v>5.26</v>
          </cell>
          <cell r="L813">
            <v>5.4640000000000004</v>
          </cell>
          <cell r="M813">
            <v>5.2519999999999998</v>
          </cell>
          <cell r="O813">
            <v>1.5606</v>
          </cell>
          <cell r="P813">
            <v>0.91659999999999997</v>
          </cell>
          <cell r="Q813">
            <v>85.129827623827197</v>
          </cell>
          <cell r="U813">
            <v>2.3029000000000002</v>
          </cell>
          <cell r="V813">
            <v>107.777</v>
          </cell>
          <cell r="W813" t="str">
            <v>#N/A N/A</v>
          </cell>
        </row>
        <row r="814">
          <cell r="B814">
            <v>72.747</v>
          </cell>
          <cell r="D814">
            <v>1.5468</v>
          </cell>
          <cell r="E814">
            <v>1008.5</v>
          </cell>
          <cell r="F814">
            <v>10.178129999999999</v>
          </cell>
          <cell r="G814" t="e">
            <v>#VALUE!</v>
          </cell>
          <cell r="I814">
            <v>3.3336000000000001</v>
          </cell>
          <cell r="J814">
            <v>7.0515999999999996</v>
          </cell>
          <cell r="K814">
            <v>5.27</v>
          </cell>
          <cell r="L814">
            <v>5.4030000000000005</v>
          </cell>
          <cell r="M814">
            <v>5.1980000000000004</v>
          </cell>
          <cell r="O814">
            <v>1.5590000000000002</v>
          </cell>
          <cell r="P814">
            <v>0.90029999999999999</v>
          </cell>
          <cell r="Q814">
            <v>86.582250360990784</v>
          </cell>
          <cell r="U814">
            <v>2.3753000000000002</v>
          </cell>
          <cell r="V814">
            <v>108.789</v>
          </cell>
          <cell r="W814" t="str">
            <v>#N/A N/A</v>
          </cell>
        </row>
        <row r="815">
          <cell r="B815">
            <v>72.709000000000003</v>
          </cell>
          <cell r="D815">
            <v>1.5453000000000001</v>
          </cell>
          <cell r="E815">
            <v>1002.1</v>
          </cell>
          <cell r="F815">
            <v>10.07288</v>
          </cell>
          <cell r="G815" t="e">
            <v>#VALUE!</v>
          </cell>
          <cell r="I815">
            <v>3.3334999999999999</v>
          </cell>
          <cell r="J815">
            <v>7.0514999999999999</v>
          </cell>
          <cell r="K815">
            <v>5.3</v>
          </cell>
          <cell r="L815">
            <v>5.3970000000000002</v>
          </cell>
          <cell r="M815">
            <v>5.1749999999999998</v>
          </cell>
          <cell r="O815">
            <v>1.5583</v>
          </cell>
          <cell r="P815">
            <v>0.90159999999999996</v>
          </cell>
          <cell r="Q815">
            <v>86.41858917480036</v>
          </cell>
          <cell r="U815">
            <v>2.3750999999999998</v>
          </cell>
          <cell r="V815">
            <v>108.82299999999999</v>
          </cell>
          <cell r="W815" t="str">
            <v>#N/A N/A</v>
          </cell>
        </row>
        <row r="816">
          <cell r="B816">
            <v>72.709000000000003</v>
          </cell>
          <cell r="D816">
            <v>1.5453000000000001</v>
          </cell>
          <cell r="E816">
            <v>1002.1</v>
          </cell>
          <cell r="F816">
            <v>10.07288</v>
          </cell>
          <cell r="G816" t="e">
            <v>#VALUE!</v>
          </cell>
          <cell r="I816">
            <v>3.3334999999999999</v>
          </cell>
          <cell r="J816">
            <v>7.0514999999999999</v>
          </cell>
          <cell r="K816">
            <v>5.3</v>
          </cell>
          <cell r="L816">
            <v>5.3970000000000002</v>
          </cell>
          <cell r="M816">
            <v>5.1749999999999998</v>
          </cell>
          <cell r="O816">
            <v>1.5583</v>
          </cell>
          <cell r="P816">
            <v>0.90159999999999996</v>
          </cell>
          <cell r="Q816">
            <v>86.41858917480036</v>
          </cell>
          <cell r="U816">
            <v>2.3750999999999998</v>
          </cell>
          <cell r="V816">
            <v>108.82299999999999</v>
          </cell>
          <cell r="W816" t="str">
            <v>#N/A N/A</v>
          </cell>
        </row>
        <row r="817">
          <cell r="B817">
            <v>72.709000000000003</v>
          </cell>
          <cell r="D817">
            <v>1.5453000000000001</v>
          </cell>
          <cell r="E817">
            <v>1002.1</v>
          </cell>
          <cell r="F817">
            <v>10.07288</v>
          </cell>
          <cell r="G817" t="e">
            <v>#VALUE!</v>
          </cell>
          <cell r="I817">
            <v>3.3334999999999999</v>
          </cell>
          <cell r="J817">
            <v>7.0514999999999999</v>
          </cell>
          <cell r="K817">
            <v>5.3</v>
          </cell>
          <cell r="L817">
            <v>5.3970000000000002</v>
          </cell>
          <cell r="M817">
            <v>5.1749999999999998</v>
          </cell>
          <cell r="O817">
            <v>1.5583</v>
          </cell>
          <cell r="P817">
            <v>0.90159999999999996</v>
          </cell>
          <cell r="Q817">
            <v>86.41858917480036</v>
          </cell>
          <cell r="U817">
            <v>2.3750999999999998</v>
          </cell>
          <cell r="V817">
            <v>108.82299999999999</v>
          </cell>
          <cell r="W817" t="str">
            <v>#N/A N/A</v>
          </cell>
        </row>
        <row r="818">
          <cell r="B818">
            <v>72.948999999999998</v>
          </cell>
          <cell r="D818">
            <v>1.542</v>
          </cell>
          <cell r="E818">
            <v>990.8</v>
          </cell>
          <cell r="F818">
            <v>9.8283900000000006</v>
          </cell>
          <cell r="G818" t="e">
            <v>#VALUE!</v>
          </cell>
          <cell r="I818">
            <v>3.5563000000000002</v>
          </cell>
          <cell r="J818">
            <v>7.0555000000000003</v>
          </cell>
          <cell r="K818">
            <v>5.33</v>
          </cell>
          <cell r="L818">
            <v>5.4950000000000001</v>
          </cell>
          <cell r="M818">
            <v>5.2869999999999999</v>
          </cell>
          <cell r="O818">
            <v>1.5748</v>
          </cell>
          <cell r="P818">
            <v>0.90769999999999995</v>
          </cell>
          <cell r="Q818">
            <v>86.746722485402671</v>
          </cell>
          <cell r="U818">
            <v>2.6206</v>
          </cell>
          <cell r="V818">
            <v>109.348</v>
          </cell>
          <cell r="W818" t="str">
            <v>#N/A N/A</v>
          </cell>
        </row>
        <row r="819">
          <cell r="B819">
            <v>72.275999999999996</v>
          </cell>
          <cell r="D819">
            <v>1.5596999999999999</v>
          </cell>
          <cell r="E819">
            <v>983.1</v>
          </cell>
          <cell r="F819">
            <v>9.8010699999999993</v>
          </cell>
          <cell r="G819" t="e">
            <v>#VALUE!</v>
          </cell>
          <cell r="I819">
            <v>3.5053000000000001</v>
          </cell>
          <cell r="J819">
            <v>7.0444000000000004</v>
          </cell>
          <cell r="K819">
            <v>5.35</v>
          </cell>
          <cell r="L819">
            <v>5.4829999999999997</v>
          </cell>
          <cell r="M819">
            <v>5.2780000000000005</v>
          </cell>
          <cell r="O819">
            <v>1.5762</v>
          </cell>
          <cell r="P819">
            <v>0.91700000000000004</v>
          </cell>
          <cell r="Q819">
            <v>85.943293347873492</v>
          </cell>
          <cell r="U819">
            <v>2.6070000000000002</v>
          </cell>
          <cell r="V819">
            <v>94.900999999999996</v>
          </cell>
          <cell r="W819" t="str">
            <v>#N/A N/A</v>
          </cell>
        </row>
        <row r="820">
          <cell r="B820">
            <v>71.506</v>
          </cell>
          <cell r="D820">
            <v>1.5806</v>
          </cell>
          <cell r="E820">
            <v>993.3</v>
          </cell>
          <cell r="F820">
            <v>10.00201</v>
          </cell>
          <cell r="G820" t="e">
            <v>#VALUE!</v>
          </cell>
          <cell r="I820">
            <v>3.4601999999999999</v>
          </cell>
          <cell r="J820">
            <v>7.0293999999999999</v>
          </cell>
          <cell r="K820">
            <v>5.36</v>
          </cell>
          <cell r="L820">
            <v>5.4779999999999998</v>
          </cell>
          <cell r="M820">
            <v>5.28</v>
          </cell>
          <cell r="O820">
            <v>1.5669</v>
          </cell>
          <cell r="P820">
            <v>0.91659999999999997</v>
          </cell>
          <cell r="Q820">
            <v>85.4734889810168</v>
          </cell>
          <cell r="U820">
            <v>2.4920999999999998</v>
          </cell>
          <cell r="V820">
            <v>97.200999999999993</v>
          </cell>
          <cell r="W820" t="str">
            <v>#N/A N/A</v>
          </cell>
        </row>
        <row r="821">
          <cell r="B821">
            <v>71.66</v>
          </cell>
          <cell r="D821">
            <v>1.5809</v>
          </cell>
          <cell r="E821">
            <v>990.5</v>
          </cell>
          <cell r="F821">
            <v>9.9352999999999998</v>
          </cell>
          <cell r="G821" t="e">
            <v>#VALUE!</v>
          </cell>
          <cell r="I821">
            <v>3.528</v>
          </cell>
          <cell r="J821">
            <v>7.0105000000000004</v>
          </cell>
          <cell r="K821">
            <v>5.36</v>
          </cell>
          <cell r="L821">
            <v>5.3680000000000003</v>
          </cell>
          <cell r="M821">
            <v>5.173</v>
          </cell>
          <cell r="O821">
            <v>1.5697999999999999</v>
          </cell>
          <cell r="P821">
            <v>0.92049999999999998</v>
          </cell>
          <cell r="Q821">
            <v>85.268875611080929</v>
          </cell>
          <cell r="U821">
            <v>2.5392000000000001</v>
          </cell>
          <cell r="V821">
            <v>98.432000000000002</v>
          </cell>
          <cell r="W821" t="str">
            <v>#N/A N/A</v>
          </cell>
        </row>
        <row r="822">
          <cell r="B822">
            <v>71.677999999999997</v>
          </cell>
          <cell r="D822">
            <v>1.577</v>
          </cell>
          <cell r="E822">
            <v>990.1</v>
          </cell>
          <cell r="F822">
            <v>9.9497499999999999</v>
          </cell>
          <cell r="G822" t="e">
            <v>#VALUE!</v>
          </cell>
          <cell r="I822">
            <v>3.4413999999999998</v>
          </cell>
          <cell r="J822">
            <v>7.0119999999999996</v>
          </cell>
          <cell r="K822">
            <v>5.37</v>
          </cell>
          <cell r="L822">
            <v>5.3629999999999995</v>
          </cell>
          <cell r="M822">
            <v>5.17</v>
          </cell>
          <cell r="O822">
            <v>1.5707</v>
          </cell>
          <cell r="P822">
            <v>0.91620000000000001</v>
          </cell>
          <cell r="Q822">
            <v>85.718183802663177</v>
          </cell>
          <cell r="U822">
            <v>2.5032999999999999</v>
          </cell>
          <cell r="V822">
            <v>98.093999999999994</v>
          </cell>
          <cell r="W822" t="str">
            <v>#N/A N/A</v>
          </cell>
        </row>
        <row r="823">
          <cell r="B823">
            <v>71.677999999999997</v>
          </cell>
          <cell r="D823">
            <v>1.577</v>
          </cell>
          <cell r="E823">
            <v>990.1</v>
          </cell>
          <cell r="F823">
            <v>9.9497499999999999</v>
          </cell>
          <cell r="G823" t="e">
            <v>#VALUE!</v>
          </cell>
          <cell r="I823">
            <v>3.4413999999999998</v>
          </cell>
          <cell r="J823">
            <v>7.0119999999999996</v>
          </cell>
          <cell r="K823">
            <v>5.37</v>
          </cell>
          <cell r="L823">
            <v>5.3629999999999995</v>
          </cell>
          <cell r="M823">
            <v>5.17</v>
          </cell>
          <cell r="O823">
            <v>1.5707</v>
          </cell>
          <cell r="P823">
            <v>0.91620000000000001</v>
          </cell>
          <cell r="Q823">
            <v>85.718183802663177</v>
          </cell>
          <cell r="U823">
            <v>2.5032999999999999</v>
          </cell>
          <cell r="V823">
            <v>98.093999999999994</v>
          </cell>
          <cell r="W823" t="str">
            <v>#N/A N/A</v>
          </cell>
        </row>
        <row r="824">
          <cell r="B824">
            <v>71.677999999999997</v>
          </cell>
          <cell r="D824">
            <v>1.577</v>
          </cell>
          <cell r="E824">
            <v>990.1</v>
          </cell>
          <cell r="F824">
            <v>9.9497499999999999</v>
          </cell>
          <cell r="G824" t="e">
            <v>#VALUE!</v>
          </cell>
          <cell r="I824">
            <v>3.4413999999999998</v>
          </cell>
          <cell r="J824">
            <v>7.0119999999999996</v>
          </cell>
          <cell r="K824">
            <v>5.37</v>
          </cell>
          <cell r="L824">
            <v>5.3629999999999995</v>
          </cell>
          <cell r="M824">
            <v>5.17</v>
          </cell>
          <cell r="O824">
            <v>1.5707</v>
          </cell>
          <cell r="P824">
            <v>0.91620000000000001</v>
          </cell>
          <cell r="Q824">
            <v>85.718183802663177</v>
          </cell>
          <cell r="U824">
            <v>2.5032999999999999</v>
          </cell>
          <cell r="V824">
            <v>98.093999999999994</v>
          </cell>
          <cell r="W824" t="str">
            <v>#N/A N/A</v>
          </cell>
        </row>
        <row r="825">
          <cell r="B825">
            <v>71.802000000000007</v>
          </cell>
          <cell r="D825">
            <v>1.5809</v>
          </cell>
          <cell r="E825">
            <v>991</v>
          </cell>
          <cell r="F825">
            <v>9.9242399999999993</v>
          </cell>
          <cell r="G825" t="e">
            <v>#VALUE!</v>
          </cell>
          <cell r="I825">
            <v>3.4096000000000002</v>
          </cell>
          <cell r="J825">
            <v>7.0119999999999996</v>
          </cell>
          <cell r="K825">
            <v>5.38</v>
          </cell>
          <cell r="L825">
            <v>5.2850000000000001</v>
          </cell>
          <cell r="M825">
            <v>5.1029999999999998</v>
          </cell>
          <cell r="O825">
            <v>1.5686</v>
          </cell>
          <cell r="P825">
            <v>0.91359999999999997</v>
          </cell>
          <cell r="Q825">
            <v>85.847197898423815</v>
          </cell>
          <cell r="U825">
            <v>2.4365000000000001</v>
          </cell>
          <cell r="V825">
            <v>96.596999999999994</v>
          </cell>
          <cell r="W825" t="str">
            <v>#N/A N/A</v>
          </cell>
        </row>
        <row r="826">
          <cell r="B826">
            <v>72.563000000000002</v>
          </cell>
          <cell r="D826">
            <v>1.5609</v>
          </cell>
          <cell r="E826">
            <v>979.1</v>
          </cell>
          <cell r="F826">
            <v>9.6226000000000003</v>
          </cell>
          <cell r="G826" t="e">
            <v>#VALUE!</v>
          </cell>
          <cell r="I826">
            <v>3.5583</v>
          </cell>
          <cell r="J826">
            <v>7.0115999999999996</v>
          </cell>
          <cell r="K826">
            <v>5.39</v>
          </cell>
          <cell r="L826">
            <v>5.27</v>
          </cell>
          <cell r="M826">
            <v>5.1340000000000003</v>
          </cell>
          <cell r="O826">
            <v>1.5784</v>
          </cell>
          <cell r="P826">
            <v>0.90469999999999995</v>
          </cell>
          <cell r="Q826">
            <v>87.233337017795961</v>
          </cell>
          <cell r="U826">
            <v>2.6444999999999999</v>
          </cell>
          <cell r="V826">
            <v>91.674999999999997</v>
          </cell>
          <cell r="W826" t="str">
            <v>#N/A N/A</v>
          </cell>
        </row>
        <row r="827">
          <cell r="B827">
            <v>72.259</v>
          </cell>
          <cell r="D827">
            <v>1.5651000000000002</v>
          </cell>
          <cell r="E827">
            <v>976.1</v>
          </cell>
          <cell r="F827">
            <v>9.5166599999999999</v>
          </cell>
          <cell r="G827" t="e">
            <v>#VALUE!</v>
          </cell>
          <cell r="I827">
            <v>3.5963000000000003</v>
          </cell>
          <cell r="J827">
            <v>7.0183999999999997</v>
          </cell>
          <cell r="K827">
            <v>5.4</v>
          </cell>
          <cell r="L827">
            <v>5.2379999999999995</v>
          </cell>
          <cell r="M827">
            <v>5.1029999999999998</v>
          </cell>
          <cell r="O827">
            <v>1.5836999999999999</v>
          </cell>
          <cell r="P827">
            <v>0.91320000000000001</v>
          </cell>
          <cell r="Q827">
            <v>86.711563731931662</v>
          </cell>
          <cell r="U827">
            <v>2.7359</v>
          </cell>
          <cell r="V827">
            <v>84.626999999999995</v>
          </cell>
          <cell r="W827" t="str">
            <v>#N/A N/A</v>
          </cell>
        </row>
        <row r="828">
          <cell r="B828">
            <v>72.216999999999999</v>
          </cell>
          <cell r="D828">
            <v>1.5661</v>
          </cell>
          <cell r="E828">
            <v>977.1</v>
          </cell>
          <cell r="F828">
            <v>9.5410599999999999</v>
          </cell>
          <cell r="G828" t="e">
            <v>#VALUE!</v>
          </cell>
          <cell r="I828">
            <v>3.5773000000000001</v>
          </cell>
          <cell r="J828">
            <v>7.0157999999999996</v>
          </cell>
          <cell r="K828">
            <v>5.4</v>
          </cell>
          <cell r="L828">
            <v>5.2670000000000003</v>
          </cell>
          <cell r="M828">
            <v>5.14</v>
          </cell>
          <cell r="O828">
            <v>1.5815000000000001</v>
          </cell>
          <cell r="P828">
            <v>0.91549999999999998</v>
          </cell>
          <cell r="Q828">
            <v>86.373566357181872</v>
          </cell>
          <cell r="U828">
            <v>2.7292000000000001</v>
          </cell>
          <cell r="V828">
            <v>80.831999999999994</v>
          </cell>
          <cell r="W828" t="str">
            <v>#N/A N/A</v>
          </cell>
        </row>
        <row r="829">
          <cell r="B829">
            <v>72.021000000000001</v>
          </cell>
          <cell r="D829">
            <v>1.571</v>
          </cell>
          <cell r="E829">
            <v>976.4</v>
          </cell>
          <cell r="F829">
            <v>9.5697299999999998</v>
          </cell>
          <cell r="G829" t="e">
            <v>#VALUE!</v>
          </cell>
          <cell r="I829">
            <v>3.4657</v>
          </cell>
          <cell r="J829">
            <v>7.0157999999999996</v>
          </cell>
          <cell r="K829">
            <v>5.4</v>
          </cell>
          <cell r="L829">
            <v>5.2670000000000003</v>
          </cell>
          <cell r="M829">
            <v>5.1370000000000005</v>
          </cell>
          <cell r="O829">
            <v>1.5834999999999999</v>
          </cell>
          <cell r="P829">
            <v>0.92279999999999995</v>
          </cell>
          <cell r="Q829">
            <v>85.798656263545723</v>
          </cell>
          <cell r="U829">
            <v>2.6177999999999999</v>
          </cell>
          <cell r="V829">
            <v>80.239000000000004</v>
          </cell>
          <cell r="W829" t="str">
            <v>#N/A N/A</v>
          </cell>
        </row>
        <row r="830">
          <cell r="B830">
            <v>72.021000000000001</v>
          </cell>
          <cell r="D830">
            <v>1.571</v>
          </cell>
          <cell r="E830">
            <v>976.4</v>
          </cell>
          <cell r="F830">
            <v>9.5697299999999998</v>
          </cell>
          <cell r="G830" t="e">
            <v>#VALUE!</v>
          </cell>
          <cell r="I830">
            <v>3.4657</v>
          </cell>
          <cell r="J830">
            <v>7.0157999999999996</v>
          </cell>
          <cell r="K830">
            <v>5.4</v>
          </cell>
          <cell r="L830">
            <v>5.2670000000000003</v>
          </cell>
          <cell r="M830">
            <v>5.1370000000000005</v>
          </cell>
          <cell r="O830">
            <v>1.5834999999999999</v>
          </cell>
          <cell r="P830">
            <v>0.92279999999999995</v>
          </cell>
          <cell r="Q830">
            <v>85.798656263545723</v>
          </cell>
          <cell r="U830">
            <v>2.6177999999999999</v>
          </cell>
          <cell r="V830">
            <v>80.239000000000004</v>
          </cell>
          <cell r="W830" t="str">
            <v>#N/A N/A</v>
          </cell>
        </row>
        <row r="831">
          <cell r="B831">
            <v>72.021000000000001</v>
          </cell>
          <cell r="D831">
            <v>1.571</v>
          </cell>
          <cell r="E831">
            <v>976.4</v>
          </cell>
          <cell r="F831">
            <v>9.5697299999999998</v>
          </cell>
          <cell r="G831" t="e">
            <v>#VALUE!</v>
          </cell>
          <cell r="I831">
            <v>3.4657</v>
          </cell>
          <cell r="J831">
            <v>7.0157999999999996</v>
          </cell>
          <cell r="K831">
            <v>5.4</v>
          </cell>
          <cell r="L831">
            <v>5.2670000000000003</v>
          </cell>
          <cell r="M831">
            <v>5.1370000000000005</v>
          </cell>
          <cell r="O831">
            <v>1.5834999999999999</v>
          </cell>
          <cell r="P831">
            <v>0.92279999999999995</v>
          </cell>
          <cell r="Q831">
            <v>85.798656263545723</v>
          </cell>
          <cell r="U831">
            <v>2.6177999999999999</v>
          </cell>
          <cell r="V831">
            <v>80.239000000000004</v>
          </cell>
          <cell r="W831" t="str">
            <v>#N/A N/A</v>
          </cell>
        </row>
        <row r="832">
          <cell r="B832">
            <v>72.201999999999998</v>
          </cell>
          <cell r="D832">
            <v>1.5695000000000001</v>
          </cell>
          <cell r="E832">
            <v>973.4</v>
          </cell>
          <cell r="F832">
            <v>9.4757800000000003</v>
          </cell>
          <cell r="G832" t="e">
            <v>#VALUE!</v>
          </cell>
          <cell r="I832">
            <v>3.5356000000000001</v>
          </cell>
          <cell r="J832">
            <v>7.0015000000000001</v>
          </cell>
          <cell r="K832">
            <v>5.4</v>
          </cell>
          <cell r="L832">
            <v>5.2530000000000001</v>
          </cell>
          <cell r="M832">
            <v>5.1130000000000004</v>
          </cell>
          <cell r="O832">
            <v>1.595</v>
          </cell>
          <cell r="P832">
            <v>0.92710000000000004</v>
          </cell>
          <cell r="Q832">
            <v>86.020925466508459</v>
          </cell>
          <cell r="U832">
            <v>2.7262</v>
          </cell>
          <cell r="V832">
            <v>74.948999999999998</v>
          </cell>
          <cell r="W832" t="str">
            <v>#N/A N/A</v>
          </cell>
        </row>
        <row r="833">
          <cell r="B833">
            <v>72.231999999999999</v>
          </cell>
          <cell r="D833">
            <v>1.5706</v>
          </cell>
          <cell r="E833">
            <v>978</v>
          </cell>
          <cell r="F833">
            <v>9.5377399999999994</v>
          </cell>
          <cell r="G833" t="e">
            <v>#VALUE!</v>
          </cell>
          <cell r="I833">
            <v>3.5564</v>
          </cell>
          <cell r="J833">
            <v>7.0007999999999999</v>
          </cell>
          <cell r="K833">
            <v>5.4</v>
          </cell>
          <cell r="L833">
            <v>5.1879999999999997</v>
          </cell>
          <cell r="M833">
            <v>5.0270000000000001</v>
          </cell>
          <cell r="O833">
            <v>1.5924</v>
          </cell>
          <cell r="P833">
            <v>0.92859999999999998</v>
          </cell>
          <cell r="Q833">
            <v>85.741977169933236</v>
          </cell>
          <cell r="U833">
            <v>2.7229000000000001</v>
          </cell>
          <cell r="V833">
            <v>74.997</v>
          </cell>
          <cell r="W833" t="str">
            <v>#N/A N/A</v>
          </cell>
        </row>
        <row r="834">
          <cell r="B834">
            <v>71.832999999999998</v>
          </cell>
          <cell r="D834">
            <v>1.5853000000000002</v>
          </cell>
          <cell r="E834">
            <v>979.1</v>
          </cell>
          <cell r="F834">
            <v>9.6406100000000006</v>
          </cell>
          <cell r="G834" t="e">
            <v>#VALUE!</v>
          </cell>
          <cell r="I834">
            <v>3.4807000000000001</v>
          </cell>
          <cell r="J834">
            <v>7.0016999999999996</v>
          </cell>
          <cell r="K834">
            <v>5.4</v>
          </cell>
          <cell r="L834">
            <v>5.1879999999999997</v>
          </cell>
          <cell r="M834">
            <v>5.0270000000000001</v>
          </cell>
          <cell r="O834">
            <v>1.5826</v>
          </cell>
          <cell r="P834">
            <v>0.93020000000000003</v>
          </cell>
          <cell r="Q834">
            <v>85.067727370457973</v>
          </cell>
          <cell r="U834">
            <v>2.5975999999999999</v>
          </cell>
          <cell r="V834">
            <v>75.995000000000005</v>
          </cell>
          <cell r="W834" t="str">
            <v>#N/A N/A</v>
          </cell>
        </row>
        <row r="835">
          <cell r="B835">
            <v>72.117000000000004</v>
          </cell>
          <cell r="D835">
            <v>1.5749</v>
          </cell>
          <cell r="E835">
            <v>974.4</v>
          </cell>
          <cell r="F835">
            <v>9.5740599999999993</v>
          </cell>
          <cell r="G835" t="e">
            <v>#VALUE!</v>
          </cell>
          <cell r="I835">
            <v>3.5394000000000001</v>
          </cell>
          <cell r="J835">
            <v>6.9916</v>
          </cell>
          <cell r="K835">
            <v>5.4</v>
          </cell>
          <cell r="L835">
            <v>5.085</v>
          </cell>
          <cell r="M835">
            <v>4.9050000000000002</v>
          </cell>
          <cell r="O835">
            <v>1.5859999999999999</v>
          </cell>
          <cell r="P835">
            <v>0.93159999999999998</v>
          </cell>
          <cell r="Q835">
            <v>85.122370115929584</v>
          </cell>
          <cell r="U835">
            <v>2.6756000000000002</v>
          </cell>
          <cell r="V835">
            <v>80.759</v>
          </cell>
          <cell r="W835" t="str">
            <v>#N/A N/A</v>
          </cell>
        </row>
        <row r="836">
          <cell r="B836">
            <v>71.808000000000007</v>
          </cell>
          <cell r="D836">
            <v>1.5802</v>
          </cell>
          <cell r="E836">
            <v>976.25</v>
          </cell>
          <cell r="F836">
            <v>9.66249</v>
          </cell>
          <cell r="G836" t="e">
            <v>#VALUE!</v>
          </cell>
          <cell r="I836">
            <v>3.4693999999999998</v>
          </cell>
          <cell r="J836">
            <v>7.0065</v>
          </cell>
          <cell r="K836">
            <v>5.4</v>
          </cell>
          <cell r="L836">
            <v>5.1230000000000002</v>
          </cell>
          <cell r="M836">
            <v>4.9429999999999996</v>
          </cell>
          <cell r="O836">
            <v>1.5822000000000001</v>
          </cell>
          <cell r="P836">
            <v>0.92920000000000003</v>
          </cell>
          <cell r="Q836">
            <v>85.13775290572535</v>
          </cell>
          <cell r="U836">
            <v>2.5707</v>
          </cell>
          <cell r="V836">
            <v>78.757000000000005</v>
          </cell>
          <cell r="W836" t="str">
            <v>#N/A N/A</v>
          </cell>
        </row>
        <row r="837">
          <cell r="B837">
            <v>71.808000000000007</v>
          </cell>
          <cell r="D837">
            <v>1.5802</v>
          </cell>
          <cell r="E837">
            <v>976.25</v>
          </cell>
          <cell r="F837">
            <v>9.66249</v>
          </cell>
          <cell r="G837" t="e">
            <v>#VALUE!</v>
          </cell>
          <cell r="I837">
            <v>3.4693999999999998</v>
          </cell>
          <cell r="J837">
            <v>7.0065</v>
          </cell>
          <cell r="K837">
            <v>5.4</v>
          </cell>
          <cell r="L837">
            <v>5.1230000000000002</v>
          </cell>
          <cell r="M837">
            <v>4.9429999999999996</v>
          </cell>
          <cell r="O837">
            <v>1.5822000000000001</v>
          </cell>
          <cell r="P837">
            <v>0.92920000000000003</v>
          </cell>
          <cell r="Q837">
            <v>85.13775290572535</v>
          </cell>
          <cell r="U837">
            <v>2.5707</v>
          </cell>
          <cell r="V837">
            <v>78.757000000000005</v>
          </cell>
          <cell r="W837" t="str">
            <v>#N/A N/A</v>
          </cell>
        </row>
        <row r="838">
          <cell r="B838">
            <v>71.808000000000007</v>
          </cell>
          <cell r="D838">
            <v>1.5802</v>
          </cell>
          <cell r="E838">
            <v>976.25</v>
          </cell>
          <cell r="F838">
            <v>9.66249</v>
          </cell>
          <cell r="G838" t="e">
            <v>#VALUE!</v>
          </cell>
          <cell r="I838">
            <v>3.4693999999999998</v>
          </cell>
          <cell r="J838">
            <v>7.0065</v>
          </cell>
          <cell r="K838">
            <v>5.4</v>
          </cell>
          <cell r="L838">
            <v>5.1230000000000002</v>
          </cell>
          <cell r="M838">
            <v>4.9429999999999996</v>
          </cell>
          <cell r="O838">
            <v>1.5822000000000001</v>
          </cell>
          <cell r="P838">
            <v>0.92920000000000003</v>
          </cell>
          <cell r="Q838">
            <v>85.13775290572535</v>
          </cell>
          <cell r="U838">
            <v>2.5707</v>
          </cell>
          <cell r="V838">
            <v>78.757000000000005</v>
          </cell>
          <cell r="W838" t="str">
            <v>#N/A N/A</v>
          </cell>
        </row>
        <row r="839">
          <cell r="B839">
            <v>71.875</v>
          </cell>
          <cell r="D839">
            <v>1.5817000000000001</v>
          </cell>
          <cell r="E839">
            <v>979.55</v>
          </cell>
          <cell r="F839">
            <v>9.69041</v>
          </cell>
          <cell r="G839" t="e">
            <v>#VALUE!</v>
          </cell>
          <cell r="I839">
            <v>3.5108999999999999</v>
          </cell>
          <cell r="J839">
            <v>6.9989999999999997</v>
          </cell>
          <cell r="K839">
            <v>5.4</v>
          </cell>
          <cell r="L839">
            <v>5.1370000000000005</v>
          </cell>
          <cell r="M839">
            <v>4.952</v>
          </cell>
          <cell r="O839">
            <v>1.5825</v>
          </cell>
          <cell r="P839">
            <v>0.92449999999999999</v>
          </cell>
          <cell r="Q839">
            <v>85.586803677663596</v>
          </cell>
          <cell r="U839">
            <v>2.5945</v>
          </cell>
          <cell r="V839">
            <v>82.396000000000001</v>
          </cell>
          <cell r="W839" t="str">
            <v>#N/A N/A</v>
          </cell>
        </row>
        <row r="840">
          <cell r="B840">
            <v>72.022999999999996</v>
          </cell>
          <cell r="D840">
            <v>1.5796000000000001</v>
          </cell>
          <cell r="E840">
            <v>992.35</v>
          </cell>
          <cell r="F840">
            <v>9.7759300000000007</v>
          </cell>
          <cell r="G840" t="e">
            <v>#VALUE!</v>
          </cell>
          <cell r="I840">
            <v>3.6002999999999998</v>
          </cell>
          <cell r="J840">
            <v>6.9924999999999997</v>
          </cell>
          <cell r="K840">
            <v>5.39</v>
          </cell>
          <cell r="L840">
            <v>5.125</v>
          </cell>
          <cell r="M840">
            <v>4.9370000000000003</v>
          </cell>
          <cell r="O840">
            <v>1.5853000000000002</v>
          </cell>
          <cell r="P840">
            <v>0.92449999999999999</v>
          </cell>
          <cell r="Q840">
            <v>85.738236884802603</v>
          </cell>
          <cell r="U840">
            <v>2.6964000000000001</v>
          </cell>
          <cell r="V840">
            <v>81.766999999999996</v>
          </cell>
          <cell r="W840" t="str">
            <v>#N/A N/A</v>
          </cell>
        </row>
        <row r="841">
          <cell r="B841">
            <v>71.408000000000001</v>
          </cell>
          <cell r="D841">
            <v>1.5966</v>
          </cell>
          <cell r="E841">
            <v>990.45</v>
          </cell>
          <cell r="F841">
            <v>9.7514000000000003</v>
          </cell>
          <cell r="G841" t="e">
            <v>#VALUE!</v>
          </cell>
          <cell r="I841">
            <v>3.6886000000000001</v>
          </cell>
          <cell r="J841">
            <v>6.992</v>
          </cell>
          <cell r="K841">
            <v>5.38</v>
          </cell>
          <cell r="L841">
            <v>5.13</v>
          </cell>
          <cell r="M841">
            <v>4.9400000000000004</v>
          </cell>
          <cell r="O841">
            <v>1.5941999999999998</v>
          </cell>
          <cell r="P841">
            <v>0.93979999999999997</v>
          </cell>
          <cell r="Q841">
            <v>84.815918280485207</v>
          </cell>
          <cell r="U841">
            <v>2.8128000000000002</v>
          </cell>
          <cell r="V841">
            <v>80.034999999999997</v>
          </cell>
          <cell r="W841" t="str">
            <v>#N/A N/A</v>
          </cell>
        </row>
        <row r="842">
          <cell r="B842">
            <v>71.680000000000007</v>
          </cell>
          <cell r="D842">
            <v>1.5916000000000001</v>
          </cell>
          <cell r="E842">
            <v>1000</v>
          </cell>
          <cell r="F842">
            <v>9.7675199999999993</v>
          </cell>
          <cell r="G842" t="e">
            <v>#VALUE!</v>
          </cell>
          <cell r="I842">
            <v>3.7273000000000001</v>
          </cell>
          <cell r="J842">
            <v>6.9838000000000005</v>
          </cell>
          <cell r="K842">
            <v>5.38</v>
          </cell>
          <cell r="L842">
            <v>5.1370000000000005</v>
          </cell>
          <cell r="M842">
            <v>4.95</v>
          </cell>
          <cell r="O842">
            <v>1.5977000000000001</v>
          </cell>
          <cell r="P842">
            <v>0.93669999999999998</v>
          </cell>
          <cell r="Q842">
            <v>85.283441870396075</v>
          </cell>
          <cell r="U842">
            <v>2.8885000000000001</v>
          </cell>
          <cell r="V842">
            <v>76.796999999999997</v>
          </cell>
          <cell r="W842" t="str">
            <v>#N/A N/A</v>
          </cell>
        </row>
        <row r="843">
          <cell r="B843">
            <v>72.012</v>
          </cell>
          <cell r="D843">
            <v>1.5756999999999999</v>
          </cell>
          <cell r="E843">
            <v>1000.65</v>
          </cell>
          <cell r="F843">
            <v>9.5906800000000008</v>
          </cell>
          <cell r="G843" t="e">
            <v>#VALUE!</v>
          </cell>
          <cell r="I843">
            <v>3.7061000000000002</v>
          </cell>
          <cell r="J843">
            <v>6.9935</v>
          </cell>
          <cell r="K843">
            <v>5.38</v>
          </cell>
          <cell r="L843">
            <v>5.1630000000000003</v>
          </cell>
          <cell r="M843">
            <v>4.9800000000000004</v>
          </cell>
          <cell r="O843">
            <v>1.6122000000000001</v>
          </cell>
          <cell r="P843">
            <v>0.92930000000000001</v>
          </cell>
          <cell r="Q843">
            <v>86.742709566340253</v>
          </cell>
          <cell r="U843">
            <v>2.8994999999999997</v>
          </cell>
          <cell r="V843">
            <v>74.269000000000005</v>
          </cell>
          <cell r="W843" t="str">
            <v>#N/A N/A</v>
          </cell>
        </row>
        <row r="844">
          <cell r="B844">
            <v>72.012</v>
          </cell>
          <cell r="D844">
            <v>1.5756999999999999</v>
          </cell>
          <cell r="E844">
            <v>1000.65</v>
          </cell>
          <cell r="F844">
            <v>9.5906800000000008</v>
          </cell>
          <cell r="G844" t="e">
            <v>#VALUE!</v>
          </cell>
          <cell r="I844">
            <v>3.7061000000000002</v>
          </cell>
          <cell r="J844">
            <v>6.9935</v>
          </cell>
          <cell r="K844">
            <v>5.38</v>
          </cell>
          <cell r="L844">
            <v>5.1630000000000003</v>
          </cell>
          <cell r="M844">
            <v>4.9800000000000004</v>
          </cell>
          <cell r="O844">
            <v>1.6122000000000001</v>
          </cell>
          <cell r="P844">
            <v>0.92930000000000001</v>
          </cell>
          <cell r="Q844">
            <v>86.742709566340253</v>
          </cell>
          <cell r="U844">
            <v>2.8994999999999997</v>
          </cell>
          <cell r="V844">
            <v>74.269000000000005</v>
          </cell>
          <cell r="W844" t="str">
            <v>#N/A N/A</v>
          </cell>
        </row>
        <row r="845">
          <cell r="B845">
            <v>72.012</v>
          </cell>
          <cell r="D845">
            <v>1.5756999999999999</v>
          </cell>
          <cell r="E845">
            <v>1000.65</v>
          </cell>
          <cell r="F845">
            <v>9.5906800000000008</v>
          </cell>
          <cell r="G845" t="e">
            <v>#VALUE!</v>
          </cell>
          <cell r="I845">
            <v>3.7061000000000002</v>
          </cell>
          <cell r="J845">
            <v>6.9935</v>
          </cell>
          <cell r="K845">
            <v>5.38</v>
          </cell>
          <cell r="L845">
            <v>5.1630000000000003</v>
          </cell>
          <cell r="M845">
            <v>4.9800000000000004</v>
          </cell>
          <cell r="O845">
            <v>1.6122000000000001</v>
          </cell>
          <cell r="P845">
            <v>0.92930000000000001</v>
          </cell>
          <cell r="Q845">
            <v>86.742709566340253</v>
          </cell>
          <cell r="U845">
            <v>2.8994999999999997</v>
          </cell>
          <cell r="V845">
            <v>74.269000000000005</v>
          </cell>
          <cell r="W845" t="str">
            <v>#N/A N/A</v>
          </cell>
        </row>
        <row r="846">
          <cell r="B846">
            <v>71.647000000000006</v>
          </cell>
          <cell r="D846">
            <v>1.5884</v>
          </cell>
          <cell r="E846">
            <v>991.55</v>
          </cell>
          <cell r="F846">
            <v>9.5978600000000007</v>
          </cell>
          <cell r="G846" t="e">
            <v>#VALUE!</v>
          </cell>
          <cell r="I846">
            <v>3.7255000000000003</v>
          </cell>
          <cell r="J846">
            <v>7</v>
          </cell>
          <cell r="K846">
            <v>5.38</v>
          </cell>
          <cell r="L846">
            <v>5.1580000000000004</v>
          </cell>
          <cell r="M846">
            <v>4.9729999999999999</v>
          </cell>
          <cell r="O846">
            <v>1.6069</v>
          </cell>
          <cell r="P846">
            <v>0.94130000000000003</v>
          </cell>
          <cell r="Q846">
            <v>85.355359609051305</v>
          </cell>
          <cell r="U846">
            <v>2.9342000000000001</v>
          </cell>
          <cell r="V846">
            <v>68.760999999999996</v>
          </cell>
          <cell r="W846" t="str">
            <v>#N/A N/A</v>
          </cell>
        </row>
        <row r="847">
          <cell r="B847">
            <v>71.328999999999994</v>
          </cell>
          <cell r="D847">
            <v>1.599</v>
          </cell>
          <cell r="E847">
            <v>997.15</v>
          </cell>
          <cell r="F847">
            <v>9.7303999999999995</v>
          </cell>
          <cell r="G847" t="e">
            <v>#VALUE!</v>
          </cell>
          <cell r="I847">
            <v>3.6907999999999999</v>
          </cell>
          <cell r="J847">
            <v>6.9889999999999999</v>
          </cell>
          <cell r="K847">
            <v>5.37</v>
          </cell>
          <cell r="L847">
            <v>5.133</v>
          </cell>
          <cell r="M847">
            <v>4.9329999999999998</v>
          </cell>
          <cell r="O847">
            <v>1.6028</v>
          </cell>
          <cell r="P847">
            <v>0.94510000000000005</v>
          </cell>
          <cell r="Q847">
            <v>84.795259760871872</v>
          </cell>
          <cell r="U847">
            <v>2.9379</v>
          </cell>
          <cell r="V847">
            <v>68.632000000000005</v>
          </cell>
          <cell r="W847" t="str">
            <v>#N/A N/A</v>
          </cell>
        </row>
        <row r="848">
          <cell r="B848">
            <v>71.819000000000003</v>
          </cell>
          <cell r="D848">
            <v>1.5895999999999999</v>
          </cell>
          <cell r="E848">
            <v>990.93</v>
          </cell>
          <cell r="F848">
            <v>9.5863700000000005</v>
          </cell>
          <cell r="G848" t="e">
            <v>#VALUE!</v>
          </cell>
          <cell r="I848">
            <v>3.7313999999999998</v>
          </cell>
          <cell r="J848">
            <v>6.9824999999999999</v>
          </cell>
          <cell r="K848">
            <v>5.37</v>
          </cell>
          <cell r="L848">
            <v>5.1550000000000002</v>
          </cell>
          <cell r="M848">
            <v>4.95</v>
          </cell>
          <cell r="O848">
            <v>1.6137999999999999</v>
          </cell>
          <cell r="P848">
            <v>0.94910000000000005</v>
          </cell>
          <cell r="Q848">
            <v>85.017384890949316</v>
          </cell>
          <cell r="U848">
            <v>2.9554999999999998</v>
          </cell>
          <cell r="V848">
            <v>67.599000000000004</v>
          </cell>
          <cell r="W848" t="str">
            <v>#N/A N/A</v>
          </cell>
        </row>
        <row r="849">
          <cell r="B849">
            <v>72.534999999999997</v>
          </cell>
          <cell r="D849">
            <v>1.5666</v>
          </cell>
          <cell r="E849">
            <v>995.05</v>
          </cell>
          <cell r="F849">
            <v>9.5444899999999997</v>
          </cell>
          <cell r="G849" t="e">
            <v>#VALUE!</v>
          </cell>
          <cell r="I849">
            <v>3.8249</v>
          </cell>
          <cell r="J849">
            <v>6.9874999999999998</v>
          </cell>
          <cell r="K849">
            <v>5.37</v>
          </cell>
          <cell r="L849">
            <v>5.14</v>
          </cell>
          <cell r="M849">
            <v>4.9219999999999997</v>
          </cell>
          <cell r="O849">
            <v>1.6242000000000001</v>
          </cell>
          <cell r="P849">
            <v>0.93859999999999999</v>
          </cell>
          <cell r="Q849">
            <v>86.522480289793307</v>
          </cell>
          <cell r="U849">
            <v>3.0914999999999999</v>
          </cell>
          <cell r="V849">
            <v>67.465000000000003</v>
          </cell>
          <cell r="W849" t="str">
            <v>#N/A N/A</v>
          </cell>
        </row>
        <row r="850">
          <cell r="B850">
            <v>72.790000000000006</v>
          </cell>
          <cell r="D850">
            <v>1.5615000000000001</v>
          </cell>
          <cell r="E850">
            <v>995.28</v>
          </cell>
          <cell r="F850">
            <v>9.5377299999999998</v>
          </cell>
          <cell r="G850" t="e">
            <v>#VALUE!</v>
          </cell>
          <cell r="I850">
            <v>3.8702999999999999</v>
          </cell>
          <cell r="J850">
            <v>7.01</v>
          </cell>
          <cell r="K850">
            <v>5.36</v>
          </cell>
          <cell r="L850">
            <v>5.16</v>
          </cell>
          <cell r="M850">
            <v>4.9379999999999997</v>
          </cell>
          <cell r="O850">
            <v>1.6175999999999999</v>
          </cell>
          <cell r="P850">
            <v>0.93220000000000003</v>
          </cell>
          <cell r="Q850">
            <v>86.762497318172066</v>
          </cell>
          <cell r="U850">
            <v>3.1760999999999999</v>
          </cell>
          <cell r="V850">
            <v>62.893000000000001</v>
          </cell>
          <cell r="W850" t="str">
            <v>#N/A N/A</v>
          </cell>
        </row>
        <row r="851">
          <cell r="B851">
            <v>72.790000000000006</v>
          </cell>
          <cell r="D851">
            <v>1.5615000000000001</v>
          </cell>
          <cell r="E851">
            <v>995.28</v>
          </cell>
          <cell r="F851">
            <v>9.5377299999999998</v>
          </cell>
          <cell r="G851" t="e">
            <v>#VALUE!</v>
          </cell>
          <cell r="I851">
            <v>3.8702999999999999</v>
          </cell>
          <cell r="J851">
            <v>7.01</v>
          </cell>
          <cell r="K851">
            <v>5.36</v>
          </cell>
          <cell r="L851">
            <v>5.16</v>
          </cell>
          <cell r="M851">
            <v>4.9379999999999997</v>
          </cell>
          <cell r="O851">
            <v>1.6175999999999999</v>
          </cell>
          <cell r="P851">
            <v>0.93220000000000003</v>
          </cell>
          <cell r="Q851">
            <v>86.762497318172066</v>
          </cell>
          <cell r="U851">
            <v>3.1760999999999999</v>
          </cell>
          <cell r="V851">
            <v>62.893000000000001</v>
          </cell>
          <cell r="W851" t="str">
            <v>#N/A N/A</v>
          </cell>
        </row>
        <row r="852">
          <cell r="B852">
            <v>72.790000000000006</v>
          </cell>
          <cell r="D852">
            <v>1.5615000000000001</v>
          </cell>
          <cell r="E852">
            <v>995.28</v>
          </cell>
          <cell r="F852">
            <v>9.5377299999999998</v>
          </cell>
          <cell r="G852" t="e">
            <v>#VALUE!</v>
          </cell>
          <cell r="I852">
            <v>3.8702999999999999</v>
          </cell>
          <cell r="J852">
            <v>7.01</v>
          </cell>
          <cell r="K852">
            <v>5.36</v>
          </cell>
          <cell r="L852">
            <v>5.16</v>
          </cell>
          <cell r="M852">
            <v>4.9379999999999997</v>
          </cell>
          <cell r="O852">
            <v>1.6175999999999999</v>
          </cell>
          <cell r="P852">
            <v>0.93220000000000003</v>
          </cell>
          <cell r="Q852">
            <v>86.762497318172066</v>
          </cell>
          <cell r="U852">
            <v>3.1760999999999999</v>
          </cell>
          <cell r="V852">
            <v>62.893000000000001</v>
          </cell>
          <cell r="W852" t="str">
            <v>#N/A N/A</v>
          </cell>
        </row>
        <row r="853">
          <cell r="B853">
            <v>72.504000000000005</v>
          </cell>
          <cell r="D853">
            <v>1.5641</v>
          </cell>
          <cell r="E853">
            <v>996.65</v>
          </cell>
          <cell r="F853">
            <v>9.5473700000000008</v>
          </cell>
          <cell r="G853" t="e">
            <v>#VALUE!</v>
          </cell>
          <cell r="I853">
            <v>3.8252000000000002</v>
          </cell>
          <cell r="J853">
            <v>7.0014000000000003</v>
          </cell>
          <cell r="K853">
            <v>5.36</v>
          </cell>
          <cell r="L853">
            <v>5.1470000000000002</v>
          </cell>
          <cell r="M853">
            <v>4.92</v>
          </cell>
          <cell r="O853">
            <v>1.6183999999999998</v>
          </cell>
          <cell r="P853">
            <v>0.93920000000000003</v>
          </cell>
          <cell r="Q853">
            <v>86.158432708688238</v>
          </cell>
          <cell r="U853">
            <v>3.1181999999999999</v>
          </cell>
          <cell r="V853">
            <v>63.847000000000001</v>
          </cell>
          <cell r="W853" t="str">
            <v>#N/A N/A</v>
          </cell>
        </row>
        <row r="854">
          <cell r="B854">
            <v>72.894999999999996</v>
          </cell>
          <cell r="D854">
            <v>1.5584</v>
          </cell>
          <cell r="E854">
            <v>1001.1</v>
          </cell>
          <cell r="F854">
            <v>9.6693300000000004</v>
          </cell>
          <cell r="G854" t="e">
            <v>#VALUE!</v>
          </cell>
          <cell r="I854">
            <v>3.8193999999999999</v>
          </cell>
          <cell r="J854">
            <v>6.9848999999999997</v>
          </cell>
          <cell r="K854">
            <v>5.36</v>
          </cell>
          <cell r="L854">
            <v>5.15</v>
          </cell>
          <cell r="M854">
            <v>4.91</v>
          </cell>
          <cell r="O854">
            <v>1.6137000000000001</v>
          </cell>
          <cell r="P854">
            <v>0.93279999999999996</v>
          </cell>
          <cell r="Q854">
            <v>86.497641509433976</v>
          </cell>
          <cell r="U854">
            <v>3.1114000000000002</v>
          </cell>
          <cell r="V854">
            <v>61.027999999999999</v>
          </cell>
          <cell r="W854" t="str">
            <v>#N/A N/A</v>
          </cell>
        </row>
        <row r="855">
          <cell r="B855">
            <v>72.509</v>
          </cell>
          <cell r="D855">
            <v>1.5571000000000002</v>
          </cell>
          <cell r="E855">
            <v>1005.5</v>
          </cell>
          <cell r="F855">
            <v>9.64114</v>
          </cell>
          <cell r="G855" t="e">
            <v>#VALUE!</v>
          </cell>
          <cell r="I855">
            <v>3.7279</v>
          </cell>
          <cell r="J855">
            <v>6.9874999999999998</v>
          </cell>
          <cell r="K855">
            <v>5.36</v>
          </cell>
          <cell r="L855">
            <v>5.1379999999999999</v>
          </cell>
          <cell r="M855">
            <v>4.883</v>
          </cell>
          <cell r="O855">
            <v>1.6198999999999999</v>
          </cell>
          <cell r="P855">
            <v>0.94320000000000004</v>
          </cell>
          <cell r="Q855">
            <v>85.872561492790496</v>
          </cell>
          <cell r="U855">
            <v>3.0097</v>
          </cell>
          <cell r="V855">
            <v>64.325000000000003</v>
          </cell>
          <cell r="W855" t="str">
            <v>#N/A N/A</v>
          </cell>
        </row>
        <row r="856">
          <cell r="B856">
            <v>73.275000000000006</v>
          </cell>
          <cell r="D856">
            <v>1.5455999999999999</v>
          </cell>
          <cell r="E856">
            <v>1002.5</v>
          </cell>
          <cell r="F856">
            <v>9.60304</v>
          </cell>
          <cell r="G856" t="e">
            <v>#VALUE!</v>
          </cell>
          <cell r="I856">
            <v>3.7629999999999999</v>
          </cell>
          <cell r="J856">
            <v>6.9874999999999998</v>
          </cell>
          <cell r="K856">
            <v>5.36</v>
          </cell>
          <cell r="L856">
            <v>5.1379999999999999</v>
          </cell>
          <cell r="M856">
            <v>4.883</v>
          </cell>
          <cell r="O856">
            <v>1.6214</v>
          </cell>
          <cell r="P856">
            <v>0.9335</v>
          </cell>
          <cell r="Q856">
            <v>86.845206213176212</v>
          </cell>
          <cell r="U856">
            <v>3.0773999999999999</v>
          </cell>
          <cell r="V856">
            <v>64.16</v>
          </cell>
          <cell r="W856" t="str">
            <v>#N/A N/A</v>
          </cell>
        </row>
        <row r="857">
          <cell r="B857">
            <v>73.5</v>
          </cell>
          <cell r="D857">
            <v>1.5421</v>
          </cell>
          <cell r="E857">
            <v>1009.55</v>
          </cell>
          <cell r="F857">
            <v>9.59511</v>
          </cell>
          <cell r="G857" t="e">
            <v>#VALUE!</v>
          </cell>
          <cell r="I857">
            <v>3.8551000000000002</v>
          </cell>
          <cell r="J857">
            <v>6.9874999999999998</v>
          </cell>
          <cell r="K857">
            <v>5.36</v>
          </cell>
          <cell r="L857">
            <v>5.16</v>
          </cell>
          <cell r="M857">
            <v>4.9000000000000004</v>
          </cell>
          <cell r="O857">
            <v>1.6294999999999999</v>
          </cell>
          <cell r="P857">
            <v>0.93510000000000004</v>
          </cell>
          <cell r="Q857">
            <v>87.129718746658099</v>
          </cell>
          <cell r="U857">
            <v>3.1795</v>
          </cell>
          <cell r="V857">
            <v>61.228999999999999</v>
          </cell>
          <cell r="W857" t="str">
            <v>#N/A N/A</v>
          </cell>
        </row>
        <row r="858">
          <cell r="B858">
            <v>73.5</v>
          </cell>
          <cell r="D858">
            <v>1.5421</v>
          </cell>
          <cell r="E858">
            <v>1009.55</v>
          </cell>
          <cell r="F858">
            <v>9.59511</v>
          </cell>
          <cell r="G858" t="e">
            <v>#VALUE!</v>
          </cell>
          <cell r="I858">
            <v>3.8551000000000002</v>
          </cell>
          <cell r="J858">
            <v>6.9874999999999998</v>
          </cell>
          <cell r="K858">
            <v>5.36</v>
          </cell>
          <cell r="L858">
            <v>5.16</v>
          </cell>
          <cell r="M858">
            <v>4.9000000000000004</v>
          </cell>
          <cell r="O858">
            <v>1.6294999999999999</v>
          </cell>
          <cell r="P858">
            <v>0.93510000000000004</v>
          </cell>
          <cell r="Q858">
            <v>87.129718746658099</v>
          </cell>
          <cell r="U858">
            <v>3.1795</v>
          </cell>
          <cell r="V858">
            <v>61.228999999999999</v>
          </cell>
          <cell r="W858" t="str">
            <v>#N/A N/A</v>
          </cell>
        </row>
        <row r="859">
          <cell r="B859">
            <v>73.5</v>
          </cell>
          <cell r="D859">
            <v>1.5421</v>
          </cell>
          <cell r="E859">
            <v>1009.55</v>
          </cell>
          <cell r="F859">
            <v>9.59511</v>
          </cell>
          <cell r="G859" t="e">
            <v>#VALUE!</v>
          </cell>
          <cell r="I859">
            <v>3.8551000000000002</v>
          </cell>
          <cell r="J859">
            <v>6.9874999999999998</v>
          </cell>
          <cell r="K859">
            <v>5.36</v>
          </cell>
          <cell r="L859">
            <v>5.16</v>
          </cell>
          <cell r="M859">
            <v>4.9000000000000004</v>
          </cell>
          <cell r="O859">
            <v>1.6294999999999999</v>
          </cell>
          <cell r="P859">
            <v>0.93510000000000004</v>
          </cell>
          <cell r="Q859">
            <v>87.129718746658099</v>
          </cell>
          <cell r="U859">
            <v>3.1795</v>
          </cell>
          <cell r="V859">
            <v>61.228999999999999</v>
          </cell>
          <cell r="W859" t="str">
            <v>#N/A N/A</v>
          </cell>
        </row>
        <row r="860">
          <cell r="B860">
            <v>73.19</v>
          </cell>
          <cell r="D860">
            <v>1.5491000000000001</v>
          </cell>
          <cell r="E860">
            <v>1008.5</v>
          </cell>
          <cell r="F860">
            <v>9.5969499999999996</v>
          </cell>
          <cell r="G860" t="e">
            <v>#VALUE!</v>
          </cell>
          <cell r="I860">
            <v>3.867</v>
          </cell>
          <cell r="J860">
            <v>6.9878999999999998</v>
          </cell>
          <cell r="K860">
            <v>5.36</v>
          </cell>
          <cell r="L860">
            <v>5.16</v>
          </cell>
          <cell r="M860">
            <v>4.9000000000000004</v>
          </cell>
          <cell r="O860">
            <v>1.6329</v>
          </cell>
          <cell r="P860">
            <v>0.94550000000000001</v>
          </cell>
          <cell r="Q860">
            <v>86.351136964569008</v>
          </cell>
          <cell r="U860">
            <v>3.1589999999999998</v>
          </cell>
          <cell r="V860">
            <v>63.505000000000003</v>
          </cell>
          <cell r="W860" t="str">
            <v>#N/A N/A</v>
          </cell>
        </row>
        <row r="861">
          <cell r="B861">
            <v>72.998999999999995</v>
          </cell>
          <cell r="D861">
            <v>1.5531999999999999</v>
          </cell>
          <cell r="E861">
            <v>1015.5</v>
          </cell>
          <cell r="F861">
            <v>9.6938200000000005</v>
          </cell>
          <cell r="G861" t="e">
            <v>#VALUE!</v>
          </cell>
          <cell r="I861">
            <v>3.9163999999999999</v>
          </cell>
          <cell r="J861">
            <v>6.9873000000000003</v>
          </cell>
          <cell r="K861">
            <v>5.36</v>
          </cell>
          <cell r="L861">
            <v>5.1760000000000002</v>
          </cell>
          <cell r="M861">
            <v>4.92</v>
          </cell>
          <cell r="O861">
            <v>1.6313</v>
          </cell>
          <cell r="P861">
            <v>0.94920000000000004</v>
          </cell>
          <cell r="Q861">
            <v>85.930257058575634</v>
          </cell>
          <cell r="U861">
            <v>3.1659000000000002</v>
          </cell>
          <cell r="V861">
            <v>62.765999999999998</v>
          </cell>
          <cell r="W861" t="str">
            <v>#N/A N/A</v>
          </cell>
        </row>
        <row r="862">
          <cell r="B862">
            <v>73.513999999999996</v>
          </cell>
          <cell r="D862">
            <v>1.5387999999999999</v>
          </cell>
          <cell r="E862">
            <v>1031.5</v>
          </cell>
          <cell r="F862">
            <v>9.79955</v>
          </cell>
          <cell r="G862" t="e">
            <v>#VALUE!</v>
          </cell>
          <cell r="I862">
            <v>3.8475000000000001</v>
          </cell>
          <cell r="J862">
            <v>6.9870999999999999</v>
          </cell>
          <cell r="K862">
            <v>5.36</v>
          </cell>
          <cell r="L862">
            <v>5.2229999999999999</v>
          </cell>
          <cell r="M862">
            <v>4.9770000000000003</v>
          </cell>
          <cell r="O862">
            <v>1.627</v>
          </cell>
          <cell r="P862">
            <v>0.94430000000000003</v>
          </cell>
          <cell r="Q862">
            <v>86.148469765964208</v>
          </cell>
          <cell r="U862">
            <v>3.0771999999999999</v>
          </cell>
          <cell r="V862">
            <v>63.134</v>
          </cell>
          <cell r="W862" t="str">
            <v>#N/A N/A</v>
          </cell>
        </row>
        <row r="863">
          <cell r="B863">
            <v>73.477000000000004</v>
          </cell>
          <cell r="D863">
            <v>1.5421</v>
          </cell>
          <cell r="E863">
            <v>1040.5</v>
          </cell>
          <cell r="F863">
            <v>10.02056</v>
          </cell>
          <cell r="G863" t="e">
            <v>#VALUE!</v>
          </cell>
          <cell r="I863">
            <v>3.7747999999999999</v>
          </cell>
          <cell r="J863">
            <v>7.0049000000000001</v>
          </cell>
          <cell r="K863">
            <v>5.36</v>
          </cell>
          <cell r="L863">
            <v>5.43</v>
          </cell>
          <cell r="M863">
            <v>5.22</v>
          </cell>
          <cell r="O863">
            <v>1.6194999999999999</v>
          </cell>
          <cell r="P863">
            <v>0.9456</v>
          </cell>
          <cell r="Q863">
            <v>85.633460236886634</v>
          </cell>
          <cell r="U863">
            <v>2.9683999999999999</v>
          </cell>
          <cell r="V863">
            <v>63.893000000000001</v>
          </cell>
          <cell r="W863" t="str">
            <v>#N/A N/A</v>
          </cell>
        </row>
        <row r="864">
          <cell r="B864">
            <v>73.05</v>
          </cell>
          <cell r="D864">
            <v>1.5465</v>
          </cell>
          <cell r="E864">
            <v>1044.5</v>
          </cell>
          <cell r="F864">
            <v>10.13917</v>
          </cell>
          <cell r="G864" t="e">
            <v>#VALUE!</v>
          </cell>
          <cell r="I864">
            <v>3.7692000000000001</v>
          </cell>
          <cell r="J864">
            <v>6.9878</v>
          </cell>
          <cell r="K864">
            <v>5.36</v>
          </cell>
          <cell r="L864">
            <v>5.423</v>
          </cell>
          <cell r="M864">
            <v>5.22</v>
          </cell>
          <cell r="O864">
            <v>1.6122999999999998</v>
          </cell>
          <cell r="P864">
            <v>0.94199999999999995</v>
          </cell>
          <cell r="Q864">
            <v>85.578556263269633</v>
          </cell>
          <cell r="U864">
            <v>2.9647999999999999</v>
          </cell>
          <cell r="V864">
            <v>65.096000000000004</v>
          </cell>
          <cell r="W864" t="str">
            <v>#N/A N/A</v>
          </cell>
        </row>
        <row r="865">
          <cell r="B865">
            <v>73.05</v>
          </cell>
          <cell r="D865">
            <v>1.5465</v>
          </cell>
          <cell r="E865">
            <v>1044.5</v>
          </cell>
          <cell r="F865">
            <v>10.13917</v>
          </cell>
          <cell r="G865" t="e">
            <v>#VALUE!</v>
          </cell>
          <cell r="I865">
            <v>3.7692000000000001</v>
          </cell>
          <cell r="J865">
            <v>6.9878</v>
          </cell>
          <cell r="K865">
            <v>5.36</v>
          </cell>
          <cell r="L865">
            <v>5.423</v>
          </cell>
          <cell r="M865">
            <v>5.22</v>
          </cell>
          <cell r="O865">
            <v>1.6122999999999998</v>
          </cell>
          <cell r="P865">
            <v>0.94199999999999995</v>
          </cell>
          <cell r="Q865">
            <v>85.578556263269633</v>
          </cell>
          <cell r="U865">
            <v>2.9647999999999999</v>
          </cell>
          <cell r="V865">
            <v>65.096000000000004</v>
          </cell>
          <cell r="W865" t="str">
            <v>#N/A N/A</v>
          </cell>
        </row>
        <row r="866">
          <cell r="B866">
            <v>73.05</v>
          </cell>
          <cell r="D866">
            <v>1.5465</v>
          </cell>
          <cell r="E866">
            <v>1044.5</v>
          </cell>
          <cell r="F866">
            <v>10.13917</v>
          </cell>
          <cell r="G866" t="e">
            <v>#VALUE!</v>
          </cell>
          <cell r="I866">
            <v>3.7692000000000001</v>
          </cell>
          <cell r="J866">
            <v>6.9878</v>
          </cell>
          <cell r="K866">
            <v>5.36</v>
          </cell>
          <cell r="L866">
            <v>5.423</v>
          </cell>
          <cell r="M866">
            <v>5.22</v>
          </cell>
          <cell r="O866">
            <v>1.6122999999999998</v>
          </cell>
          <cell r="P866">
            <v>0.94199999999999995</v>
          </cell>
          <cell r="Q866">
            <v>85.578556263269633</v>
          </cell>
          <cell r="U866">
            <v>2.9647999999999999</v>
          </cell>
          <cell r="V866">
            <v>65.096000000000004</v>
          </cell>
          <cell r="W866" t="str">
            <v>#N/A N/A</v>
          </cell>
        </row>
        <row r="867">
          <cell r="B867">
            <v>72.947000000000003</v>
          </cell>
          <cell r="D867">
            <v>1.5549999999999999</v>
          </cell>
          <cell r="E867">
            <v>1041.5</v>
          </cell>
          <cell r="F867">
            <v>10.04388</v>
          </cell>
          <cell r="G867" t="e">
            <v>#VALUE!</v>
          </cell>
          <cell r="I867">
            <v>3.7974000000000001</v>
          </cell>
          <cell r="J867">
            <v>6.9882</v>
          </cell>
          <cell r="K867">
            <v>5.36</v>
          </cell>
          <cell r="L867">
            <v>5.423</v>
          </cell>
          <cell r="M867">
            <v>5.22</v>
          </cell>
          <cell r="O867">
            <v>1.6221000000000001</v>
          </cell>
          <cell r="P867">
            <v>0.94750000000000001</v>
          </cell>
          <cell r="Q867">
            <v>85.598944591029024</v>
          </cell>
          <cell r="U867">
            <v>3.0053999999999998</v>
          </cell>
          <cell r="V867">
            <v>64.896000000000001</v>
          </cell>
          <cell r="W867" t="str">
            <v>#N/A N/A</v>
          </cell>
        </row>
        <row r="868">
          <cell r="B868">
            <v>73.272999999999996</v>
          </cell>
          <cell r="D868">
            <v>1.5507</v>
          </cell>
          <cell r="E868">
            <v>1046.5</v>
          </cell>
          <cell r="F868">
            <v>10.00909</v>
          </cell>
          <cell r="G868" t="e">
            <v>#VALUE!</v>
          </cell>
          <cell r="I868">
            <v>3.9131</v>
          </cell>
          <cell r="J868">
            <v>6.9886999999999997</v>
          </cell>
          <cell r="K868">
            <v>5.36</v>
          </cell>
          <cell r="L868">
            <v>5.4779999999999998</v>
          </cell>
          <cell r="M868">
            <v>5.3</v>
          </cell>
          <cell r="O868">
            <v>1.6288</v>
          </cell>
          <cell r="P868">
            <v>0.94220000000000004</v>
          </cell>
          <cell r="Q868">
            <v>86.436000849076621</v>
          </cell>
          <cell r="U868">
            <v>3.1659000000000002</v>
          </cell>
          <cell r="V868">
            <v>63.161999999999999</v>
          </cell>
          <cell r="W868" t="str">
            <v>#N/A N/A</v>
          </cell>
        </row>
        <row r="869">
          <cell r="B869">
            <v>73.399000000000001</v>
          </cell>
          <cell r="D869">
            <v>1.5472999999999999</v>
          </cell>
          <cell r="E869">
            <v>1047.4000000000001</v>
          </cell>
          <cell r="F869">
            <v>9.9520599999999995</v>
          </cell>
          <cell r="G869" t="e">
            <v>#VALUE!</v>
          </cell>
          <cell r="I869">
            <v>3.9112</v>
          </cell>
          <cell r="J869">
            <v>7.0030000000000001</v>
          </cell>
          <cell r="K869">
            <v>5.36</v>
          </cell>
          <cell r="L869">
            <v>5.4480000000000004</v>
          </cell>
          <cell r="M869">
            <v>5.2729999999999997</v>
          </cell>
          <cell r="O869">
            <v>1.6327</v>
          </cell>
          <cell r="P869">
            <v>0.93469999999999998</v>
          </cell>
          <cell r="Q869">
            <v>87.338183374344709</v>
          </cell>
          <cell r="U869">
            <v>3.1968999999999999</v>
          </cell>
          <cell r="V869">
            <v>63.832999999999998</v>
          </cell>
          <cell r="W869" t="str">
            <v>#N/A N/A</v>
          </cell>
        </row>
        <row r="870">
          <cell r="B870">
            <v>73.349999999999994</v>
          </cell>
          <cell r="D870">
            <v>1.5434000000000001</v>
          </cell>
          <cell r="E870">
            <v>1044.5</v>
          </cell>
          <cell r="F870">
            <v>9.9533100000000001</v>
          </cell>
          <cell r="G870" t="e">
            <v>#VALUE!</v>
          </cell>
          <cell r="I870">
            <v>3.8144</v>
          </cell>
          <cell r="J870">
            <v>6.9946000000000002</v>
          </cell>
          <cell r="K870">
            <v>5.36</v>
          </cell>
          <cell r="L870">
            <v>5.4320000000000004</v>
          </cell>
          <cell r="M870">
            <v>5.26</v>
          </cell>
          <cell r="O870">
            <v>1.6331</v>
          </cell>
          <cell r="P870">
            <v>0.93779999999999997</v>
          </cell>
          <cell r="Q870">
            <v>87.070804009383664</v>
          </cell>
          <cell r="U870">
            <v>3.0836999999999999</v>
          </cell>
          <cell r="V870">
            <v>62.832999999999998</v>
          </cell>
          <cell r="W870" t="str">
            <v>#N/A N/A</v>
          </cell>
        </row>
        <row r="871">
          <cell r="B871">
            <v>72.843999999999994</v>
          </cell>
          <cell r="D871">
            <v>1.5579000000000001</v>
          </cell>
          <cell r="E871">
            <v>1038</v>
          </cell>
          <cell r="F871">
            <v>9.9894099999999995</v>
          </cell>
          <cell r="G871" t="e">
            <v>#VALUE!</v>
          </cell>
          <cell r="I871">
            <v>3.8445999999999998</v>
          </cell>
          <cell r="J871">
            <v>6.9889999999999999</v>
          </cell>
          <cell r="K871">
            <v>5.37</v>
          </cell>
          <cell r="L871">
            <v>5.4879999999999995</v>
          </cell>
          <cell r="M871">
            <v>5.3129999999999997</v>
          </cell>
          <cell r="O871">
            <v>1.6299000000000001</v>
          </cell>
          <cell r="P871">
            <v>0.95409999999999995</v>
          </cell>
          <cell r="Q871">
            <v>85.415574887328376</v>
          </cell>
          <cell r="U871">
            <v>3.1076000000000001</v>
          </cell>
          <cell r="V871">
            <v>59.832999999999998</v>
          </cell>
          <cell r="W871" t="str">
            <v>#N/A N/A</v>
          </cell>
        </row>
        <row r="872">
          <cell r="B872">
            <v>72.843999999999994</v>
          </cell>
          <cell r="D872">
            <v>1.5579000000000001</v>
          </cell>
          <cell r="E872">
            <v>1038</v>
          </cell>
          <cell r="F872">
            <v>9.9894099999999995</v>
          </cell>
          <cell r="G872" t="e">
            <v>#VALUE!</v>
          </cell>
          <cell r="I872">
            <v>3.8445999999999998</v>
          </cell>
          <cell r="J872">
            <v>6.9889999999999999</v>
          </cell>
          <cell r="K872">
            <v>5.37</v>
          </cell>
          <cell r="L872">
            <v>5.4879999999999995</v>
          </cell>
          <cell r="M872">
            <v>5.3129999999999997</v>
          </cell>
          <cell r="O872">
            <v>1.6299000000000001</v>
          </cell>
          <cell r="P872">
            <v>0.95409999999999995</v>
          </cell>
          <cell r="Q872">
            <v>85.415574887328376</v>
          </cell>
          <cell r="U872">
            <v>3.1076000000000001</v>
          </cell>
          <cell r="V872">
            <v>59.832999999999998</v>
          </cell>
          <cell r="W872" t="str">
            <v>#N/A N/A</v>
          </cell>
        </row>
        <row r="873">
          <cell r="B873">
            <v>72.843999999999994</v>
          </cell>
          <cell r="D873">
            <v>1.5579000000000001</v>
          </cell>
          <cell r="E873">
            <v>1038</v>
          </cell>
          <cell r="F873">
            <v>9.9894099999999995</v>
          </cell>
          <cell r="G873" t="e">
            <v>#VALUE!</v>
          </cell>
          <cell r="I873">
            <v>3.8445999999999998</v>
          </cell>
          <cell r="J873">
            <v>6.9889999999999999</v>
          </cell>
          <cell r="K873">
            <v>5.37</v>
          </cell>
          <cell r="L873">
            <v>5.4879999999999995</v>
          </cell>
          <cell r="M873">
            <v>5.3129999999999997</v>
          </cell>
          <cell r="O873">
            <v>1.6299000000000001</v>
          </cell>
          <cell r="P873">
            <v>0.95409999999999995</v>
          </cell>
          <cell r="Q873">
            <v>85.415574887328376</v>
          </cell>
          <cell r="U873">
            <v>3.1076000000000001</v>
          </cell>
          <cell r="V873">
            <v>59.832999999999998</v>
          </cell>
          <cell r="W873" t="str">
            <v>#N/A N/A</v>
          </cell>
        </row>
        <row r="874">
          <cell r="B874">
            <v>73.045000000000002</v>
          </cell>
          <cell r="D874">
            <v>1.5518000000000001</v>
          </cell>
          <cell r="E874">
            <v>1040.5</v>
          </cell>
          <cell r="F874">
            <v>9.9562200000000001</v>
          </cell>
          <cell r="G874" t="e">
            <v>#VALUE!</v>
          </cell>
          <cell r="I874">
            <v>3.8294000000000001</v>
          </cell>
          <cell r="J874">
            <v>6.9725000000000001</v>
          </cell>
          <cell r="K874">
            <v>5.37</v>
          </cell>
          <cell r="L874">
            <v>5.6479999999999997</v>
          </cell>
          <cell r="M874">
            <v>5.4550000000000001</v>
          </cell>
          <cell r="O874">
            <v>1.6364999999999998</v>
          </cell>
          <cell r="P874">
            <v>0.95309999999999995</v>
          </cell>
          <cell r="Q874">
            <v>85.85143216871262</v>
          </cell>
          <cell r="U874">
            <v>3.0836000000000001</v>
          </cell>
          <cell r="V874">
            <v>61.832999999999998</v>
          </cell>
          <cell r="W874" t="str">
            <v>#N/A N/A</v>
          </cell>
        </row>
        <row r="875">
          <cell r="B875">
            <v>72.405000000000001</v>
          </cell>
          <cell r="D875">
            <v>1.5676000000000001</v>
          </cell>
          <cell r="E875">
            <v>1047.5</v>
          </cell>
          <cell r="F875">
            <v>10.10318</v>
          </cell>
          <cell r="G875" t="e">
            <v>#VALUE!</v>
          </cell>
          <cell r="I875">
            <v>3.7746</v>
          </cell>
          <cell r="J875">
            <v>6.9734999999999996</v>
          </cell>
          <cell r="K875">
            <v>5.37</v>
          </cell>
          <cell r="L875">
            <v>5.5449999999999999</v>
          </cell>
          <cell r="M875">
            <v>5.33</v>
          </cell>
          <cell r="O875">
            <v>1.6257999999999999</v>
          </cell>
          <cell r="P875">
            <v>0.95950000000000002</v>
          </cell>
          <cell r="Q875">
            <v>84.721208963001558</v>
          </cell>
          <cell r="U875">
            <v>3.0049000000000001</v>
          </cell>
          <cell r="V875">
            <v>61.667000000000002</v>
          </cell>
          <cell r="W875" t="str">
            <v>#N/A N/A</v>
          </cell>
        </row>
        <row r="876">
          <cell r="B876">
            <v>71.938000000000002</v>
          </cell>
          <cell r="D876">
            <v>1.5756000000000001</v>
          </cell>
          <cell r="E876">
            <v>1038.5</v>
          </cell>
          <cell r="F876">
            <v>10.04415</v>
          </cell>
          <cell r="G876" t="e">
            <v>#VALUE!</v>
          </cell>
          <cell r="I876">
            <v>3.8067000000000002</v>
          </cell>
          <cell r="J876">
            <v>6.9596999999999998</v>
          </cell>
          <cell r="K876">
            <v>5.37</v>
          </cell>
          <cell r="L876">
            <v>5.6020000000000003</v>
          </cell>
          <cell r="M876">
            <v>5.3870000000000005</v>
          </cell>
          <cell r="O876">
            <v>1.6249</v>
          </cell>
          <cell r="P876">
            <v>0.9647</v>
          </cell>
          <cell r="Q876">
            <v>84.217891572509586</v>
          </cell>
          <cell r="U876">
            <v>3.0767000000000002</v>
          </cell>
          <cell r="V876">
            <v>60.561</v>
          </cell>
          <cell r="W876" t="str">
            <v>#N/A N/A</v>
          </cell>
        </row>
        <row r="877">
          <cell r="B877">
            <v>71.899000000000001</v>
          </cell>
          <cell r="D877">
            <v>1.571</v>
          </cell>
          <cell r="E877">
            <v>1043.5</v>
          </cell>
          <cell r="F877">
            <v>10.030279999999999</v>
          </cell>
          <cell r="G877" t="e">
            <v>#VALUE!</v>
          </cell>
          <cell r="I877">
            <v>3.9111000000000002</v>
          </cell>
          <cell r="J877">
            <v>6.9432</v>
          </cell>
          <cell r="K877">
            <v>5.37</v>
          </cell>
          <cell r="L877">
            <v>5.5730000000000004</v>
          </cell>
          <cell r="M877">
            <v>5.34</v>
          </cell>
          <cell r="O877">
            <v>1.6213</v>
          </cell>
          <cell r="P877">
            <v>0.95599999999999996</v>
          </cell>
          <cell r="Q877">
            <v>84.796025104602506</v>
          </cell>
          <cell r="U877">
            <v>3.2178</v>
          </cell>
          <cell r="V877">
            <v>65.266000000000005</v>
          </cell>
          <cell r="W877" t="str">
            <v>#N/A N/A</v>
          </cell>
        </row>
        <row r="878">
          <cell r="B878">
            <v>71.888000000000005</v>
          </cell>
          <cell r="D878">
            <v>1.5790999999999999</v>
          </cell>
          <cell r="E878">
            <v>1046.3</v>
          </cell>
          <cell r="F878">
            <v>10.14602</v>
          </cell>
          <cell r="G878" t="e">
            <v>#VALUE!</v>
          </cell>
          <cell r="I878">
            <v>3.8424999999999998</v>
          </cell>
          <cell r="J878">
            <v>6.9416000000000002</v>
          </cell>
          <cell r="K878">
            <v>5.37</v>
          </cell>
          <cell r="L878">
            <v>5.6230000000000002</v>
          </cell>
          <cell r="M878">
            <v>5.3879999999999999</v>
          </cell>
          <cell r="O878">
            <v>1.6135000000000002</v>
          </cell>
          <cell r="P878">
            <v>0.96160000000000001</v>
          </cell>
          <cell r="Q878">
            <v>83.896630615640618</v>
          </cell>
          <cell r="U878">
            <v>3.1385000000000001</v>
          </cell>
          <cell r="V878">
            <v>67.525000000000006</v>
          </cell>
          <cell r="W878" t="str">
            <v>#N/A N/A</v>
          </cell>
        </row>
        <row r="879">
          <cell r="B879">
            <v>71.888000000000005</v>
          </cell>
          <cell r="D879">
            <v>1.5790999999999999</v>
          </cell>
          <cell r="E879">
            <v>1046.3</v>
          </cell>
          <cell r="F879">
            <v>10.14602</v>
          </cell>
          <cell r="G879" t="e">
            <v>#VALUE!</v>
          </cell>
          <cell r="I879">
            <v>3.8424999999999998</v>
          </cell>
          <cell r="J879">
            <v>6.9416000000000002</v>
          </cell>
          <cell r="K879">
            <v>5.37</v>
          </cell>
          <cell r="L879">
            <v>5.6230000000000002</v>
          </cell>
          <cell r="M879">
            <v>5.3879999999999999</v>
          </cell>
          <cell r="O879">
            <v>1.6135000000000002</v>
          </cell>
          <cell r="P879">
            <v>0.96160000000000001</v>
          </cell>
          <cell r="Q879">
            <v>83.896630615640618</v>
          </cell>
          <cell r="U879">
            <v>3.1385000000000001</v>
          </cell>
          <cell r="V879">
            <v>67.525000000000006</v>
          </cell>
          <cell r="W879" t="str">
            <v>#N/A N/A</v>
          </cell>
        </row>
        <row r="880">
          <cell r="B880">
            <v>71.888000000000005</v>
          </cell>
          <cell r="D880">
            <v>1.5790999999999999</v>
          </cell>
          <cell r="E880">
            <v>1046.3</v>
          </cell>
          <cell r="F880">
            <v>10.14602</v>
          </cell>
          <cell r="G880" t="e">
            <v>#VALUE!</v>
          </cell>
          <cell r="I880">
            <v>3.8424999999999998</v>
          </cell>
          <cell r="J880">
            <v>6.9416000000000002</v>
          </cell>
          <cell r="K880">
            <v>5.37</v>
          </cell>
          <cell r="L880">
            <v>5.6230000000000002</v>
          </cell>
          <cell r="M880">
            <v>5.3879999999999999</v>
          </cell>
          <cell r="O880">
            <v>1.6135000000000002</v>
          </cell>
          <cell r="P880">
            <v>0.96160000000000001</v>
          </cell>
          <cell r="Q880">
            <v>83.896630615640618</v>
          </cell>
          <cell r="U880">
            <v>3.1385000000000001</v>
          </cell>
          <cell r="V880">
            <v>67.525000000000006</v>
          </cell>
          <cell r="W880" t="str">
            <v>#N/A N/A</v>
          </cell>
        </row>
        <row r="881">
          <cell r="B881">
            <v>71.989999999999995</v>
          </cell>
          <cell r="D881">
            <v>1.5767</v>
          </cell>
          <cell r="E881">
            <v>1048.55</v>
          </cell>
          <cell r="F881">
            <v>10.133369999999999</v>
          </cell>
          <cell r="G881" t="e">
            <v>#VALUE!</v>
          </cell>
          <cell r="I881">
            <v>3.8424999999999998</v>
          </cell>
          <cell r="J881">
            <v>6.9364999999999997</v>
          </cell>
          <cell r="K881">
            <v>5.37</v>
          </cell>
          <cell r="L881">
            <v>5.6530000000000005</v>
          </cell>
          <cell r="M881">
            <v>5.4</v>
          </cell>
          <cell r="O881">
            <v>1.6160999999999999</v>
          </cell>
          <cell r="P881">
            <v>0.95960000000000001</v>
          </cell>
          <cell r="Q881">
            <v>84.206961233847437</v>
          </cell>
          <cell r="U881">
            <v>3.1316000000000002</v>
          </cell>
          <cell r="V881">
            <v>71.257000000000005</v>
          </cell>
          <cell r="W881" t="str">
            <v>#N/A N/A</v>
          </cell>
        </row>
        <row r="882">
          <cell r="B882">
            <v>72.337999999999994</v>
          </cell>
          <cell r="D882">
            <v>1.5726</v>
          </cell>
          <cell r="E882">
            <v>1037.75</v>
          </cell>
          <cell r="F882">
            <v>10.016859999999999</v>
          </cell>
          <cell r="G882" t="e">
            <v>#VALUE!</v>
          </cell>
          <cell r="I882">
            <v>3.9188000000000001</v>
          </cell>
          <cell r="J882">
            <v>6.95</v>
          </cell>
          <cell r="K882">
            <v>5.36</v>
          </cell>
          <cell r="L882">
            <v>5.6050000000000004</v>
          </cell>
          <cell r="M882">
            <v>5.3479999999999999</v>
          </cell>
          <cell r="O882">
            <v>1.6181000000000001</v>
          </cell>
          <cell r="P882">
            <v>0.95950000000000002</v>
          </cell>
          <cell r="Q882">
            <v>84.319958311620638</v>
          </cell>
          <cell r="U882">
            <v>3.218</v>
          </cell>
          <cell r="V882">
            <v>76.736999999999995</v>
          </cell>
          <cell r="W882" t="str">
            <v>#N/A N/A</v>
          </cell>
        </row>
        <row r="883">
          <cell r="B883">
            <v>72.546999999999997</v>
          </cell>
          <cell r="D883">
            <v>1.5636999999999999</v>
          </cell>
          <cell r="E883">
            <v>1033.5</v>
          </cell>
          <cell r="F883">
            <v>9.8838000000000008</v>
          </cell>
          <cell r="G883" t="e">
            <v>#VALUE!</v>
          </cell>
          <cell r="I883">
            <v>4.0033000000000003</v>
          </cell>
          <cell r="J883">
            <v>6.9443999999999999</v>
          </cell>
          <cell r="K883">
            <v>5.36</v>
          </cell>
          <cell r="L883">
            <v>5.61</v>
          </cell>
          <cell r="M883">
            <v>5.36</v>
          </cell>
          <cell r="O883">
            <v>1.6221999999999999</v>
          </cell>
          <cell r="P883">
            <v>0.96220000000000006</v>
          </cell>
          <cell r="Q883">
            <v>84.296404073997081</v>
          </cell>
          <cell r="U883">
            <v>3.3361999999999998</v>
          </cell>
          <cell r="V883">
            <v>54.606000000000002</v>
          </cell>
          <cell r="W883" t="str">
            <v>#N/A N/A</v>
          </cell>
        </row>
        <row r="884">
          <cell r="B884">
            <v>73.022999999999996</v>
          </cell>
          <cell r="D884">
            <v>1.5508</v>
          </cell>
          <cell r="E884">
            <v>1030.5</v>
          </cell>
          <cell r="F884">
            <v>9.7579799999999999</v>
          </cell>
          <cell r="G884" t="e">
            <v>#VALUE!</v>
          </cell>
          <cell r="I884">
            <v>4.0750000000000002</v>
          </cell>
          <cell r="J884">
            <v>6.9379</v>
          </cell>
          <cell r="K884">
            <v>5.36</v>
          </cell>
          <cell r="L884">
            <v>5.6779999999999999</v>
          </cell>
          <cell r="M884">
            <v>5.43</v>
          </cell>
          <cell r="O884">
            <v>1.6295999999999999</v>
          </cell>
          <cell r="P884">
            <v>0.95450000000000002</v>
          </cell>
          <cell r="Q884">
            <v>85.364064955474063</v>
          </cell>
          <cell r="U884">
            <v>3.4238</v>
          </cell>
          <cell r="V884">
            <v>74.876000000000005</v>
          </cell>
          <cell r="W884" t="str">
            <v>#N/A N/A</v>
          </cell>
        </row>
        <row r="885">
          <cell r="B885">
            <v>72.879000000000005</v>
          </cell>
          <cell r="D885">
            <v>1.5541</v>
          </cell>
          <cell r="E885">
            <v>1027.75</v>
          </cell>
          <cell r="F885">
            <v>9.7398600000000002</v>
          </cell>
          <cell r="G885" t="e">
            <v>#VALUE!</v>
          </cell>
          <cell r="I885">
            <v>4.0594999999999999</v>
          </cell>
          <cell r="J885">
            <v>6.9423000000000004</v>
          </cell>
          <cell r="K885">
            <v>5.36</v>
          </cell>
          <cell r="L885">
            <v>5.7</v>
          </cell>
          <cell r="M885">
            <v>5.4580000000000002</v>
          </cell>
          <cell r="O885">
            <v>1.6229</v>
          </cell>
          <cell r="P885">
            <v>0.9556</v>
          </cell>
          <cell r="Q885">
            <v>84.915236500627884</v>
          </cell>
          <cell r="U885">
            <v>3.4177</v>
          </cell>
          <cell r="V885">
            <v>75.406999999999996</v>
          </cell>
          <cell r="W885" t="str">
            <v>#N/A N/A</v>
          </cell>
        </row>
        <row r="886">
          <cell r="B886">
            <v>72.879000000000005</v>
          </cell>
          <cell r="D886">
            <v>1.5541</v>
          </cell>
          <cell r="E886">
            <v>1027.75</v>
          </cell>
          <cell r="F886">
            <v>9.7398600000000002</v>
          </cell>
          <cell r="G886" t="e">
            <v>#VALUE!</v>
          </cell>
          <cell r="I886">
            <v>4.0594999999999999</v>
          </cell>
          <cell r="J886">
            <v>6.9423000000000004</v>
          </cell>
          <cell r="K886">
            <v>5.36</v>
          </cell>
          <cell r="L886">
            <v>5.7</v>
          </cell>
          <cell r="M886">
            <v>5.4580000000000002</v>
          </cell>
          <cell r="O886">
            <v>1.6229</v>
          </cell>
          <cell r="P886">
            <v>0.9556</v>
          </cell>
          <cell r="Q886">
            <v>84.915236500627884</v>
          </cell>
          <cell r="U886">
            <v>3.4177</v>
          </cell>
          <cell r="V886">
            <v>75.406999999999996</v>
          </cell>
          <cell r="W886" t="str">
            <v>#N/A N/A</v>
          </cell>
        </row>
        <row r="887">
          <cell r="B887">
            <v>72.879000000000005</v>
          </cell>
          <cell r="D887">
            <v>1.5541</v>
          </cell>
          <cell r="E887">
            <v>1027.75</v>
          </cell>
          <cell r="F887">
            <v>9.7398600000000002</v>
          </cell>
          <cell r="G887" t="e">
            <v>#VALUE!</v>
          </cell>
          <cell r="I887">
            <v>4.0594999999999999</v>
          </cell>
          <cell r="J887">
            <v>6.9423000000000004</v>
          </cell>
          <cell r="K887">
            <v>5.36</v>
          </cell>
          <cell r="L887">
            <v>5.7</v>
          </cell>
          <cell r="M887">
            <v>5.4580000000000002</v>
          </cell>
          <cell r="O887">
            <v>1.6229</v>
          </cell>
          <cell r="P887">
            <v>0.9556</v>
          </cell>
          <cell r="Q887">
            <v>84.915236500627884</v>
          </cell>
          <cell r="U887">
            <v>3.4177</v>
          </cell>
          <cell r="V887">
            <v>75.406999999999996</v>
          </cell>
          <cell r="W887" t="str">
            <v>#N/A N/A</v>
          </cell>
        </row>
        <row r="888">
          <cell r="B888">
            <v>72.929000000000002</v>
          </cell>
          <cell r="D888">
            <v>1.5562</v>
          </cell>
          <cell r="E888">
            <v>1024.4000000000001</v>
          </cell>
          <cell r="F888">
            <v>9.8301800000000004</v>
          </cell>
          <cell r="G888" t="e">
            <v>#VALUE!</v>
          </cell>
          <cell r="I888">
            <v>3.9571000000000001</v>
          </cell>
          <cell r="J888">
            <v>6.9329999999999998</v>
          </cell>
          <cell r="K888">
            <v>5.36</v>
          </cell>
          <cell r="L888">
            <v>5.7729999999999997</v>
          </cell>
          <cell r="M888">
            <v>5.54</v>
          </cell>
          <cell r="O888">
            <v>1.6092</v>
          </cell>
          <cell r="P888">
            <v>0.95509999999999995</v>
          </cell>
          <cell r="Q888">
            <v>84.242487697623289</v>
          </cell>
          <cell r="U888">
            <v>3.2709000000000001</v>
          </cell>
          <cell r="V888">
            <v>76.706000000000003</v>
          </cell>
          <cell r="W888" t="str">
            <v>#N/A N/A</v>
          </cell>
        </row>
        <row r="889">
          <cell r="B889">
            <v>73.239999999999995</v>
          </cell>
          <cell r="D889">
            <v>1.544</v>
          </cell>
          <cell r="E889">
            <v>1016.75</v>
          </cell>
          <cell r="F889">
            <v>9.6603300000000001</v>
          </cell>
          <cell r="G889" t="e">
            <v>#VALUE!</v>
          </cell>
          <cell r="I889">
            <v>3.8938999999999999</v>
          </cell>
          <cell r="J889">
            <v>6.9251000000000005</v>
          </cell>
          <cell r="K889">
            <v>5.36</v>
          </cell>
          <cell r="L889">
            <v>5.7679999999999998</v>
          </cell>
          <cell r="M889">
            <v>5.5030000000000001</v>
          </cell>
          <cell r="O889">
            <v>1.6118999999999999</v>
          </cell>
          <cell r="P889">
            <v>0.95330000000000004</v>
          </cell>
          <cell r="Q889">
            <v>84.543165844959603</v>
          </cell>
          <cell r="U889">
            <v>3.1859999999999999</v>
          </cell>
          <cell r="V889">
            <v>77.736999999999995</v>
          </cell>
          <cell r="W889" t="str">
            <v>#N/A N/A</v>
          </cell>
        </row>
        <row r="890">
          <cell r="B890">
            <v>73.424000000000007</v>
          </cell>
          <cell r="D890">
            <v>1.5457999999999998</v>
          </cell>
          <cell r="E890">
            <v>1018.5</v>
          </cell>
          <cell r="F890">
            <v>9.71617</v>
          </cell>
          <cell r="G890" t="e">
            <v>#VALUE!</v>
          </cell>
          <cell r="I890">
            <v>3.9763999999999999</v>
          </cell>
          <cell r="J890">
            <v>6.9390000000000001</v>
          </cell>
          <cell r="K890">
            <v>5.36</v>
          </cell>
          <cell r="L890">
            <v>5.7519999999999998</v>
          </cell>
          <cell r="M890">
            <v>5.4850000000000003</v>
          </cell>
          <cell r="O890">
            <v>1.6076000000000001</v>
          </cell>
          <cell r="P890">
            <v>0.96030000000000004</v>
          </cell>
          <cell r="Q890">
            <v>83.703009476205352</v>
          </cell>
          <cell r="U890">
            <v>3.2570999999999999</v>
          </cell>
          <cell r="V890">
            <v>76.808000000000007</v>
          </cell>
          <cell r="W890" t="str">
            <v>#N/A N/A</v>
          </cell>
        </row>
        <row r="891">
          <cell r="B891">
            <v>73.037999999999997</v>
          </cell>
          <cell r="D891">
            <v>1.5571000000000002</v>
          </cell>
          <cell r="E891">
            <v>1023.5</v>
          </cell>
          <cell r="F891">
            <v>9.66615</v>
          </cell>
          <cell r="G891" t="e">
            <v>#VALUE!</v>
          </cell>
          <cell r="I891">
            <v>4.0382999999999996</v>
          </cell>
          <cell r="J891">
            <v>6.9465000000000003</v>
          </cell>
          <cell r="K891">
            <v>5.36</v>
          </cell>
          <cell r="L891">
            <v>5.742</v>
          </cell>
          <cell r="M891">
            <v>5.48</v>
          </cell>
          <cell r="O891">
            <v>1.6179000000000001</v>
          </cell>
          <cell r="P891">
            <v>0.95860000000000001</v>
          </cell>
          <cell r="Q891">
            <v>84.388691842269978</v>
          </cell>
          <cell r="U891">
            <v>3.3216999999999999</v>
          </cell>
          <cell r="V891">
            <v>78.67</v>
          </cell>
          <cell r="W891" t="str">
            <v>#N/A N/A</v>
          </cell>
        </row>
        <row r="892">
          <cell r="B892">
            <v>72.39</v>
          </cell>
          <cell r="D892">
            <v>1.5737000000000001</v>
          </cell>
          <cell r="E892">
            <v>1023.6</v>
          </cell>
          <cell r="F892">
            <v>9.7855000000000008</v>
          </cell>
          <cell r="G892" t="e">
            <v>#VALUE!</v>
          </cell>
          <cell r="I892">
            <v>3.9092000000000002</v>
          </cell>
          <cell r="J892">
            <v>6.923</v>
          </cell>
          <cell r="K892">
            <v>5.36</v>
          </cell>
          <cell r="L892">
            <v>5.742</v>
          </cell>
          <cell r="M892">
            <v>5.48</v>
          </cell>
          <cell r="O892">
            <v>1.6120000000000001</v>
          </cell>
          <cell r="P892">
            <v>0.96099999999999997</v>
          </cell>
          <cell r="Q892">
            <v>83.870967741935488</v>
          </cell>
          <cell r="U892">
            <v>3.1749999999999998</v>
          </cell>
          <cell r="V892">
            <v>79.385999999999996</v>
          </cell>
          <cell r="W892" t="str">
            <v>#N/A N/A</v>
          </cell>
        </row>
        <row r="893">
          <cell r="B893">
            <v>72.39</v>
          </cell>
          <cell r="D893">
            <v>1.5737000000000001</v>
          </cell>
          <cell r="E893">
            <v>1023.6</v>
          </cell>
          <cell r="F893">
            <v>9.7855000000000008</v>
          </cell>
          <cell r="G893" t="e">
            <v>#VALUE!</v>
          </cell>
          <cell r="I893">
            <v>3.9092000000000002</v>
          </cell>
          <cell r="J893">
            <v>6.923</v>
          </cell>
          <cell r="K893">
            <v>5.36</v>
          </cell>
          <cell r="L893">
            <v>5.742</v>
          </cell>
          <cell r="M893">
            <v>5.48</v>
          </cell>
          <cell r="O893">
            <v>1.6120000000000001</v>
          </cell>
          <cell r="P893">
            <v>0.96099999999999997</v>
          </cell>
          <cell r="Q893">
            <v>83.870967741935488</v>
          </cell>
          <cell r="U893">
            <v>3.1749999999999998</v>
          </cell>
          <cell r="V893">
            <v>79.385999999999996</v>
          </cell>
          <cell r="W893" t="str">
            <v>#N/A N/A</v>
          </cell>
        </row>
        <row r="894">
          <cell r="B894">
            <v>72.39</v>
          </cell>
          <cell r="D894">
            <v>1.5737000000000001</v>
          </cell>
          <cell r="E894">
            <v>1023.6</v>
          </cell>
          <cell r="F894">
            <v>9.7855000000000008</v>
          </cell>
          <cell r="G894" t="e">
            <v>#VALUE!</v>
          </cell>
          <cell r="I894">
            <v>3.9092000000000002</v>
          </cell>
          <cell r="J894">
            <v>6.923</v>
          </cell>
          <cell r="K894">
            <v>5.36</v>
          </cell>
          <cell r="L894">
            <v>5.742</v>
          </cell>
          <cell r="M894">
            <v>5.48</v>
          </cell>
          <cell r="O894">
            <v>1.6120000000000001</v>
          </cell>
          <cell r="P894">
            <v>0.96099999999999997</v>
          </cell>
          <cell r="Q894">
            <v>83.870967741935488</v>
          </cell>
          <cell r="U894">
            <v>3.1749999999999998</v>
          </cell>
          <cell r="V894">
            <v>79.385999999999996</v>
          </cell>
          <cell r="W894" t="str">
            <v>#N/A N/A</v>
          </cell>
        </row>
        <row r="895">
          <cell r="B895">
            <v>72.853999999999999</v>
          </cell>
          <cell r="D895">
            <v>1.5672000000000001</v>
          </cell>
          <cell r="E895">
            <v>1032.6500000000001</v>
          </cell>
          <cell r="F895">
            <v>9.7239199999999997</v>
          </cell>
          <cell r="G895" t="e">
            <v>#VALUE!</v>
          </cell>
          <cell r="I895">
            <v>3.9977</v>
          </cell>
          <cell r="J895">
            <v>6.923</v>
          </cell>
          <cell r="K895">
            <v>5.36</v>
          </cell>
          <cell r="L895">
            <v>5.92</v>
          </cell>
          <cell r="M895">
            <v>5.6669999999999998</v>
          </cell>
          <cell r="O895">
            <v>1.6078000000000001</v>
          </cell>
          <cell r="P895">
            <v>0.95069999999999999</v>
          </cell>
          <cell r="Q895">
            <v>84.558746187020091</v>
          </cell>
          <cell r="U895">
            <v>3.3896999999999999</v>
          </cell>
          <cell r="V895">
            <v>83.013000000000005</v>
          </cell>
          <cell r="W895" t="str">
            <v>#N/A N/A</v>
          </cell>
        </row>
        <row r="896">
          <cell r="B896">
            <v>73.695999999999998</v>
          </cell>
          <cell r="D896">
            <v>1.5475000000000001</v>
          </cell>
          <cell r="E896">
            <v>1026.5</v>
          </cell>
          <cell r="F896">
            <v>9.5722100000000001</v>
          </cell>
          <cell r="G896" t="e">
            <v>#VALUE!</v>
          </cell>
          <cell r="I896">
            <v>4.1026999999999996</v>
          </cell>
          <cell r="J896">
            <v>6.9199000000000002</v>
          </cell>
          <cell r="K896">
            <v>5.36</v>
          </cell>
          <cell r="L896">
            <v>6.0069999999999997</v>
          </cell>
          <cell r="M896">
            <v>5.7750000000000004</v>
          </cell>
          <cell r="O896">
            <v>1.6114000000000002</v>
          </cell>
          <cell r="P896">
            <v>0.94540000000000002</v>
          </cell>
          <cell r="Q896">
            <v>85.223185953035767</v>
          </cell>
          <cell r="U896">
            <v>3.5621</v>
          </cell>
          <cell r="V896">
            <v>91.781999999999996</v>
          </cell>
          <cell r="W896" t="str">
            <v>#N/A N/A</v>
          </cell>
        </row>
        <row r="897">
          <cell r="B897">
            <v>73.209000000000003</v>
          </cell>
          <cell r="D897">
            <v>1.5554999999999999</v>
          </cell>
          <cell r="E897">
            <v>1029.95</v>
          </cell>
          <cell r="F897">
            <v>9.6333500000000001</v>
          </cell>
          <cell r="G897" t="e">
            <v>#VALUE!</v>
          </cell>
          <cell r="I897">
            <v>4.0735000000000001</v>
          </cell>
          <cell r="J897">
            <v>6.9180000000000001</v>
          </cell>
          <cell r="K897">
            <v>5.36</v>
          </cell>
          <cell r="L897">
            <v>5.9420000000000002</v>
          </cell>
          <cell r="M897">
            <v>5.7320000000000002</v>
          </cell>
          <cell r="O897">
            <v>1.6074000000000002</v>
          </cell>
          <cell r="P897">
            <v>0.9476</v>
          </cell>
          <cell r="Q897">
            <v>84.814267623469831</v>
          </cell>
          <cell r="U897">
            <v>3.4722</v>
          </cell>
          <cell r="V897">
            <v>90.314999999999998</v>
          </cell>
          <cell r="W897" t="str">
            <v>#N/A N/A</v>
          </cell>
        </row>
        <row r="898">
          <cell r="B898">
            <v>73.858999999999995</v>
          </cell>
          <cell r="D898">
            <v>1.5404</v>
          </cell>
          <cell r="E898">
            <v>1033.55</v>
          </cell>
          <cell r="F898">
            <v>9.5642700000000005</v>
          </cell>
          <cell r="G898" t="e">
            <v>#VALUE!</v>
          </cell>
          <cell r="I898">
            <v>4.2107999999999999</v>
          </cell>
          <cell r="J898">
            <v>6.9074999999999998</v>
          </cell>
          <cell r="K898">
            <v>5.36</v>
          </cell>
          <cell r="L898">
            <v>5.93</v>
          </cell>
          <cell r="M898">
            <v>5.7370000000000001</v>
          </cell>
          <cell r="O898">
            <v>1.6099000000000001</v>
          </cell>
          <cell r="P898">
            <v>0.93330000000000002</v>
          </cell>
          <cell r="Q898">
            <v>86.247723132969028</v>
          </cell>
          <cell r="U898">
            <v>3.6943000000000001</v>
          </cell>
          <cell r="V898">
            <v>93.602000000000004</v>
          </cell>
          <cell r="W898" t="str">
            <v>#N/A N/A</v>
          </cell>
        </row>
        <row r="899">
          <cell r="B899">
            <v>74.146000000000001</v>
          </cell>
          <cell r="D899">
            <v>1.5375000000000001</v>
          </cell>
          <cell r="E899">
            <v>1041.5</v>
          </cell>
          <cell r="F899">
            <v>9.6707699999999992</v>
          </cell>
          <cell r="G899" t="e">
            <v>#VALUE!</v>
          </cell>
          <cell r="I899">
            <v>4.2565</v>
          </cell>
          <cell r="J899">
            <v>6.9017999999999997</v>
          </cell>
          <cell r="K899">
            <v>5.36</v>
          </cell>
          <cell r="L899">
            <v>5.9130000000000003</v>
          </cell>
          <cell r="M899">
            <v>5.7350000000000003</v>
          </cell>
          <cell r="O899">
            <v>1.6116000000000001</v>
          </cell>
          <cell r="P899">
            <v>0.93820000000000003</v>
          </cell>
          <cell r="Q899">
            <v>85.887870390108716</v>
          </cell>
          <cell r="U899">
            <v>3.726</v>
          </cell>
          <cell r="V899">
            <v>93.533000000000001</v>
          </cell>
          <cell r="W899" t="str">
            <v>#N/A N/A</v>
          </cell>
        </row>
        <row r="900">
          <cell r="B900">
            <v>74.146000000000001</v>
          </cell>
          <cell r="D900">
            <v>1.5375000000000001</v>
          </cell>
          <cell r="E900">
            <v>1041.5</v>
          </cell>
          <cell r="F900">
            <v>9.6707699999999992</v>
          </cell>
          <cell r="G900" t="e">
            <v>#VALUE!</v>
          </cell>
          <cell r="I900">
            <v>4.2565</v>
          </cell>
          <cell r="J900">
            <v>6.9017999999999997</v>
          </cell>
          <cell r="K900">
            <v>5.36</v>
          </cell>
          <cell r="L900">
            <v>5.9130000000000003</v>
          </cell>
          <cell r="M900">
            <v>5.7350000000000003</v>
          </cell>
          <cell r="O900">
            <v>1.6116000000000001</v>
          </cell>
          <cell r="P900">
            <v>0.93820000000000003</v>
          </cell>
          <cell r="Q900">
            <v>85.887870390108716</v>
          </cell>
          <cell r="U900">
            <v>3.726</v>
          </cell>
          <cell r="V900">
            <v>93.533000000000001</v>
          </cell>
          <cell r="W900" t="str">
            <v>#N/A N/A</v>
          </cell>
        </row>
        <row r="901">
          <cell r="B901">
            <v>74.146000000000001</v>
          </cell>
          <cell r="D901">
            <v>1.5375000000000001</v>
          </cell>
          <cell r="E901">
            <v>1041.5</v>
          </cell>
          <cell r="F901">
            <v>9.6707699999999992</v>
          </cell>
          <cell r="G901" t="e">
            <v>#VALUE!</v>
          </cell>
          <cell r="I901">
            <v>4.2565</v>
          </cell>
          <cell r="J901">
            <v>6.9017999999999997</v>
          </cell>
          <cell r="K901">
            <v>5.36</v>
          </cell>
          <cell r="L901">
            <v>5.9130000000000003</v>
          </cell>
          <cell r="M901">
            <v>5.7350000000000003</v>
          </cell>
          <cell r="O901">
            <v>1.6116000000000001</v>
          </cell>
          <cell r="P901">
            <v>0.93820000000000003</v>
          </cell>
          <cell r="Q901">
            <v>85.887870390108716</v>
          </cell>
          <cell r="U901">
            <v>3.726</v>
          </cell>
          <cell r="V901">
            <v>93.533000000000001</v>
          </cell>
          <cell r="W901" t="str">
            <v>#N/A N/A</v>
          </cell>
        </row>
        <row r="902">
          <cell r="B902">
            <v>73.61</v>
          </cell>
          <cell r="D902">
            <v>1.5487</v>
          </cell>
          <cell r="E902">
            <v>1040</v>
          </cell>
          <cell r="F902">
            <v>9.6169399999999996</v>
          </cell>
          <cell r="G902" t="e">
            <v>#VALUE!</v>
          </cell>
          <cell r="I902">
            <v>4.2666000000000004</v>
          </cell>
          <cell r="J902">
            <v>6.9004000000000003</v>
          </cell>
          <cell r="K902">
            <v>5.36</v>
          </cell>
          <cell r="L902">
            <v>5.8719999999999999</v>
          </cell>
          <cell r="M902">
            <v>5.702</v>
          </cell>
          <cell r="O902">
            <v>1.6152</v>
          </cell>
          <cell r="P902">
            <v>0.94079999999999997</v>
          </cell>
          <cell r="Q902">
            <v>85.841836734693871</v>
          </cell>
          <cell r="U902">
            <v>3.7542</v>
          </cell>
          <cell r="V902">
            <v>93.037999999999997</v>
          </cell>
          <cell r="W902" t="str">
            <v>#N/A N/A</v>
          </cell>
        </row>
        <row r="903">
          <cell r="B903">
            <v>73.513999999999996</v>
          </cell>
          <cell r="D903">
            <v>1.5521</v>
          </cell>
          <cell r="E903">
            <v>1021.9</v>
          </cell>
          <cell r="F903">
            <v>9.4653799999999997</v>
          </cell>
          <cell r="G903" t="e">
            <v>#VALUE!</v>
          </cell>
          <cell r="I903">
            <v>4.1973000000000003</v>
          </cell>
          <cell r="J903">
            <v>6.8914</v>
          </cell>
          <cell r="K903">
            <v>5.36</v>
          </cell>
          <cell r="L903">
            <v>5.8380000000000001</v>
          </cell>
          <cell r="M903">
            <v>5.6630000000000003</v>
          </cell>
          <cell r="O903">
            <v>1.6172</v>
          </cell>
          <cell r="P903">
            <v>0.94350000000000001</v>
          </cell>
          <cell r="Q903">
            <v>85.702172760996291</v>
          </cell>
          <cell r="U903">
            <v>3.6318000000000001</v>
          </cell>
          <cell r="V903">
            <v>88.941000000000003</v>
          </cell>
          <cell r="W903" t="str">
            <v>#N/A N/A</v>
          </cell>
        </row>
        <row r="904">
          <cell r="B904">
            <v>73.44</v>
          </cell>
          <cell r="D904">
            <v>1.5516000000000001</v>
          </cell>
          <cell r="E904">
            <v>1030.4000000000001</v>
          </cell>
          <cell r="F904">
            <v>9.5500299999999996</v>
          </cell>
          <cell r="G904" t="e">
            <v>#VALUE!</v>
          </cell>
          <cell r="I904">
            <v>4.1363000000000003</v>
          </cell>
          <cell r="J904">
            <v>6.8821000000000003</v>
          </cell>
          <cell r="K904">
            <v>5.36</v>
          </cell>
          <cell r="L904">
            <v>5.86</v>
          </cell>
          <cell r="M904">
            <v>5.68</v>
          </cell>
          <cell r="O904">
            <v>1.6120999999999999</v>
          </cell>
          <cell r="P904">
            <v>0.9446</v>
          </cell>
          <cell r="Q904">
            <v>85.33241583739148</v>
          </cell>
          <cell r="U904">
            <v>3.5518000000000001</v>
          </cell>
          <cell r="V904">
            <v>89.885999999999996</v>
          </cell>
          <cell r="W904" t="str">
            <v>#N/A N/A</v>
          </cell>
        </row>
        <row r="905">
          <cell r="B905">
            <v>73.483000000000004</v>
          </cell>
          <cell r="D905">
            <v>1.5502</v>
          </cell>
          <cell r="E905">
            <v>1026.05</v>
          </cell>
          <cell r="F905">
            <v>9.5030999999999999</v>
          </cell>
          <cell r="G905" t="e">
            <v>#VALUE!</v>
          </cell>
          <cell r="I905">
            <v>4.2073</v>
          </cell>
          <cell r="J905">
            <v>6.8775000000000004</v>
          </cell>
          <cell r="K905">
            <v>5.36</v>
          </cell>
          <cell r="L905">
            <v>5.83</v>
          </cell>
          <cell r="M905">
            <v>5.6550000000000002</v>
          </cell>
          <cell r="O905">
            <v>1.6212</v>
          </cell>
          <cell r="P905">
            <v>0.94940000000000002</v>
          </cell>
          <cell r="Q905">
            <v>85.380240151674741</v>
          </cell>
          <cell r="U905">
            <v>3.6494</v>
          </cell>
          <cell r="V905">
            <v>92.792000000000002</v>
          </cell>
          <cell r="W905" t="str">
            <v>#N/A N/A</v>
          </cell>
        </row>
        <row r="906">
          <cell r="B906">
            <v>73.03</v>
          </cell>
          <cell r="D906">
            <v>1.5625</v>
          </cell>
          <cell r="E906">
            <v>1030.25</v>
          </cell>
          <cell r="F906">
            <v>9.5934399999999993</v>
          </cell>
          <cell r="G906" t="e">
            <v>#VALUE!</v>
          </cell>
          <cell r="I906">
            <v>4.1641000000000004</v>
          </cell>
          <cell r="J906">
            <v>6.8800999999999997</v>
          </cell>
          <cell r="K906">
            <v>5.36</v>
          </cell>
          <cell r="L906">
            <v>5.875</v>
          </cell>
          <cell r="M906">
            <v>5.718</v>
          </cell>
          <cell r="O906">
            <v>1.6172</v>
          </cell>
          <cell r="P906">
            <v>0.95450000000000002</v>
          </cell>
          <cell r="Q906">
            <v>84.714510214772133</v>
          </cell>
          <cell r="U906">
            <v>3.5935999999999999</v>
          </cell>
          <cell r="V906">
            <v>98.165000000000006</v>
          </cell>
          <cell r="W906" t="str">
            <v>#N/A N/A</v>
          </cell>
        </row>
        <row r="907">
          <cell r="B907">
            <v>73.03</v>
          </cell>
          <cell r="D907">
            <v>1.5625</v>
          </cell>
          <cell r="E907">
            <v>1030.25</v>
          </cell>
          <cell r="F907">
            <v>9.5934399999999993</v>
          </cell>
          <cell r="G907" t="e">
            <v>#VALUE!</v>
          </cell>
          <cell r="I907">
            <v>4.1641000000000004</v>
          </cell>
          <cell r="J907">
            <v>6.8800999999999997</v>
          </cell>
          <cell r="K907">
            <v>5.36</v>
          </cell>
          <cell r="L907">
            <v>5.875</v>
          </cell>
          <cell r="M907">
            <v>5.718</v>
          </cell>
          <cell r="O907">
            <v>1.6172</v>
          </cell>
          <cell r="P907">
            <v>0.95450000000000002</v>
          </cell>
          <cell r="Q907">
            <v>84.714510214772133</v>
          </cell>
          <cell r="U907">
            <v>3.5935999999999999</v>
          </cell>
          <cell r="V907">
            <v>98.165000000000006</v>
          </cell>
          <cell r="W907" t="str">
            <v>#N/A N/A</v>
          </cell>
        </row>
        <row r="908">
          <cell r="B908">
            <v>73.03</v>
          </cell>
          <cell r="D908">
            <v>1.5625</v>
          </cell>
          <cell r="E908">
            <v>1030.25</v>
          </cell>
          <cell r="F908">
            <v>9.5934399999999993</v>
          </cell>
          <cell r="G908" t="e">
            <v>#VALUE!</v>
          </cell>
          <cell r="I908">
            <v>4.1641000000000004</v>
          </cell>
          <cell r="J908">
            <v>6.8800999999999997</v>
          </cell>
          <cell r="K908">
            <v>5.36</v>
          </cell>
          <cell r="L908">
            <v>5.875</v>
          </cell>
          <cell r="M908">
            <v>5.718</v>
          </cell>
          <cell r="O908">
            <v>1.6172</v>
          </cell>
          <cell r="P908">
            <v>0.95450000000000002</v>
          </cell>
          <cell r="Q908">
            <v>84.714510214772133</v>
          </cell>
          <cell r="U908">
            <v>3.5935999999999999</v>
          </cell>
          <cell r="V908">
            <v>98.165000000000006</v>
          </cell>
          <cell r="W908" t="str">
            <v>#N/A N/A</v>
          </cell>
        </row>
        <row r="909">
          <cell r="B909">
            <v>73.433999999999997</v>
          </cell>
          <cell r="D909">
            <v>1.5512999999999999</v>
          </cell>
          <cell r="E909">
            <v>1037.3</v>
          </cell>
          <cell r="F909">
            <v>9.6158800000000006</v>
          </cell>
          <cell r="G909" t="e">
            <v>#VALUE!</v>
          </cell>
          <cell r="I909">
            <v>4.1641000000000004</v>
          </cell>
          <cell r="J909">
            <v>6.8739999999999997</v>
          </cell>
          <cell r="K909">
            <v>5.36</v>
          </cell>
          <cell r="L909">
            <v>6.0229999999999997</v>
          </cell>
          <cell r="M909">
            <v>5.8730000000000002</v>
          </cell>
          <cell r="O909">
            <v>1.6226</v>
          </cell>
          <cell r="P909">
            <v>0.95209999999999995</v>
          </cell>
          <cell r="Q909">
            <v>85.211637433042753</v>
          </cell>
          <cell r="U909">
            <v>3.6286</v>
          </cell>
          <cell r="V909">
            <v>99.403000000000006</v>
          </cell>
          <cell r="W909" t="str">
            <v>#N/A N/A</v>
          </cell>
        </row>
        <row r="910">
          <cell r="B910">
            <v>73.241</v>
          </cell>
          <cell r="D910">
            <v>1.5594000000000001</v>
          </cell>
          <cell r="E910">
            <v>1032.6500000000001</v>
          </cell>
          <cell r="F910">
            <v>9.5731400000000004</v>
          </cell>
          <cell r="G910" t="e">
            <v>#VALUE!</v>
          </cell>
          <cell r="I910">
            <v>4.0818000000000003</v>
          </cell>
          <cell r="J910">
            <v>6.8699000000000003</v>
          </cell>
          <cell r="K910">
            <v>5.37</v>
          </cell>
          <cell r="L910">
            <v>6</v>
          </cell>
          <cell r="M910">
            <v>5.8529999999999998</v>
          </cell>
          <cell r="O910">
            <v>1.6207</v>
          </cell>
          <cell r="P910">
            <v>0.95669999999999999</v>
          </cell>
          <cell r="Q910">
            <v>84.702623601965087</v>
          </cell>
          <cell r="U910">
            <v>3.524</v>
          </cell>
          <cell r="V910">
            <v>99.590999999999994</v>
          </cell>
          <cell r="W910" t="str">
            <v>#N/A N/A</v>
          </cell>
        </row>
        <row r="911">
          <cell r="B911">
            <v>72.933000000000007</v>
          </cell>
          <cell r="D911">
            <v>1.5573999999999999</v>
          </cell>
          <cell r="E911">
            <v>1037.95</v>
          </cell>
          <cell r="F911">
            <v>9.5898699999999995</v>
          </cell>
          <cell r="G911" t="e">
            <v>#VALUE!</v>
          </cell>
          <cell r="I911">
            <v>4.0994000000000002</v>
          </cell>
          <cell r="J911">
            <v>6.8652999999999995</v>
          </cell>
          <cell r="K911">
            <v>5.37</v>
          </cell>
          <cell r="L911">
            <v>5.9649999999999999</v>
          </cell>
          <cell r="M911">
            <v>5.8220000000000001</v>
          </cell>
          <cell r="O911">
            <v>1.6221999999999999</v>
          </cell>
          <cell r="P911">
            <v>0.95450000000000002</v>
          </cell>
          <cell r="Q911">
            <v>84.976427448926131</v>
          </cell>
          <cell r="U911">
            <v>3.5205000000000002</v>
          </cell>
          <cell r="V911">
            <v>97.334999999999994</v>
          </cell>
          <cell r="W911" t="str">
            <v>#N/A N/A</v>
          </cell>
        </row>
        <row r="912">
          <cell r="B912">
            <v>72.486999999999995</v>
          </cell>
          <cell r="D912">
            <v>1.5733999999999999</v>
          </cell>
          <cell r="E912">
            <v>1042</v>
          </cell>
          <cell r="F912">
            <v>9.7443299999999997</v>
          </cell>
          <cell r="G912" t="e">
            <v>#VALUE!</v>
          </cell>
          <cell r="I912">
            <v>4.0330000000000004</v>
          </cell>
          <cell r="J912">
            <v>6.8638000000000003</v>
          </cell>
          <cell r="K912">
            <v>5.37</v>
          </cell>
          <cell r="L912">
            <v>5.8970000000000002</v>
          </cell>
          <cell r="M912">
            <v>5.74</v>
          </cell>
          <cell r="O912">
            <v>1.6151</v>
          </cell>
          <cell r="P912">
            <v>0.95620000000000005</v>
          </cell>
          <cell r="Q912">
            <v>84.454089102698177</v>
          </cell>
          <cell r="U912">
            <v>3.3851</v>
          </cell>
          <cell r="V912">
            <v>98.061000000000007</v>
          </cell>
          <cell r="W912" t="str">
            <v>#N/A N/A</v>
          </cell>
        </row>
        <row r="913">
          <cell r="B913">
            <v>72.36</v>
          </cell>
          <cell r="D913">
            <v>1.5756000000000001</v>
          </cell>
          <cell r="E913">
            <v>1040.8800000000001</v>
          </cell>
          <cell r="F913">
            <v>9.7909000000000006</v>
          </cell>
          <cell r="G913" t="e">
            <v>#VALUE!</v>
          </cell>
          <cell r="I913">
            <v>3.9651999999999998</v>
          </cell>
          <cell r="J913">
            <v>6.8617999999999997</v>
          </cell>
          <cell r="K913">
            <v>5.37</v>
          </cell>
          <cell r="L913">
            <v>5.923</v>
          </cell>
          <cell r="M913">
            <v>5.7670000000000003</v>
          </cell>
          <cell r="O913">
            <v>1.6076999999999999</v>
          </cell>
          <cell r="P913">
            <v>0.96209999999999996</v>
          </cell>
          <cell r="Q913">
            <v>83.551605862176487</v>
          </cell>
          <cell r="U913">
            <v>3.3475999999999999</v>
          </cell>
          <cell r="V913">
            <v>102.18300000000001</v>
          </cell>
          <cell r="W913" t="str">
            <v>#N/A N/A</v>
          </cell>
        </row>
        <row r="914">
          <cell r="B914">
            <v>72.36</v>
          </cell>
          <cell r="D914">
            <v>1.5756000000000001</v>
          </cell>
          <cell r="E914">
            <v>1040.8800000000001</v>
          </cell>
          <cell r="F914">
            <v>9.7909000000000006</v>
          </cell>
          <cell r="G914" t="e">
            <v>#VALUE!</v>
          </cell>
          <cell r="I914">
            <v>3.9651999999999998</v>
          </cell>
          <cell r="J914">
            <v>6.8617999999999997</v>
          </cell>
          <cell r="K914">
            <v>5.37</v>
          </cell>
          <cell r="L914">
            <v>5.923</v>
          </cell>
          <cell r="M914">
            <v>5.7670000000000003</v>
          </cell>
          <cell r="O914">
            <v>1.6076999999999999</v>
          </cell>
          <cell r="P914">
            <v>0.96209999999999996</v>
          </cell>
          <cell r="Q914">
            <v>83.551605862176487</v>
          </cell>
          <cell r="U914">
            <v>3.3475999999999999</v>
          </cell>
          <cell r="V914">
            <v>102.18300000000001</v>
          </cell>
          <cell r="W914" t="str">
            <v>#N/A N/A</v>
          </cell>
        </row>
        <row r="915">
          <cell r="B915">
            <v>72.36</v>
          </cell>
          <cell r="D915">
            <v>1.5756000000000001</v>
          </cell>
          <cell r="E915">
            <v>1040.8800000000001</v>
          </cell>
          <cell r="F915">
            <v>9.7909000000000006</v>
          </cell>
          <cell r="G915" t="e">
            <v>#VALUE!</v>
          </cell>
          <cell r="I915">
            <v>3.9651999999999998</v>
          </cell>
          <cell r="J915">
            <v>6.8617999999999997</v>
          </cell>
          <cell r="K915">
            <v>5.37</v>
          </cell>
          <cell r="L915">
            <v>5.923</v>
          </cell>
          <cell r="M915">
            <v>5.7670000000000003</v>
          </cell>
          <cell r="O915">
            <v>1.6076999999999999</v>
          </cell>
          <cell r="P915">
            <v>0.96209999999999996</v>
          </cell>
          <cell r="Q915">
            <v>83.551605862176487</v>
          </cell>
          <cell r="U915">
            <v>3.3475999999999999</v>
          </cell>
          <cell r="V915">
            <v>102.18300000000001</v>
          </cell>
          <cell r="W915" t="str">
            <v>#N/A N/A</v>
          </cell>
        </row>
        <row r="916">
          <cell r="B916">
            <v>72.462999999999994</v>
          </cell>
          <cell r="D916">
            <v>1.5735999999999999</v>
          </cell>
          <cell r="E916">
            <v>1047.1500000000001</v>
          </cell>
          <cell r="F916">
            <v>9.8606200000000008</v>
          </cell>
          <cell r="G916" t="e">
            <v>#VALUE!</v>
          </cell>
          <cell r="I916">
            <v>3.9689999999999999</v>
          </cell>
          <cell r="J916">
            <v>6.8543000000000003</v>
          </cell>
          <cell r="K916">
            <v>5.37</v>
          </cell>
          <cell r="L916">
            <v>6.0449999999999999</v>
          </cell>
          <cell r="M916">
            <v>5.8970000000000002</v>
          </cell>
          <cell r="O916">
            <v>1.6064000000000001</v>
          </cell>
          <cell r="P916">
            <v>0.95689999999999997</v>
          </cell>
          <cell r="Q916">
            <v>83.937715539763829</v>
          </cell>
          <cell r="U916">
            <v>3.3271000000000002</v>
          </cell>
          <cell r="V916">
            <v>103.952</v>
          </cell>
          <cell r="W916" t="str">
            <v>#N/A N/A</v>
          </cell>
        </row>
        <row r="917">
          <cell r="B917">
            <v>72.369</v>
          </cell>
          <cell r="D917">
            <v>1.5808</v>
          </cell>
          <cell r="E917">
            <v>1050.32</v>
          </cell>
          <cell r="F917">
            <v>9.9387299999999996</v>
          </cell>
          <cell r="G917" t="e">
            <v>#VALUE!</v>
          </cell>
          <cell r="I917">
            <v>4.0019999999999998</v>
          </cell>
          <cell r="J917">
            <v>6.8560999999999996</v>
          </cell>
          <cell r="K917">
            <v>5.37</v>
          </cell>
          <cell r="L917">
            <v>6.02</v>
          </cell>
          <cell r="M917">
            <v>5.8730000000000002</v>
          </cell>
          <cell r="O917">
            <v>1.6082999999999998</v>
          </cell>
          <cell r="P917">
            <v>0.95430000000000004</v>
          </cell>
          <cell r="Q917">
            <v>84.265954102483491</v>
          </cell>
          <cell r="U917">
            <v>3.3544</v>
          </cell>
          <cell r="V917">
            <v>104.922</v>
          </cell>
          <cell r="W917" t="str">
            <v>#N/A N/A</v>
          </cell>
        </row>
        <row r="918">
          <cell r="B918">
            <v>72.028999999999996</v>
          </cell>
          <cell r="D918">
            <v>1.5863</v>
          </cell>
          <cell r="E918">
            <v>1038.75</v>
          </cell>
          <cell r="F918">
            <v>9.7995300000000007</v>
          </cell>
          <cell r="G918" t="e">
            <v>#VALUE!</v>
          </cell>
          <cell r="I918">
            <v>3.9575</v>
          </cell>
          <cell r="J918">
            <v>6.8666</v>
          </cell>
          <cell r="K918">
            <v>5.37</v>
          </cell>
          <cell r="L918">
            <v>6.1230000000000002</v>
          </cell>
          <cell r="M918">
            <v>5.97</v>
          </cell>
          <cell r="O918">
            <v>1.6116000000000001</v>
          </cell>
          <cell r="P918">
            <v>0.96279999999999999</v>
          </cell>
          <cell r="Q918">
            <v>83.693394266722066</v>
          </cell>
          <cell r="U918">
            <v>3.2963</v>
          </cell>
          <cell r="V918">
            <v>104.68300000000001</v>
          </cell>
          <cell r="W918" t="str">
            <v>#N/A N/A</v>
          </cell>
        </row>
        <row r="919">
          <cell r="B919">
            <v>72.742000000000004</v>
          </cell>
          <cell r="D919">
            <v>1.5695999999999999</v>
          </cell>
          <cell r="E919">
            <v>1045.1500000000001</v>
          </cell>
          <cell r="F919">
            <v>9.7963199999999997</v>
          </cell>
          <cell r="G919" t="e">
            <v>#VALUE!</v>
          </cell>
          <cell r="I919">
            <v>3.9750000000000001</v>
          </cell>
          <cell r="J919">
            <v>6.8510999999999997</v>
          </cell>
          <cell r="K919">
            <v>5.38</v>
          </cell>
          <cell r="L919">
            <v>6.1950000000000003</v>
          </cell>
          <cell r="M919">
            <v>6.0579999999999998</v>
          </cell>
          <cell r="O919">
            <v>1.6116000000000001</v>
          </cell>
          <cell r="P919">
            <v>0.95940000000000003</v>
          </cell>
          <cell r="Q919">
            <v>83.989993746091301</v>
          </cell>
          <cell r="U919">
            <v>3.2755999999999998</v>
          </cell>
          <cell r="V919">
            <v>116.639</v>
          </cell>
          <cell r="W919" t="str">
            <v>#N/A N/A</v>
          </cell>
        </row>
        <row r="920">
          <cell r="B920">
            <v>72.730999999999995</v>
          </cell>
          <cell r="D920">
            <v>1.5695999999999999</v>
          </cell>
          <cell r="E920">
            <v>1050.5999999999999</v>
          </cell>
          <cell r="F920">
            <v>9.8400700000000008</v>
          </cell>
          <cell r="G920" t="e">
            <v>#VALUE!</v>
          </cell>
          <cell r="I920">
            <v>3.9750000000000001</v>
          </cell>
          <cell r="J920">
            <v>6.859</v>
          </cell>
          <cell r="K920">
            <v>5.38</v>
          </cell>
          <cell r="L920">
            <v>6.1849999999999996</v>
          </cell>
          <cell r="M920">
            <v>6.0519999999999996</v>
          </cell>
          <cell r="O920">
            <v>1.6092</v>
          </cell>
          <cell r="P920">
            <v>0.96340000000000003</v>
          </cell>
          <cell r="Q920">
            <v>83.516711646252844</v>
          </cell>
          <cell r="U920">
            <v>3.2755000000000001</v>
          </cell>
          <cell r="V920">
            <v>114.233</v>
          </cell>
          <cell r="W920" t="str">
            <v>#N/A N/A</v>
          </cell>
        </row>
        <row r="921">
          <cell r="B921">
            <v>72.730999999999995</v>
          </cell>
          <cell r="D921">
            <v>1.5695999999999999</v>
          </cell>
          <cell r="E921">
            <v>1050.5999999999999</v>
          </cell>
          <cell r="F921">
            <v>9.8400700000000008</v>
          </cell>
          <cell r="G921" t="e">
            <v>#VALUE!</v>
          </cell>
          <cell r="I921">
            <v>3.9750000000000001</v>
          </cell>
          <cell r="J921">
            <v>6.859</v>
          </cell>
          <cell r="K921">
            <v>5.38</v>
          </cell>
          <cell r="L921">
            <v>6.1849999999999996</v>
          </cell>
          <cell r="M921">
            <v>6.0519999999999996</v>
          </cell>
          <cell r="O921">
            <v>1.6092</v>
          </cell>
          <cell r="P921">
            <v>0.96340000000000003</v>
          </cell>
          <cell r="Q921">
            <v>83.516711646252844</v>
          </cell>
          <cell r="U921">
            <v>3.2755000000000001</v>
          </cell>
          <cell r="V921">
            <v>114.233</v>
          </cell>
          <cell r="W921" t="str">
            <v>#N/A N/A</v>
          </cell>
        </row>
        <row r="922">
          <cell r="B922">
            <v>72.730999999999995</v>
          </cell>
          <cell r="D922">
            <v>1.5695999999999999</v>
          </cell>
          <cell r="E922">
            <v>1050.5999999999999</v>
          </cell>
          <cell r="F922">
            <v>9.8400700000000008</v>
          </cell>
          <cell r="G922" t="e">
            <v>#VALUE!</v>
          </cell>
          <cell r="I922">
            <v>3.9750000000000001</v>
          </cell>
          <cell r="J922">
            <v>6.859</v>
          </cell>
          <cell r="K922">
            <v>5.38</v>
          </cell>
          <cell r="L922">
            <v>6.1849999999999996</v>
          </cell>
          <cell r="M922">
            <v>6.0519999999999996</v>
          </cell>
          <cell r="O922">
            <v>1.6092</v>
          </cell>
          <cell r="P922">
            <v>0.96340000000000003</v>
          </cell>
          <cell r="Q922">
            <v>83.516711646252844</v>
          </cell>
          <cell r="U922">
            <v>3.2755000000000001</v>
          </cell>
          <cell r="V922">
            <v>114.233</v>
          </cell>
          <cell r="W922" t="str">
            <v>#N/A N/A</v>
          </cell>
        </row>
        <row r="923">
          <cell r="B923">
            <v>72.67</v>
          </cell>
          <cell r="D923">
            <v>1.5718999999999999</v>
          </cell>
          <cell r="E923">
            <v>1038.6300000000001</v>
          </cell>
          <cell r="F923">
            <v>9.70852</v>
          </cell>
          <cell r="G923" t="e">
            <v>#VALUE!</v>
          </cell>
          <cell r="I923">
            <v>3.8994999999999997</v>
          </cell>
          <cell r="J923">
            <v>6.8666</v>
          </cell>
          <cell r="K923">
            <v>5.39</v>
          </cell>
          <cell r="L923">
            <v>6.1870000000000003</v>
          </cell>
          <cell r="M923">
            <v>6.05</v>
          </cell>
          <cell r="O923">
            <v>1.6122000000000001</v>
          </cell>
          <cell r="P923">
            <v>0.95530000000000004</v>
          </cell>
          <cell r="Q923">
            <v>84.381869569768668</v>
          </cell>
          <cell r="U923">
            <v>3.1833</v>
          </cell>
          <cell r="V923">
            <v>121.401</v>
          </cell>
          <cell r="W923" t="str">
            <v>#N/A N/A</v>
          </cell>
        </row>
        <row r="924">
          <cell r="B924">
            <v>73.012</v>
          </cell>
          <cell r="D924">
            <v>1.5653999999999999</v>
          </cell>
          <cell r="E924">
            <v>1027.6300000000001</v>
          </cell>
          <cell r="F924">
            <v>9.5627600000000008</v>
          </cell>
          <cell r="G924" t="e">
            <v>#VALUE!</v>
          </cell>
          <cell r="I924">
            <v>3.8822000000000001</v>
          </cell>
          <cell r="J924">
            <v>6.8545999999999996</v>
          </cell>
          <cell r="K924">
            <v>5.41</v>
          </cell>
          <cell r="L924">
            <v>6.1429999999999998</v>
          </cell>
          <cell r="M924">
            <v>6.0229999999999997</v>
          </cell>
          <cell r="O924">
            <v>1.6168</v>
          </cell>
          <cell r="P924">
            <v>0.95289999999999997</v>
          </cell>
          <cell r="Q924">
            <v>84.835764508342962</v>
          </cell>
          <cell r="U924">
            <v>3.1833</v>
          </cell>
          <cell r="V924">
            <v>127.444</v>
          </cell>
          <cell r="W924" t="str">
            <v>#N/A N/A</v>
          </cell>
        </row>
        <row r="925">
          <cell r="B925">
            <v>72.58</v>
          </cell>
          <cell r="D925">
            <v>1.5729</v>
          </cell>
          <cell r="E925">
            <v>1000</v>
          </cell>
          <cell r="F925">
            <v>9.3361099999999997</v>
          </cell>
          <cell r="G925" t="e">
            <v>#VALUE!</v>
          </cell>
          <cell r="I925">
            <v>3.8111999999999999</v>
          </cell>
          <cell r="J925">
            <v>6.8585000000000003</v>
          </cell>
          <cell r="K925">
            <v>5.41</v>
          </cell>
          <cell r="L925">
            <v>6.07</v>
          </cell>
          <cell r="M925">
            <v>5.9850000000000003</v>
          </cell>
          <cell r="O925">
            <v>1.6215999999999999</v>
          </cell>
          <cell r="P925">
            <v>0.95789999999999997</v>
          </cell>
          <cell r="Q925">
            <v>84.643490969829841</v>
          </cell>
          <cell r="U925">
            <v>3.0813000000000001</v>
          </cell>
          <cell r="V925">
            <v>117.59399999999999</v>
          </cell>
          <cell r="W925" t="str">
            <v>#N/A N/A</v>
          </cell>
        </row>
        <row r="926">
          <cell r="B926">
            <v>72.492999999999995</v>
          </cell>
          <cell r="D926">
            <v>1.5775999999999999</v>
          </cell>
          <cell r="E926">
            <v>998.7</v>
          </cell>
          <cell r="F926">
            <v>9.32742</v>
          </cell>
          <cell r="G926" t="e">
            <v>#VALUE!</v>
          </cell>
          <cell r="I926">
            <v>3.7959000000000001</v>
          </cell>
          <cell r="J926">
            <v>6.8428000000000004</v>
          </cell>
          <cell r="K926">
            <v>5.44</v>
          </cell>
          <cell r="L926">
            <v>6.09</v>
          </cell>
          <cell r="M926">
            <v>6.0129999999999999</v>
          </cell>
          <cell r="O926">
            <v>1.6215000000000002</v>
          </cell>
          <cell r="P926">
            <v>0.9617</v>
          </cell>
          <cell r="Q926">
            <v>84.303836955391503</v>
          </cell>
          <cell r="U926">
            <v>3.0743999999999998</v>
          </cell>
          <cell r="V926">
            <v>120.90300000000001</v>
          </cell>
          <cell r="W926" t="str">
            <v>#N/A N/A</v>
          </cell>
        </row>
        <row r="927">
          <cell r="B927">
            <v>72.096000000000004</v>
          </cell>
          <cell r="D927">
            <v>1.5893999999999999</v>
          </cell>
          <cell r="E927">
            <v>1000.4</v>
          </cell>
          <cell r="F927">
            <v>9.4271399999999996</v>
          </cell>
          <cell r="G927" t="e">
            <v>#VALUE!</v>
          </cell>
          <cell r="I927">
            <v>3.9576000000000002</v>
          </cell>
          <cell r="J927">
            <v>6.8339999999999996</v>
          </cell>
          <cell r="K927">
            <v>5.46</v>
          </cell>
          <cell r="L927">
            <v>6.117</v>
          </cell>
          <cell r="M927">
            <v>6.15</v>
          </cell>
          <cell r="O927">
            <v>1.6165</v>
          </cell>
          <cell r="P927">
            <v>0.96650000000000003</v>
          </cell>
          <cell r="Q927">
            <v>83.62648732540093</v>
          </cell>
          <cell r="U927">
            <v>3.2785000000000002</v>
          </cell>
          <cell r="V927">
            <v>116.563</v>
          </cell>
          <cell r="W927" t="str">
            <v>#N/A N/A</v>
          </cell>
        </row>
        <row r="928">
          <cell r="B928">
            <v>72.096000000000004</v>
          </cell>
          <cell r="D928">
            <v>1.5893999999999999</v>
          </cell>
          <cell r="E928">
            <v>1000.4</v>
          </cell>
          <cell r="F928">
            <v>9.4271399999999996</v>
          </cell>
          <cell r="G928" t="e">
            <v>#VALUE!</v>
          </cell>
          <cell r="I928">
            <v>3.9576000000000002</v>
          </cell>
          <cell r="J928">
            <v>6.8339999999999996</v>
          </cell>
          <cell r="K928">
            <v>5.46</v>
          </cell>
          <cell r="L928">
            <v>6.117</v>
          </cell>
          <cell r="M928">
            <v>6.15</v>
          </cell>
          <cell r="O928">
            <v>1.6165</v>
          </cell>
          <cell r="P928">
            <v>0.96650000000000003</v>
          </cell>
          <cell r="Q928">
            <v>83.62648732540093</v>
          </cell>
          <cell r="U928">
            <v>3.2785000000000002</v>
          </cell>
          <cell r="V928">
            <v>116.563</v>
          </cell>
          <cell r="W928" t="str">
            <v>#N/A N/A</v>
          </cell>
        </row>
        <row r="929">
          <cell r="B929">
            <v>72.096000000000004</v>
          </cell>
          <cell r="D929">
            <v>1.5893999999999999</v>
          </cell>
          <cell r="E929">
            <v>1000.4</v>
          </cell>
          <cell r="F929">
            <v>9.4271399999999996</v>
          </cell>
          <cell r="G929" t="e">
            <v>#VALUE!</v>
          </cell>
          <cell r="I929">
            <v>3.9576000000000002</v>
          </cell>
          <cell r="J929">
            <v>6.8339999999999996</v>
          </cell>
          <cell r="K929">
            <v>5.46</v>
          </cell>
          <cell r="L929">
            <v>6.117</v>
          </cell>
          <cell r="M929">
            <v>6.15</v>
          </cell>
          <cell r="O929">
            <v>1.6165</v>
          </cell>
          <cell r="P929">
            <v>0.96650000000000003</v>
          </cell>
          <cell r="Q929">
            <v>83.62648732540093</v>
          </cell>
          <cell r="U929">
            <v>3.2785000000000002</v>
          </cell>
          <cell r="V929">
            <v>116.563</v>
          </cell>
          <cell r="W929" t="str">
            <v>#N/A N/A</v>
          </cell>
        </row>
        <row r="930">
          <cell r="B930">
            <v>71.915000000000006</v>
          </cell>
          <cell r="D930">
            <v>1.5927</v>
          </cell>
          <cell r="E930">
            <v>1003.9</v>
          </cell>
          <cell r="F930">
            <v>9.4571799999999993</v>
          </cell>
          <cell r="G930" t="e">
            <v>#VALUE!</v>
          </cell>
          <cell r="I930">
            <v>3.8552999999999997</v>
          </cell>
          <cell r="J930">
            <v>6.843</v>
          </cell>
          <cell r="K930">
            <v>5.48</v>
          </cell>
          <cell r="L930">
            <v>6.1070000000000002</v>
          </cell>
          <cell r="M930">
            <v>6.173</v>
          </cell>
          <cell r="O930">
            <v>1.6171</v>
          </cell>
          <cell r="P930">
            <v>0.97199999999999998</v>
          </cell>
          <cell r="Q930">
            <v>83.184156378600832</v>
          </cell>
          <cell r="U930">
            <v>3.169</v>
          </cell>
          <cell r="V930">
            <v>113.42400000000001</v>
          </cell>
          <cell r="W930" t="str">
            <v>#N/A N/A</v>
          </cell>
        </row>
        <row r="931">
          <cell r="B931">
            <v>71.872</v>
          </cell>
          <cell r="D931">
            <v>1.5916000000000001</v>
          </cell>
          <cell r="E931">
            <v>1008.75</v>
          </cell>
          <cell r="F931">
            <v>9.6164900000000006</v>
          </cell>
          <cell r="G931" t="e">
            <v>#VALUE!</v>
          </cell>
          <cell r="I931">
            <v>3.8188</v>
          </cell>
          <cell r="J931">
            <v>6.8211000000000004</v>
          </cell>
          <cell r="K931">
            <v>5.52</v>
          </cell>
          <cell r="L931">
            <v>6.07</v>
          </cell>
          <cell r="M931">
            <v>6.1319999999999997</v>
          </cell>
          <cell r="O931">
            <v>1.6068</v>
          </cell>
          <cell r="P931">
            <v>0.9798</v>
          </cell>
          <cell r="Q931">
            <v>81.996325780771585</v>
          </cell>
          <cell r="U931">
            <v>3.0872000000000002</v>
          </cell>
          <cell r="V931">
            <v>119.396</v>
          </cell>
          <cell r="W931" t="str">
            <v>#N/A N/A</v>
          </cell>
        </row>
        <row r="932">
          <cell r="B932">
            <v>72.063999999999993</v>
          </cell>
          <cell r="D932">
            <v>1.5832999999999999</v>
          </cell>
          <cell r="E932">
            <v>1007.9</v>
          </cell>
          <cell r="F932">
            <v>9.6187799999999992</v>
          </cell>
          <cell r="G932" t="e">
            <v>#VALUE!</v>
          </cell>
          <cell r="I932">
            <v>3.9344000000000001</v>
          </cell>
          <cell r="J932">
            <v>6.8109000000000002</v>
          </cell>
          <cell r="K932">
            <v>5.54</v>
          </cell>
          <cell r="L932">
            <v>6.02</v>
          </cell>
          <cell r="M932">
            <v>6.1079999999999997</v>
          </cell>
          <cell r="O932">
            <v>1.6091</v>
          </cell>
          <cell r="P932">
            <v>0.97430000000000005</v>
          </cell>
          <cell r="Q932">
            <v>82.577234937904137</v>
          </cell>
          <cell r="U932">
            <v>3.1892999999999998</v>
          </cell>
          <cell r="V932">
            <v>118.90600000000001</v>
          </cell>
          <cell r="W932" t="str">
            <v>#N/A N/A</v>
          </cell>
        </row>
        <row r="933">
          <cell r="B933">
            <v>72.242000000000004</v>
          </cell>
          <cell r="D933">
            <v>1.5862000000000001</v>
          </cell>
          <cell r="E933">
            <v>1010.5</v>
          </cell>
          <cell r="F933">
            <v>9.5446799999999996</v>
          </cell>
          <cell r="G933" t="e">
            <v>#VALUE!</v>
          </cell>
          <cell r="I933">
            <v>3.9906999999999999</v>
          </cell>
          <cell r="J933">
            <v>6.8209</v>
          </cell>
          <cell r="K933">
            <v>5.55</v>
          </cell>
          <cell r="L933">
            <v>5.9370000000000003</v>
          </cell>
          <cell r="M933">
            <v>5.992</v>
          </cell>
          <cell r="O933">
            <v>1.6173</v>
          </cell>
          <cell r="P933">
            <v>0.9738</v>
          </cell>
          <cell r="Q933">
            <v>83.040665434380784</v>
          </cell>
          <cell r="U933">
            <v>3.2679999999999998</v>
          </cell>
          <cell r="V933">
            <v>117.081</v>
          </cell>
          <cell r="W933" t="str">
            <v>#N/A N/A</v>
          </cell>
        </row>
        <row r="934">
          <cell r="B934">
            <v>72.188999999999993</v>
          </cell>
          <cell r="D934">
            <v>1.5849</v>
          </cell>
          <cell r="E934">
            <v>1013.5</v>
          </cell>
          <cell r="F934">
            <v>9.4934600000000007</v>
          </cell>
          <cell r="G934" t="e">
            <v>#VALUE!</v>
          </cell>
          <cell r="I934">
            <v>4.0827999999999998</v>
          </cell>
          <cell r="J934">
            <v>6.8167999999999997</v>
          </cell>
          <cell r="K934">
            <v>5.57</v>
          </cell>
          <cell r="L934">
            <v>5.9569999999999999</v>
          </cell>
          <cell r="M934">
            <v>5.97</v>
          </cell>
          <cell r="O934">
            <v>1.6188</v>
          </cell>
          <cell r="P934">
            <v>0.97219999999999995</v>
          </cell>
          <cell r="Q934">
            <v>83.254474387986008</v>
          </cell>
          <cell r="U934">
            <v>3.4093</v>
          </cell>
          <cell r="V934">
            <v>114.87</v>
          </cell>
          <cell r="W934" t="str">
            <v>#N/A N/A</v>
          </cell>
        </row>
        <row r="935">
          <cell r="B935">
            <v>72.188999999999993</v>
          </cell>
          <cell r="D935">
            <v>1.5849</v>
          </cell>
          <cell r="E935">
            <v>1013.5</v>
          </cell>
          <cell r="F935">
            <v>9.4934600000000007</v>
          </cell>
          <cell r="G935" t="e">
            <v>#VALUE!</v>
          </cell>
          <cell r="I935">
            <v>4.0827999999999998</v>
          </cell>
          <cell r="J935">
            <v>6.8167999999999997</v>
          </cell>
          <cell r="K935">
            <v>5.57</v>
          </cell>
          <cell r="L935">
            <v>5.9569999999999999</v>
          </cell>
          <cell r="M935">
            <v>5.97</v>
          </cell>
          <cell r="O935">
            <v>1.6188</v>
          </cell>
          <cell r="P935">
            <v>0.97219999999999995</v>
          </cell>
          <cell r="Q935">
            <v>83.254474387986008</v>
          </cell>
          <cell r="U935">
            <v>3.4093</v>
          </cell>
          <cell r="V935">
            <v>114.87</v>
          </cell>
          <cell r="W935" t="str">
            <v>#N/A N/A</v>
          </cell>
        </row>
        <row r="936">
          <cell r="B936">
            <v>72.188999999999993</v>
          </cell>
          <cell r="D936">
            <v>1.5849</v>
          </cell>
          <cell r="E936">
            <v>1013.5</v>
          </cell>
          <cell r="F936">
            <v>9.4934600000000007</v>
          </cell>
          <cell r="G936" t="e">
            <v>#VALUE!</v>
          </cell>
          <cell r="I936">
            <v>4.0827999999999998</v>
          </cell>
          <cell r="J936">
            <v>6.8167999999999997</v>
          </cell>
          <cell r="K936">
            <v>5.57</v>
          </cell>
          <cell r="L936">
            <v>5.9569999999999999</v>
          </cell>
          <cell r="M936">
            <v>5.97</v>
          </cell>
          <cell r="O936">
            <v>1.6188</v>
          </cell>
          <cell r="P936">
            <v>0.97219999999999995</v>
          </cell>
          <cell r="Q936">
            <v>83.254474387986008</v>
          </cell>
          <cell r="U936">
            <v>3.4093</v>
          </cell>
          <cell r="V936">
            <v>114.87</v>
          </cell>
          <cell r="W936" t="str">
            <v>#N/A N/A</v>
          </cell>
        </row>
        <row r="937">
          <cell r="B937">
            <v>71.989999999999995</v>
          </cell>
          <cell r="D937">
            <v>1.5876000000000001</v>
          </cell>
          <cell r="E937">
            <v>1017.5</v>
          </cell>
          <cell r="F937">
            <v>9.5240799999999997</v>
          </cell>
          <cell r="G937" t="e">
            <v>#VALUE!</v>
          </cell>
          <cell r="I937">
            <v>4.0415999999999999</v>
          </cell>
          <cell r="J937">
            <v>6.8300999999999998</v>
          </cell>
          <cell r="K937">
            <v>5.58</v>
          </cell>
          <cell r="L937">
            <v>6.0730000000000004</v>
          </cell>
          <cell r="M937">
            <v>6.0629999999999997</v>
          </cell>
          <cell r="O937">
            <v>1.6215000000000002</v>
          </cell>
          <cell r="P937">
            <v>0.97470000000000001</v>
          </cell>
          <cell r="Q937">
            <v>83.179439827639285</v>
          </cell>
          <cell r="U937">
            <v>3.3643000000000001</v>
          </cell>
          <cell r="V937">
            <v>108.066</v>
          </cell>
          <cell r="W937" t="str">
            <v>#N/A N/A</v>
          </cell>
        </row>
        <row r="938">
          <cell r="B938">
            <v>72.445999999999998</v>
          </cell>
          <cell r="D938">
            <v>1.5782</v>
          </cell>
          <cell r="E938">
            <v>1014.9</v>
          </cell>
          <cell r="F938">
            <v>9.46007</v>
          </cell>
          <cell r="G938" t="e">
            <v>#VALUE!</v>
          </cell>
          <cell r="I938">
            <v>4.0987</v>
          </cell>
          <cell r="J938">
            <v>6.8216999999999999</v>
          </cell>
          <cell r="K938">
            <v>5.59</v>
          </cell>
          <cell r="L938">
            <v>5.9279999999999999</v>
          </cell>
          <cell r="M938">
            <v>5.8949999999999996</v>
          </cell>
          <cell r="O938">
            <v>1.6276000000000002</v>
          </cell>
          <cell r="P938">
            <v>0.96970000000000001</v>
          </cell>
          <cell r="Q938">
            <v>83.922862741053933</v>
          </cell>
          <cell r="U938">
            <v>3.4683999999999999</v>
          </cell>
          <cell r="V938">
            <v>108.604</v>
          </cell>
          <cell r="W938" t="str">
            <v>#N/A N/A</v>
          </cell>
        </row>
        <row r="939">
          <cell r="B939">
            <v>72.811000000000007</v>
          </cell>
          <cell r="D939">
            <v>1.5706</v>
          </cell>
          <cell r="E939">
            <v>1009.75</v>
          </cell>
          <cell r="F939">
            <v>9.3753200000000003</v>
          </cell>
          <cell r="G939" t="e">
            <v>#VALUE!</v>
          </cell>
          <cell r="I939">
            <v>4.1165000000000003</v>
          </cell>
          <cell r="J939">
            <v>6.8295000000000003</v>
          </cell>
          <cell r="K939">
            <v>5.59</v>
          </cell>
          <cell r="L939">
            <v>5.92</v>
          </cell>
          <cell r="M939">
            <v>5.843</v>
          </cell>
          <cell r="O939">
            <v>1.6289</v>
          </cell>
          <cell r="P939">
            <v>0.96240000000000003</v>
          </cell>
          <cell r="Q939">
            <v>84.626974231088951</v>
          </cell>
          <cell r="U939">
            <v>3.4927999999999999</v>
          </cell>
          <cell r="V939">
            <v>99.257999999999996</v>
          </cell>
          <cell r="W939" t="str">
            <v>#N/A N/A</v>
          </cell>
        </row>
        <row r="940">
          <cell r="B940">
            <v>72.933000000000007</v>
          </cell>
          <cell r="D940">
            <v>1.5648</v>
          </cell>
          <cell r="E940">
            <v>1007.15</v>
          </cell>
          <cell r="F940">
            <v>9.3597000000000001</v>
          </cell>
          <cell r="G940" t="e">
            <v>#VALUE!</v>
          </cell>
          <cell r="I940">
            <v>3.9967999999999999</v>
          </cell>
          <cell r="J940">
            <v>6.8289</v>
          </cell>
          <cell r="K940">
            <v>5.63</v>
          </cell>
          <cell r="L940">
            <v>5.8949999999999996</v>
          </cell>
          <cell r="M940">
            <v>5.81</v>
          </cell>
          <cell r="O940">
            <v>1.6257000000000001</v>
          </cell>
          <cell r="P940">
            <v>0.95409999999999995</v>
          </cell>
          <cell r="Q940">
            <v>85.19547217272823</v>
          </cell>
          <cell r="U940">
            <v>3.3193000000000001</v>
          </cell>
          <cell r="V940">
            <v>90.757000000000005</v>
          </cell>
          <cell r="W940" t="str">
            <v>#N/A N/A</v>
          </cell>
        </row>
        <row r="941">
          <cell r="B941">
            <v>72.86</v>
          </cell>
          <cell r="D941">
            <v>1.5703</v>
          </cell>
          <cell r="E941">
            <v>1010.5</v>
          </cell>
          <cell r="F941">
            <v>9.3651499999999999</v>
          </cell>
          <cell r="G941" t="e">
            <v>#VALUE!</v>
          </cell>
          <cell r="I941">
            <v>4.0968999999999998</v>
          </cell>
          <cell r="J941">
            <v>6.8185000000000002</v>
          </cell>
          <cell r="K941">
            <v>5.63</v>
          </cell>
          <cell r="L941">
            <v>5.88</v>
          </cell>
          <cell r="M941">
            <v>5.7729999999999997</v>
          </cell>
          <cell r="O941">
            <v>1.6293</v>
          </cell>
          <cell r="P941">
            <v>0.95720000000000005</v>
          </cell>
          <cell r="Q941">
            <v>85.107605516088583</v>
          </cell>
          <cell r="U941">
            <v>3.4367000000000001</v>
          </cell>
          <cell r="V941">
            <v>91.896000000000001</v>
          </cell>
          <cell r="W941" t="str">
            <v>#N/A N/A</v>
          </cell>
        </row>
        <row r="942">
          <cell r="B942">
            <v>72.86</v>
          </cell>
          <cell r="D942">
            <v>1.5703</v>
          </cell>
          <cell r="E942">
            <v>1010.5</v>
          </cell>
          <cell r="F942">
            <v>9.3651499999999999</v>
          </cell>
          <cell r="G942" t="e">
            <v>#VALUE!</v>
          </cell>
          <cell r="I942">
            <v>4.0968999999999998</v>
          </cell>
          <cell r="J942">
            <v>6.8185000000000002</v>
          </cell>
          <cell r="K942">
            <v>5.63</v>
          </cell>
          <cell r="L942">
            <v>5.88</v>
          </cell>
          <cell r="M942">
            <v>5.7729999999999997</v>
          </cell>
          <cell r="O942">
            <v>1.6293</v>
          </cell>
          <cell r="P942">
            <v>0.95720000000000005</v>
          </cell>
          <cell r="Q942">
            <v>85.107605516088583</v>
          </cell>
          <cell r="U942">
            <v>3.4367000000000001</v>
          </cell>
          <cell r="V942">
            <v>91.896000000000001</v>
          </cell>
          <cell r="W942" t="str">
            <v>#N/A N/A</v>
          </cell>
        </row>
        <row r="943">
          <cell r="B943">
            <v>72.86</v>
          </cell>
          <cell r="D943">
            <v>1.5703</v>
          </cell>
          <cell r="E943">
            <v>1010.5</v>
          </cell>
          <cell r="F943">
            <v>9.3651499999999999</v>
          </cell>
          <cell r="G943" t="e">
            <v>#VALUE!</v>
          </cell>
          <cell r="I943">
            <v>4.0968999999999998</v>
          </cell>
          <cell r="J943">
            <v>6.8185000000000002</v>
          </cell>
          <cell r="K943">
            <v>5.63</v>
          </cell>
          <cell r="L943">
            <v>5.88</v>
          </cell>
          <cell r="M943">
            <v>5.7729999999999997</v>
          </cell>
          <cell r="O943">
            <v>1.6293</v>
          </cell>
          <cell r="P943">
            <v>0.95720000000000005</v>
          </cell>
          <cell r="Q943">
            <v>85.107605516088583</v>
          </cell>
          <cell r="U943">
            <v>3.4367000000000001</v>
          </cell>
          <cell r="V943">
            <v>91.896000000000001</v>
          </cell>
          <cell r="W943" t="str">
            <v>#N/A N/A</v>
          </cell>
        </row>
        <row r="944">
          <cell r="B944">
            <v>72.649000000000001</v>
          </cell>
          <cell r="D944">
            <v>1.5754999999999999</v>
          </cell>
          <cell r="E944">
            <v>1006</v>
          </cell>
          <cell r="F944">
            <v>9.3672900000000006</v>
          </cell>
          <cell r="G944" t="e">
            <v>#VALUE!</v>
          </cell>
          <cell r="I944">
            <v>4.0007999999999999</v>
          </cell>
          <cell r="J944">
            <v>6.8372999999999999</v>
          </cell>
          <cell r="K944">
            <v>5.65</v>
          </cell>
          <cell r="L944">
            <v>5.9619999999999997</v>
          </cell>
          <cell r="M944">
            <v>5.85</v>
          </cell>
          <cell r="O944">
            <v>1.6272</v>
          </cell>
          <cell r="P944">
            <v>0.95750000000000002</v>
          </cell>
          <cell r="Q944">
            <v>84.971279373368148</v>
          </cell>
          <cell r="U944">
            <v>3.3134999999999999</v>
          </cell>
          <cell r="V944">
            <v>90.099000000000004</v>
          </cell>
          <cell r="W944" t="str">
            <v>#N/A N/A</v>
          </cell>
        </row>
        <row r="945">
          <cell r="B945">
            <v>73.308999999999997</v>
          </cell>
          <cell r="D945">
            <v>1.5583</v>
          </cell>
          <cell r="E945">
            <v>1010.15</v>
          </cell>
          <cell r="F945">
            <v>9.3237100000000002</v>
          </cell>
          <cell r="G945" t="e">
            <v>#VALUE!</v>
          </cell>
          <cell r="I945">
            <v>4.0380000000000003</v>
          </cell>
          <cell r="J945">
            <v>6.8257000000000003</v>
          </cell>
          <cell r="K945">
            <v>5.66</v>
          </cell>
          <cell r="L945">
            <v>5.93</v>
          </cell>
          <cell r="M945">
            <v>5.81</v>
          </cell>
          <cell r="O945">
            <v>1.6303999999999998</v>
          </cell>
          <cell r="P945">
            <v>0.95109999999999995</v>
          </cell>
          <cell r="Q945">
            <v>85.711281673851332</v>
          </cell>
          <cell r="U945">
            <v>3.3681999999999999</v>
          </cell>
          <cell r="V945">
            <v>90.066000000000003</v>
          </cell>
          <cell r="W945" t="str">
            <v>#N/A N/A</v>
          </cell>
        </row>
        <row r="946">
          <cell r="B946">
            <v>73.322000000000003</v>
          </cell>
          <cell r="D946">
            <v>1.5575999999999999</v>
          </cell>
          <cell r="E946">
            <v>1013.5</v>
          </cell>
          <cell r="F946">
            <v>9.3716799999999996</v>
          </cell>
          <cell r="G946" t="e">
            <v>#VALUE!</v>
          </cell>
          <cell r="I946">
            <v>4.0438999999999998</v>
          </cell>
          <cell r="J946">
            <v>6.8265000000000002</v>
          </cell>
          <cell r="K946">
            <v>5.67</v>
          </cell>
          <cell r="L946">
            <v>5.8849999999999998</v>
          </cell>
          <cell r="M946">
            <v>5.7670000000000003</v>
          </cell>
          <cell r="O946">
            <v>1.6318999999999999</v>
          </cell>
          <cell r="P946">
            <v>0.94279999999999997</v>
          </cell>
          <cell r="Q946">
            <v>86.545396690708515</v>
          </cell>
          <cell r="U946">
            <v>3.3647</v>
          </cell>
          <cell r="V946">
            <v>86.400999999999996</v>
          </cell>
          <cell r="W946" t="str">
            <v>#N/A N/A</v>
          </cell>
        </row>
        <row r="947">
          <cell r="B947">
            <v>73.227000000000004</v>
          </cell>
          <cell r="D947">
            <v>1.5590999999999999</v>
          </cell>
          <cell r="E947">
            <v>1011.9</v>
          </cell>
          <cell r="F947">
            <v>9.37486</v>
          </cell>
          <cell r="G947" t="e">
            <v>#VALUE!</v>
          </cell>
          <cell r="I947">
            <v>3.9462000000000002</v>
          </cell>
          <cell r="J947">
            <v>6.8312999999999997</v>
          </cell>
          <cell r="K947">
            <v>5.68</v>
          </cell>
          <cell r="L947">
            <v>5.92</v>
          </cell>
          <cell r="M947">
            <v>5.8029999999999999</v>
          </cell>
          <cell r="O947">
            <v>1.6341000000000001</v>
          </cell>
          <cell r="P947">
            <v>0.9415</v>
          </cell>
          <cell r="Q947">
            <v>86.78173127987256</v>
          </cell>
          <cell r="U947">
            <v>3.2351000000000001</v>
          </cell>
          <cell r="V947">
            <v>86.694999999999993</v>
          </cell>
          <cell r="W947" t="str">
            <v>#N/A N/A</v>
          </cell>
        </row>
        <row r="948">
          <cell r="B948">
            <v>73.424000000000007</v>
          </cell>
          <cell r="D948">
            <v>1.5563</v>
          </cell>
          <cell r="E948">
            <v>1015</v>
          </cell>
          <cell r="F948">
            <v>9.4336099999999998</v>
          </cell>
          <cell r="G948" t="e">
            <v>#VALUE!</v>
          </cell>
          <cell r="I948">
            <v>3.9306999999999999</v>
          </cell>
          <cell r="J948">
            <v>6.8423999999999996</v>
          </cell>
          <cell r="K948">
            <v>5.69</v>
          </cell>
          <cell r="L948">
            <v>5.8449999999999998</v>
          </cell>
          <cell r="M948">
            <v>5.7169999999999996</v>
          </cell>
          <cell r="O948">
            <v>1.6320999999999999</v>
          </cell>
          <cell r="P948">
            <v>0.93069999999999997</v>
          </cell>
          <cell r="Q948">
            <v>87.681315139142583</v>
          </cell>
          <cell r="U948">
            <v>3.2076000000000002</v>
          </cell>
          <cell r="V948">
            <v>91.061000000000007</v>
          </cell>
          <cell r="W948" t="str">
            <v>#N/A N/A</v>
          </cell>
        </row>
        <row r="949">
          <cell r="B949">
            <v>73.424000000000007</v>
          </cell>
          <cell r="D949">
            <v>1.5563</v>
          </cell>
          <cell r="E949">
            <v>1015</v>
          </cell>
          <cell r="F949">
            <v>9.4336099999999998</v>
          </cell>
          <cell r="G949" t="e">
            <v>#VALUE!</v>
          </cell>
          <cell r="I949">
            <v>3.9306999999999999</v>
          </cell>
          <cell r="J949">
            <v>6.8423999999999996</v>
          </cell>
          <cell r="K949">
            <v>5.69</v>
          </cell>
          <cell r="L949">
            <v>5.8449999999999998</v>
          </cell>
          <cell r="M949">
            <v>5.7169999999999996</v>
          </cell>
          <cell r="O949">
            <v>1.6320999999999999</v>
          </cell>
          <cell r="P949">
            <v>0.93069999999999997</v>
          </cell>
          <cell r="Q949">
            <v>87.681315139142583</v>
          </cell>
          <cell r="U949">
            <v>3.2076000000000002</v>
          </cell>
          <cell r="V949">
            <v>91.061000000000007</v>
          </cell>
          <cell r="W949" t="str">
            <v>#N/A N/A</v>
          </cell>
        </row>
        <row r="950">
          <cell r="B950">
            <v>73.424000000000007</v>
          </cell>
          <cell r="D950">
            <v>1.5563</v>
          </cell>
          <cell r="E950">
            <v>1015</v>
          </cell>
          <cell r="F950">
            <v>9.4336099999999998</v>
          </cell>
          <cell r="G950" t="e">
            <v>#VALUE!</v>
          </cell>
          <cell r="I950">
            <v>3.9306999999999999</v>
          </cell>
          <cell r="J950">
            <v>6.8423999999999996</v>
          </cell>
          <cell r="K950">
            <v>5.69</v>
          </cell>
          <cell r="L950">
            <v>5.8449999999999998</v>
          </cell>
          <cell r="M950">
            <v>5.7169999999999996</v>
          </cell>
          <cell r="O950">
            <v>1.6320999999999999</v>
          </cell>
          <cell r="P950">
            <v>0.93069999999999997</v>
          </cell>
          <cell r="Q950">
            <v>87.681315139142583</v>
          </cell>
          <cell r="U950">
            <v>3.2076000000000002</v>
          </cell>
          <cell r="V950">
            <v>91.061000000000007</v>
          </cell>
          <cell r="W950" t="str">
            <v>#N/A N/A</v>
          </cell>
        </row>
        <row r="951">
          <cell r="B951">
            <v>73.462000000000003</v>
          </cell>
          <cell r="D951">
            <v>1.5582</v>
          </cell>
          <cell r="E951">
            <v>1017.3</v>
          </cell>
          <cell r="F951">
            <v>9.4045000000000005</v>
          </cell>
          <cell r="G951" t="e">
            <v>#VALUE!</v>
          </cell>
          <cell r="I951">
            <v>3.9619</v>
          </cell>
          <cell r="J951">
            <v>6.8517000000000001</v>
          </cell>
          <cell r="K951">
            <v>5.71</v>
          </cell>
          <cell r="L951">
            <v>5.9119999999999999</v>
          </cell>
          <cell r="M951">
            <v>5.8019999999999996</v>
          </cell>
          <cell r="O951">
            <v>1.633</v>
          </cell>
          <cell r="P951">
            <v>0.93130000000000002</v>
          </cell>
          <cell r="Q951">
            <v>87.67314506603671</v>
          </cell>
          <cell r="U951">
            <v>3.2450000000000001</v>
          </cell>
          <cell r="V951">
            <v>96.863</v>
          </cell>
          <cell r="W951" t="str">
            <v>#N/A N/A</v>
          </cell>
        </row>
        <row r="952">
          <cell r="B952">
            <v>73.881</v>
          </cell>
          <cell r="D952">
            <v>1.5467</v>
          </cell>
          <cell r="E952">
            <v>1018.13</v>
          </cell>
          <cell r="F952">
            <v>9.4048800000000004</v>
          </cell>
          <cell r="G952" t="e">
            <v>#VALUE!</v>
          </cell>
          <cell r="I952">
            <v>4.0167000000000002</v>
          </cell>
          <cell r="J952">
            <v>6.8555000000000001</v>
          </cell>
          <cell r="K952">
            <v>5.72</v>
          </cell>
          <cell r="L952">
            <v>5.86</v>
          </cell>
          <cell r="M952">
            <v>5.7629999999999999</v>
          </cell>
          <cell r="O952">
            <v>1.6306</v>
          </cell>
          <cell r="P952">
            <v>0.91490000000000005</v>
          </cell>
          <cell r="Q952">
            <v>89.113564323969825</v>
          </cell>
          <cell r="U952">
            <v>3.2858999999999998</v>
          </cell>
          <cell r="V952">
            <v>96.108999999999995</v>
          </cell>
          <cell r="W952" t="str">
            <v>#N/A N/A</v>
          </cell>
        </row>
        <row r="953">
          <cell r="B953">
            <v>74.244</v>
          </cell>
          <cell r="D953">
            <v>1.5430000000000001</v>
          </cell>
          <cell r="E953">
            <v>1015.85</v>
          </cell>
          <cell r="F953">
            <v>9.2822600000000008</v>
          </cell>
          <cell r="G953" t="e">
            <v>#VALUE!</v>
          </cell>
          <cell r="I953">
            <v>4.0500999999999996</v>
          </cell>
          <cell r="J953">
            <v>6.8483999999999998</v>
          </cell>
          <cell r="K953">
            <v>5.72</v>
          </cell>
          <cell r="L953">
            <v>5.79</v>
          </cell>
          <cell r="M953">
            <v>5.7030000000000003</v>
          </cell>
          <cell r="O953">
            <v>1.6341999999999999</v>
          </cell>
          <cell r="P953">
            <v>0.91010000000000002</v>
          </cell>
          <cell r="Q953">
            <v>89.781342709592352</v>
          </cell>
          <cell r="U953">
            <v>3.32</v>
          </cell>
          <cell r="V953">
            <v>95.944000000000003</v>
          </cell>
          <cell r="W953" t="str">
            <v>#N/A N/A</v>
          </cell>
        </row>
        <row r="954">
          <cell r="B954">
            <v>74.546999999999997</v>
          </cell>
          <cell r="D954">
            <v>1.5323</v>
          </cell>
          <cell r="E954">
            <v>1018</v>
          </cell>
          <cell r="F954">
            <v>9.2891700000000004</v>
          </cell>
          <cell r="G954" t="e">
            <v>#VALUE!</v>
          </cell>
          <cell r="I954">
            <v>3.92</v>
          </cell>
          <cell r="J954">
            <v>6.8632</v>
          </cell>
          <cell r="K954">
            <v>5.74</v>
          </cell>
          <cell r="L954">
            <v>5.74</v>
          </cell>
          <cell r="M954">
            <v>5.6580000000000004</v>
          </cell>
          <cell r="O954">
            <v>1.6289</v>
          </cell>
          <cell r="P954">
            <v>0.90690000000000004</v>
          </cell>
          <cell r="Q954">
            <v>89.805932296835365</v>
          </cell>
          <cell r="U954">
            <v>3.1459999999999999</v>
          </cell>
          <cell r="V954">
            <v>100.995</v>
          </cell>
          <cell r="W954" t="str">
            <v>#N/A N/A</v>
          </cell>
        </row>
        <row r="955">
          <cell r="B955">
            <v>75.844999999999999</v>
          </cell>
          <cell r="D955">
            <v>1.5044999999999999</v>
          </cell>
          <cell r="E955">
            <v>1028.05</v>
          </cell>
          <cell r="F955">
            <v>9.3285300000000007</v>
          </cell>
          <cell r="G955" t="e">
            <v>#VALUE!</v>
          </cell>
          <cell r="I955">
            <v>3.9276</v>
          </cell>
          <cell r="J955">
            <v>6.8573000000000004</v>
          </cell>
          <cell r="K955">
            <v>5.75</v>
          </cell>
          <cell r="L955">
            <v>5.7620000000000005</v>
          </cell>
          <cell r="M955">
            <v>5.7</v>
          </cell>
          <cell r="O955">
            <v>1.6238999999999999</v>
          </cell>
          <cell r="P955">
            <v>0.88959999999999995</v>
          </cell>
          <cell r="Q955">
            <v>91.271357913669064</v>
          </cell>
          <cell r="U955">
            <v>3.1966999999999999</v>
          </cell>
          <cell r="V955">
            <v>103.066</v>
          </cell>
          <cell r="W955" t="str">
            <v>#N/A N/A</v>
          </cell>
        </row>
        <row r="956">
          <cell r="B956">
            <v>75.844999999999999</v>
          </cell>
          <cell r="D956">
            <v>1.5044999999999999</v>
          </cell>
          <cell r="E956">
            <v>1028.05</v>
          </cell>
          <cell r="F956">
            <v>9.3285300000000007</v>
          </cell>
          <cell r="G956" t="e">
            <v>#VALUE!</v>
          </cell>
          <cell r="I956">
            <v>3.9276</v>
          </cell>
          <cell r="J956">
            <v>6.8573000000000004</v>
          </cell>
          <cell r="K956">
            <v>5.75</v>
          </cell>
          <cell r="L956">
            <v>5.7620000000000005</v>
          </cell>
          <cell r="M956">
            <v>5.7</v>
          </cell>
          <cell r="O956">
            <v>1.6238999999999999</v>
          </cell>
          <cell r="P956">
            <v>0.88959999999999995</v>
          </cell>
          <cell r="Q956">
            <v>91.271357913669064</v>
          </cell>
          <cell r="U956">
            <v>3.1966999999999999</v>
          </cell>
          <cell r="V956">
            <v>103.066</v>
          </cell>
          <cell r="W956" t="str">
            <v>#N/A N/A</v>
          </cell>
        </row>
        <row r="957">
          <cell r="B957">
            <v>75.844999999999999</v>
          </cell>
          <cell r="D957">
            <v>1.5044999999999999</v>
          </cell>
          <cell r="E957">
            <v>1028.05</v>
          </cell>
          <cell r="F957">
            <v>9.3285300000000007</v>
          </cell>
          <cell r="G957" t="e">
            <v>#VALUE!</v>
          </cell>
          <cell r="I957">
            <v>3.9276</v>
          </cell>
          <cell r="J957">
            <v>6.8573000000000004</v>
          </cell>
          <cell r="K957">
            <v>5.75</v>
          </cell>
          <cell r="L957">
            <v>5.7620000000000005</v>
          </cell>
          <cell r="M957">
            <v>5.7</v>
          </cell>
          <cell r="O957">
            <v>1.6238999999999999</v>
          </cell>
          <cell r="P957">
            <v>0.88959999999999995</v>
          </cell>
          <cell r="Q957">
            <v>91.271357913669064</v>
          </cell>
          <cell r="U957">
            <v>3.1966999999999999</v>
          </cell>
          <cell r="V957">
            <v>103.066</v>
          </cell>
          <cell r="W957" t="str">
            <v>#N/A N/A</v>
          </cell>
        </row>
        <row r="958">
          <cell r="B958">
            <v>76.125</v>
          </cell>
          <cell r="D958">
            <v>1.494</v>
          </cell>
          <cell r="E958">
            <v>1031.8</v>
          </cell>
          <cell r="F958">
            <v>9.3610600000000002</v>
          </cell>
          <cell r="G958" t="e">
            <v>#VALUE!</v>
          </cell>
          <cell r="I958">
            <v>3.9904000000000002</v>
          </cell>
          <cell r="J958">
            <v>6.8577000000000004</v>
          </cell>
          <cell r="K958">
            <v>5.76</v>
          </cell>
          <cell r="L958">
            <v>5.78</v>
          </cell>
          <cell r="M958">
            <v>5.72</v>
          </cell>
          <cell r="O958">
            <v>1.6193</v>
          </cell>
          <cell r="P958">
            <v>0.88549999999999995</v>
          </cell>
          <cell r="Q958">
            <v>91.434217955957081</v>
          </cell>
          <cell r="U958">
            <v>3.2580999999999998</v>
          </cell>
          <cell r="V958">
            <v>102.604</v>
          </cell>
          <cell r="W958" t="str">
            <v>#N/A N/A</v>
          </cell>
        </row>
        <row r="959">
          <cell r="B959">
            <v>76.152000000000001</v>
          </cell>
          <cell r="D959">
            <v>1.4889000000000001</v>
          </cell>
          <cell r="E959">
            <v>1034.7</v>
          </cell>
          <cell r="F959">
            <v>9.4262899999999998</v>
          </cell>
          <cell r="G959" t="e">
            <v>#VALUE!</v>
          </cell>
          <cell r="I959">
            <v>3.8954</v>
          </cell>
          <cell r="J959">
            <v>6.8632</v>
          </cell>
          <cell r="K959">
            <v>5.77</v>
          </cell>
          <cell r="L959">
            <v>5.8230000000000004</v>
          </cell>
          <cell r="M959">
            <v>5.7629999999999999</v>
          </cell>
          <cell r="O959">
            <v>1.6223999999999998</v>
          </cell>
          <cell r="P959">
            <v>0.87509999999999999</v>
          </cell>
          <cell r="Q959">
            <v>92.6979773740144</v>
          </cell>
          <cell r="U959">
            <v>3.1385999999999998</v>
          </cell>
          <cell r="V959">
            <v>100.533</v>
          </cell>
          <cell r="W959" t="str">
            <v>#N/A N/A</v>
          </cell>
        </row>
        <row r="960">
          <cell r="B960">
            <v>76.207999999999998</v>
          </cell>
          <cell r="D960">
            <v>1.4919</v>
          </cell>
          <cell r="E960">
            <v>1039.25</v>
          </cell>
          <cell r="F960">
            <v>9.5377700000000001</v>
          </cell>
          <cell r="G960" t="e">
            <v>#VALUE!</v>
          </cell>
          <cell r="I960">
            <v>3.9314</v>
          </cell>
          <cell r="J960">
            <v>6.8570000000000002</v>
          </cell>
          <cell r="K960">
            <v>5.78</v>
          </cell>
          <cell r="L960">
            <v>5.835</v>
          </cell>
          <cell r="M960">
            <v>5.7640000000000002</v>
          </cell>
          <cell r="O960">
            <v>1.6177999999999999</v>
          </cell>
          <cell r="P960">
            <v>0.87190000000000001</v>
          </cell>
          <cell r="Q960">
            <v>92.774400734029129</v>
          </cell>
          <cell r="U960">
            <v>3.1964000000000001</v>
          </cell>
          <cell r="V960">
            <v>101.66500000000001</v>
          </cell>
          <cell r="W960" t="str">
            <v>#N/A N/A</v>
          </cell>
        </row>
        <row r="961">
          <cell r="B961">
            <v>76.668999999999997</v>
          </cell>
          <cell r="D961">
            <v>1.4802999999999999</v>
          </cell>
          <cell r="E961">
            <v>1039.7</v>
          </cell>
          <cell r="F961">
            <v>9.4618599999999997</v>
          </cell>
          <cell r="G961" t="e">
            <v>#VALUE!</v>
          </cell>
          <cell r="I961">
            <v>3.8860000000000001</v>
          </cell>
          <cell r="J961">
            <v>6.8615000000000004</v>
          </cell>
          <cell r="K961">
            <v>5.79</v>
          </cell>
          <cell r="L961">
            <v>5.9669999999999996</v>
          </cell>
          <cell r="M961">
            <v>5.8469999999999995</v>
          </cell>
          <cell r="O961">
            <v>1.6225000000000001</v>
          </cell>
          <cell r="P961">
            <v>0.86990000000000001</v>
          </cell>
          <cell r="Q961">
            <v>93.257845729394191</v>
          </cell>
          <cell r="U961">
            <v>3.1486000000000001</v>
          </cell>
          <cell r="V961">
            <v>101.396</v>
          </cell>
          <cell r="W961" t="str">
            <v>#N/A N/A</v>
          </cell>
        </row>
        <row r="962">
          <cell r="B962">
            <v>77.180000000000007</v>
          </cell>
          <cell r="D962">
            <v>1.4679</v>
          </cell>
          <cell r="E962">
            <v>1039.7</v>
          </cell>
          <cell r="F962">
            <v>9.4192</v>
          </cell>
          <cell r="G962" t="e">
            <v>#VALUE!</v>
          </cell>
          <cell r="I962">
            <v>3.8349000000000002</v>
          </cell>
          <cell r="J962">
            <v>6.87</v>
          </cell>
          <cell r="K962">
            <v>5.79</v>
          </cell>
          <cell r="L962">
            <v>5.9669999999999996</v>
          </cell>
          <cell r="M962">
            <v>5.8469999999999995</v>
          </cell>
          <cell r="O962">
            <v>1.6103000000000001</v>
          </cell>
          <cell r="P962">
            <v>0.86750000000000005</v>
          </cell>
          <cell r="Q962">
            <v>92.812680115273764</v>
          </cell>
          <cell r="U962">
            <v>3.0971000000000002</v>
          </cell>
          <cell r="V962">
            <v>100.33499999999999</v>
          </cell>
          <cell r="W962" t="str">
            <v>#N/A N/A</v>
          </cell>
        </row>
        <row r="963">
          <cell r="B963">
            <v>77.180000000000007</v>
          </cell>
          <cell r="D963">
            <v>1.4679</v>
          </cell>
          <cell r="E963">
            <v>1039.7</v>
          </cell>
          <cell r="F963">
            <v>9.4192</v>
          </cell>
          <cell r="G963" t="e">
            <v>#VALUE!</v>
          </cell>
          <cell r="I963">
            <v>3.8349000000000002</v>
          </cell>
          <cell r="J963">
            <v>6.87</v>
          </cell>
          <cell r="K963">
            <v>5.79</v>
          </cell>
          <cell r="L963">
            <v>5.9669999999999996</v>
          </cell>
          <cell r="M963">
            <v>5.8469999999999995</v>
          </cell>
          <cell r="O963">
            <v>1.6103000000000001</v>
          </cell>
          <cell r="P963">
            <v>0.86750000000000005</v>
          </cell>
          <cell r="Q963">
            <v>92.812680115273764</v>
          </cell>
          <cell r="U963">
            <v>3.0971000000000002</v>
          </cell>
          <cell r="V963">
            <v>100.33499999999999</v>
          </cell>
          <cell r="W963" t="str">
            <v>#N/A N/A</v>
          </cell>
        </row>
        <row r="964">
          <cell r="B964">
            <v>77.180000000000007</v>
          </cell>
          <cell r="D964">
            <v>1.4679</v>
          </cell>
          <cell r="E964">
            <v>1039.7</v>
          </cell>
          <cell r="F964">
            <v>9.4192</v>
          </cell>
          <cell r="G964" t="e">
            <v>#VALUE!</v>
          </cell>
          <cell r="I964">
            <v>3.8349000000000002</v>
          </cell>
          <cell r="J964">
            <v>6.87</v>
          </cell>
          <cell r="K964">
            <v>5.79</v>
          </cell>
          <cell r="L964">
            <v>5.9669999999999996</v>
          </cell>
          <cell r="M964">
            <v>5.8469999999999995</v>
          </cell>
          <cell r="O964">
            <v>1.6103000000000001</v>
          </cell>
          <cell r="P964">
            <v>0.86750000000000005</v>
          </cell>
          <cell r="Q964">
            <v>92.812680115273764</v>
          </cell>
          <cell r="U964">
            <v>3.0971000000000002</v>
          </cell>
          <cell r="V964">
            <v>100.33499999999999</v>
          </cell>
          <cell r="W964" t="str">
            <v>#N/A N/A</v>
          </cell>
        </row>
        <row r="965">
          <cell r="B965">
            <v>77.117000000000004</v>
          </cell>
          <cell r="D965">
            <v>1.4735</v>
          </cell>
          <cell r="E965">
            <v>1046.32</v>
          </cell>
          <cell r="F965">
            <v>9.4960000000000004</v>
          </cell>
          <cell r="G965" t="e">
            <v>#VALUE!</v>
          </cell>
          <cell r="I965">
            <v>3.8104</v>
          </cell>
          <cell r="J965">
            <v>6.8760000000000003</v>
          </cell>
          <cell r="K965">
            <v>5.79</v>
          </cell>
          <cell r="L965">
            <v>6.0250000000000004</v>
          </cell>
          <cell r="M965">
            <v>5.8730000000000002</v>
          </cell>
          <cell r="O965">
            <v>1.6137000000000001</v>
          </cell>
          <cell r="P965">
            <v>0.872</v>
          </cell>
          <cell r="Q965">
            <v>92.528669724770651</v>
          </cell>
          <cell r="U965">
            <v>3.0629</v>
          </cell>
          <cell r="V965">
            <v>100.17</v>
          </cell>
          <cell r="W965" t="str">
            <v>#N/A N/A</v>
          </cell>
        </row>
        <row r="966">
          <cell r="B966">
            <v>76.838999999999999</v>
          </cell>
          <cell r="D966">
            <v>1.4782999999999999</v>
          </cell>
          <cell r="E966">
            <v>1051</v>
          </cell>
          <cell r="F966">
            <v>9.5722900000000006</v>
          </cell>
          <cell r="G966" t="e">
            <v>#VALUE!</v>
          </cell>
          <cell r="I966">
            <v>3.8292000000000002</v>
          </cell>
          <cell r="J966">
            <v>6.8658000000000001</v>
          </cell>
          <cell r="K966">
            <v>5.79</v>
          </cell>
          <cell r="L966">
            <v>5.9509999999999996</v>
          </cell>
          <cell r="M966">
            <v>5.7720000000000002</v>
          </cell>
          <cell r="O966">
            <v>1.6137999999999999</v>
          </cell>
          <cell r="P966">
            <v>0.87250000000000005</v>
          </cell>
          <cell r="Q966">
            <v>92.481375358166176</v>
          </cell>
          <cell r="U966">
            <v>3.0558999999999998</v>
          </cell>
          <cell r="V966">
            <v>104.033</v>
          </cell>
          <cell r="W966" t="str">
            <v>#N/A N/A</v>
          </cell>
        </row>
        <row r="967">
          <cell r="B967">
            <v>76.957999999999998</v>
          </cell>
          <cell r="D967">
            <v>1.4689999999999999</v>
          </cell>
          <cell r="E967">
            <v>1047.4000000000001</v>
          </cell>
          <cell r="F967">
            <v>9.5251300000000008</v>
          </cell>
          <cell r="G967" t="e">
            <v>#VALUE!</v>
          </cell>
          <cell r="I967">
            <v>3.8008999999999999</v>
          </cell>
          <cell r="J967">
            <v>6.8545999999999996</v>
          </cell>
          <cell r="K967">
            <v>5.79</v>
          </cell>
          <cell r="L967">
            <v>5.91</v>
          </cell>
          <cell r="M967">
            <v>5.72</v>
          </cell>
          <cell r="O967">
            <v>1.6181999999999999</v>
          </cell>
          <cell r="P967">
            <v>0.86980000000000002</v>
          </cell>
          <cell r="Q967">
            <v>93.021384226258903</v>
          </cell>
          <cell r="U967">
            <v>3.0116000000000001</v>
          </cell>
          <cell r="V967">
            <v>105.69799999999999</v>
          </cell>
          <cell r="W967" t="str">
            <v>#N/A N/A</v>
          </cell>
        </row>
        <row r="968">
          <cell r="B968">
            <v>76.195999999999998</v>
          </cell>
          <cell r="D968">
            <v>1.4868000000000001</v>
          </cell>
          <cell r="E968">
            <v>1053.75</v>
          </cell>
          <cell r="F968">
            <v>9.7172499999999999</v>
          </cell>
          <cell r="G968" t="e">
            <v>#VALUE!</v>
          </cell>
          <cell r="I968">
            <v>3.8290999999999999</v>
          </cell>
          <cell r="J968">
            <v>6.8437000000000001</v>
          </cell>
          <cell r="K968">
            <v>5.79</v>
          </cell>
          <cell r="L968">
            <v>5.91</v>
          </cell>
          <cell r="M968">
            <v>5.71</v>
          </cell>
          <cell r="O968">
            <v>1.6160000000000001</v>
          </cell>
          <cell r="P968">
            <v>0.87849999999999995</v>
          </cell>
          <cell r="Q968">
            <v>91.974957313602744</v>
          </cell>
          <cell r="U968">
            <v>3.0590000000000002</v>
          </cell>
          <cell r="V968">
            <v>107.78700000000001</v>
          </cell>
          <cell r="W968" t="str">
            <v>#N/A N/A</v>
          </cell>
        </row>
        <row r="969">
          <cell r="B969">
            <v>76.805000000000007</v>
          </cell>
          <cell r="D969">
            <v>1.4809000000000001</v>
          </cell>
          <cell r="E969">
            <v>1062.45</v>
          </cell>
          <cell r="F969">
            <v>9.6716099999999994</v>
          </cell>
          <cell r="G969" t="e">
            <v>#VALUE!</v>
          </cell>
          <cell r="I969">
            <v>3.8704000000000001</v>
          </cell>
          <cell r="J969">
            <v>6.8341000000000003</v>
          </cell>
          <cell r="K969">
            <v>5.79</v>
          </cell>
          <cell r="L969">
            <v>6.01</v>
          </cell>
          <cell r="M969">
            <v>5.81</v>
          </cell>
          <cell r="O969">
            <v>1.6244000000000001</v>
          </cell>
          <cell r="P969">
            <v>0.86860000000000004</v>
          </cell>
          <cell r="Q969">
            <v>93.506792539719086</v>
          </cell>
          <cell r="U969">
            <v>3.137</v>
          </cell>
          <cell r="V969">
            <v>109.962</v>
          </cell>
          <cell r="W969" t="str">
            <v>#N/A N/A</v>
          </cell>
        </row>
        <row r="970">
          <cell r="B970">
            <v>76.805000000000007</v>
          </cell>
          <cell r="D970">
            <v>1.4809000000000001</v>
          </cell>
          <cell r="E970">
            <v>1062.45</v>
          </cell>
          <cell r="F970">
            <v>9.6716099999999994</v>
          </cell>
          <cell r="G970" t="e">
            <v>#VALUE!</v>
          </cell>
          <cell r="I970">
            <v>3.8704000000000001</v>
          </cell>
          <cell r="J970">
            <v>6.8341000000000003</v>
          </cell>
          <cell r="K970">
            <v>5.79</v>
          </cell>
          <cell r="L970">
            <v>6.01</v>
          </cell>
          <cell r="M970">
            <v>5.81</v>
          </cell>
          <cell r="O970">
            <v>1.6244000000000001</v>
          </cell>
          <cell r="P970">
            <v>0.86860000000000004</v>
          </cell>
          <cell r="Q970">
            <v>93.506792539719086</v>
          </cell>
          <cell r="U970">
            <v>3.137</v>
          </cell>
          <cell r="V970">
            <v>109.962</v>
          </cell>
          <cell r="W970" t="str">
            <v>#N/A N/A</v>
          </cell>
        </row>
        <row r="971">
          <cell r="B971">
            <v>76.805000000000007</v>
          </cell>
          <cell r="D971">
            <v>1.4809000000000001</v>
          </cell>
          <cell r="E971">
            <v>1062.45</v>
          </cell>
          <cell r="F971">
            <v>9.6716099999999994</v>
          </cell>
          <cell r="G971" t="e">
            <v>#VALUE!</v>
          </cell>
          <cell r="I971">
            <v>3.8704000000000001</v>
          </cell>
          <cell r="J971">
            <v>6.8341000000000003</v>
          </cell>
          <cell r="K971">
            <v>5.79</v>
          </cell>
          <cell r="L971">
            <v>6.01</v>
          </cell>
          <cell r="M971">
            <v>5.81</v>
          </cell>
          <cell r="O971">
            <v>1.6244000000000001</v>
          </cell>
          <cell r="P971">
            <v>0.86860000000000004</v>
          </cell>
          <cell r="Q971">
            <v>93.506792539719086</v>
          </cell>
          <cell r="U971">
            <v>3.137</v>
          </cell>
          <cell r="V971">
            <v>109.962</v>
          </cell>
          <cell r="W971" t="str">
            <v>#N/A N/A</v>
          </cell>
        </row>
        <row r="972">
          <cell r="B972">
            <v>76.793000000000006</v>
          </cell>
          <cell r="D972">
            <v>1.4779</v>
          </cell>
          <cell r="E972">
            <v>1076</v>
          </cell>
          <cell r="F972">
            <v>9.8593899999999994</v>
          </cell>
          <cell r="G972" t="e">
            <v>#VALUE!</v>
          </cell>
          <cell r="I972">
            <v>3.7837000000000001</v>
          </cell>
          <cell r="J972">
            <v>6.8490000000000002</v>
          </cell>
          <cell r="K972">
            <v>5.79</v>
          </cell>
          <cell r="L972">
            <v>6.07</v>
          </cell>
          <cell r="M972">
            <v>5.88</v>
          </cell>
          <cell r="O972">
            <v>1.6169</v>
          </cell>
          <cell r="P972">
            <v>0.86539999999999995</v>
          </cell>
          <cell r="Q972">
            <v>93.419228102611513</v>
          </cell>
          <cell r="U972">
            <v>3.0411999999999999</v>
          </cell>
          <cell r="V972">
            <v>109.896</v>
          </cell>
          <cell r="W972" t="str">
            <v>#N/A N/A</v>
          </cell>
        </row>
        <row r="973">
          <cell r="B973">
            <v>77.251000000000005</v>
          </cell>
          <cell r="D973">
            <v>1.4632000000000001</v>
          </cell>
          <cell r="E973">
            <v>1089.45</v>
          </cell>
          <cell r="F973">
            <v>9.9162099999999995</v>
          </cell>
          <cell r="G973" t="e">
            <v>#VALUE!</v>
          </cell>
          <cell r="I973">
            <v>3.7743000000000002</v>
          </cell>
          <cell r="J973">
            <v>6.8480999999999996</v>
          </cell>
          <cell r="K973">
            <v>5.79</v>
          </cell>
          <cell r="L973">
            <v>6.03</v>
          </cell>
          <cell r="M973">
            <v>5.84</v>
          </cell>
          <cell r="O973">
            <v>1.6112</v>
          </cell>
          <cell r="P973">
            <v>0.85340000000000005</v>
          </cell>
          <cell r="Q973">
            <v>94.398875087883752</v>
          </cell>
          <cell r="U973">
            <v>3.0411000000000001</v>
          </cell>
          <cell r="V973">
            <v>112.721</v>
          </cell>
          <cell r="W973" t="str">
            <v>#N/A N/A</v>
          </cell>
        </row>
        <row r="974">
          <cell r="B974">
            <v>77.051000000000002</v>
          </cell>
          <cell r="D974">
            <v>1.468</v>
          </cell>
          <cell r="E974">
            <v>1083.75</v>
          </cell>
          <cell r="F974">
            <v>9.8661799999999999</v>
          </cell>
          <cell r="G974" t="e">
            <v>#VALUE!</v>
          </cell>
          <cell r="I974">
            <v>3.7629999999999999</v>
          </cell>
          <cell r="J974">
            <v>6.8375000000000004</v>
          </cell>
          <cell r="K974">
            <v>5.79</v>
          </cell>
          <cell r="L974">
            <v>6</v>
          </cell>
          <cell r="M974">
            <v>5.81</v>
          </cell>
          <cell r="O974">
            <v>1.6169</v>
          </cell>
          <cell r="P974">
            <v>0.85519999999999996</v>
          </cell>
          <cell r="Q974">
            <v>94.533442469597759</v>
          </cell>
          <cell r="U974">
            <v>3.0135999999999998</v>
          </cell>
          <cell r="V974">
            <v>114.995</v>
          </cell>
          <cell r="W974" t="str">
            <v>#N/A N/A</v>
          </cell>
        </row>
        <row r="975">
          <cell r="B975">
            <v>77.150999999999996</v>
          </cell>
          <cell r="D975">
            <v>1.4703999999999999</v>
          </cell>
          <cell r="E975">
            <v>1082.5</v>
          </cell>
          <cell r="F975">
            <v>9.8840400000000006</v>
          </cell>
          <cell r="G975" t="e">
            <v>#VALUE!</v>
          </cell>
          <cell r="I975">
            <v>3.7778999999999998</v>
          </cell>
          <cell r="J975">
            <v>6.8277999999999999</v>
          </cell>
          <cell r="K975">
            <v>5.79</v>
          </cell>
          <cell r="L975">
            <v>5.95</v>
          </cell>
          <cell r="M975">
            <v>5.76</v>
          </cell>
          <cell r="O975">
            <v>1.6152</v>
          </cell>
          <cell r="P975">
            <v>0.86170000000000002</v>
          </cell>
          <cell r="Q975">
            <v>93.721712893118251</v>
          </cell>
          <cell r="U975">
            <v>3.0440999999999998</v>
          </cell>
          <cell r="V975">
            <v>115.16500000000001</v>
          </cell>
          <cell r="W975" t="str">
            <v>#N/A N/A</v>
          </cell>
        </row>
        <row r="976">
          <cell r="B976">
            <v>77.381</v>
          </cell>
          <cell r="D976">
            <v>1.4641</v>
          </cell>
          <cell r="E976">
            <v>1089.2</v>
          </cell>
          <cell r="F976">
            <v>10.014710000000001</v>
          </cell>
          <cell r="G976" t="e">
            <v>#VALUE!</v>
          </cell>
          <cell r="I976">
            <v>3.8115999999999999</v>
          </cell>
          <cell r="J976">
            <v>6.8377999999999997</v>
          </cell>
          <cell r="K976">
            <v>5.79</v>
          </cell>
          <cell r="L976">
            <v>5.96</v>
          </cell>
          <cell r="M976">
            <v>5.77</v>
          </cell>
          <cell r="O976">
            <v>1.6160999999999999</v>
          </cell>
          <cell r="P976">
            <v>0.8569</v>
          </cell>
          <cell r="Q976">
            <v>94.299218111798339</v>
          </cell>
          <cell r="U976">
            <v>3.0876000000000001</v>
          </cell>
          <cell r="V976">
            <v>115.66500000000001</v>
          </cell>
          <cell r="W976" t="str">
            <v>#N/A N/A</v>
          </cell>
        </row>
        <row r="977">
          <cell r="B977">
            <v>77.381</v>
          </cell>
          <cell r="D977">
            <v>1.4641</v>
          </cell>
          <cell r="E977">
            <v>1089.2</v>
          </cell>
          <cell r="F977">
            <v>10.014710000000001</v>
          </cell>
          <cell r="G977" t="e">
            <v>#VALUE!</v>
          </cell>
          <cell r="I977">
            <v>3.8115999999999999</v>
          </cell>
          <cell r="J977">
            <v>6.8377999999999997</v>
          </cell>
          <cell r="K977">
            <v>5.79</v>
          </cell>
          <cell r="L977">
            <v>5.96</v>
          </cell>
          <cell r="M977">
            <v>5.77</v>
          </cell>
          <cell r="O977">
            <v>1.6160999999999999</v>
          </cell>
          <cell r="P977">
            <v>0.8569</v>
          </cell>
          <cell r="Q977">
            <v>94.299218111798339</v>
          </cell>
          <cell r="U977">
            <v>3.0876000000000001</v>
          </cell>
          <cell r="V977">
            <v>115.66500000000001</v>
          </cell>
          <cell r="W977" t="str">
            <v>#N/A N/A</v>
          </cell>
        </row>
        <row r="978">
          <cell r="B978">
            <v>77.381</v>
          </cell>
          <cell r="D978">
            <v>1.4641</v>
          </cell>
          <cell r="E978">
            <v>1089.2</v>
          </cell>
          <cell r="F978">
            <v>10.014710000000001</v>
          </cell>
          <cell r="G978" t="e">
            <v>#VALUE!</v>
          </cell>
          <cell r="I978">
            <v>3.8115999999999999</v>
          </cell>
          <cell r="J978">
            <v>6.8377999999999997</v>
          </cell>
          <cell r="K978">
            <v>5.79</v>
          </cell>
          <cell r="L978">
            <v>5.96</v>
          </cell>
          <cell r="M978">
            <v>5.77</v>
          </cell>
          <cell r="O978">
            <v>1.6160999999999999</v>
          </cell>
          <cell r="P978">
            <v>0.8569</v>
          </cell>
          <cell r="Q978">
            <v>94.299218111798339</v>
          </cell>
          <cell r="U978">
            <v>3.0876000000000001</v>
          </cell>
          <cell r="V978">
            <v>115.66500000000001</v>
          </cell>
          <cell r="W978" t="str">
            <v>#N/A N/A</v>
          </cell>
        </row>
        <row r="979">
          <cell r="B979">
            <v>77.644000000000005</v>
          </cell>
          <cell r="D979">
            <v>1.4593</v>
          </cell>
          <cell r="E979">
            <v>1116.0999999999999</v>
          </cell>
          <cell r="F979">
            <v>10.319929999999999</v>
          </cell>
          <cell r="G979" t="e">
            <v>#VALUE!</v>
          </cell>
          <cell r="I979">
            <v>3.8115000000000001</v>
          </cell>
          <cell r="J979">
            <v>6.8250000000000002</v>
          </cell>
          <cell r="K979">
            <v>5.79</v>
          </cell>
          <cell r="L979">
            <v>6.07</v>
          </cell>
          <cell r="M979">
            <v>5.88</v>
          </cell>
          <cell r="O979">
            <v>1.6093</v>
          </cell>
          <cell r="P979">
            <v>0.84830000000000005</v>
          </cell>
          <cell r="Q979">
            <v>94.854414711776485</v>
          </cell>
          <cell r="U979">
            <v>3.0943000000000001</v>
          </cell>
          <cell r="V979">
            <v>123.188</v>
          </cell>
          <cell r="W979" t="str">
            <v>#N/A N/A</v>
          </cell>
        </row>
        <row r="980">
          <cell r="B980">
            <v>78.061000000000007</v>
          </cell>
          <cell r="D980">
            <v>1.4527999999999999</v>
          </cell>
          <cell r="E980">
            <v>1129.4000000000001</v>
          </cell>
          <cell r="F980">
            <v>10.38242</v>
          </cell>
          <cell r="G980" t="e">
            <v>#VALUE!</v>
          </cell>
          <cell r="I980">
            <v>3.7326000000000001</v>
          </cell>
          <cell r="J980">
            <v>6.8330000000000002</v>
          </cell>
          <cell r="K980">
            <v>5.79</v>
          </cell>
          <cell r="L980">
            <v>6.14</v>
          </cell>
          <cell r="M980">
            <v>5.97</v>
          </cell>
          <cell r="O980">
            <v>1.6078999999999999</v>
          </cell>
          <cell r="P980">
            <v>0.83799999999999997</v>
          </cell>
          <cell r="Q980">
            <v>95.936754176610975</v>
          </cell>
          <cell r="U980">
            <v>2.9824999999999999</v>
          </cell>
          <cell r="V980">
            <v>120.221</v>
          </cell>
          <cell r="W980" t="str">
            <v>#N/A N/A</v>
          </cell>
        </row>
        <row r="981">
          <cell r="B981">
            <v>78.087000000000003</v>
          </cell>
          <cell r="D981">
            <v>1.448</v>
          </cell>
          <cell r="E981">
            <v>1141.18</v>
          </cell>
          <cell r="F981">
            <v>10.531330000000001</v>
          </cell>
          <cell r="G981" t="e">
            <v>#VALUE!</v>
          </cell>
          <cell r="I981">
            <v>3.6989999999999998</v>
          </cell>
          <cell r="J981">
            <v>6.8433999999999999</v>
          </cell>
          <cell r="K981">
            <v>5.79</v>
          </cell>
          <cell r="L981">
            <v>6.05</v>
          </cell>
          <cell r="M981">
            <v>5.87</v>
          </cell>
          <cell r="O981">
            <v>1.6026</v>
          </cell>
          <cell r="P981">
            <v>0.83479999999999999</v>
          </cell>
          <cell r="Q981">
            <v>95.987062769525636</v>
          </cell>
          <cell r="U981">
            <v>2.9485999999999999</v>
          </cell>
          <cell r="V981">
            <v>125.221</v>
          </cell>
          <cell r="W981" t="str">
            <v>#N/A N/A</v>
          </cell>
        </row>
        <row r="982">
          <cell r="B982">
            <v>78.61</v>
          </cell>
          <cell r="D982">
            <v>1.4367000000000001</v>
          </cell>
          <cell r="E982">
            <v>1130.5</v>
          </cell>
          <cell r="F982">
            <v>10.526020000000001</v>
          </cell>
          <cell r="G982" t="e">
            <v>#VALUE!</v>
          </cell>
          <cell r="I982">
            <v>3.6227</v>
          </cell>
          <cell r="J982">
            <v>6.8357999999999999</v>
          </cell>
          <cell r="K982">
            <v>5.79</v>
          </cell>
          <cell r="L982">
            <v>5.99</v>
          </cell>
          <cell r="M982">
            <v>5.82</v>
          </cell>
          <cell r="O982">
            <v>1.591</v>
          </cell>
          <cell r="P982">
            <v>0.82969999999999999</v>
          </cell>
          <cell r="Q982">
            <v>95.878028202964927</v>
          </cell>
          <cell r="U982">
            <v>2.8542000000000001</v>
          </cell>
          <cell r="V982">
            <v>126.917</v>
          </cell>
          <cell r="W982" t="str">
            <v>#N/A N/A</v>
          </cell>
        </row>
        <row r="983">
          <cell r="B983">
            <v>78.932000000000002</v>
          </cell>
          <cell r="D983">
            <v>1.4259999999999999</v>
          </cell>
          <cell r="E983">
            <v>1125.55</v>
          </cell>
          <cell r="F983">
            <v>10.44069</v>
          </cell>
          <cell r="G983" t="e">
            <v>#VALUE!</v>
          </cell>
          <cell r="I983">
            <v>3.6985999999999999</v>
          </cell>
          <cell r="J983">
            <v>6.8407999999999998</v>
          </cell>
          <cell r="K983">
            <v>5.79</v>
          </cell>
          <cell r="L983">
            <v>5.96</v>
          </cell>
          <cell r="M983">
            <v>5.8</v>
          </cell>
          <cell r="O983">
            <v>1.5897999999999999</v>
          </cell>
          <cell r="P983">
            <v>0.8115</v>
          </cell>
          <cell r="Q983">
            <v>97.954405422057917</v>
          </cell>
          <cell r="U983">
            <v>2.9821</v>
          </cell>
          <cell r="V983">
            <v>134.62700000000001</v>
          </cell>
          <cell r="W983" t="str">
            <v>#N/A N/A</v>
          </cell>
        </row>
        <row r="984">
          <cell r="B984">
            <v>78.932000000000002</v>
          </cell>
          <cell r="D984">
            <v>1.4259999999999999</v>
          </cell>
          <cell r="E984">
            <v>1125.55</v>
          </cell>
          <cell r="F984">
            <v>10.44069</v>
          </cell>
          <cell r="G984" t="e">
            <v>#VALUE!</v>
          </cell>
          <cell r="I984">
            <v>3.6985999999999999</v>
          </cell>
          <cell r="J984">
            <v>6.8407999999999998</v>
          </cell>
          <cell r="K984">
            <v>5.79</v>
          </cell>
          <cell r="L984">
            <v>5.96</v>
          </cell>
          <cell r="M984">
            <v>5.8</v>
          </cell>
          <cell r="O984">
            <v>1.5897999999999999</v>
          </cell>
          <cell r="P984">
            <v>0.8115</v>
          </cell>
          <cell r="Q984">
            <v>97.954405422057917</v>
          </cell>
          <cell r="U984">
            <v>2.9821</v>
          </cell>
          <cell r="V984">
            <v>134.62700000000001</v>
          </cell>
          <cell r="W984" t="str">
            <v>#N/A N/A</v>
          </cell>
        </row>
        <row r="985">
          <cell r="B985">
            <v>78.932000000000002</v>
          </cell>
          <cell r="D985">
            <v>1.4259999999999999</v>
          </cell>
          <cell r="E985">
            <v>1125.55</v>
          </cell>
          <cell r="F985">
            <v>10.44069</v>
          </cell>
          <cell r="G985" t="e">
            <v>#VALUE!</v>
          </cell>
          <cell r="I985">
            <v>3.6985999999999999</v>
          </cell>
          <cell r="J985">
            <v>6.8407999999999998</v>
          </cell>
          <cell r="K985">
            <v>5.79</v>
          </cell>
          <cell r="L985">
            <v>5.96</v>
          </cell>
          <cell r="M985">
            <v>5.8</v>
          </cell>
          <cell r="O985">
            <v>1.5897999999999999</v>
          </cell>
          <cell r="P985">
            <v>0.8115</v>
          </cell>
          <cell r="Q985">
            <v>97.954405422057917</v>
          </cell>
          <cell r="U985">
            <v>2.9821</v>
          </cell>
          <cell r="V985">
            <v>134.62700000000001</v>
          </cell>
          <cell r="W985" t="str">
            <v>#N/A N/A</v>
          </cell>
        </row>
        <row r="986">
          <cell r="B986">
            <v>79.588999999999999</v>
          </cell>
          <cell r="D986">
            <v>1.4123999999999999</v>
          </cell>
          <cell r="E986">
            <v>1081.0999999999999</v>
          </cell>
          <cell r="F986">
            <v>10.007059999999999</v>
          </cell>
          <cell r="G986" t="e">
            <v>#VALUE!</v>
          </cell>
          <cell r="I986">
            <v>3.6743000000000001</v>
          </cell>
          <cell r="J986">
            <v>6.8433000000000002</v>
          </cell>
          <cell r="K986">
            <v>5.79</v>
          </cell>
          <cell r="L986">
            <v>5.91</v>
          </cell>
          <cell r="M986">
            <v>5.76</v>
          </cell>
          <cell r="O986">
            <v>1.5988</v>
          </cell>
          <cell r="P986">
            <v>0.81420000000000003</v>
          </cell>
          <cell r="Q986">
            <v>98.182264799803491</v>
          </cell>
          <cell r="U986">
            <v>2.9752000000000001</v>
          </cell>
          <cell r="V986">
            <v>123.495</v>
          </cell>
          <cell r="W986" t="str">
            <v>#N/A N/A</v>
          </cell>
        </row>
        <row r="987">
          <cell r="B987">
            <v>79.247</v>
          </cell>
          <cell r="D987">
            <v>1.4197</v>
          </cell>
          <cell r="E987">
            <v>1094.05</v>
          </cell>
          <cell r="F987">
            <v>10.24281</v>
          </cell>
          <cell r="G987" t="e">
            <v>#VALUE!</v>
          </cell>
          <cell r="I987">
            <v>3.5667999999999997</v>
          </cell>
          <cell r="J987">
            <v>6.8380999999999998</v>
          </cell>
          <cell r="K987">
            <v>5.79</v>
          </cell>
          <cell r="L987">
            <v>5.91</v>
          </cell>
          <cell r="M987">
            <v>5.76</v>
          </cell>
          <cell r="O987">
            <v>1.5973999999999999</v>
          </cell>
          <cell r="P987">
            <v>0.81140000000000001</v>
          </cell>
          <cell r="Q987">
            <v>98.434804042395854</v>
          </cell>
          <cell r="U987">
            <v>2.8500999999999999</v>
          </cell>
          <cell r="V987">
            <v>130.958</v>
          </cell>
          <cell r="W987" t="str">
            <v>#N/A N/A</v>
          </cell>
        </row>
        <row r="988">
          <cell r="B988">
            <v>79.844999999999999</v>
          </cell>
          <cell r="D988">
            <v>1.4058999999999999</v>
          </cell>
          <cell r="E988">
            <v>1091.23</v>
          </cell>
          <cell r="F988">
            <v>10.15953</v>
          </cell>
          <cell r="G988" t="e">
            <v>#VALUE!</v>
          </cell>
          <cell r="I988">
            <v>3.6295000000000002</v>
          </cell>
          <cell r="J988">
            <v>6.8384999999999998</v>
          </cell>
          <cell r="K988">
            <v>5.79</v>
          </cell>
          <cell r="L988">
            <v>5.89</v>
          </cell>
          <cell r="M988">
            <v>5.73</v>
          </cell>
          <cell r="O988">
            <v>1.5931999999999999</v>
          </cell>
          <cell r="P988">
            <v>0.80669999999999997</v>
          </cell>
          <cell r="Q988">
            <v>98.747985620428906</v>
          </cell>
          <cell r="U988">
            <v>2.8971999999999998</v>
          </cell>
          <cell r="V988">
            <v>135.726</v>
          </cell>
          <cell r="W988" t="str">
            <v>#N/A N/A</v>
          </cell>
        </row>
        <row r="989">
          <cell r="B989">
            <v>80.146000000000001</v>
          </cell>
          <cell r="D989">
            <v>1.3944000000000001</v>
          </cell>
          <cell r="E989">
            <v>1110.7</v>
          </cell>
          <cell r="F989">
            <v>10.39451</v>
          </cell>
          <cell r="G989" t="e">
            <v>#VALUE!</v>
          </cell>
          <cell r="I989">
            <v>3.6425000000000001</v>
          </cell>
          <cell r="J989">
            <v>6.8464999999999998</v>
          </cell>
          <cell r="K989">
            <v>5.79</v>
          </cell>
          <cell r="L989">
            <v>5.86</v>
          </cell>
          <cell r="M989">
            <v>5.69</v>
          </cell>
          <cell r="O989">
            <v>1.5893999999999999</v>
          </cell>
          <cell r="P989">
            <v>0.79610000000000003</v>
          </cell>
          <cell r="Q989">
            <v>99.824142695641243</v>
          </cell>
          <cell r="U989">
            <v>2.9207000000000001</v>
          </cell>
          <cell r="V989">
            <v>138.69800000000001</v>
          </cell>
          <cell r="W989" t="str">
            <v>#N/A N/A</v>
          </cell>
        </row>
        <row r="990">
          <cell r="B990">
            <v>78.965999999999994</v>
          </cell>
          <cell r="D990">
            <v>1.4189000000000001</v>
          </cell>
          <cell r="E990">
            <v>1106.5</v>
          </cell>
          <cell r="F990">
            <v>10.322660000000001</v>
          </cell>
          <cell r="G990" t="e">
            <v>#VALUE!</v>
          </cell>
          <cell r="I990">
            <v>3.7187000000000001</v>
          </cell>
          <cell r="J990">
            <v>6.8440000000000003</v>
          </cell>
          <cell r="K990">
            <v>5.79</v>
          </cell>
          <cell r="L990">
            <v>5.85</v>
          </cell>
          <cell r="M990">
            <v>5.66</v>
          </cell>
          <cell r="O990">
            <v>1.6061000000000001</v>
          </cell>
          <cell r="P990">
            <v>0.81759999999999999</v>
          </cell>
          <cell r="Q990">
            <v>98.220401174168302</v>
          </cell>
          <cell r="U990">
            <v>2.9474999999999998</v>
          </cell>
          <cell r="V990">
            <v>135.53800000000001</v>
          </cell>
          <cell r="W990" t="str">
            <v>#N/A N/A</v>
          </cell>
        </row>
        <row r="991">
          <cell r="B991">
            <v>78.965999999999994</v>
          </cell>
          <cell r="D991">
            <v>1.4189000000000001</v>
          </cell>
          <cell r="E991">
            <v>1106.5</v>
          </cell>
          <cell r="F991">
            <v>10.322660000000001</v>
          </cell>
          <cell r="G991" t="e">
            <v>#VALUE!</v>
          </cell>
          <cell r="I991">
            <v>3.7187000000000001</v>
          </cell>
          <cell r="J991">
            <v>6.8440000000000003</v>
          </cell>
          <cell r="K991">
            <v>5.79</v>
          </cell>
          <cell r="L991">
            <v>5.85</v>
          </cell>
          <cell r="M991">
            <v>5.66</v>
          </cell>
          <cell r="O991">
            <v>1.6061000000000001</v>
          </cell>
          <cell r="P991">
            <v>0.81759999999999999</v>
          </cell>
          <cell r="Q991">
            <v>98.220401174168302</v>
          </cell>
          <cell r="U991">
            <v>2.9474999999999998</v>
          </cell>
          <cell r="V991">
            <v>135.53800000000001</v>
          </cell>
          <cell r="W991" t="str">
            <v>#N/A N/A</v>
          </cell>
        </row>
        <row r="992">
          <cell r="B992">
            <v>78.965999999999994</v>
          </cell>
          <cell r="D992">
            <v>1.4189000000000001</v>
          </cell>
          <cell r="E992">
            <v>1106.5</v>
          </cell>
          <cell r="F992">
            <v>10.322660000000001</v>
          </cell>
          <cell r="G992" t="e">
            <v>#VALUE!</v>
          </cell>
          <cell r="I992">
            <v>3.7187000000000001</v>
          </cell>
          <cell r="J992">
            <v>6.8440000000000003</v>
          </cell>
          <cell r="K992">
            <v>5.79</v>
          </cell>
          <cell r="L992">
            <v>5.85</v>
          </cell>
          <cell r="M992">
            <v>5.66</v>
          </cell>
          <cell r="O992">
            <v>1.6061000000000001</v>
          </cell>
          <cell r="P992">
            <v>0.81759999999999999</v>
          </cell>
          <cell r="Q992">
            <v>98.220401174168302</v>
          </cell>
          <cell r="U992">
            <v>2.9474999999999998</v>
          </cell>
          <cell r="V992">
            <v>135.53800000000001</v>
          </cell>
          <cell r="W992" t="str">
            <v>#N/A N/A</v>
          </cell>
        </row>
        <row r="993">
          <cell r="B993">
            <v>78.909000000000006</v>
          </cell>
          <cell r="D993">
            <v>1.4200999999999999</v>
          </cell>
          <cell r="E993">
            <v>1106.75</v>
          </cell>
          <cell r="F993">
            <v>10.478160000000001</v>
          </cell>
          <cell r="G993" t="e">
            <v>#VALUE!</v>
          </cell>
          <cell r="I993">
            <v>3.3868</v>
          </cell>
          <cell r="J993">
            <v>6.8487</v>
          </cell>
          <cell r="K993">
            <v>5.79</v>
          </cell>
          <cell r="L993">
            <v>5.85</v>
          </cell>
          <cell r="M993">
            <v>5.66</v>
          </cell>
          <cell r="O993">
            <v>1.5880999999999998</v>
          </cell>
          <cell r="P993">
            <v>0.80689999999999995</v>
          </cell>
          <cell r="Q993">
            <v>98.407485438096415</v>
          </cell>
          <cell r="U993">
            <v>2.5308999999999999</v>
          </cell>
          <cell r="V993">
            <v>143.32599999999999</v>
          </cell>
          <cell r="W993" t="str">
            <v>#N/A N/A</v>
          </cell>
        </row>
        <row r="994">
          <cell r="B994">
            <v>79.067999999999998</v>
          </cell>
          <cell r="D994">
            <v>1.4152</v>
          </cell>
          <cell r="E994">
            <v>1159.5</v>
          </cell>
          <cell r="F994">
            <v>11.045170000000001</v>
          </cell>
          <cell r="G994" t="e">
            <v>#VALUE!</v>
          </cell>
          <cell r="I994">
            <v>3.4356999999999998</v>
          </cell>
          <cell r="J994">
            <v>6.8440000000000003</v>
          </cell>
          <cell r="K994">
            <v>5.79</v>
          </cell>
          <cell r="L994">
            <v>5.73</v>
          </cell>
          <cell r="M994">
            <v>5.49</v>
          </cell>
          <cell r="O994">
            <v>1.5857000000000001</v>
          </cell>
          <cell r="P994">
            <v>0.79449999999999998</v>
          </cell>
          <cell r="Q994">
            <v>99.792322215229717</v>
          </cell>
          <cell r="U994">
            <v>2.5905</v>
          </cell>
          <cell r="V994">
            <v>175.78399999999999</v>
          </cell>
          <cell r="W994" t="str">
            <v>#N/A N/A</v>
          </cell>
        </row>
        <row r="995">
          <cell r="B995">
            <v>78.094999999999999</v>
          </cell>
          <cell r="D995">
            <v>1.417</v>
          </cell>
          <cell r="E995">
            <v>1116.25</v>
          </cell>
          <cell r="F995">
            <v>10.67212</v>
          </cell>
          <cell r="G995" t="e">
            <v>#VALUE!</v>
          </cell>
          <cell r="I995">
            <v>3.4137</v>
          </cell>
          <cell r="J995">
            <v>6.8379000000000003</v>
          </cell>
          <cell r="K995">
            <v>5.79</v>
          </cell>
          <cell r="L995">
            <v>5.83</v>
          </cell>
          <cell r="M995">
            <v>5.6</v>
          </cell>
          <cell r="O995">
            <v>1.5813999999999999</v>
          </cell>
          <cell r="P995">
            <v>0.78410000000000002</v>
          </cell>
          <cell r="Q995">
            <v>100.84172937125366</v>
          </cell>
          <cell r="U995">
            <v>2.5169999999999999</v>
          </cell>
          <cell r="V995">
            <v>173.114</v>
          </cell>
          <cell r="W995" t="str">
            <v>#N/A N/A</v>
          </cell>
        </row>
        <row r="996">
          <cell r="B996">
            <v>78.019000000000005</v>
          </cell>
          <cell r="D996">
            <v>1.4434</v>
          </cell>
          <cell r="E996">
            <v>1138.78</v>
          </cell>
          <cell r="F996">
            <v>11.09552</v>
          </cell>
          <cell r="G996" t="e">
            <v>#VALUE!</v>
          </cell>
          <cell r="I996">
            <v>3.5436999999999999</v>
          </cell>
          <cell r="J996">
            <v>6.8345000000000002</v>
          </cell>
          <cell r="K996">
            <v>5.79</v>
          </cell>
          <cell r="L996">
            <v>5.83</v>
          </cell>
          <cell r="M996">
            <v>5.6</v>
          </cell>
          <cell r="O996">
            <v>1.5777000000000001</v>
          </cell>
          <cell r="P996">
            <v>0.79879999999999995</v>
          </cell>
          <cell r="Q996">
            <v>98.754381572358554</v>
          </cell>
          <cell r="U996">
            <v>2.6267</v>
          </cell>
          <cell r="V996">
            <v>177.881</v>
          </cell>
          <cell r="W996" t="str">
            <v>#N/A N/A</v>
          </cell>
        </row>
        <row r="997">
          <cell r="B997">
            <v>77.680000000000007</v>
          </cell>
          <cell r="D997">
            <v>1.4405999999999999</v>
          </cell>
          <cell r="E997">
            <v>1118.95</v>
          </cell>
          <cell r="F997">
            <v>10.64052</v>
          </cell>
          <cell r="G997" t="e">
            <v>#VALUE!</v>
          </cell>
          <cell r="I997">
            <v>3.8105000000000002</v>
          </cell>
          <cell r="J997">
            <v>6.8379000000000003</v>
          </cell>
          <cell r="K997">
            <v>5.79</v>
          </cell>
          <cell r="L997">
            <v>6</v>
          </cell>
          <cell r="M997">
            <v>5.8</v>
          </cell>
          <cell r="O997">
            <v>1.597</v>
          </cell>
          <cell r="P997">
            <v>0.82889999999999997</v>
          </cell>
          <cell r="Q997">
            <v>96.332488840632166</v>
          </cell>
          <cell r="U997">
            <v>3.0390000000000001</v>
          </cell>
          <cell r="V997">
            <v>159.14599999999999</v>
          </cell>
          <cell r="W997" t="str">
            <v>#N/A N/A</v>
          </cell>
        </row>
        <row r="998">
          <cell r="B998">
            <v>77.680000000000007</v>
          </cell>
          <cell r="D998">
            <v>1.4405999999999999</v>
          </cell>
          <cell r="E998">
            <v>1118.95</v>
          </cell>
          <cell r="F998">
            <v>10.64052</v>
          </cell>
          <cell r="G998" t="e">
            <v>#VALUE!</v>
          </cell>
          <cell r="I998">
            <v>3.8105000000000002</v>
          </cell>
          <cell r="J998">
            <v>6.8379000000000003</v>
          </cell>
          <cell r="K998">
            <v>5.79</v>
          </cell>
          <cell r="L998">
            <v>6</v>
          </cell>
          <cell r="M998">
            <v>5.8</v>
          </cell>
          <cell r="O998">
            <v>1.597</v>
          </cell>
          <cell r="P998">
            <v>0.82889999999999997</v>
          </cell>
          <cell r="Q998">
            <v>96.332488840632166</v>
          </cell>
          <cell r="U998">
            <v>3.0390000000000001</v>
          </cell>
          <cell r="V998">
            <v>159.14599999999999</v>
          </cell>
          <cell r="W998" t="str">
            <v>#N/A N/A</v>
          </cell>
        </row>
        <row r="999">
          <cell r="B999">
            <v>77.680000000000007</v>
          </cell>
          <cell r="D999">
            <v>1.4405999999999999</v>
          </cell>
          <cell r="E999">
            <v>1118.95</v>
          </cell>
          <cell r="F999">
            <v>10.64052</v>
          </cell>
          <cell r="G999" t="e">
            <v>#VALUE!</v>
          </cell>
          <cell r="I999">
            <v>3.8105000000000002</v>
          </cell>
          <cell r="J999">
            <v>6.8379000000000003</v>
          </cell>
          <cell r="K999">
            <v>5.79</v>
          </cell>
          <cell r="L999">
            <v>6</v>
          </cell>
          <cell r="M999">
            <v>5.8</v>
          </cell>
          <cell r="O999">
            <v>1.597</v>
          </cell>
          <cell r="P999">
            <v>0.82889999999999997</v>
          </cell>
          <cell r="Q999">
            <v>96.332488840632166</v>
          </cell>
          <cell r="U999">
            <v>3.0390000000000001</v>
          </cell>
          <cell r="V999">
            <v>159.14599999999999</v>
          </cell>
          <cell r="W999" t="str">
            <v>#N/A N/A</v>
          </cell>
        </row>
        <row r="1000">
          <cell r="B1000">
            <v>76.150999999999996</v>
          </cell>
          <cell r="D1000">
            <v>1.4734</v>
          </cell>
          <cell r="E1000">
            <v>1130.8499999999999</v>
          </cell>
          <cell r="F1000">
            <v>10.7371</v>
          </cell>
          <cell r="G1000" t="e">
            <v>#VALUE!</v>
          </cell>
          <cell r="I1000">
            <v>3.8350999999999997</v>
          </cell>
          <cell r="J1000">
            <v>6.8311999999999999</v>
          </cell>
          <cell r="K1000">
            <v>5.79</v>
          </cell>
          <cell r="L1000">
            <v>6.04</v>
          </cell>
          <cell r="M1000">
            <v>5.85</v>
          </cell>
          <cell r="O1000">
            <v>1.5931</v>
          </cell>
          <cell r="P1000">
            <v>0.84350000000000003</v>
          </cell>
          <cell r="Q1000">
            <v>94.433906342620034</v>
          </cell>
          <cell r="U1000">
            <v>3.0491999999999999</v>
          </cell>
          <cell r="V1000">
            <v>150.256</v>
          </cell>
          <cell r="W1000" t="str">
            <v>#N/A N/A</v>
          </cell>
        </row>
        <row r="1001">
          <cell r="B1001">
            <v>76.468000000000004</v>
          </cell>
          <cell r="D1001">
            <v>1.4676</v>
          </cell>
          <cell r="E1001">
            <v>1144.75</v>
          </cell>
          <cell r="F1001">
            <v>10.850289999999999</v>
          </cell>
          <cell r="G1001" t="e">
            <v>#VALUE!</v>
          </cell>
          <cell r="I1001">
            <v>3.7991000000000001</v>
          </cell>
          <cell r="J1001">
            <v>6.8125999999999998</v>
          </cell>
          <cell r="K1001">
            <v>5.79</v>
          </cell>
          <cell r="L1001">
            <v>6.06</v>
          </cell>
          <cell r="M1001">
            <v>5.88</v>
          </cell>
          <cell r="O1001">
            <v>1.5912999999999999</v>
          </cell>
          <cell r="P1001">
            <v>0.83289999999999997</v>
          </cell>
          <cell r="Q1001">
            <v>95.52767439068316</v>
          </cell>
          <cell r="U1001">
            <v>2.9874999999999998</v>
          </cell>
          <cell r="V1001">
            <v>153.93899999999999</v>
          </cell>
          <cell r="W1001" t="str">
            <v>#N/A N/A</v>
          </cell>
        </row>
        <row r="1002">
          <cell r="B1002">
            <v>76.787999999999997</v>
          </cell>
          <cell r="D1002">
            <v>1.4656</v>
          </cell>
          <cell r="E1002">
            <v>1144.5</v>
          </cell>
          <cell r="F1002">
            <v>10.88991</v>
          </cell>
          <cell r="G1002" t="e">
            <v>#VALUE!</v>
          </cell>
          <cell r="I1002">
            <v>3.8104</v>
          </cell>
          <cell r="J1002">
            <v>6.8239999999999998</v>
          </cell>
          <cell r="K1002">
            <v>5.79</v>
          </cell>
          <cell r="L1002">
            <v>6.08</v>
          </cell>
          <cell r="M1002">
            <v>5.91</v>
          </cell>
          <cell r="O1002">
            <v>1.5960999999999999</v>
          </cell>
          <cell r="P1002">
            <v>0.83420000000000005</v>
          </cell>
          <cell r="Q1002">
            <v>95.666506832893774</v>
          </cell>
          <cell r="U1002">
            <v>2.9123999999999999</v>
          </cell>
          <cell r="V1002">
            <v>156.13</v>
          </cell>
          <cell r="W1002" t="str">
            <v>#N/A N/A</v>
          </cell>
        </row>
        <row r="1003">
          <cell r="B1003">
            <v>76.994</v>
          </cell>
          <cell r="D1003">
            <v>1.4576</v>
          </cell>
          <cell r="E1003">
            <v>1153.55</v>
          </cell>
          <cell r="F1003">
            <v>10.852869999999999</v>
          </cell>
          <cell r="G1003" t="e">
            <v>#VALUE!</v>
          </cell>
          <cell r="I1003">
            <v>3.8540000000000001</v>
          </cell>
          <cell r="J1003">
            <v>6.8204000000000002</v>
          </cell>
          <cell r="K1003">
            <v>5.8</v>
          </cell>
          <cell r="L1003">
            <v>6.1</v>
          </cell>
          <cell r="M1003">
            <v>5.93</v>
          </cell>
          <cell r="O1003">
            <v>1.5931999999999999</v>
          </cell>
          <cell r="P1003">
            <v>0.83279999999999998</v>
          </cell>
          <cell r="Q1003">
            <v>95.653218059558114</v>
          </cell>
          <cell r="U1003">
            <v>3.0387</v>
          </cell>
          <cell r="V1003">
            <v>156.34</v>
          </cell>
          <cell r="W1003" t="str">
            <v>#N/A N/A</v>
          </cell>
        </row>
        <row r="1004">
          <cell r="B1004">
            <v>76.953000000000003</v>
          </cell>
          <cell r="D1004">
            <v>1.4607000000000001</v>
          </cell>
          <cell r="E1004">
            <v>1164.45</v>
          </cell>
          <cell r="F1004">
            <v>10.943529999999999</v>
          </cell>
          <cell r="G1004" t="e">
            <v>#VALUE!</v>
          </cell>
          <cell r="I1004">
            <v>3.8519999999999999</v>
          </cell>
          <cell r="J1004">
            <v>6.8484999999999996</v>
          </cell>
          <cell r="K1004">
            <v>5.81</v>
          </cell>
          <cell r="L1004">
            <v>6.15</v>
          </cell>
          <cell r="M1004">
            <v>6.01</v>
          </cell>
          <cell r="O1004">
            <v>1.5911</v>
          </cell>
          <cell r="P1004">
            <v>0.83199999999999996</v>
          </cell>
          <cell r="Q1004">
            <v>95.618990384615387</v>
          </cell>
          <cell r="U1004">
            <v>3.0537000000000001</v>
          </cell>
          <cell r="V1004">
            <v>156.23400000000001</v>
          </cell>
          <cell r="W1004" t="str">
            <v>#N/A N/A</v>
          </cell>
        </row>
        <row r="1005">
          <cell r="B1005">
            <v>76.953000000000003</v>
          </cell>
          <cell r="D1005">
            <v>1.4607000000000001</v>
          </cell>
          <cell r="E1005">
            <v>1164.45</v>
          </cell>
          <cell r="F1005">
            <v>10.943529999999999</v>
          </cell>
          <cell r="G1005" t="e">
            <v>#VALUE!</v>
          </cell>
          <cell r="I1005">
            <v>3.8519999999999999</v>
          </cell>
          <cell r="J1005">
            <v>6.8484999999999996</v>
          </cell>
          <cell r="K1005">
            <v>5.81</v>
          </cell>
          <cell r="L1005">
            <v>6.15</v>
          </cell>
          <cell r="M1005">
            <v>6.01</v>
          </cell>
          <cell r="O1005">
            <v>1.5911</v>
          </cell>
          <cell r="P1005">
            <v>0.83199999999999996</v>
          </cell>
          <cell r="Q1005">
            <v>95.618990384615387</v>
          </cell>
          <cell r="U1005">
            <v>3.0537000000000001</v>
          </cell>
          <cell r="V1005">
            <v>156.23400000000001</v>
          </cell>
          <cell r="W1005" t="str">
            <v>#N/A N/A</v>
          </cell>
        </row>
        <row r="1006">
          <cell r="B1006">
            <v>76.953000000000003</v>
          </cell>
          <cell r="D1006">
            <v>1.4607000000000001</v>
          </cell>
          <cell r="E1006">
            <v>1164.45</v>
          </cell>
          <cell r="F1006">
            <v>10.943529999999999</v>
          </cell>
          <cell r="G1006" t="e">
            <v>#VALUE!</v>
          </cell>
          <cell r="I1006">
            <v>3.8519999999999999</v>
          </cell>
          <cell r="J1006">
            <v>6.8484999999999996</v>
          </cell>
          <cell r="K1006">
            <v>5.81</v>
          </cell>
          <cell r="L1006">
            <v>6.15</v>
          </cell>
          <cell r="M1006">
            <v>6.01</v>
          </cell>
          <cell r="O1006">
            <v>1.5911</v>
          </cell>
          <cell r="P1006">
            <v>0.83199999999999996</v>
          </cell>
          <cell r="Q1006">
            <v>95.618990384615387</v>
          </cell>
          <cell r="U1006">
            <v>3.0537000000000001</v>
          </cell>
          <cell r="V1006">
            <v>156.23400000000001</v>
          </cell>
          <cell r="W1006" t="str">
            <v>#N/A N/A</v>
          </cell>
        </row>
        <row r="1007">
          <cell r="B1007">
            <v>77.471000000000004</v>
          </cell>
          <cell r="D1007">
            <v>1.4397</v>
          </cell>
          <cell r="E1007">
            <v>1185.8499999999999</v>
          </cell>
          <cell r="F1007">
            <v>11.303979999999999</v>
          </cell>
          <cell r="G1007" t="e">
            <v>#VALUE!</v>
          </cell>
          <cell r="I1007">
            <v>3.5775999999999999</v>
          </cell>
          <cell r="J1007">
            <v>6.8484999999999996</v>
          </cell>
          <cell r="K1007">
            <v>5.82</v>
          </cell>
          <cell r="L1007">
            <v>6.11</v>
          </cell>
          <cell r="M1007">
            <v>5.98</v>
          </cell>
          <cell r="O1007">
            <v>1.5786</v>
          </cell>
          <cell r="P1007">
            <v>0.81269999999999998</v>
          </cell>
          <cell r="Q1007">
            <v>97.120708748615726</v>
          </cell>
          <cell r="U1007">
            <v>2.6781999999999999</v>
          </cell>
          <cell r="V1007">
            <v>170.30699999999999</v>
          </cell>
          <cell r="W1007" t="str">
            <v>#N/A N/A</v>
          </cell>
        </row>
        <row r="1008">
          <cell r="B1008">
            <v>79.447999999999993</v>
          </cell>
          <cell r="D1008">
            <v>1.4066000000000001</v>
          </cell>
          <cell r="E1008">
            <v>1193.3499999999999</v>
          </cell>
          <cell r="F1008">
            <v>11.365410000000001</v>
          </cell>
          <cell r="G1008" t="e">
            <v>#VALUE!</v>
          </cell>
          <cell r="I1008">
            <v>3.8233999999999999</v>
          </cell>
          <cell r="J1008">
            <v>6.8460000000000001</v>
          </cell>
          <cell r="K1008">
            <v>5.83</v>
          </cell>
          <cell r="L1008">
            <v>5.86</v>
          </cell>
          <cell r="M1008">
            <v>5.74</v>
          </cell>
          <cell r="O1008">
            <v>1.5779000000000001</v>
          </cell>
          <cell r="P1008">
            <v>0.79020000000000001</v>
          </cell>
          <cell r="Q1008">
            <v>99.841812199443183</v>
          </cell>
          <cell r="U1008">
            <v>2.9792999999999998</v>
          </cell>
          <cell r="V1008">
            <v>174.90899999999999</v>
          </cell>
          <cell r="W1008" t="str">
            <v>#N/A N/A</v>
          </cell>
        </row>
        <row r="1009">
          <cell r="B1009">
            <v>79.462999999999994</v>
          </cell>
          <cell r="D1009">
            <v>1.4043000000000001</v>
          </cell>
          <cell r="E1009">
            <v>1194.8499999999999</v>
          </cell>
          <cell r="F1009">
            <v>11.210050000000001</v>
          </cell>
          <cell r="G1009" t="e">
            <v>#VALUE!</v>
          </cell>
          <cell r="I1009">
            <v>3.7382</v>
          </cell>
          <cell r="J1009">
            <v>6.8451000000000004</v>
          </cell>
          <cell r="K1009">
            <v>5.85</v>
          </cell>
          <cell r="L1009">
            <v>5.87</v>
          </cell>
          <cell r="M1009">
            <v>5.75</v>
          </cell>
          <cell r="O1009">
            <v>1.5760000000000001</v>
          </cell>
          <cell r="P1009">
            <v>0.79369999999999996</v>
          </cell>
          <cell r="Q1009">
            <v>99.281844525639414</v>
          </cell>
          <cell r="U1009">
            <v>2.8580000000000001</v>
          </cell>
          <cell r="V1009">
            <v>181.91399999999999</v>
          </cell>
          <cell r="W1009" t="str">
            <v>#N/A N/A</v>
          </cell>
        </row>
        <row r="1010">
          <cell r="B1010">
            <v>80.438999999999993</v>
          </cell>
          <cell r="D1010">
            <v>1.3829</v>
          </cell>
          <cell r="E1010">
            <v>1223.8</v>
          </cell>
          <cell r="F1010">
            <v>11.596260000000001</v>
          </cell>
          <cell r="G1010" t="e">
            <v>#VALUE!</v>
          </cell>
          <cell r="I1010">
            <v>3.6276000000000002</v>
          </cell>
          <cell r="J1010">
            <v>6.8182999999999998</v>
          </cell>
          <cell r="K1010">
            <v>5.88</v>
          </cell>
          <cell r="L1010">
            <v>5.82</v>
          </cell>
          <cell r="M1010">
            <v>5.7</v>
          </cell>
          <cell r="O1010">
            <v>1.5723</v>
          </cell>
          <cell r="P1010">
            <v>0.77729999999999999</v>
          </cell>
          <cell r="Q1010">
            <v>101.13855654187573</v>
          </cell>
          <cell r="U1010">
            <v>2.6640999999999999</v>
          </cell>
          <cell r="V1010">
            <v>195.625</v>
          </cell>
          <cell r="W1010" t="str">
            <v>#N/A N/A</v>
          </cell>
        </row>
        <row r="1011">
          <cell r="B1011">
            <v>80.313000000000002</v>
          </cell>
          <cell r="D1011">
            <v>1.3801000000000001</v>
          </cell>
          <cell r="E1011">
            <v>1219.3499999999999</v>
          </cell>
          <cell r="F1011">
            <v>11.60398</v>
          </cell>
          <cell r="G1011" t="e">
            <v>#VALUE!</v>
          </cell>
          <cell r="I1011">
            <v>3.6031</v>
          </cell>
          <cell r="J1011">
            <v>6.8451000000000004</v>
          </cell>
          <cell r="K1011">
            <v>5.88</v>
          </cell>
          <cell r="L1011">
            <v>5.82</v>
          </cell>
          <cell r="M1011">
            <v>5.7</v>
          </cell>
          <cell r="O1011">
            <v>1.5632999999999999</v>
          </cell>
          <cell r="P1011">
            <v>0.77680000000000005</v>
          </cell>
          <cell r="Q1011">
            <v>100.62435633367662</v>
          </cell>
          <cell r="U1011">
            <v>2.6334999999999997</v>
          </cell>
          <cell r="V1011">
            <v>224.173</v>
          </cell>
          <cell r="W1011" t="str">
            <v>#N/A N/A</v>
          </cell>
        </row>
        <row r="1012">
          <cell r="B1012">
            <v>80.313000000000002</v>
          </cell>
          <cell r="D1012">
            <v>1.3801000000000001</v>
          </cell>
          <cell r="E1012">
            <v>1219.3499999999999</v>
          </cell>
          <cell r="F1012">
            <v>11.60398</v>
          </cell>
          <cell r="G1012" t="e">
            <v>#VALUE!</v>
          </cell>
          <cell r="I1012">
            <v>3.6031</v>
          </cell>
          <cell r="J1012">
            <v>6.8451000000000004</v>
          </cell>
          <cell r="K1012">
            <v>5.88</v>
          </cell>
          <cell r="L1012">
            <v>5.82</v>
          </cell>
          <cell r="M1012">
            <v>5.7</v>
          </cell>
          <cell r="O1012">
            <v>1.5632999999999999</v>
          </cell>
          <cell r="P1012">
            <v>0.77680000000000005</v>
          </cell>
          <cell r="Q1012">
            <v>100.62435633367662</v>
          </cell>
          <cell r="U1012">
            <v>2.6334999999999997</v>
          </cell>
          <cell r="V1012">
            <v>224.173</v>
          </cell>
          <cell r="W1012" t="str">
            <v>#N/A N/A</v>
          </cell>
        </row>
        <row r="1013">
          <cell r="B1013">
            <v>80.313000000000002</v>
          </cell>
          <cell r="D1013">
            <v>1.3801000000000001</v>
          </cell>
          <cell r="E1013">
            <v>1219.3499999999999</v>
          </cell>
          <cell r="F1013">
            <v>11.60398</v>
          </cell>
          <cell r="G1013" t="e">
            <v>#VALUE!</v>
          </cell>
          <cell r="I1013">
            <v>3.6031</v>
          </cell>
          <cell r="J1013">
            <v>6.8451000000000004</v>
          </cell>
          <cell r="K1013">
            <v>5.88</v>
          </cell>
          <cell r="L1013">
            <v>5.82</v>
          </cell>
          <cell r="M1013">
            <v>5.7</v>
          </cell>
          <cell r="O1013">
            <v>1.5632999999999999</v>
          </cell>
          <cell r="P1013">
            <v>0.77680000000000005</v>
          </cell>
          <cell r="Q1013">
            <v>100.62435633367662</v>
          </cell>
          <cell r="U1013">
            <v>2.6334999999999997</v>
          </cell>
          <cell r="V1013">
            <v>224.173</v>
          </cell>
          <cell r="W1013" t="str">
            <v>#N/A N/A</v>
          </cell>
        </row>
        <row r="1014">
          <cell r="B1014">
            <v>81.674999999999997</v>
          </cell>
          <cell r="D1014">
            <v>1.3531</v>
          </cell>
          <cell r="E1014">
            <v>1303.3499999999999</v>
          </cell>
          <cell r="F1014">
            <v>12.56582</v>
          </cell>
          <cell r="G1014" t="e">
            <v>#VALUE!</v>
          </cell>
          <cell r="I1014">
            <v>3.4531999999999998</v>
          </cell>
          <cell r="J1014">
            <v>6.8434999999999997</v>
          </cell>
          <cell r="K1014">
            <v>5.91</v>
          </cell>
          <cell r="L1014">
            <v>5.89</v>
          </cell>
          <cell r="M1014">
            <v>5.77</v>
          </cell>
          <cell r="O1014">
            <v>1.5466</v>
          </cell>
          <cell r="P1014">
            <v>0.70930000000000004</v>
          </cell>
          <cell r="Q1014">
            <v>109.02298040321443</v>
          </cell>
          <cell r="U1014">
            <v>2.4413999999999998</v>
          </cell>
          <cell r="V1014">
            <v>259.80500000000001</v>
          </cell>
          <cell r="W1014" t="str">
            <v>#N/A N/A</v>
          </cell>
        </row>
        <row r="1015">
          <cell r="B1015">
            <v>80.972999999999999</v>
          </cell>
          <cell r="D1015">
            <v>1.3632</v>
          </cell>
          <cell r="E1015">
            <v>1319.8</v>
          </cell>
          <cell r="F1015">
            <v>13.02012</v>
          </cell>
          <cell r="G1015" t="e">
            <v>#VALUE!</v>
          </cell>
          <cell r="I1015">
            <v>3.5028000000000001</v>
          </cell>
          <cell r="J1015">
            <v>6.8151999999999999</v>
          </cell>
          <cell r="K1015">
            <v>5.95</v>
          </cell>
          <cell r="L1015">
            <v>5.72</v>
          </cell>
          <cell r="M1015">
            <v>5.6</v>
          </cell>
          <cell r="O1015">
            <v>1.5537000000000001</v>
          </cell>
          <cell r="P1015">
            <v>0.71640000000000004</v>
          </cell>
          <cell r="Q1015">
            <v>108.43802345058626</v>
          </cell>
          <cell r="U1015">
            <v>2.4575</v>
          </cell>
          <cell r="V1015">
            <v>264.98700000000002</v>
          </cell>
          <cell r="W1015" t="str">
            <v>#N/A N/A</v>
          </cell>
        </row>
        <row r="1016">
          <cell r="B1016">
            <v>80.912999999999997</v>
          </cell>
          <cell r="D1016">
            <v>1.3663000000000001</v>
          </cell>
          <cell r="E1016">
            <v>1422.3</v>
          </cell>
          <cell r="F1016">
            <v>14.03228</v>
          </cell>
          <cell r="G1016" t="e">
            <v>#VALUE!</v>
          </cell>
          <cell r="I1016">
            <v>3.6400999999999999</v>
          </cell>
          <cell r="J1016">
            <v>6.8186999999999998</v>
          </cell>
          <cell r="K1016">
            <v>5.96</v>
          </cell>
          <cell r="L1016">
            <v>5.73</v>
          </cell>
          <cell r="M1016">
            <v>5.61</v>
          </cell>
          <cell r="O1016">
            <v>1.5409000000000002</v>
          </cell>
          <cell r="P1016">
            <v>0.66669999999999996</v>
          </cell>
          <cell r="Q1016">
            <v>115.56172191390432</v>
          </cell>
          <cell r="U1016">
            <v>2.6326999999999998</v>
          </cell>
          <cell r="V1016">
            <v>311.04300000000001</v>
          </cell>
          <cell r="W1016" t="str">
            <v>#N/A N/A</v>
          </cell>
        </row>
        <row r="1017">
          <cell r="B1017">
            <v>81.162999999999997</v>
          </cell>
          <cell r="D1017">
            <v>1.3629</v>
          </cell>
          <cell r="E1017">
            <v>1371.5</v>
          </cell>
          <cell r="F1017">
            <v>13.752129999999999</v>
          </cell>
          <cell r="G1017" t="e">
            <v>#VALUE!</v>
          </cell>
          <cell r="I1017">
            <v>3.7850000000000001</v>
          </cell>
          <cell r="J1017">
            <v>6.8251999999999997</v>
          </cell>
          <cell r="K1017">
            <v>5.96</v>
          </cell>
          <cell r="L1017">
            <v>5.47</v>
          </cell>
          <cell r="M1017">
            <v>5.33</v>
          </cell>
          <cell r="O1017">
            <v>1.5430999999999999</v>
          </cell>
          <cell r="P1017">
            <v>0.70069999999999999</v>
          </cell>
          <cell r="Q1017">
            <v>110.11131725417439</v>
          </cell>
          <cell r="U1017">
            <v>2.6724000000000001</v>
          </cell>
          <cell r="V1017">
            <v>298.55099999999999</v>
          </cell>
          <cell r="W1017" t="str">
            <v>#N/A N/A</v>
          </cell>
        </row>
        <row r="1018">
          <cell r="B1018">
            <v>82.997</v>
          </cell>
          <cell r="D1018">
            <v>1.3461000000000001</v>
          </cell>
          <cell r="E1018">
            <v>1299.3499999999999</v>
          </cell>
          <cell r="F1018">
            <v>13.12588</v>
          </cell>
          <cell r="G1018" t="e">
            <v>#VALUE!</v>
          </cell>
          <cell r="I1018">
            <v>3.8704999999999998</v>
          </cell>
          <cell r="J1018">
            <v>6.835</v>
          </cell>
          <cell r="K1018">
            <v>5.98</v>
          </cell>
          <cell r="L1018">
            <v>5.4</v>
          </cell>
          <cell r="M1018">
            <v>5.23</v>
          </cell>
          <cell r="O1018">
            <v>1.5215000000000001</v>
          </cell>
          <cell r="P1018">
            <v>0.65329999999999999</v>
          </cell>
          <cell r="Q1018">
            <v>116.4472677177407</v>
          </cell>
          <cell r="U1018">
            <v>2.7551999999999999</v>
          </cell>
          <cell r="V1018">
            <v>344.755</v>
          </cell>
          <cell r="W1018" t="str">
            <v>#N/A N/A</v>
          </cell>
        </row>
        <row r="1019">
          <cell r="B1019">
            <v>82.997</v>
          </cell>
          <cell r="D1019">
            <v>1.3461000000000001</v>
          </cell>
          <cell r="E1019">
            <v>1299.3499999999999</v>
          </cell>
          <cell r="F1019">
            <v>13.12588</v>
          </cell>
          <cell r="G1019" t="e">
            <v>#VALUE!</v>
          </cell>
          <cell r="I1019">
            <v>3.8704999999999998</v>
          </cell>
          <cell r="J1019">
            <v>6.835</v>
          </cell>
          <cell r="K1019">
            <v>5.98</v>
          </cell>
          <cell r="L1019">
            <v>5.4</v>
          </cell>
          <cell r="M1019">
            <v>5.23</v>
          </cell>
          <cell r="O1019">
            <v>1.5215000000000001</v>
          </cell>
          <cell r="P1019">
            <v>0.65329999999999999</v>
          </cell>
          <cell r="Q1019">
            <v>116.4472677177407</v>
          </cell>
          <cell r="U1019">
            <v>2.7551999999999999</v>
          </cell>
          <cell r="V1019">
            <v>344.755</v>
          </cell>
          <cell r="W1019" t="str">
            <v>#N/A N/A</v>
          </cell>
        </row>
        <row r="1020">
          <cell r="B1020">
            <v>82.997</v>
          </cell>
          <cell r="D1020">
            <v>1.3461000000000001</v>
          </cell>
          <cell r="E1020">
            <v>1299.3499999999999</v>
          </cell>
          <cell r="F1020">
            <v>13.12588</v>
          </cell>
          <cell r="G1020" t="e">
            <v>#VALUE!</v>
          </cell>
          <cell r="I1020">
            <v>3.8704999999999998</v>
          </cell>
          <cell r="J1020">
            <v>6.835</v>
          </cell>
          <cell r="K1020">
            <v>5.98</v>
          </cell>
          <cell r="L1020">
            <v>5.4</v>
          </cell>
          <cell r="M1020">
            <v>5.23</v>
          </cell>
          <cell r="O1020">
            <v>1.5215000000000001</v>
          </cell>
          <cell r="P1020">
            <v>0.65329999999999999</v>
          </cell>
          <cell r="Q1020">
            <v>116.4472677177407</v>
          </cell>
          <cell r="U1020">
            <v>2.7551999999999999</v>
          </cell>
          <cell r="V1020">
            <v>344.755</v>
          </cell>
          <cell r="W1020" t="str">
            <v>#N/A N/A</v>
          </cell>
        </row>
        <row r="1021">
          <cell r="B1021">
            <v>81.876000000000005</v>
          </cell>
          <cell r="D1021">
            <v>1.3506</v>
          </cell>
          <cell r="E1021">
            <v>1223</v>
          </cell>
          <cell r="F1021">
            <v>12.248749999999999</v>
          </cell>
          <cell r="G1021" t="e">
            <v>#VALUE!</v>
          </cell>
          <cell r="I1021">
            <v>3.9779999999999998</v>
          </cell>
          <cell r="J1021">
            <v>6.8398000000000003</v>
          </cell>
          <cell r="K1021">
            <v>6</v>
          </cell>
          <cell r="L1021">
            <v>5.49</v>
          </cell>
          <cell r="M1021">
            <v>5.29</v>
          </cell>
          <cell r="O1021">
            <v>1.5422</v>
          </cell>
          <cell r="P1021">
            <v>0.68059999999999998</v>
          </cell>
          <cell r="Q1021">
            <v>113.29709080223334</v>
          </cell>
          <cell r="U1021">
            <v>2.7528000000000001</v>
          </cell>
          <cell r="V1021">
            <v>339.298</v>
          </cell>
          <cell r="W1021" t="str">
            <v>#N/A N/A</v>
          </cell>
        </row>
        <row r="1022">
          <cell r="B1022">
            <v>81.363</v>
          </cell>
          <cell r="D1022">
            <v>1.3651</v>
          </cell>
          <cell r="E1022">
            <v>1188.78</v>
          </cell>
          <cell r="F1022">
            <v>11.82023</v>
          </cell>
          <cell r="G1022" t="e">
            <v>#VALUE!</v>
          </cell>
          <cell r="I1022">
            <v>4.0772000000000004</v>
          </cell>
          <cell r="J1022">
            <v>6.8346</v>
          </cell>
          <cell r="K1022">
            <v>6.03</v>
          </cell>
          <cell r="L1022">
            <v>5.5</v>
          </cell>
          <cell r="M1022">
            <v>5.28</v>
          </cell>
          <cell r="O1022">
            <v>1.5485</v>
          </cell>
          <cell r="P1022">
            <v>0.70250000000000001</v>
          </cell>
          <cell r="Q1022">
            <v>110.21352313167259</v>
          </cell>
          <cell r="U1022">
            <v>3.0121000000000002</v>
          </cell>
          <cell r="V1022">
            <v>270.72399999999999</v>
          </cell>
          <cell r="W1022" t="str">
            <v>#N/A N/A</v>
          </cell>
        </row>
        <row r="1023">
          <cell r="B1023">
            <v>82.05</v>
          </cell>
          <cell r="D1023">
            <v>1.3532999999999999</v>
          </cell>
          <cell r="E1023">
            <v>1238.4000000000001</v>
          </cell>
          <cell r="F1023">
            <v>12.214589999999999</v>
          </cell>
          <cell r="G1023" t="e">
            <v>#VALUE!</v>
          </cell>
          <cell r="I1023">
            <v>3.9453</v>
          </cell>
          <cell r="J1023">
            <v>6.8319999999999999</v>
          </cell>
          <cell r="K1023">
            <v>6.06</v>
          </cell>
          <cell r="L1023">
            <v>5.47</v>
          </cell>
          <cell r="M1023">
            <v>5.17</v>
          </cell>
          <cell r="O1023">
            <v>1.5406</v>
          </cell>
          <cell r="P1023">
            <v>0.68340000000000001</v>
          </cell>
          <cell r="Q1023">
            <v>112.7158326016974</v>
          </cell>
          <cell r="U1023">
            <v>2.8188</v>
          </cell>
          <cell r="V1023">
            <v>300.964</v>
          </cell>
          <cell r="W1023" t="str">
            <v>#N/A N/A</v>
          </cell>
        </row>
        <row r="1024">
          <cell r="B1024">
            <v>82.454999999999998</v>
          </cell>
          <cell r="D1024">
            <v>1.3397999999999999</v>
          </cell>
          <cell r="E1024">
            <v>1345.22</v>
          </cell>
          <cell r="F1024">
            <v>13.638059999999999</v>
          </cell>
          <cell r="G1024" t="e">
            <v>#VALUE!</v>
          </cell>
          <cell r="I1024">
            <v>3.9569000000000001</v>
          </cell>
          <cell r="J1024">
            <v>6.8434999999999997</v>
          </cell>
          <cell r="K1024">
            <v>6.08</v>
          </cell>
          <cell r="L1024">
            <v>5.6</v>
          </cell>
          <cell r="M1024">
            <v>5.27</v>
          </cell>
          <cell r="O1024">
            <v>1.5222</v>
          </cell>
          <cell r="P1024">
            <v>0.66890000000000005</v>
          </cell>
          <cell r="Q1024">
            <v>113.78382418896695</v>
          </cell>
          <cell r="U1024">
            <v>2.8388999999999998</v>
          </cell>
          <cell r="V1024">
            <v>375.02499999999998</v>
          </cell>
          <cell r="W1024" t="str">
            <v>#N/A N/A</v>
          </cell>
        </row>
        <row r="1025">
          <cell r="B1025">
            <v>82.412999999999997</v>
          </cell>
          <cell r="D1025">
            <v>1.3448</v>
          </cell>
          <cell r="E1025">
            <v>1289.5</v>
          </cell>
          <cell r="F1025">
            <v>13.133430000000001</v>
          </cell>
          <cell r="G1025" t="e">
            <v>#VALUE!</v>
          </cell>
          <cell r="I1025">
            <v>3.9298999999999999</v>
          </cell>
          <cell r="J1025">
            <v>6.8441000000000001</v>
          </cell>
          <cell r="K1025">
            <v>6.1</v>
          </cell>
          <cell r="L1025">
            <v>5.48</v>
          </cell>
          <cell r="M1025">
            <v>5.03</v>
          </cell>
          <cell r="O1025">
            <v>1.5272999999999999</v>
          </cell>
          <cell r="P1025">
            <v>0.69510000000000005</v>
          </cell>
          <cell r="Q1025">
            <v>109.86189037548553</v>
          </cell>
          <cell r="U1025">
            <v>2.8315999999999999</v>
          </cell>
          <cell r="V1025">
            <v>376.53800000000001</v>
          </cell>
          <cell r="W1025" t="str">
            <v>#N/A N/A</v>
          </cell>
        </row>
        <row r="1026">
          <cell r="B1026">
            <v>82.412999999999997</v>
          </cell>
          <cell r="D1026">
            <v>1.3448</v>
          </cell>
          <cell r="E1026">
            <v>1289.5</v>
          </cell>
          <cell r="F1026">
            <v>13.133430000000001</v>
          </cell>
          <cell r="G1026" t="e">
            <v>#VALUE!</v>
          </cell>
          <cell r="I1026">
            <v>3.9298999999999999</v>
          </cell>
          <cell r="J1026">
            <v>6.8441000000000001</v>
          </cell>
          <cell r="K1026">
            <v>6.1</v>
          </cell>
          <cell r="L1026">
            <v>5.48</v>
          </cell>
          <cell r="M1026">
            <v>5.03</v>
          </cell>
          <cell r="O1026">
            <v>1.5272999999999999</v>
          </cell>
          <cell r="P1026">
            <v>0.69510000000000005</v>
          </cell>
          <cell r="Q1026">
            <v>109.86189037548553</v>
          </cell>
          <cell r="U1026">
            <v>2.8315999999999999</v>
          </cell>
          <cell r="V1026">
            <v>376.53800000000001</v>
          </cell>
          <cell r="W1026" t="str">
            <v>#N/A N/A</v>
          </cell>
        </row>
        <row r="1027">
          <cell r="B1027">
            <v>82.412999999999997</v>
          </cell>
          <cell r="D1027">
            <v>1.3448</v>
          </cell>
          <cell r="E1027">
            <v>1289.5</v>
          </cell>
          <cell r="F1027">
            <v>13.133430000000001</v>
          </cell>
          <cell r="G1027" t="e">
            <v>#VALUE!</v>
          </cell>
          <cell r="I1027">
            <v>3.9298999999999999</v>
          </cell>
          <cell r="J1027">
            <v>6.8441000000000001</v>
          </cell>
          <cell r="K1027">
            <v>6.1</v>
          </cell>
          <cell r="L1027">
            <v>5.48</v>
          </cell>
          <cell r="M1027">
            <v>5.03</v>
          </cell>
          <cell r="O1027">
            <v>1.5272999999999999</v>
          </cell>
          <cell r="P1027">
            <v>0.69510000000000005</v>
          </cell>
          <cell r="Q1027">
            <v>109.86189037548553</v>
          </cell>
          <cell r="U1027">
            <v>2.8315999999999999</v>
          </cell>
          <cell r="V1027">
            <v>376.53800000000001</v>
          </cell>
          <cell r="W1027" t="str">
            <v>#N/A N/A</v>
          </cell>
        </row>
        <row r="1028">
          <cell r="B1028">
            <v>83.1</v>
          </cell>
          <cell r="D1028">
            <v>1.3303</v>
          </cell>
          <cell r="E1028">
            <v>1315</v>
          </cell>
          <cell r="F1028">
            <v>12.934570000000001</v>
          </cell>
          <cell r="G1028" t="e">
            <v>#VALUE!</v>
          </cell>
          <cell r="I1028">
            <v>3.8416000000000001</v>
          </cell>
          <cell r="J1028">
            <v>6.8301999999999996</v>
          </cell>
          <cell r="K1028">
            <v>6.12</v>
          </cell>
          <cell r="L1028">
            <v>5.5</v>
          </cell>
          <cell r="M1028">
            <v>5.03</v>
          </cell>
          <cell r="O1028">
            <v>1.5322</v>
          </cell>
          <cell r="P1028">
            <v>0.6966</v>
          </cell>
          <cell r="Q1028">
            <v>109.97703129486077</v>
          </cell>
          <cell r="U1028">
            <v>2.7875000000000001</v>
          </cell>
          <cell r="V1028">
            <v>393.27499999999998</v>
          </cell>
          <cell r="W1028" t="str">
            <v>#N/A N/A</v>
          </cell>
        </row>
        <row r="1029">
          <cell r="B1029">
            <v>83.99</v>
          </cell>
          <cell r="D1029">
            <v>1.3102</v>
          </cell>
          <cell r="E1029">
            <v>1360.98</v>
          </cell>
          <cell r="F1029">
            <v>13.15371</v>
          </cell>
          <cell r="G1029" t="e">
            <v>#VALUE!</v>
          </cell>
          <cell r="I1029">
            <v>3.7387999999999999</v>
          </cell>
          <cell r="J1029">
            <v>6.8337000000000003</v>
          </cell>
          <cell r="K1029">
            <v>6.14</v>
          </cell>
          <cell r="L1029">
            <v>5.49</v>
          </cell>
          <cell r="M1029">
            <v>5</v>
          </cell>
          <cell r="O1029">
            <v>1.5131999999999999</v>
          </cell>
          <cell r="P1029">
            <v>0.68149999999999999</v>
          </cell>
          <cell r="Q1029">
            <v>111.019809244314</v>
          </cell>
          <cell r="U1029">
            <v>2.6593999999999998</v>
          </cell>
          <cell r="V1029">
            <v>408.10500000000002</v>
          </cell>
          <cell r="W1029" t="str">
            <v>#N/A N/A</v>
          </cell>
        </row>
        <row r="1030">
          <cell r="B1030">
            <v>85.37</v>
          </cell>
          <cell r="D1030">
            <v>1.2876000000000001</v>
          </cell>
          <cell r="E1030">
            <v>1430.65</v>
          </cell>
          <cell r="F1030">
            <v>13.82024</v>
          </cell>
          <cell r="G1030" t="e">
            <v>#VALUE!</v>
          </cell>
          <cell r="I1030">
            <v>3.5939999999999999</v>
          </cell>
          <cell r="J1030">
            <v>6.8347999999999995</v>
          </cell>
          <cell r="K1030">
            <v>6.15</v>
          </cell>
          <cell r="L1030">
            <v>5.37</v>
          </cell>
          <cell r="M1030">
            <v>4.8</v>
          </cell>
          <cell r="O1030">
            <v>1.4937</v>
          </cell>
          <cell r="P1030">
            <v>0.67620000000000002</v>
          </cell>
          <cell r="Q1030">
            <v>110.44809228039041</v>
          </cell>
          <cell r="U1030">
            <v>2.5221</v>
          </cell>
          <cell r="V1030">
            <v>460.12599999999998</v>
          </cell>
          <cell r="W1030" t="str">
            <v>#N/A N/A</v>
          </cell>
        </row>
        <row r="1031">
          <cell r="B1031">
            <v>85.36</v>
          </cell>
          <cell r="D1031">
            <v>1.2817000000000001</v>
          </cell>
          <cell r="E1031">
            <v>1391.93</v>
          </cell>
          <cell r="F1031">
            <v>14.509270000000001</v>
          </cell>
          <cell r="G1031" t="e">
            <v>#VALUE!</v>
          </cell>
          <cell r="I1031">
            <v>3.6745000000000001</v>
          </cell>
          <cell r="J1031">
            <v>6.8356000000000003</v>
          </cell>
          <cell r="K1031">
            <v>6.16</v>
          </cell>
          <cell r="L1031">
            <v>5.42</v>
          </cell>
          <cell r="M1031">
            <v>4.84</v>
          </cell>
          <cell r="O1031">
            <v>1.4934000000000001</v>
          </cell>
          <cell r="P1031">
            <v>0.65859999999999996</v>
          </cell>
          <cell r="Q1031">
            <v>113.3768600060735</v>
          </cell>
          <cell r="U1031">
            <v>2.6287000000000003</v>
          </cell>
          <cell r="V1031">
            <v>556.55700000000002</v>
          </cell>
          <cell r="W1031" t="str">
            <v>#N/A N/A</v>
          </cell>
        </row>
        <row r="1032">
          <cell r="B1032">
            <v>86.44</v>
          </cell>
          <cell r="D1032">
            <v>1.2681</v>
          </cell>
          <cell r="E1032">
            <v>1420.95</v>
          </cell>
          <cell r="F1032">
            <v>15.07929</v>
          </cell>
          <cell r="G1032" t="e">
            <v>#VALUE!</v>
          </cell>
          <cell r="I1032">
            <v>3.6856</v>
          </cell>
          <cell r="J1032">
            <v>6.8441000000000001</v>
          </cell>
          <cell r="K1032">
            <v>6.18</v>
          </cell>
          <cell r="L1032">
            <v>5.47</v>
          </cell>
          <cell r="M1032">
            <v>4.84</v>
          </cell>
          <cell r="O1032">
            <v>1.4755</v>
          </cell>
          <cell r="P1032">
            <v>0.62619999999999998</v>
          </cell>
          <cell r="Q1032">
            <v>117.81379750878314</v>
          </cell>
          <cell r="U1032">
            <v>2.581</v>
          </cell>
          <cell r="V1032">
            <v>667.96100000000001</v>
          </cell>
          <cell r="W1032" t="str">
            <v>#N/A N/A</v>
          </cell>
        </row>
        <row r="1033">
          <cell r="B1033">
            <v>86.44</v>
          </cell>
          <cell r="D1033">
            <v>1.2681</v>
          </cell>
          <cell r="E1033">
            <v>1420.95</v>
          </cell>
          <cell r="F1033">
            <v>15.07929</v>
          </cell>
          <cell r="G1033" t="e">
            <v>#VALUE!</v>
          </cell>
          <cell r="I1033">
            <v>3.6856</v>
          </cell>
          <cell r="J1033">
            <v>6.8441000000000001</v>
          </cell>
          <cell r="K1033">
            <v>6.18</v>
          </cell>
          <cell r="L1033">
            <v>5.47</v>
          </cell>
          <cell r="M1033">
            <v>4.84</v>
          </cell>
          <cell r="O1033">
            <v>1.4755</v>
          </cell>
          <cell r="P1033">
            <v>0.62619999999999998</v>
          </cell>
          <cell r="Q1033">
            <v>117.81379750878314</v>
          </cell>
          <cell r="U1033">
            <v>2.581</v>
          </cell>
          <cell r="V1033">
            <v>667.96100000000001</v>
          </cell>
          <cell r="W1033" t="str">
            <v>#N/A N/A</v>
          </cell>
        </row>
        <row r="1034">
          <cell r="B1034">
            <v>86.44</v>
          </cell>
          <cell r="D1034">
            <v>1.2681</v>
          </cell>
          <cell r="E1034">
            <v>1420.95</v>
          </cell>
          <cell r="F1034">
            <v>15.07929</v>
          </cell>
          <cell r="G1034" t="e">
            <v>#VALUE!</v>
          </cell>
          <cell r="I1034">
            <v>3.6856</v>
          </cell>
          <cell r="J1034">
            <v>6.8441000000000001</v>
          </cell>
          <cell r="K1034">
            <v>6.18</v>
          </cell>
          <cell r="L1034">
            <v>5.47</v>
          </cell>
          <cell r="M1034">
            <v>4.84</v>
          </cell>
          <cell r="O1034">
            <v>1.4755</v>
          </cell>
          <cell r="P1034">
            <v>0.62619999999999998</v>
          </cell>
          <cell r="Q1034">
            <v>117.81379750878314</v>
          </cell>
          <cell r="U1034">
            <v>2.581</v>
          </cell>
          <cell r="V1034">
            <v>667.96100000000001</v>
          </cell>
          <cell r="W1034" t="str">
            <v>#N/A N/A</v>
          </cell>
        </row>
        <row r="1035">
          <cell r="B1035">
            <v>86.933999999999997</v>
          </cell>
          <cell r="D1035">
            <v>1.2570000000000001</v>
          </cell>
          <cell r="E1035">
            <v>1468.32</v>
          </cell>
          <cell r="F1035">
            <v>15.65701</v>
          </cell>
          <cell r="G1035" t="e">
            <v>#VALUE!</v>
          </cell>
          <cell r="I1035">
            <v>3.6874000000000002</v>
          </cell>
          <cell r="J1035">
            <v>6.8522999999999996</v>
          </cell>
          <cell r="K1035">
            <v>6.04</v>
          </cell>
          <cell r="L1035">
            <v>5.22</v>
          </cell>
          <cell r="M1035">
            <v>4.5199999999999996</v>
          </cell>
          <cell r="O1035">
            <v>1.4501999999999999</v>
          </cell>
          <cell r="P1035">
            <v>0.61170000000000002</v>
          </cell>
          <cell r="Q1035">
            <v>118.53849926434525</v>
          </cell>
          <cell r="U1035">
            <v>2.6042000000000001</v>
          </cell>
          <cell r="V1035">
            <v>674.875</v>
          </cell>
          <cell r="W1035" t="str">
            <v>#N/A N/A</v>
          </cell>
        </row>
        <row r="1036">
          <cell r="B1036">
            <v>87.028000000000006</v>
          </cell>
          <cell r="D1036">
            <v>1.2471000000000001</v>
          </cell>
          <cell r="E1036">
            <v>1438.25</v>
          </cell>
          <cell r="F1036">
            <v>14.91601</v>
          </cell>
          <cell r="G1036" t="e">
            <v>#VALUE!</v>
          </cell>
          <cell r="I1036">
            <v>3.8336000000000001</v>
          </cell>
          <cell r="J1036">
            <v>6.8489000000000004</v>
          </cell>
          <cell r="K1036">
            <v>6.05</v>
          </cell>
          <cell r="L1036">
            <v>5.32</v>
          </cell>
          <cell r="M1036">
            <v>4.5599999999999996</v>
          </cell>
          <cell r="O1036">
            <v>1.4490000000000001</v>
          </cell>
          <cell r="P1036">
            <v>0.62549999999999994</v>
          </cell>
          <cell r="Q1036">
            <v>115.82733812949641</v>
          </cell>
          <cell r="U1036">
            <v>2.7218</v>
          </cell>
          <cell r="V1036">
            <v>586.58000000000004</v>
          </cell>
          <cell r="W1036" t="str">
            <v>#N/A N/A</v>
          </cell>
        </row>
        <row r="1037">
          <cell r="B1037">
            <v>85.070999999999998</v>
          </cell>
          <cell r="D1037">
            <v>1.2897000000000001</v>
          </cell>
          <cell r="E1037">
            <v>1419</v>
          </cell>
          <cell r="F1037">
            <v>14.49456</v>
          </cell>
          <cell r="G1037" t="e">
            <v>#VALUE!</v>
          </cell>
          <cell r="I1037">
            <v>3.8546</v>
          </cell>
          <cell r="J1037">
            <v>6.8390000000000004</v>
          </cell>
          <cell r="K1037">
            <v>6.06</v>
          </cell>
          <cell r="L1037">
            <v>5.53</v>
          </cell>
          <cell r="M1037">
            <v>4.54</v>
          </cell>
          <cell r="O1037">
            <v>1.4607999999999999</v>
          </cell>
          <cell r="P1037">
            <v>0.6704</v>
          </cell>
          <cell r="Q1037">
            <v>108.94988066825775</v>
          </cell>
          <cell r="U1037">
            <v>2.7147999999999999</v>
          </cell>
          <cell r="V1037">
            <v>577.01400000000001</v>
          </cell>
          <cell r="W1037" t="str">
            <v>#N/A N/A</v>
          </cell>
        </row>
        <row r="1038">
          <cell r="B1038">
            <v>84.555999999999997</v>
          </cell>
          <cell r="D1038">
            <v>1.2924</v>
          </cell>
          <cell r="E1038">
            <v>1288.95</v>
          </cell>
          <cell r="F1038">
            <v>13.13011</v>
          </cell>
          <cell r="G1038" t="e">
            <v>#VALUE!</v>
          </cell>
          <cell r="I1038">
            <v>3.9645000000000001</v>
          </cell>
          <cell r="J1038">
            <v>6.827</v>
          </cell>
          <cell r="K1038">
            <v>6.06</v>
          </cell>
          <cell r="L1038">
            <v>5.5</v>
          </cell>
          <cell r="M1038">
            <v>4.3899999999999997</v>
          </cell>
          <cell r="O1038">
            <v>1.4742999999999999</v>
          </cell>
          <cell r="P1038">
            <v>0.6724</v>
          </cell>
          <cell r="Q1038">
            <v>109.62968471148127</v>
          </cell>
          <cell r="U1038">
            <v>2.7959000000000001</v>
          </cell>
          <cell r="V1038">
            <v>391.71199999999999</v>
          </cell>
          <cell r="W1038" t="str">
            <v>#N/A N/A</v>
          </cell>
        </row>
        <row r="1039">
          <cell r="B1039">
            <v>85.632999999999996</v>
          </cell>
          <cell r="D1039">
            <v>1.2725</v>
          </cell>
          <cell r="E1039">
            <v>1346.5</v>
          </cell>
          <cell r="F1039">
            <v>13.70274</v>
          </cell>
          <cell r="G1039" t="e">
            <v>#VALUE!</v>
          </cell>
          <cell r="I1039">
            <v>3.9529999999999998</v>
          </cell>
          <cell r="J1039">
            <v>6.8395000000000001</v>
          </cell>
          <cell r="K1039">
            <v>5.98</v>
          </cell>
          <cell r="L1039">
            <v>5.49</v>
          </cell>
          <cell r="M1039">
            <v>4.47</v>
          </cell>
          <cell r="O1039">
            <v>1.4775</v>
          </cell>
          <cell r="P1039">
            <v>0.66449999999999998</v>
          </cell>
          <cell r="Q1039">
            <v>111.17381489841986</v>
          </cell>
          <cell r="U1039">
            <v>2.8277000000000001</v>
          </cell>
          <cell r="V1039">
            <v>380.88799999999998</v>
          </cell>
          <cell r="W1039" t="str">
            <v>#N/A N/A</v>
          </cell>
        </row>
        <row r="1040">
          <cell r="B1040">
            <v>85.632999999999996</v>
          </cell>
          <cell r="D1040">
            <v>1.2725</v>
          </cell>
          <cell r="E1040">
            <v>1346.5</v>
          </cell>
          <cell r="F1040">
            <v>13.70274</v>
          </cell>
          <cell r="G1040" t="e">
            <v>#VALUE!</v>
          </cell>
          <cell r="I1040">
            <v>3.9529999999999998</v>
          </cell>
          <cell r="J1040">
            <v>6.8395000000000001</v>
          </cell>
          <cell r="K1040">
            <v>5.98</v>
          </cell>
          <cell r="L1040">
            <v>5.49</v>
          </cell>
          <cell r="M1040">
            <v>4.47</v>
          </cell>
          <cell r="O1040">
            <v>1.4775</v>
          </cell>
          <cell r="P1040">
            <v>0.66449999999999998</v>
          </cell>
          <cell r="Q1040">
            <v>111.17381489841986</v>
          </cell>
          <cell r="U1040">
            <v>2.8277000000000001</v>
          </cell>
          <cell r="V1040">
            <v>380.88799999999998</v>
          </cell>
          <cell r="W1040" t="str">
            <v>#N/A N/A</v>
          </cell>
        </row>
        <row r="1041">
          <cell r="B1041">
            <v>85.632999999999996</v>
          </cell>
          <cell r="D1041">
            <v>1.2725</v>
          </cell>
          <cell r="E1041">
            <v>1346.5</v>
          </cell>
          <cell r="F1041">
            <v>13.70274</v>
          </cell>
          <cell r="G1041" t="e">
            <v>#VALUE!</v>
          </cell>
          <cell r="I1041">
            <v>3.9529999999999998</v>
          </cell>
          <cell r="J1041">
            <v>6.8395000000000001</v>
          </cell>
          <cell r="K1041">
            <v>5.98</v>
          </cell>
          <cell r="L1041">
            <v>5.49</v>
          </cell>
          <cell r="M1041">
            <v>4.47</v>
          </cell>
          <cell r="O1041">
            <v>1.4775</v>
          </cell>
          <cell r="P1041">
            <v>0.66449999999999998</v>
          </cell>
          <cell r="Q1041">
            <v>111.17381489841986</v>
          </cell>
          <cell r="U1041">
            <v>2.8277000000000001</v>
          </cell>
          <cell r="V1041">
            <v>380.88799999999998</v>
          </cell>
          <cell r="W1041" t="str">
            <v>#N/A N/A</v>
          </cell>
        </row>
        <row r="1042">
          <cell r="B1042">
            <v>86.353999999999999</v>
          </cell>
          <cell r="D1042">
            <v>1.2650999999999999</v>
          </cell>
          <cell r="E1042">
            <v>1260.82</v>
          </cell>
          <cell r="F1042">
            <v>12.724679999999999</v>
          </cell>
          <cell r="G1042" t="e">
            <v>#VALUE!</v>
          </cell>
          <cell r="I1042">
            <v>3.9140999999999999</v>
          </cell>
          <cell r="J1042">
            <v>6.8380999999999998</v>
          </cell>
          <cell r="K1042">
            <v>5.97</v>
          </cell>
          <cell r="L1042">
            <v>5.58</v>
          </cell>
          <cell r="M1042">
            <v>4.71</v>
          </cell>
          <cell r="O1042">
            <v>1.4830000000000001</v>
          </cell>
          <cell r="P1042">
            <v>0.67910000000000004</v>
          </cell>
          <cell r="Q1042">
            <v>109.18863201295832</v>
          </cell>
          <cell r="U1042">
            <v>2.6993999999999998</v>
          </cell>
          <cell r="V1042">
            <v>316.78399999999999</v>
          </cell>
          <cell r="W1042" t="str">
            <v>#N/A N/A</v>
          </cell>
        </row>
        <row r="1043">
          <cell r="B1043">
            <v>84.784000000000006</v>
          </cell>
          <cell r="D1043">
            <v>1.2984</v>
          </cell>
          <cell r="E1043">
            <v>1243.28</v>
          </cell>
          <cell r="F1043">
            <v>12.40546</v>
          </cell>
          <cell r="G1043" t="e">
            <v>#VALUE!</v>
          </cell>
          <cell r="I1043">
            <v>3.7246999999999999</v>
          </cell>
          <cell r="J1043">
            <v>6.8360000000000003</v>
          </cell>
          <cell r="K1043">
            <v>5.94</v>
          </cell>
          <cell r="L1043">
            <v>5.51</v>
          </cell>
          <cell r="M1043">
            <v>4.68</v>
          </cell>
          <cell r="O1043">
            <v>1.5091000000000001</v>
          </cell>
          <cell r="P1043">
            <v>0.69799999999999995</v>
          </cell>
          <cell r="Q1043">
            <v>108.10171919770775</v>
          </cell>
          <cell r="U1043">
            <v>2.5319000000000003</v>
          </cell>
          <cell r="V1043">
            <v>254.33199999999999</v>
          </cell>
          <cell r="W1043" t="str">
            <v>#N/A N/A</v>
          </cell>
        </row>
        <row r="1044">
          <cell r="B1044">
            <v>84.605999999999995</v>
          </cell>
          <cell r="D1044">
            <v>1.3001</v>
          </cell>
          <cell r="E1044">
            <v>1276.3</v>
          </cell>
          <cell r="F1044">
            <v>12.899089999999999</v>
          </cell>
          <cell r="G1044" t="e">
            <v>#VALUE!</v>
          </cell>
          <cell r="I1044">
            <v>3.7019000000000002</v>
          </cell>
          <cell r="J1044">
            <v>6.8383000000000003</v>
          </cell>
          <cell r="K1044">
            <v>5.93</v>
          </cell>
          <cell r="L1044">
            <v>5.42</v>
          </cell>
          <cell r="M1044">
            <v>4.5999999999999996</v>
          </cell>
          <cell r="O1044">
            <v>1.5114000000000001</v>
          </cell>
          <cell r="P1044">
            <v>0.69389999999999996</v>
          </cell>
          <cell r="Q1044">
            <v>108.90618244703849</v>
          </cell>
          <cell r="U1044">
            <v>2.5049999999999999</v>
          </cell>
          <cell r="V1044">
            <v>285.60500000000002</v>
          </cell>
          <cell r="W1044" t="str">
            <v>#N/A N/A</v>
          </cell>
        </row>
        <row r="1045">
          <cell r="B1045">
            <v>85.893000000000001</v>
          </cell>
          <cell r="D1045">
            <v>1.2742</v>
          </cell>
          <cell r="E1045">
            <v>1354.78</v>
          </cell>
          <cell r="F1045">
            <v>13.821429999999999</v>
          </cell>
          <cell r="G1045" t="e">
            <v>#VALUE!</v>
          </cell>
          <cell r="I1045">
            <v>3.6886000000000001</v>
          </cell>
          <cell r="J1045">
            <v>6.8231999999999999</v>
          </cell>
          <cell r="K1045">
            <v>5.92</v>
          </cell>
          <cell r="L1045">
            <v>5.33</v>
          </cell>
          <cell r="M1045">
            <v>4.55</v>
          </cell>
          <cell r="O1045">
            <v>1.4981</v>
          </cell>
          <cell r="P1045">
            <v>0.67459999999999998</v>
          </cell>
          <cell r="Q1045">
            <v>111.03616958197451</v>
          </cell>
          <cell r="U1045">
            <v>2.4582999999999999</v>
          </cell>
          <cell r="V1045">
            <v>300.66300000000001</v>
          </cell>
          <cell r="W1045" t="str">
            <v>#N/A N/A</v>
          </cell>
        </row>
        <row r="1046">
          <cell r="B1046">
            <v>85.906999999999996</v>
          </cell>
          <cell r="D1046">
            <v>1.2761</v>
          </cell>
          <cell r="E1046">
            <v>1313</v>
          </cell>
          <cell r="F1046">
            <v>13.455679999999999</v>
          </cell>
          <cell r="G1046" t="e">
            <v>#VALUE!</v>
          </cell>
          <cell r="I1046">
            <v>3.7928999999999999</v>
          </cell>
          <cell r="J1046">
            <v>6.8307000000000002</v>
          </cell>
          <cell r="K1046">
            <v>5.69</v>
          </cell>
          <cell r="L1046">
            <v>5.43</v>
          </cell>
          <cell r="M1046">
            <v>4.72</v>
          </cell>
          <cell r="O1046">
            <v>1.5024</v>
          </cell>
          <cell r="P1046">
            <v>0.67190000000000005</v>
          </cell>
          <cell r="Q1046">
            <v>111.80235154040778</v>
          </cell>
          <cell r="U1046">
            <v>2.5613999999999999</v>
          </cell>
          <cell r="V1046">
            <v>300</v>
          </cell>
          <cell r="W1046" t="str">
            <v>#N/A N/A</v>
          </cell>
        </row>
        <row r="1047">
          <cell r="B1047">
            <v>85.906999999999996</v>
          </cell>
          <cell r="D1047">
            <v>1.2761</v>
          </cell>
          <cell r="E1047">
            <v>1313</v>
          </cell>
          <cell r="F1047">
            <v>13.455679999999999</v>
          </cell>
          <cell r="G1047" t="e">
            <v>#VALUE!</v>
          </cell>
          <cell r="I1047">
            <v>3.7928999999999999</v>
          </cell>
          <cell r="J1047">
            <v>6.8307000000000002</v>
          </cell>
          <cell r="K1047">
            <v>5.69</v>
          </cell>
          <cell r="L1047">
            <v>5.43</v>
          </cell>
          <cell r="M1047">
            <v>4.72</v>
          </cell>
          <cell r="O1047">
            <v>1.5024</v>
          </cell>
          <cell r="P1047">
            <v>0.67190000000000005</v>
          </cell>
          <cell r="Q1047">
            <v>111.80235154040778</v>
          </cell>
          <cell r="U1047">
            <v>2.5613999999999999</v>
          </cell>
          <cell r="V1047">
            <v>300</v>
          </cell>
          <cell r="W1047" t="str">
            <v>#N/A N/A</v>
          </cell>
        </row>
        <row r="1048">
          <cell r="B1048">
            <v>85.906999999999996</v>
          </cell>
          <cell r="D1048">
            <v>1.2761</v>
          </cell>
          <cell r="E1048">
            <v>1313</v>
          </cell>
          <cell r="F1048">
            <v>13.455679999999999</v>
          </cell>
          <cell r="G1048" t="e">
            <v>#VALUE!</v>
          </cell>
          <cell r="I1048">
            <v>3.7928999999999999</v>
          </cell>
          <cell r="J1048">
            <v>6.8307000000000002</v>
          </cell>
          <cell r="K1048">
            <v>5.69</v>
          </cell>
          <cell r="L1048">
            <v>5.43</v>
          </cell>
          <cell r="M1048">
            <v>4.72</v>
          </cell>
          <cell r="O1048">
            <v>1.5024</v>
          </cell>
          <cell r="P1048">
            <v>0.67190000000000005</v>
          </cell>
          <cell r="Q1048">
            <v>111.80235154040778</v>
          </cell>
          <cell r="U1048">
            <v>2.5613999999999999</v>
          </cell>
          <cell r="V1048">
            <v>300</v>
          </cell>
          <cell r="W1048" t="str">
            <v>#N/A N/A</v>
          </cell>
        </row>
        <row r="1049">
          <cell r="B1049">
            <v>85.912000000000006</v>
          </cell>
          <cell r="D1049">
            <v>1.2765</v>
          </cell>
          <cell r="E1049">
            <v>1342.93</v>
          </cell>
          <cell r="F1049">
            <v>13.7415</v>
          </cell>
          <cell r="G1049" t="e">
            <v>#VALUE!</v>
          </cell>
          <cell r="I1049">
            <v>3.7431999999999999</v>
          </cell>
          <cell r="J1049">
            <v>6.8265000000000002</v>
          </cell>
          <cell r="K1049">
            <v>5.69</v>
          </cell>
          <cell r="L1049">
            <v>5.59</v>
          </cell>
          <cell r="M1049">
            <v>5</v>
          </cell>
          <cell r="O1049">
            <v>1.504</v>
          </cell>
          <cell r="P1049">
            <v>0.67</v>
          </cell>
          <cell r="Q1049">
            <v>112.23880597014926</v>
          </cell>
          <cell r="U1049">
            <v>2.4874999999999998</v>
          </cell>
          <cell r="V1049">
            <v>266.74400000000003</v>
          </cell>
          <cell r="W1049" t="str">
            <v>#N/A N/A</v>
          </cell>
        </row>
        <row r="1050">
          <cell r="B1050">
            <v>87.075000000000003</v>
          </cell>
          <cell r="D1050">
            <v>1.2556</v>
          </cell>
          <cell r="E1050">
            <v>1333.72</v>
          </cell>
          <cell r="F1050">
            <v>13.683440000000001</v>
          </cell>
          <cell r="G1050" t="e">
            <v>#VALUE!</v>
          </cell>
          <cell r="I1050">
            <v>3.7431999999999999</v>
          </cell>
          <cell r="J1050">
            <v>6.8211000000000004</v>
          </cell>
          <cell r="K1050">
            <v>5.69</v>
          </cell>
          <cell r="L1050">
            <v>5.61</v>
          </cell>
          <cell r="M1050">
            <v>5.01</v>
          </cell>
          <cell r="O1050">
            <v>1.4887999999999999</v>
          </cell>
          <cell r="P1050">
            <v>0.65339999999999998</v>
          </cell>
          <cell r="Q1050">
            <v>113.92715029078666</v>
          </cell>
          <cell r="U1050">
            <v>2.4874000000000001</v>
          </cell>
          <cell r="V1050">
            <v>312.23599999999999</v>
          </cell>
          <cell r="W1050" t="str">
            <v>#N/A N/A</v>
          </cell>
        </row>
        <row r="1051">
          <cell r="B1051">
            <v>87.47</v>
          </cell>
          <cell r="D1051">
            <v>1.2556</v>
          </cell>
          <cell r="E1051">
            <v>1359.6</v>
          </cell>
          <cell r="F1051">
            <v>14.30654</v>
          </cell>
          <cell r="G1051" t="e">
            <v>#VALUE!</v>
          </cell>
          <cell r="I1051">
            <v>3.6465999999999998</v>
          </cell>
          <cell r="J1051">
            <v>6.8296999999999999</v>
          </cell>
          <cell r="K1051">
            <v>5.59</v>
          </cell>
          <cell r="L1051">
            <v>5.56</v>
          </cell>
          <cell r="M1051">
            <v>4.9400000000000004</v>
          </cell>
          <cell r="O1051">
            <v>1.4852000000000001</v>
          </cell>
          <cell r="P1051">
            <v>0.64459999999999995</v>
          </cell>
          <cell r="Q1051">
            <v>115.20322680732238</v>
          </cell>
          <cell r="U1051">
            <v>2.3542000000000001</v>
          </cell>
          <cell r="V1051">
            <v>347.21100000000001</v>
          </cell>
          <cell r="W1051" t="str">
            <v>#N/A N/A</v>
          </cell>
        </row>
        <row r="1052">
          <cell r="B1052">
            <v>86.938000000000002</v>
          </cell>
          <cell r="D1052">
            <v>1.2452000000000001</v>
          </cell>
          <cell r="E1052">
            <v>1408.5</v>
          </cell>
          <cell r="F1052">
            <v>14.78411</v>
          </cell>
          <cell r="G1052" t="e">
            <v>#VALUE!</v>
          </cell>
          <cell r="I1052">
            <v>3.8525</v>
          </cell>
          <cell r="J1052">
            <v>6.83</v>
          </cell>
          <cell r="K1052">
            <v>5.59</v>
          </cell>
          <cell r="L1052">
            <v>5.85</v>
          </cell>
          <cell r="M1052">
            <v>5.24</v>
          </cell>
          <cell r="O1052">
            <v>1.4933000000000001</v>
          </cell>
          <cell r="P1052">
            <v>0.63429999999999997</v>
          </cell>
          <cell r="Q1052">
            <v>117.71243890903361</v>
          </cell>
          <cell r="U1052">
            <v>2.4238</v>
          </cell>
          <cell r="V1052">
            <v>369.661</v>
          </cell>
          <cell r="W1052" t="str">
            <v>#N/A N/A</v>
          </cell>
        </row>
        <row r="1053">
          <cell r="B1053">
            <v>86.364999999999995</v>
          </cell>
          <cell r="D1053">
            <v>1.2726</v>
          </cell>
          <cell r="E1053">
            <v>1426.75</v>
          </cell>
          <cell r="F1053">
            <v>14.7544</v>
          </cell>
          <cell r="G1053" t="e">
            <v>#VALUE!</v>
          </cell>
          <cell r="I1053">
            <v>3.7349000000000001</v>
          </cell>
          <cell r="J1053">
            <v>6.8243</v>
          </cell>
          <cell r="K1053">
            <v>5.56</v>
          </cell>
          <cell r="L1053">
            <v>6.05</v>
          </cell>
          <cell r="M1053">
            <v>5.4</v>
          </cell>
          <cell r="O1053">
            <v>1.5121</v>
          </cell>
          <cell r="P1053">
            <v>0.65610000000000002</v>
          </cell>
          <cell r="Q1053">
            <v>115.23395823807346</v>
          </cell>
          <cell r="U1053">
            <v>2.3266999999999998</v>
          </cell>
          <cell r="V1053">
            <v>357.43400000000003</v>
          </cell>
          <cell r="W1053" t="str">
            <v>#N/A N/A</v>
          </cell>
        </row>
        <row r="1054">
          <cell r="B1054">
            <v>86.364999999999995</v>
          </cell>
          <cell r="D1054">
            <v>1.2726</v>
          </cell>
          <cell r="E1054">
            <v>1426.75</v>
          </cell>
          <cell r="F1054">
            <v>14.7544</v>
          </cell>
          <cell r="G1054" t="e">
            <v>#VALUE!</v>
          </cell>
          <cell r="I1054">
            <v>3.7349000000000001</v>
          </cell>
          <cell r="J1054">
            <v>6.8243</v>
          </cell>
          <cell r="K1054">
            <v>5.56</v>
          </cell>
          <cell r="L1054">
            <v>6.05</v>
          </cell>
          <cell r="M1054">
            <v>5.4</v>
          </cell>
          <cell r="O1054">
            <v>1.5121</v>
          </cell>
          <cell r="P1054">
            <v>0.65610000000000002</v>
          </cell>
          <cell r="Q1054">
            <v>115.23395823807346</v>
          </cell>
          <cell r="U1054">
            <v>2.3266999999999998</v>
          </cell>
          <cell r="V1054">
            <v>357.43400000000003</v>
          </cell>
          <cell r="W1054" t="str">
            <v>#N/A N/A</v>
          </cell>
        </row>
        <row r="1055">
          <cell r="B1055">
            <v>86.364999999999995</v>
          </cell>
          <cell r="D1055">
            <v>1.2726</v>
          </cell>
          <cell r="E1055">
            <v>1426.75</v>
          </cell>
          <cell r="F1055">
            <v>14.7544</v>
          </cell>
          <cell r="G1055" t="e">
            <v>#VALUE!</v>
          </cell>
          <cell r="I1055">
            <v>3.7349000000000001</v>
          </cell>
          <cell r="J1055">
            <v>6.8243</v>
          </cell>
          <cell r="K1055">
            <v>5.56</v>
          </cell>
          <cell r="L1055">
            <v>6.05</v>
          </cell>
          <cell r="M1055">
            <v>5.4</v>
          </cell>
          <cell r="O1055">
            <v>1.5121</v>
          </cell>
          <cell r="P1055">
            <v>0.65610000000000002</v>
          </cell>
          <cell r="Q1055">
            <v>115.23395823807346</v>
          </cell>
          <cell r="U1055">
            <v>2.3266999999999998</v>
          </cell>
          <cell r="V1055">
            <v>357.43400000000003</v>
          </cell>
          <cell r="W1055" t="str">
            <v>#N/A N/A</v>
          </cell>
        </row>
        <row r="1056">
          <cell r="B1056">
            <v>86.807000000000002</v>
          </cell>
          <cell r="D1056">
            <v>1.2724</v>
          </cell>
          <cell r="E1056">
            <v>1427.25</v>
          </cell>
          <cell r="F1056">
            <v>14.71468</v>
          </cell>
          <cell r="G1056" t="e">
            <v>#VALUE!</v>
          </cell>
          <cell r="I1056">
            <v>3.6484000000000001</v>
          </cell>
          <cell r="J1056">
            <v>6.827</v>
          </cell>
          <cell r="K1056">
            <v>5.52</v>
          </cell>
          <cell r="L1056">
            <v>5.91</v>
          </cell>
          <cell r="M1056">
            <v>5.23</v>
          </cell>
          <cell r="O1056">
            <v>1.5209000000000001</v>
          </cell>
          <cell r="P1056">
            <v>0.65669999999999995</v>
          </cell>
          <cell r="Q1056">
            <v>115.79869042180601</v>
          </cell>
          <cell r="U1056">
            <v>2.2667999999999999</v>
          </cell>
          <cell r="V1056">
            <v>371.51799999999997</v>
          </cell>
          <cell r="W1056" t="str">
            <v>#N/A N/A</v>
          </cell>
        </row>
        <row r="1057">
          <cell r="B1057">
            <v>87.372</v>
          </cell>
          <cell r="D1057">
            <v>1.2674000000000001</v>
          </cell>
          <cell r="E1057">
            <v>1439.85</v>
          </cell>
          <cell r="F1057">
            <v>14.84803</v>
          </cell>
          <cell r="G1057" t="e">
            <v>#VALUE!</v>
          </cell>
          <cell r="I1057">
            <v>3.5293000000000001</v>
          </cell>
          <cell r="J1057">
            <v>6.8243999999999998</v>
          </cell>
          <cell r="K1057">
            <v>5.51</v>
          </cell>
          <cell r="L1057">
            <v>6.06</v>
          </cell>
          <cell r="M1057">
            <v>5.36</v>
          </cell>
          <cell r="O1057">
            <v>1.5182</v>
          </cell>
          <cell r="P1057">
            <v>0.65469999999999995</v>
          </cell>
          <cell r="Q1057">
            <v>115.94623491675577</v>
          </cell>
          <cell r="U1057">
            <v>2.1938</v>
          </cell>
          <cell r="V1057">
            <v>398.036</v>
          </cell>
          <cell r="W1057" t="str">
            <v>#N/A N/A</v>
          </cell>
        </row>
        <row r="1058">
          <cell r="B1058">
            <v>87.311999999999998</v>
          </cell>
          <cell r="D1058">
            <v>1.2589999999999999</v>
          </cell>
          <cell r="E1058">
            <v>1476.45</v>
          </cell>
          <cell r="F1058">
            <v>15.24802</v>
          </cell>
          <cell r="G1058" t="e">
            <v>#VALUE!</v>
          </cell>
          <cell r="I1058">
            <v>3.3205</v>
          </cell>
          <cell r="J1058">
            <v>6.8347999999999995</v>
          </cell>
          <cell r="K1058">
            <v>5.5</v>
          </cell>
          <cell r="L1058">
            <v>5.91</v>
          </cell>
          <cell r="M1058">
            <v>5.16</v>
          </cell>
          <cell r="O1058">
            <v>1.5253000000000001</v>
          </cell>
          <cell r="P1058">
            <v>0.64870000000000005</v>
          </cell>
          <cell r="Q1058">
            <v>117.5659010328349</v>
          </cell>
          <cell r="U1058">
            <v>2.0225</v>
          </cell>
          <cell r="V1058">
            <v>392.726</v>
          </cell>
          <cell r="W1058" t="str">
            <v>#N/A N/A</v>
          </cell>
        </row>
        <row r="1059">
          <cell r="B1059">
            <v>87.968999999999994</v>
          </cell>
          <cell r="D1059">
            <v>1.2567999999999999</v>
          </cell>
          <cell r="E1059">
            <v>1504.75</v>
          </cell>
          <cell r="F1059">
            <v>15.680210000000001</v>
          </cell>
          <cell r="G1059" t="e">
            <v>#VALUE!</v>
          </cell>
          <cell r="I1059">
            <v>3.0131000000000001</v>
          </cell>
          <cell r="J1059">
            <v>6.8345000000000002</v>
          </cell>
          <cell r="K1059">
            <v>5.49</v>
          </cell>
          <cell r="L1059">
            <v>5.91</v>
          </cell>
          <cell r="M1059">
            <v>5.15</v>
          </cell>
          <cell r="O1059">
            <v>1.5342</v>
          </cell>
          <cell r="P1059">
            <v>0.623</v>
          </cell>
          <cell r="Q1059">
            <v>123.13001605136438</v>
          </cell>
          <cell r="U1059">
            <v>1.8948</v>
          </cell>
          <cell r="V1059">
            <v>415.71199999999999</v>
          </cell>
          <cell r="W1059" t="str">
            <v>#N/A N/A</v>
          </cell>
        </row>
        <row r="1060">
          <cell r="B1060">
            <v>88.191000000000003</v>
          </cell>
          <cell r="D1060">
            <v>1.254</v>
          </cell>
          <cell r="E1060">
            <v>1475.28</v>
          </cell>
          <cell r="F1060">
            <v>15.47059</v>
          </cell>
          <cell r="G1060" t="e">
            <v>#VALUE!</v>
          </cell>
          <cell r="I1060">
            <v>3.1974</v>
          </cell>
          <cell r="J1060">
            <v>6.8347999999999995</v>
          </cell>
          <cell r="K1060">
            <v>5.48</v>
          </cell>
          <cell r="L1060">
            <v>5.81</v>
          </cell>
          <cell r="M1060">
            <v>4.99</v>
          </cell>
          <cell r="O1060">
            <v>1.5345</v>
          </cell>
          <cell r="P1060">
            <v>0.629</v>
          </cell>
          <cell r="Q1060">
            <v>121.97933227344993</v>
          </cell>
          <cell r="U1060">
            <v>2.0274999999999999</v>
          </cell>
          <cell r="V1060">
            <v>430.02499999999998</v>
          </cell>
          <cell r="W1060" t="str">
            <v>#N/A N/A</v>
          </cell>
        </row>
        <row r="1061">
          <cell r="B1061">
            <v>88.191000000000003</v>
          </cell>
          <cell r="D1061">
            <v>1.254</v>
          </cell>
          <cell r="E1061">
            <v>1475.28</v>
          </cell>
          <cell r="F1061">
            <v>15.47059</v>
          </cell>
          <cell r="G1061" t="e">
            <v>#VALUE!</v>
          </cell>
          <cell r="I1061">
            <v>3.1974</v>
          </cell>
          <cell r="J1061">
            <v>6.8347999999999995</v>
          </cell>
          <cell r="K1061">
            <v>5.48</v>
          </cell>
          <cell r="L1061">
            <v>5.81</v>
          </cell>
          <cell r="M1061">
            <v>4.99</v>
          </cell>
          <cell r="O1061">
            <v>1.5345</v>
          </cell>
          <cell r="P1061">
            <v>0.629</v>
          </cell>
          <cell r="Q1061">
            <v>121.97933227344993</v>
          </cell>
          <cell r="U1061">
            <v>2.0274999999999999</v>
          </cell>
          <cell r="V1061">
            <v>430.02499999999998</v>
          </cell>
          <cell r="W1061" t="str">
            <v>#N/A N/A</v>
          </cell>
        </row>
        <row r="1062">
          <cell r="B1062">
            <v>88.191000000000003</v>
          </cell>
          <cell r="D1062">
            <v>1.254</v>
          </cell>
          <cell r="E1062">
            <v>1475.28</v>
          </cell>
          <cell r="F1062">
            <v>15.47059</v>
          </cell>
          <cell r="G1062" t="e">
            <v>#VALUE!</v>
          </cell>
          <cell r="I1062">
            <v>3.1974</v>
          </cell>
          <cell r="J1062">
            <v>6.8347999999999995</v>
          </cell>
          <cell r="K1062">
            <v>5.48</v>
          </cell>
          <cell r="L1062">
            <v>5.81</v>
          </cell>
          <cell r="M1062">
            <v>4.99</v>
          </cell>
          <cell r="O1062">
            <v>1.5345</v>
          </cell>
          <cell r="P1062">
            <v>0.629</v>
          </cell>
          <cell r="Q1062">
            <v>121.97933227344993</v>
          </cell>
          <cell r="U1062">
            <v>2.0274999999999999</v>
          </cell>
          <cell r="V1062">
            <v>430.02499999999998</v>
          </cell>
          <cell r="W1062" t="str">
            <v>#N/A N/A</v>
          </cell>
        </row>
        <row r="1063">
          <cell r="B1063">
            <v>86.081000000000003</v>
          </cell>
          <cell r="D1063">
            <v>1.2887</v>
          </cell>
          <cell r="E1063">
            <v>1463</v>
          </cell>
          <cell r="F1063">
            <v>15.14794</v>
          </cell>
          <cell r="G1063" t="e">
            <v>#VALUE!</v>
          </cell>
          <cell r="I1063">
            <v>3.3235999999999999</v>
          </cell>
          <cell r="J1063">
            <v>6.8292000000000002</v>
          </cell>
          <cell r="K1063">
            <v>5.48</v>
          </cell>
          <cell r="L1063">
            <v>5.88</v>
          </cell>
          <cell r="M1063">
            <v>5.0599999999999996</v>
          </cell>
          <cell r="O1063">
            <v>1.5443</v>
          </cell>
          <cell r="P1063">
            <v>0.64890000000000003</v>
          </cell>
          <cell r="Q1063">
            <v>118.99368161504083</v>
          </cell>
          <cell r="U1063">
            <v>2.1985999999999999</v>
          </cell>
          <cell r="V1063">
            <v>394.09300000000002</v>
          </cell>
          <cell r="W1063" t="str">
            <v>#N/A N/A</v>
          </cell>
        </row>
        <row r="1064">
          <cell r="B1064">
            <v>85</v>
          </cell>
          <cell r="D1064">
            <v>1.2985</v>
          </cell>
          <cell r="E1064">
            <v>1499.5</v>
          </cell>
          <cell r="F1064">
            <v>15.780340000000001</v>
          </cell>
          <cell r="G1064" t="e">
            <v>#VALUE!</v>
          </cell>
          <cell r="I1064">
            <v>3.1078000000000001</v>
          </cell>
          <cell r="J1064">
            <v>6.8272000000000004</v>
          </cell>
          <cell r="K1064">
            <v>5.47</v>
          </cell>
          <cell r="L1064">
            <v>5.88</v>
          </cell>
          <cell r="M1064">
            <v>5.05</v>
          </cell>
          <cell r="O1064">
            <v>1.5421</v>
          </cell>
          <cell r="P1064">
            <v>0.64449999999999996</v>
          </cell>
          <cell r="Q1064">
            <v>119.6353762606672</v>
          </cell>
          <cell r="U1064">
            <v>2.0333000000000001</v>
          </cell>
          <cell r="V1064">
            <v>378.35</v>
          </cell>
          <cell r="W1064" t="str">
            <v>#N/A N/A</v>
          </cell>
        </row>
        <row r="1065">
          <cell r="B1065">
            <v>85.667000000000002</v>
          </cell>
          <cell r="D1065">
            <v>1.288</v>
          </cell>
          <cell r="E1065">
            <v>1474.5</v>
          </cell>
          <cell r="F1065">
            <v>15.40136</v>
          </cell>
          <cell r="G1065" t="e">
            <v>#VALUE!</v>
          </cell>
          <cell r="I1065">
            <v>2.9784000000000002</v>
          </cell>
          <cell r="J1065">
            <v>6.8285</v>
          </cell>
          <cell r="K1065">
            <v>5.45</v>
          </cell>
          <cell r="L1065">
            <v>5.77</v>
          </cell>
          <cell r="M1065">
            <v>4.88</v>
          </cell>
          <cell r="O1065">
            <v>1.5491999999999999</v>
          </cell>
          <cell r="P1065">
            <v>0.65190000000000003</v>
          </cell>
          <cell r="Q1065">
            <v>118.82190520018408</v>
          </cell>
          <cell r="U1065">
            <v>2.0066000000000002</v>
          </cell>
          <cell r="V1065">
            <v>365.536</v>
          </cell>
          <cell r="W1065" t="str">
            <v>#N/A N/A</v>
          </cell>
        </row>
        <row r="1066">
          <cell r="B1066">
            <v>85.566999999999993</v>
          </cell>
          <cell r="D1066">
            <v>1.2896000000000001</v>
          </cell>
          <cell r="E1066">
            <v>1476.45</v>
          </cell>
          <cell r="F1066">
            <v>15.46669</v>
          </cell>
          <cell r="G1066" t="e">
            <v>#VALUE!</v>
          </cell>
          <cell r="I1066">
            <v>2.9778000000000002</v>
          </cell>
          <cell r="J1066">
            <v>6.8292000000000002</v>
          </cell>
          <cell r="K1066">
            <v>5.45</v>
          </cell>
          <cell r="L1066">
            <v>5.74</v>
          </cell>
          <cell r="M1066">
            <v>4.8600000000000003</v>
          </cell>
          <cell r="O1066">
            <v>1.5491000000000001</v>
          </cell>
          <cell r="P1066">
            <v>0.65949999999999998</v>
          </cell>
          <cell r="Q1066">
            <v>117.44503411675512</v>
          </cell>
          <cell r="U1066">
            <v>2.0131999999999999</v>
          </cell>
          <cell r="V1066">
            <v>366.43599999999998</v>
          </cell>
          <cell r="W1066" t="str">
            <v>#N/A N/A</v>
          </cell>
        </row>
        <row r="1067">
          <cell r="B1067">
            <v>86.516999999999996</v>
          </cell>
          <cell r="D1067">
            <v>1.2705</v>
          </cell>
          <cell r="E1067">
            <v>1469</v>
          </cell>
          <cell r="F1067">
            <v>15.37053</v>
          </cell>
          <cell r="G1067" t="e">
            <v>#VALUE!</v>
          </cell>
          <cell r="I1067">
            <v>2.92</v>
          </cell>
          <cell r="J1067">
            <v>6.8438999999999997</v>
          </cell>
          <cell r="K1067">
            <v>5.45</v>
          </cell>
          <cell r="L1067">
            <v>5.75</v>
          </cell>
          <cell r="M1067">
            <v>4.87</v>
          </cell>
          <cell r="O1067">
            <v>1.5424</v>
          </cell>
          <cell r="P1067">
            <v>0.65580000000000005</v>
          </cell>
          <cell r="Q1067">
            <v>117.59682830131138</v>
          </cell>
          <cell r="U1067">
            <v>1.9144000000000001</v>
          </cell>
          <cell r="V1067">
            <v>368.61399999999998</v>
          </cell>
          <cell r="W1067" t="str">
            <v>#N/A N/A</v>
          </cell>
        </row>
        <row r="1068">
          <cell r="B1068">
            <v>86.516999999999996</v>
          </cell>
          <cell r="D1068">
            <v>1.2705</v>
          </cell>
          <cell r="E1068">
            <v>1469</v>
          </cell>
          <cell r="F1068">
            <v>15.37053</v>
          </cell>
          <cell r="G1068" t="e">
            <v>#VALUE!</v>
          </cell>
          <cell r="I1068">
            <v>2.92</v>
          </cell>
          <cell r="J1068">
            <v>6.8438999999999997</v>
          </cell>
          <cell r="K1068">
            <v>5.45</v>
          </cell>
          <cell r="L1068">
            <v>5.75</v>
          </cell>
          <cell r="M1068">
            <v>4.87</v>
          </cell>
          <cell r="O1068">
            <v>1.5424</v>
          </cell>
          <cell r="P1068">
            <v>0.65580000000000005</v>
          </cell>
          <cell r="Q1068">
            <v>117.59682830131138</v>
          </cell>
          <cell r="U1068">
            <v>1.9144000000000001</v>
          </cell>
          <cell r="V1068">
            <v>368.61399999999998</v>
          </cell>
          <cell r="W1068" t="str">
            <v>#N/A N/A</v>
          </cell>
        </row>
        <row r="1069">
          <cell r="B1069">
            <v>86.516999999999996</v>
          </cell>
          <cell r="D1069">
            <v>1.2705</v>
          </cell>
          <cell r="E1069">
            <v>1469</v>
          </cell>
          <cell r="F1069">
            <v>15.37053</v>
          </cell>
          <cell r="G1069" t="e">
            <v>#VALUE!</v>
          </cell>
          <cell r="I1069">
            <v>2.92</v>
          </cell>
          <cell r="J1069">
            <v>6.8438999999999997</v>
          </cell>
          <cell r="K1069">
            <v>5.45</v>
          </cell>
          <cell r="L1069">
            <v>5.75</v>
          </cell>
          <cell r="M1069">
            <v>4.87</v>
          </cell>
          <cell r="O1069">
            <v>1.5424</v>
          </cell>
          <cell r="P1069">
            <v>0.65580000000000005</v>
          </cell>
          <cell r="Q1069">
            <v>117.59682830131138</v>
          </cell>
          <cell r="U1069">
            <v>1.9144000000000001</v>
          </cell>
          <cell r="V1069">
            <v>368.61399999999998</v>
          </cell>
          <cell r="W1069" t="str">
            <v>#N/A N/A</v>
          </cell>
        </row>
        <row r="1070">
          <cell r="B1070">
            <v>86.724000000000004</v>
          </cell>
          <cell r="D1070">
            <v>1.2625</v>
          </cell>
          <cell r="E1070">
            <v>1477.65</v>
          </cell>
          <cell r="F1070">
            <v>15.85802</v>
          </cell>
          <cell r="G1070" t="e">
            <v>#VALUE!</v>
          </cell>
          <cell r="I1070">
            <v>2.7309000000000001</v>
          </cell>
          <cell r="J1070">
            <v>6.8849999999999998</v>
          </cell>
          <cell r="K1070">
            <v>5.45</v>
          </cell>
          <cell r="L1070">
            <v>5.63</v>
          </cell>
          <cell r="M1070">
            <v>4.7</v>
          </cell>
          <cell r="O1070">
            <v>1.5196000000000001</v>
          </cell>
          <cell r="P1070">
            <v>0.64559999999999995</v>
          </cell>
          <cell r="Q1070">
            <v>117.68897149938044</v>
          </cell>
          <cell r="U1070">
            <v>1.7147999999999999</v>
          </cell>
          <cell r="V1070">
            <v>382.07900000000001</v>
          </cell>
          <cell r="W1070" t="str">
            <v>#N/A N/A</v>
          </cell>
        </row>
        <row r="1071">
          <cell r="B1071">
            <v>86.701999999999998</v>
          </cell>
          <cell r="D1071">
            <v>1.2718</v>
          </cell>
          <cell r="E1071">
            <v>1462.03</v>
          </cell>
          <cell r="F1071">
            <v>15.62494</v>
          </cell>
          <cell r="G1071" t="e">
            <v>#VALUE!</v>
          </cell>
          <cell r="I1071">
            <v>2.6724000000000001</v>
          </cell>
          <cell r="J1071">
            <v>6.8792999999999997</v>
          </cell>
          <cell r="K1071">
            <v>5.45</v>
          </cell>
          <cell r="L1071">
            <v>5.5</v>
          </cell>
          <cell r="M1071">
            <v>4.4400000000000004</v>
          </cell>
          <cell r="O1071">
            <v>1.5345</v>
          </cell>
          <cell r="P1071">
            <v>0.64390000000000003</v>
          </cell>
          <cell r="Q1071">
            <v>119.15670135114146</v>
          </cell>
          <cell r="U1071">
            <v>1.6367</v>
          </cell>
          <cell r="V1071">
            <v>407.14499999999998</v>
          </cell>
          <cell r="W1071" t="str">
            <v>#N/A N/A</v>
          </cell>
        </row>
        <row r="1072">
          <cell r="B1072">
            <v>87.03</v>
          </cell>
          <cell r="D1072">
            <v>1.2665</v>
          </cell>
          <cell r="E1072">
            <v>1446.45</v>
          </cell>
          <cell r="F1072">
            <v>15.55073</v>
          </cell>
          <cell r="G1072" t="e">
            <v>#VALUE!</v>
          </cell>
          <cell r="I1072">
            <v>2.6585000000000001</v>
          </cell>
          <cell r="J1072">
            <v>6.88</v>
          </cell>
          <cell r="K1072">
            <v>5.45</v>
          </cell>
          <cell r="L1072">
            <v>5.35</v>
          </cell>
          <cell r="M1072">
            <v>4.26</v>
          </cell>
          <cell r="O1072">
            <v>1.5367999999999999</v>
          </cell>
          <cell r="P1072">
            <v>0.6452</v>
          </cell>
          <cell r="Q1072">
            <v>119.09485430874147</v>
          </cell>
          <cell r="U1072">
            <v>1.6040999999999999</v>
          </cell>
          <cell r="V1072">
            <v>398.82</v>
          </cell>
          <cell r="W1072" t="str">
            <v>#N/A N/A</v>
          </cell>
        </row>
        <row r="1073">
          <cell r="B1073">
            <v>86.444000000000003</v>
          </cell>
          <cell r="D1073">
            <v>1.2791000000000001</v>
          </cell>
          <cell r="E1073">
            <v>1484.3</v>
          </cell>
          <cell r="F1073">
            <v>16.003679999999999</v>
          </cell>
          <cell r="G1073" t="e">
            <v>#VALUE!</v>
          </cell>
          <cell r="I1073">
            <v>2.5512999999999999</v>
          </cell>
          <cell r="J1073">
            <v>6.86</v>
          </cell>
          <cell r="K1073">
            <v>5.45</v>
          </cell>
          <cell r="L1073">
            <v>5.41</v>
          </cell>
          <cell r="M1073">
            <v>4.33</v>
          </cell>
          <cell r="O1073">
            <v>1.5323</v>
          </cell>
          <cell r="P1073">
            <v>0.64829999999999999</v>
          </cell>
          <cell r="Q1073">
            <v>118.17831250964059</v>
          </cell>
          <cell r="U1073">
            <v>1.5102</v>
          </cell>
          <cell r="V1073">
            <v>400.86599999999999</v>
          </cell>
          <cell r="W1073" t="str">
            <v>#N/A N/A</v>
          </cell>
        </row>
        <row r="1074">
          <cell r="B1074">
            <v>87.120999999999995</v>
          </cell>
          <cell r="D1074">
            <v>1.2718</v>
          </cell>
          <cell r="E1074">
            <v>1475.6</v>
          </cell>
          <cell r="F1074">
            <v>16.028130000000001</v>
          </cell>
          <cell r="G1074" t="e">
            <v>#VALUE!</v>
          </cell>
          <cell r="I1074">
            <v>2.7037</v>
          </cell>
          <cell r="J1074">
            <v>6.8849999999999998</v>
          </cell>
          <cell r="K1074">
            <v>5.45</v>
          </cell>
          <cell r="L1074">
            <v>5.23</v>
          </cell>
          <cell r="M1074">
            <v>4.17</v>
          </cell>
          <cell r="O1074">
            <v>1.5493000000000001</v>
          </cell>
          <cell r="P1074">
            <v>0.63390000000000002</v>
          </cell>
          <cell r="Q1074">
            <v>122.20381763685124</v>
          </cell>
          <cell r="U1074">
            <v>1.6943000000000001</v>
          </cell>
          <cell r="V1074">
            <v>406.92200000000003</v>
          </cell>
          <cell r="W1074" t="str">
            <v>#N/A N/A</v>
          </cell>
        </row>
        <row r="1075">
          <cell r="B1075">
            <v>87.120999999999995</v>
          </cell>
          <cell r="D1075">
            <v>1.2718</v>
          </cell>
          <cell r="E1075">
            <v>1475.6</v>
          </cell>
          <cell r="F1075">
            <v>16.028130000000001</v>
          </cell>
          <cell r="G1075" t="e">
            <v>#VALUE!</v>
          </cell>
          <cell r="I1075">
            <v>2.7037</v>
          </cell>
          <cell r="J1075">
            <v>6.8849999999999998</v>
          </cell>
          <cell r="K1075">
            <v>5.45</v>
          </cell>
          <cell r="L1075">
            <v>5.23</v>
          </cell>
          <cell r="M1075">
            <v>4.17</v>
          </cell>
          <cell r="O1075">
            <v>1.5493000000000001</v>
          </cell>
          <cell r="P1075">
            <v>0.63390000000000002</v>
          </cell>
          <cell r="Q1075">
            <v>122.20381763685124</v>
          </cell>
          <cell r="U1075">
            <v>1.6943000000000001</v>
          </cell>
          <cell r="V1075">
            <v>406.92200000000003</v>
          </cell>
          <cell r="W1075" t="str">
            <v>#N/A N/A</v>
          </cell>
        </row>
        <row r="1076">
          <cell r="B1076">
            <v>87.120999999999995</v>
          </cell>
          <cell r="D1076">
            <v>1.2718</v>
          </cell>
          <cell r="E1076">
            <v>1475.6</v>
          </cell>
          <cell r="F1076">
            <v>16.028130000000001</v>
          </cell>
          <cell r="G1076" t="e">
            <v>#VALUE!</v>
          </cell>
          <cell r="I1076">
            <v>2.7037</v>
          </cell>
          <cell r="J1076">
            <v>6.8849999999999998</v>
          </cell>
          <cell r="K1076">
            <v>5.45</v>
          </cell>
          <cell r="L1076">
            <v>5.23</v>
          </cell>
          <cell r="M1076">
            <v>4.17</v>
          </cell>
          <cell r="O1076">
            <v>1.5493000000000001</v>
          </cell>
          <cell r="P1076">
            <v>0.63390000000000002</v>
          </cell>
          <cell r="Q1076">
            <v>122.20381763685124</v>
          </cell>
          <cell r="U1076">
            <v>1.6943000000000001</v>
          </cell>
          <cell r="V1076">
            <v>406.92200000000003</v>
          </cell>
          <cell r="W1076" t="str">
            <v>#N/A N/A</v>
          </cell>
        </row>
        <row r="1077">
          <cell r="B1077">
            <v>85.56</v>
          </cell>
          <cell r="D1077">
            <v>1.2917000000000001</v>
          </cell>
          <cell r="E1077">
            <v>1448.15</v>
          </cell>
          <cell r="F1077">
            <v>15.604380000000001</v>
          </cell>
          <cell r="G1077" t="e">
            <v>#VALUE!</v>
          </cell>
          <cell r="I1077">
            <v>2.7378</v>
          </cell>
          <cell r="J1077">
            <v>6.8509000000000002</v>
          </cell>
          <cell r="K1077">
            <v>5.45</v>
          </cell>
          <cell r="L1077">
            <v>5.26</v>
          </cell>
          <cell r="M1077">
            <v>4.22</v>
          </cell>
          <cell r="O1077">
            <v>1.5554000000000001</v>
          </cell>
          <cell r="P1077">
            <v>0.66180000000000005</v>
          </cell>
          <cell r="Q1077">
            <v>117.51284375944392</v>
          </cell>
          <cell r="U1077">
            <v>1.7267999999999999</v>
          </cell>
          <cell r="V1077">
            <v>410.47899999999998</v>
          </cell>
          <cell r="W1077" t="str">
            <v>#N/A N/A</v>
          </cell>
        </row>
        <row r="1078">
          <cell r="B1078">
            <v>85.837000000000003</v>
          </cell>
          <cell r="D1078">
            <v>1.2972999999999999</v>
          </cell>
          <cell r="E1078">
            <v>1447.75</v>
          </cell>
          <cell r="F1078">
            <v>15.5006</v>
          </cell>
          <cell r="G1078" t="e">
            <v>#VALUE!</v>
          </cell>
          <cell r="I1078">
            <v>2.6398999999999999</v>
          </cell>
          <cell r="J1078">
            <v>6.8479000000000001</v>
          </cell>
          <cell r="K1078">
            <v>5.44</v>
          </cell>
          <cell r="L1078">
            <v>5.21</v>
          </cell>
          <cell r="M1078">
            <v>4.16</v>
          </cell>
          <cell r="O1078">
            <v>1.5603</v>
          </cell>
          <cell r="P1078">
            <v>0.66300000000000003</v>
          </cell>
          <cell r="Q1078">
            <v>117.66968325791855</v>
          </cell>
          <cell r="U1078">
            <v>1.5996000000000001</v>
          </cell>
          <cell r="V1078">
            <v>400.23200000000003</v>
          </cell>
          <cell r="W1078" t="str">
            <v>#N/A N/A</v>
          </cell>
        </row>
        <row r="1079">
          <cell r="B1079">
            <v>85.483999999999995</v>
          </cell>
          <cell r="D1079">
            <v>1.3009999999999999</v>
          </cell>
          <cell r="E1079">
            <v>1393.65</v>
          </cell>
          <cell r="F1079">
            <v>14.84468</v>
          </cell>
          <cell r="G1079" t="e">
            <v>#VALUE!</v>
          </cell>
          <cell r="I1079">
            <v>2.6823999999999999</v>
          </cell>
          <cell r="J1079">
            <v>6.8475000000000001</v>
          </cell>
          <cell r="K1079">
            <v>5.44</v>
          </cell>
          <cell r="L1079">
            <v>5.2</v>
          </cell>
          <cell r="M1079">
            <v>4.21</v>
          </cell>
          <cell r="O1079">
            <v>1.5554000000000001</v>
          </cell>
          <cell r="P1079">
            <v>0.66149999999999998</v>
          </cell>
          <cell r="Q1079">
            <v>117.56613756613758</v>
          </cell>
          <cell r="U1079">
            <v>1.6124000000000001</v>
          </cell>
          <cell r="V1079">
            <v>376.78199999999998</v>
          </cell>
          <cell r="W1079" t="str">
            <v>#N/A N/A</v>
          </cell>
        </row>
        <row r="1080">
          <cell r="B1080">
            <v>83.834000000000003</v>
          </cell>
          <cell r="D1080">
            <v>1.3384</v>
          </cell>
          <cell r="E1080">
            <v>1358.65</v>
          </cell>
          <cell r="F1080">
            <v>14.667249999999999</v>
          </cell>
          <cell r="G1080" t="e">
            <v>#VALUE!</v>
          </cell>
          <cell r="I1080">
            <v>2.6019000000000001</v>
          </cell>
          <cell r="J1080">
            <v>6.8650000000000002</v>
          </cell>
          <cell r="K1080">
            <v>4.75</v>
          </cell>
          <cell r="L1080">
            <v>4.96</v>
          </cell>
          <cell r="M1080">
            <v>4.01</v>
          </cell>
          <cell r="O1080">
            <v>1.5788</v>
          </cell>
          <cell r="P1080">
            <v>0.67900000000000005</v>
          </cell>
          <cell r="Q1080">
            <v>116.25920471281295</v>
          </cell>
          <cell r="U1080">
            <v>1.544</v>
          </cell>
          <cell r="V1080">
            <v>363.053</v>
          </cell>
          <cell r="W1080" t="str">
            <v>#N/A N/A</v>
          </cell>
        </row>
        <row r="1081">
          <cell r="B1081">
            <v>83.644000000000005</v>
          </cell>
          <cell r="D1081">
            <v>1.3369</v>
          </cell>
          <cell r="E1081">
            <v>1372.35</v>
          </cell>
          <cell r="F1081">
            <v>15.00986</v>
          </cell>
          <cell r="G1081" t="e">
            <v>#VALUE!</v>
          </cell>
          <cell r="I1081">
            <v>2.5705</v>
          </cell>
          <cell r="J1081">
            <v>6.8451000000000004</v>
          </cell>
          <cell r="K1081">
            <v>4.75</v>
          </cell>
          <cell r="L1081">
            <v>4.8499999999999996</v>
          </cell>
          <cell r="M1081">
            <v>3.95</v>
          </cell>
          <cell r="O1081">
            <v>1.5750999999999999</v>
          </cell>
          <cell r="P1081">
            <v>0.66080000000000005</v>
          </cell>
          <cell r="Q1081">
            <v>119.18129539951572</v>
          </cell>
          <cell r="U1081">
            <v>1.5108999999999999</v>
          </cell>
          <cell r="V1081">
            <v>378.36599999999999</v>
          </cell>
          <cell r="W1081" t="str">
            <v>#N/A N/A</v>
          </cell>
        </row>
        <row r="1082">
          <cell r="B1082">
            <v>83.644000000000005</v>
          </cell>
          <cell r="D1082">
            <v>1.3369</v>
          </cell>
          <cell r="E1082">
            <v>1372.35</v>
          </cell>
          <cell r="F1082">
            <v>15.00986</v>
          </cell>
          <cell r="G1082" t="e">
            <v>#VALUE!</v>
          </cell>
          <cell r="I1082">
            <v>2.5705</v>
          </cell>
          <cell r="J1082">
            <v>6.8451000000000004</v>
          </cell>
          <cell r="K1082">
            <v>4.75</v>
          </cell>
          <cell r="L1082">
            <v>4.8499999999999996</v>
          </cell>
          <cell r="M1082">
            <v>3.95</v>
          </cell>
          <cell r="O1082">
            <v>1.5750999999999999</v>
          </cell>
          <cell r="P1082">
            <v>0.66080000000000005</v>
          </cell>
          <cell r="Q1082">
            <v>119.18129539951572</v>
          </cell>
          <cell r="U1082">
            <v>1.5108999999999999</v>
          </cell>
          <cell r="V1082">
            <v>378.36599999999999</v>
          </cell>
          <cell r="W1082" t="str">
            <v>#N/A N/A</v>
          </cell>
        </row>
        <row r="1083">
          <cell r="B1083">
            <v>83.644000000000005</v>
          </cell>
          <cell r="D1083">
            <v>1.3369</v>
          </cell>
          <cell r="E1083">
            <v>1372.35</v>
          </cell>
          <cell r="F1083">
            <v>15.00986</v>
          </cell>
          <cell r="G1083" t="e">
            <v>#VALUE!</v>
          </cell>
          <cell r="I1083">
            <v>2.5705</v>
          </cell>
          <cell r="J1083">
            <v>6.8451000000000004</v>
          </cell>
          <cell r="K1083">
            <v>4.75</v>
          </cell>
          <cell r="L1083">
            <v>4.8499999999999996</v>
          </cell>
          <cell r="M1083">
            <v>3.95</v>
          </cell>
          <cell r="O1083">
            <v>1.5750999999999999</v>
          </cell>
          <cell r="P1083">
            <v>0.66080000000000005</v>
          </cell>
          <cell r="Q1083">
            <v>119.18129539951572</v>
          </cell>
          <cell r="U1083">
            <v>1.5108999999999999</v>
          </cell>
          <cell r="V1083">
            <v>378.36599999999999</v>
          </cell>
          <cell r="W1083" t="str">
            <v>#N/A N/A</v>
          </cell>
        </row>
        <row r="1084">
          <cell r="B1084">
            <v>82.27</v>
          </cell>
          <cell r="D1084">
            <v>1.3658000000000001</v>
          </cell>
          <cell r="E1084">
            <v>1366.27</v>
          </cell>
          <cell r="F1084">
            <v>15.11463</v>
          </cell>
          <cell r="G1084" t="e">
            <v>#VALUE!</v>
          </cell>
          <cell r="I1084">
            <v>2.5127000000000002</v>
          </cell>
          <cell r="J1084">
            <v>6.8441999999999998</v>
          </cell>
          <cell r="K1084">
            <v>4.74</v>
          </cell>
          <cell r="L1084">
            <v>4.8099999999999996</v>
          </cell>
          <cell r="M1084">
            <v>3.97</v>
          </cell>
          <cell r="O1084">
            <v>1.5840999999999998</v>
          </cell>
          <cell r="P1084">
            <v>0.66920000000000002</v>
          </cell>
          <cell r="Q1084">
            <v>118.35774058577404</v>
          </cell>
          <cell r="U1084">
            <v>1.4879</v>
          </cell>
          <cell r="V1084">
            <v>374.80200000000002</v>
          </cell>
          <cell r="W1084" t="str">
            <v>#N/A N/A</v>
          </cell>
        </row>
        <row r="1085">
          <cell r="B1085">
            <v>80.683000000000007</v>
          </cell>
          <cell r="D1085">
            <v>1.3803000000000001</v>
          </cell>
          <cell r="E1085">
            <v>1349.67</v>
          </cell>
          <cell r="F1085">
            <v>14.916180000000001</v>
          </cell>
          <cell r="G1085" t="e">
            <v>#VALUE!</v>
          </cell>
          <cell r="I1085">
            <v>2.2557999999999998</v>
          </cell>
          <cell r="J1085">
            <v>6.8433000000000002</v>
          </cell>
          <cell r="K1085">
            <v>4.49</v>
          </cell>
          <cell r="L1085">
            <v>4.74</v>
          </cell>
          <cell r="M1085">
            <v>3.85</v>
          </cell>
          <cell r="O1085">
            <v>1.575</v>
          </cell>
          <cell r="P1085">
            <v>0.67630000000000001</v>
          </cell>
          <cell r="Q1085">
            <v>116.44240721573267</v>
          </cell>
          <cell r="U1085">
            <v>1.2911000000000001</v>
          </cell>
          <cell r="V1085">
            <v>369.10899999999998</v>
          </cell>
          <cell r="W1085" t="str">
            <v>#N/A N/A</v>
          </cell>
        </row>
        <row r="1086">
          <cell r="B1086">
            <v>78.908000000000001</v>
          </cell>
          <cell r="D1086">
            <v>1.4356</v>
          </cell>
          <cell r="E1086">
            <v>1324.4</v>
          </cell>
          <cell r="F1086">
            <v>14.824</v>
          </cell>
          <cell r="G1086" t="e">
            <v>#VALUE!</v>
          </cell>
          <cell r="I1086">
            <v>2.1915</v>
          </cell>
          <cell r="J1086">
            <v>6.8353000000000002</v>
          </cell>
          <cell r="K1086">
            <v>4.34</v>
          </cell>
          <cell r="L1086">
            <v>4.74</v>
          </cell>
          <cell r="M1086">
            <v>3.84</v>
          </cell>
          <cell r="O1086">
            <v>1.5522</v>
          </cell>
          <cell r="P1086">
            <v>0.69879999999999998</v>
          </cell>
          <cell r="Q1086">
            <v>111.06182026330853</v>
          </cell>
          <cell r="U1086">
            <v>1.3711</v>
          </cell>
          <cell r="V1086">
            <v>363.4</v>
          </cell>
          <cell r="W1086" t="str">
            <v>#N/A N/A</v>
          </cell>
        </row>
        <row r="1087">
          <cell r="B1087">
            <v>79.466999999999999</v>
          </cell>
          <cell r="D1087">
            <v>1.4283999999999999</v>
          </cell>
          <cell r="E1087">
            <v>1291.3499999999999</v>
          </cell>
          <cell r="F1087">
            <v>14.44842</v>
          </cell>
          <cell r="G1087" t="e">
            <v>#VALUE!</v>
          </cell>
          <cell r="I1087">
            <v>2.0788000000000002</v>
          </cell>
          <cell r="J1087">
            <v>6.8422000000000001</v>
          </cell>
          <cell r="K1087">
            <v>4.24</v>
          </cell>
          <cell r="L1087">
            <v>4.67</v>
          </cell>
          <cell r="M1087">
            <v>3.82</v>
          </cell>
          <cell r="O1087">
            <v>1.5438000000000001</v>
          </cell>
          <cell r="P1087">
            <v>0.69569999999999999</v>
          </cell>
          <cell r="Q1087">
            <v>110.95299698145753</v>
          </cell>
          <cell r="U1087">
            <v>1.2583</v>
          </cell>
          <cell r="V1087">
            <v>348.4</v>
          </cell>
          <cell r="W1087" t="str">
            <v>#N/A N/A</v>
          </cell>
        </row>
        <row r="1088">
          <cell r="B1088">
            <v>81.298000000000002</v>
          </cell>
          <cell r="D1088">
            <v>1.3912</v>
          </cell>
          <cell r="E1088">
            <v>1289.3499999999999</v>
          </cell>
          <cell r="F1088">
            <v>14.564590000000001</v>
          </cell>
          <cell r="G1088" t="e">
            <v>#VALUE!</v>
          </cell>
          <cell r="I1088">
            <v>2.1231</v>
          </cell>
          <cell r="J1088">
            <v>6.8357000000000001</v>
          </cell>
          <cell r="K1088">
            <v>4.1900000000000004</v>
          </cell>
          <cell r="L1088">
            <v>4.57</v>
          </cell>
          <cell r="M1088">
            <v>3.81</v>
          </cell>
          <cell r="O1088">
            <v>1.5392000000000001</v>
          </cell>
          <cell r="P1088">
            <v>0.67759999999999998</v>
          </cell>
          <cell r="Q1088">
            <v>113.57733175914994</v>
          </cell>
          <cell r="U1088">
            <v>1.3568</v>
          </cell>
          <cell r="V1088">
            <v>348.4</v>
          </cell>
          <cell r="W1088" t="str">
            <v>#N/A N/A</v>
          </cell>
        </row>
        <row r="1089">
          <cell r="B1089">
            <v>81.298000000000002</v>
          </cell>
          <cell r="D1089">
            <v>1.3912</v>
          </cell>
          <cell r="E1089">
            <v>1289.3499999999999</v>
          </cell>
          <cell r="F1089">
            <v>14.564590000000001</v>
          </cell>
          <cell r="G1089" t="e">
            <v>#VALUE!</v>
          </cell>
          <cell r="I1089">
            <v>2.1231</v>
          </cell>
          <cell r="J1089">
            <v>6.8357000000000001</v>
          </cell>
          <cell r="K1089">
            <v>4.1900000000000004</v>
          </cell>
          <cell r="L1089">
            <v>4.57</v>
          </cell>
          <cell r="M1089">
            <v>3.81</v>
          </cell>
          <cell r="O1089">
            <v>1.5392000000000001</v>
          </cell>
          <cell r="P1089">
            <v>0.67759999999999998</v>
          </cell>
          <cell r="Q1089">
            <v>113.57733175914994</v>
          </cell>
          <cell r="U1089">
            <v>1.3568</v>
          </cell>
          <cell r="V1089">
            <v>348.4</v>
          </cell>
          <cell r="W1089" t="str">
            <v>#N/A N/A</v>
          </cell>
        </row>
        <row r="1090">
          <cell r="B1090">
            <v>81.298000000000002</v>
          </cell>
          <cell r="D1090">
            <v>1.3912</v>
          </cell>
          <cell r="E1090">
            <v>1289.3499999999999</v>
          </cell>
          <cell r="F1090">
            <v>14.564590000000001</v>
          </cell>
          <cell r="G1090" t="e">
            <v>#VALUE!</v>
          </cell>
          <cell r="I1090">
            <v>2.1231</v>
          </cell>
          <cell r="J1090">
            <v>6.8357000000000001</v>
          </cell>
          <cell r="K1090">
            <v>4.1900000000000004</v>
          </cell>
          <cell r="L1090">
            <v>4.57</v>
          </cell>
          <cell r="M1090">
            <v>3.81</v>
          </cell>
          <cell r="O1090">
            <v>1.5392000000000001</v>
          </cell>
          <cell r="P1090">
            <v>0.67759999999999998</v>
          </cell>
          <cell r="Q1090">
            <v>113.57733175914994</v>
          </cell>
          <cell r="U1090">
            <v>1.3568</v>
          </cell>
          <cell r="V1090">
            <v>348.4</v>
          </cell>
          <cell r="W1090" t="str">
            <v>#N/A N/A</v>
          </cell>
        </row>
        <row r="1091">
          <cell r="B1091">
            <v>81.093000000000004</v>
          </cell>
          <cell r="D1091">
            <v>1.3940000000000001</v>
          </cell>
          <cell r="E1091">
            <v>1309</v>
          </cell>
          <cell r="F1091">
            <v>14.696070000000001</v>
          </cell>
          <cell r="G1091" t="e">
            <v>#VALUE!</v>
          </cell>
          <cell r="I1091">
            <v>2.17</v>
          </cell>
          <cell r="J1091">
            <v>6.851</v>
          </cell>
          <cell r="K1091">
            <v>4.09</v>
          </cell>
          <cell r="L1091">
            <v>4.5999999999999996</v>
          </cell>
          <cell r="M1091">
            <v>3.88</v>
          </cell>
          <cell r="O1091">
            <v>1.5213000000000001</v>
          </cell>
          <cell r="P1091">
            <v>0.68259999999999998</v>
          </cell>
          <cell r="Q1091">
            <v>111.43422209200118</v>
          </cell>
          <cell r="U1091">
            <v>1.4243999999999999</v>
          </cell>
          <cell r="V1091">
            <v>341.8</v>
          </cell>
          <cell r="W1091" t="str">
            <v>#N/A N/A</v>
          </cell>
        </row>
        <row r="1092">
          <cell r="B1092">
            <v>81.241</v>
          </cell>
          <cell r="D1092">
            <v>1.3957999999999999</v>
          </cell>
          <cell r="E1092">
            <v>1337.25</v>
          </cell>
          <cell r="F1092">
            <v>14.899979999999999</v>
          </cell>
          <cell r="G1092" t="e">
            <v>#VALUE!</v>
          </cell>
          <cell r="I1092">
            <v>2.1728999999999998</v>
          </cell>
          <cell r="J1092">
            <v>6.8484999999999996</v>
          </cell>
          <cell r="K1092">
            <v>4.03</v>
          </cell>
          <cell r="L1092">
            <v>4.59</v>
          </cell>
          <cell r="M1092">
            <v>3.87</v>
          </cell>
          <cell r="O1092">
            <v>1.5165999999999999</v>
          </cell>
          <cell r="P1092">
            <v>0.67989999999999995</v>
          </cell>
          <cell r="Q1092">
            <v>111.53110751581114</v>
          </cell>
          <cell r="U1092">
            <v>1.4403000000000001</v>
          </cell>
          <cell r="V1092">
            <v>343.68099999999998</v>
          </cell>
          <cell r="W1092" t="str">
            <v>#N/A N/A</v>
          </cell>
        </row>
        <row r="1093">
          <cell r="B1093">
            <v>81.213999999999999</v>
          </cell>
          <cell r="D1093">
            <v>1.3968</v>
          </cell>
          <cell r="E1093">
            <v>1307.3</v>
          </cell>
          <cell r="F1093">
            <v>14.36842</v>
          </cell>
          <cell r="G1093" t="e">
            <v>#VALUE!</v>
          </cell>
          <cell r="I1093">
            <v>2.1819999999999999</v>
          </cell>
          <cell r="J1093">
            <v>6.8451000000000004</v>
          </cell>
          <cell r="K1093">
            <v>3.98</v>
          </cell>
          <cell r="L1093">
            <v>4.49</v>
          </cell>
          <cell r="M1093">
            <v>3.75</v>
          </cell>
          <cell r="O1093">
            <v>1.5059</v>
          </cell>
          <cell r="P1093">
            <v>0.6825</v>
          </cell>
          <cell r="Q1093">
            <v>110.32234432234434</v>
          </cell>
          <cell r="U1093">
            <v>1.5390999999999999</v>
          </cell>
          <cell r="V1093">
            <v>342.589</v>
          </cell>
          <cell r="W1093" t="str">
            <v>#N/A N/A</v>
          </cell>
        </row>
        <row r="1094">
          <cell r="B1094">
            <v>81.213999999999999</v>
          </cell>
          <cell r="D1094">
            <v>1.4041999999999999</v>
          </cell>
          <cell r="E1094">
            <v>1306.8</v>
          </cell>
          <cell r="F1094">
            <v>14.73729</v>
          </cell>
          <cell r="G1094" t="e">
            <v>#VALUE!</v>
          </cell>
          <cell r="I1094">
            <v>2.1808999999999998</v>
          </cell>
          <cell r="J1094">
            <v>6.8312999999999997</v>
          </cell>
          <cell r="K1094">
            <v>3.98</v>
          </cell>
          <cell r="L1094">
            <v>4.49</v>
          </cell>
          <cell r="M1094">
            <v>3.75</v>
          </cell>
          <cell r="O1094">
            <v>1.5158</v>
          </cell>
          <cell r="P1094">
            <v>0.68279999999999996</v>
          </cell>
          <cell r="Q1094">
            <v>110.99882835383714</v>
          </cell>
          <cell r="U1094">
            <v>1.5455999999999999</v>
          </cell>
          <cell r="V1094">
            <v>335.72399999999999</v>
          </cell>
          <cell r="W1094" t="str">
            <v>#N/A N/A</v>
          </cell>
        </row>
        <row r="1095">
          <cell r="B1095">
            <v>80.891999999999996</v>
          </cell>
          <cell r="D1095">
            <v>1.4028</v>
          </cell>
          <cell r="E1095">
            <v>1299.5</v>
          </cell>
          <cell r="F1095">
            <v>14.55819</v>
          </cell>
          <cell r="G1095" t="e">
            <v>#VALUE!</v>
          </cell>
          <cell r="I1095">
            <v>2.1318000000000001</v>
          </cell>
          <cell r="J1095">
            <v>6.8414000000000001</v>
          </cell>
          <cell r="K1095">
            <v>3.95</v>
          </cell>
          <cell r="L1095">
            <v>4.45</v>
          </cell>
          <cell r="M1095">
            <v>3.68</v>
          </cell>
          <cell r="O1095">
            <v>1.5026999999999999</v>
          </cell>
          <cell r="P1095">
            <v>0.68059999999999998</v>
          </cell>
          <cell r="Q1095">
            <v>110.39523949456363</v>
          </cell>
          <cell r="U1095">
            <v>1.5129999999999999</v>
          </cell>
          <cell r="V1095">
            <v>335.72399999999999</v>
          </cell>
          <cell r="W1095" t="str">
            <v>#N/A N/A</v>
          </cell>
        </row>
        <row r="1096">
          <cell r="B1096">
            <v>80.891999999999996</v>
          </cell>
          <cell r="D1096">
            <v>1.4028</v>
          </cell>
          <cell r="E1096">
            <v>1299.5</v>
          </cell>
          <cell r="F1096">
            <v>14.55819</v>
          </cell>
          <cell r="G1096" t="e">
            <v>#VALUE!</v>
          </cell>
          <cell r="I1096">
            <v>2.1318000000000001</v>
          </cell>
          <cell r="J1096">
            <v>6.8414000000000001</v>
          </cell>
          <cell r="K1096">
            <v>3.95</v>
          </cell>
          <cell r="L1096">
            <v>4.45</v>
          </cell>
          <cell r="M1096">
            <v>3.68</v>
          </cell>
          <cell r="O1096">
            <v>1.5026999999999999</v>
          </cell>
          <cell r="P1096">
            <v>0.68059999999999998</v>
          </cell>
          <cell r="Q1096">
            <v>110.39523949456363</v>
          </cell>
          <cell r="U1096">
            <v>1.5129999999999999</v>
          </cell>
          <cell r="V1096">
            <v>335.72399999999999</v>
          </cell>
          <cell r="W1096" t="str">
            <v>#N/A N/A</v>
          </cell>
        </row>
        <row r="1097">
          <cell r="B1097">
            <v>80.891999999999996</v>
          </cell>
          <cell r="D1097">
            <v>1.4028</v>
          </cell>
          <cell r="E1097">
            <v>1299.5</v>
          </cell>
          <cell r="F1097">
            <v>14.55819</v>
          </cell>
          <cell r="G1097" t="e">
            <v>#VALUE!</v>
          </cell>
          <cell r="I1097">
            <v>2.1318000000000001</v>
          </cell>
          <cell r="J1097">
            <v>6.8414000000000001</v>
          </cell>
          <cell r="K1097">
            <v>3.95</v>
          </cell>
          <cell r="L1097">
            <v>4.45</v>
          </cell>
          <cell r="M1097">
            <v>3.68</v>
          </cell>
          <cell r="O1097">
            <v>1.5026999999999999</v>
          </cell>
          <cell r="P1097">
            <v>0.68059999999999998</v>
          </cell>
          <cell r="Q1097">
            <v>110.39523949456363</v>
          </cell>
          <cell r="U1097">
            <v>1.5129999999999999</v>
          </cell>
          <cell r="V1097">
            <v>335.72399999999999</v>
          </cell>
          <cell r="W1097" t="str">
            <v>#N/A N/A</v>
          </cell>
        </row>
        <row r="1098">
          <cell r="B1098">
            <v>80.685000000000002</v>
          </cell>
          <cell r="D1098">
            <v>1.4172</v>
          </cell>
          <cell r="E1098">
            <v>1265.52</v>
          </cell>
          <cell r="F1098">
            <v>14.140180000000001</v>
          </cell>
          <cell r="G1098" t="e">
            <v>#VALUE!</v>
          </cell>
          <cell r="I1098">
            <v>2.0989</v>
          </cell>
          <cell r="J1098">
            <v>6.8407</v>
          </cell>
          <cell r="K1098">
            <v>3.94</v>
          </cell>
          <cell r="L1098">
            <v>4.4000000000000004</v>
          </cell>
          <cell r="M1098">
            <v>3.61</v>
          </cell>
          <cell r="O1098">
            <v>1.4814000000000001</v>
          </cell>
          <cell r="P1098">
            <v>0.6925</v>
          </cell>
          <cell r="Q1098">
            <v>106.96028880866426</v>
          </cell>
          <cell r="U1098">
            <v>1.4544999999999999</v>
          </cell>
          <cell r="V1098">
            <v>336.94</v>
          </cell>
          <cell r="W1098" t="str">
            <v>#N/A N/A</v>
          </cell>
        </row>
        <row r="1099">
          <cell r="B1099">
            <v>80.899000000000001</v>
          </cell>
          <cell r="D1099">
            <v>1.4114</v>
          </cell>
          <cell r="E1099">
            <v>1259.55</v>
          </cell>
          <cell r="F1099">
            <v>14.972049999999999</v>
          </cell>
          <cell r="G1099" t="e">
            <v>#VALUE!</v>
          </cell>
          <cell r="I1099">
            <v>2.0529999999999999</v>
          </cell>
          <cell r="J1099">
            <v>6.8353000000000002</v>
          </cell>
          <cell r="K1099">
            <v>3.93</v>
          </cell>
          <cell r="L1099">
            <v>4.22</v>
          </cell>
          <cell r="M1099">
            <v>3.41</v>
          </cell>
          <cell r="O1099">
            <v>1.4912000000000001</v>
          </cell>
          <cell r="P1099">
            <v>0.69059999999999999</v>
          </cell>
          <cell r="Q1099">
            <v>107.96408919779903</v>
          </cell>
          <cell r="U1099">
            <v>1.4382999999999999</v>
          </cell>
          <cell r="V1099">
            <v>326.72500000000002</v>
          </cell>
          <cell r="W1099" t="str">
            <v>#N/A N/A</v>
          </cell>
        </row>
        <row r="1100">
          <cell r="B1100">
            <v>81.308000000000007</v>
          </cell>
          <cell r="D1100">
            <v>1.3951</v>
          </cell>
          <cell r="E1100">
            <v>1294.8</v>
          </cell>
          <cell r="F1100">
            <v>13.87552</v>
          </cell>
          <cell r="G1100" t="e">
            <v>#VALUE!</v>
          </cell>
          <cell r="I1100">
            <v>2.2122999999999999</v>
          </cell>
          <cell r="J1100">
            <v>6.8254999999999999</v>
          </cell>
          <cell r="K1100">
            <v>3.93</v>
          </cell>
          <cell r="L1100">
            <v>4.22</v>
          </cell>
          <cell r="M1100">
            <v>3.41</v>
          </cell>
          <cell r="O1100">
            <v>1.4910999999999999</v>
          </cell>
          <cell r="P1100">
            <v>0.70469999999999999</v>
          </cell>
          <cell r="Q1100">
            <v>105.79679296154391</v>
          </cell>
          <cell r="U1100">
            <v>1.5489000000000002</v>
          </cell>
          <cell r="V1100">
            <v>332.971</v>
          </cell>
          <cell r="W1100" t="str">
            <v>#N/A N/A</v>
          </cell>
        </row>
        <row r="1101">
          <cell r="B1101">
            <v>81.308000000000007</v>
          </cell>
          <cell r="D1101">
            <v>1.3972</v>
          </cell>
          <cell r="E1101">
            <v>1259.55</v>
          </cell>
          <cell r="F1101">
            <v>13.8771</v>
          </cell>
          <cell r="G1101" t="e">
            <v>#VALUE!</v>
          </cell>
          <cell r="I1101">
            <v>2.2122999999999999</v>
          </cell>
          <cell r="J1101">
            <v>6.8235000000000001</v>
          </cell>
          <cell r="K1101">
            <v>3.93</v>
          </cell>
          <cell r="L1101">
            <v>4.22</v>
          </cell>
          <cell r="M1101">
            <v>3.41</v>
          </cell>
          <cell r="O1101">
            <v>1.4905999999999999</v>
          </cell>
          <cell r="P1101">
            <v>0.70240000000000002</v>
          </cell>
          <cell r="Q1101">
            <v>106.10763097949885</v>
          </cell>
          <cell r="U1101">
            <v>1.5489999999999999</v>
          </cell>
          <cell r="V1101">
            <v>319.57100000000003</v>
          </cell>
          <cell r="W1101" t="str">
            <v>#N/A N/A</v>
          </cell>
        </row>
        <row r="1102">
          <cell r="B1102">
            <v>81.838999999999999</v>
          </cell>
          <cell r="D1102">
            <v>1.3921000000000001</v>
          </cell>
          <cell r="E1102">
            <v>1322.1</v>
          </cell>
          <cell r="F1102">
            <v>14.469440000000001</v>
          </cell>
          <cell r="G1102" t="e">
            <v>#VALUE!</v>
          </cell>
          <cell r="I1102">
            <v>2.3688000000000002</v>
          </cell>
          <cell r="J1102">
            <v>6.8346</v>
          </cell>
          <cell r="K1102">
            <v>3.93</v>
          </cell>
          <cell r="L1102">
            <v>4.25</v>
          </cell>
          <cell r="M1102">
            <v>3.42</v>
          </cell>
          <cell r="O1102">
            <v>1.4903</v>
          </cell>
          <cell r="P1102">
            <v>0.70589999999999997</v>
          </cell>
          <cell r="Q1102">
            <v>105.56027765972517</v>
          </cell>
          <cell r="U1102">
            <v>1.6507000000000001</v>
          </cell>
          <cell r="V1102">
            <v>335.45499999999998</v>
          </cell>
          <cell r="W1102" t="str">
            <v>#N/A N/A</v>
          </cell>
        </row>
        <row r="1103">
          <cell r="B1103">
            <v>81.838999999999999</v>
          </cell>
          <cell r="D1103">
            <v>1.3921000000000001</v>
          </cell>
          <cell r="E1103">
            <v>1322.1</v>
          </cell>
          <cell r="F1103">
            <v>14.469440000000001</v>
          </cell>
          <cell r="G1103" t="e">
            <v>#VALUE!</v>
          </cell>
          <cell r="I1103">
            <v>2.3688000000000002</v>
          </cell>
          <cell r="J1103">
            <v>6.8346</v>
          </cell>
          <cell r="K1103">
            <v>3.93</v>
          </cell>
          <cell r="L1103">
            <v>4.25</v>
          </cell>
          <cell r="M1103">
            <v>3.42</v>
          </cell>
          <cell r="O1103">
            <v>1.4903</v>
          </cell>
          <cell r="P1103">
            <v>0.70589999999999997</v>
          </cell>
          <cell r="Q1103">
            <v>105.56027765972517</v>
          </cell>
          <cell r="U1103">
            <v>1.6507000000000001</v>
          </cell>
          <cell r="V1103">
            <v>335.45499999999998</v>
          </cell>
          <cell r="W1103" t="str">
            <v>#N/A N/A</v>
          </cell>
        </row>
        <row r="1104">
          <cell r="B1104">
            <v>81.838999999999999</v>
          </cell>
          <cell r="D1104">
            <v>1.3921000000000001</v>
          </cell>
          <cell r="E1104">
            <v>1322.1</v>
          </cell>
          <cell r="F1104">
            <v>14.469440000000001</v>
          </cell>
          <cell r="G1104" t="e">
            <v>#VALUE!</v>
          </cell>
          <cell r="I1104">
            <v>2.3688000000000002</v>
          </cell>
          <cell r="J1104">
            <v>6.8346</v>
          </cell>
          <cell r="K1104">
            <v>3.93</v>
          </cell>
          <cell r="L1104">
            <v>4.25</v>
          </cell>
          <cell r="M1104">
            <v>3.42</v>
          </cell>
          <cell r="O1104">
            <v>1.4903</v>
          </cell>
          <cell r="P1104">
            <v>0.70589999999999997</v>
          </cell>
          <cell r="Q1104">
            <v>105.56027765972517</v>
          </cell>
          <cell r="U1104">
            <v>1.6507000000000001</v>
          </cell>
          <cell r="V1104">
            <v>335.45499999999998</v>
          </cell>
          <cell r="W1104" t="str">
            <v>#N/A N/A</v>
          </cell>
        </row>
        <row r="1105">
          <cell r="B1105">
            <v>82.637</v>
          </cell>
          <cell r="D1105">
            <v>1.3582000000000001</v>
          </cell>
          <cell r="E1105">
            <v>1313.5</v>
          </cell>
          <cell r="F1105">
            <v>14.08859</v>
          </cell>
          <cell r="G1105" t="e">
            <v>#VALUE!</v>
          </cell>
          <cell r="I1105">
            <v>2.4811999999999999</v>
          </cell>
          <cell r="J1105">
            <v>6.8387000000000002</v>
          </cell>
          <cell r="K1105">
            <v>3.92</v>
          </cell>
          <cell r="L1105">
            <v>4.22</v>
          </cell>
          <cell r="M1105">
            <v>3.35</v>
          </cell>
          <cell r="O1105">
            <v>1.5036</v>
          </cell>
          <cell r="P1105">
            <v>0.71440000000000003</v>
          </cell>
          <cell r="Q1105">
            <v>105.23516237402015</v>
          </cell>
          <cell r="U1105">
            <v>1.6772</v>
          </cell>
          <cell r="V1105">
            <v>304.48399999999998</v>
          </cell>
          <cell r="W1105" t="str">
            <v>#N/A N/A</v>
          </cell>
        </row>
        <row r="1106">
          <cell r="B1106">
            <v>82.85</v>
          </cell>
          <cell r="D1106">
            <v>1.3496000000000001</v>
          </cell>
          <cell r="E1106">
            <v>1312.25</v>
          </cell>
          <cell r="F1106">
            <v>13.837120000000001</v>
          </cell>
          <cell r="G1106" t="e">
            <v>#VALUE!</v>
          </cell>
          <cell r="I1106">
            <v>2.4454000000000002</v>
          </cell>
          <cell r="J1106">
            <v>6.8383000000000003</v>
          </cell>
          <cell r="K1106">
            <v>3.92</v>
          </cell>
          <cell r="L1106">
            <v>4.24</v>
          </cell>
          <cell r="M1106">
            <v>3.34</v>
          </cell>
          <cell r="O1106">
            <v>1.5097</v>
          </cell>
          <cell r="P1106">
            <v>0.7218</v>
          </cell>
          <cell r="Q1106">
            <v>104.57883070102523</v>
          </cell>
          <cell r="U1106">
            <v>1.6476</v>
          </cell>
          <cell r="V1106">
            <v>283.01499999999999</v>
          </cell>
          <cell r="W1106" t="str">
            <v>#N/A N/A</v>
          </cell>
        </row>
        <row r="1107">
          <cell r="B1107">
            <v>82.275000000000006</v>
          </cell>
          <cell r="D1107">
            <v>1.3665</v>
          </cell>
          <cell r="E1107">
            <v>1292.5999999999999</v>
          </cell>
          <cell r="F1107">
            <v>14.172040000000001</v>
          </cell>
          <cell r="G1107" t="e">
            <v>#VALUE!</v>
          </cell>
          <cell r="I1107">
            <v>2.4942000000000002</v>
          </cell>
          <cell r="J1107">
            <v>6.8388999999999998</v>
          </cell>
          <cell r="K1107">
            <v>3.92</v>
          </cell>
          <cell r="L1107">
            <v>4.3499999999999996</v>
          </cell>
          <cell r="M1107">
            <v>3.45</v>
          </cell>
          <cell r="O1107">
            <v>1.4976</v>
          </cell>
          <cell r="P1107">
            <v>0.71860000000000002</v>
          </cell>
          <cell r="Q1107">
            <v>104.20261619816308</v>
          </cell>
          <cell r="U1107">
            <v>1.6642000000000001</v>
          </cell>
          <cell r="V1107">
            <v>270.17700000000002</v>
          </cell>
          <cell r="W1107" t="str">
            <v>#N/A N/A</v>
          </cell>
        </row>
        <row r="1108">
          <cell r="B1108">
            <v>81.536000000000001</v>
          </cell>
          <cell r="D1108">
            <v>1.3702000000000001</v>
          </cell>
          <cell r="E1108">
            <v>1333.57</v>
          </cell>
          <cell r="F1108">
            <v>14.55772</v>
          </cell>
          <cell r="G1108" t="e">
            <v>#VALUE!</v>
          </cell>
          <cell r="I1108">
            <v>2.4398</v>
          </cell>
          <cell r="J1108">
            <v>6.8369999999999997</v>
          </cell>
          <cell r="K1108">
            <v>3.25</v>
          </cell>
          <cell r="L1108">
            <v>4.16</v>
          </cell>
          <cell r="M1108">
            <v>3.26</v>
          </cell>
          <cell r="O1108">
            <v>1.498</v>
          </cell>
          <cell r="P1108">
            <v>0.71060000000000001</v>
          </cell>
          <cell r="Q1108">
            <v>105.40388404165493</v>
          </cell>
          <cell r="U1108">
            <v>1.5851999999999999</v>
          </cell>
          <cell r="V1108">
            <v>279.86799999999999</v>
          </cell>
          <cell r="W1108" t="str">
            <v>#N/A N/A</v>
          </cell>
        </row>
        <row r="1109">
          <cell r="B1109">
            <v>82.662999999999997</v>
          </cell>
          <cell r="D1109">
            <v>1.3475999999999999</v>
          </cell>
          <cell r="E1109">
            <v>1342.75</v>
          </cell>
          <cell r="F1109">
            <v>14.888020000000001</v>
          </cell>
          <cell r="G1109" t="e">
            <v>#VALUE!</v>
          </cell>
          <cell r="I1109">
            <v>2.39</v>
          </cell>
          <cell r="J1109">
            <v>6.8362999999999996</v>
          </cell>
          <cell r="K1109">
            <v>3.18</v>
          </cell>
          <cell r="L1109">
            <v>4.37</v>
          </cell>
          <cell r="M1109">
            <v>3.48</v>
          </cell>
          <cell r="O1109">
            <v>1.4983</v>
          </cell>
          <cell r="P1109">
            <v>0.70620000000000005</v>
          </cell>
          <cell r="Q1109">
            <v>106.08184650240725</v>
          </cell>
          <cell r="U1109">
            <v>1.5098</v>
          </cell>
          <cell r="V1109">
            <v>273.21800000000002</v>
          </cell>
          <cell r="W1109" t="str">
            <v>#N/A N/A</v>
          </cell>
        </row>
        <row r="1110">
          <cell r="B1110">
            <v>82.662999999999997</v>
          </cell>
          <cell r="D1110">
            <v>1.3475999999999999</v>
          </cell>
          <cell r="E1110">
            <v>1342.75</v>
          </cell>
          <cell r="F1110">
            <v>14.888020000000001</v>
          </cell>
          <cell r="G1110" t="e">
            <v>#VALUE!</v>
          </cell>
          <cell r="I1110">
            <v>2.39</v>
          </cell>
          <cell r="J1110">
            <v>6.8362999999999996</v>
          </cell>
          <cell r="K1110">
            <v>3.18</v>
          </cell>
          <cell r="L1110">
            <v>4.37</v>
          </cell>
          <cell r="M1110">
            <v>3.48</v>
          </cell>
          <cell r="O1110">
            <v>1.4983</v>
          </cell>
          <cell r="P1110">
            <v>0.70620000000000005</v>
          </cell>
          <cell r="Q1110">
            <v>106.08184650240725</v>
          </cell>
          <cell r="U1110">
            <v>1.5098</v>
          </cell>
          <cell r="V1110">
            <v>273.21800000000002</v>
          </cell>
          <cell r="W1110" t="str">
            <v>#N/A N/A</v>
          </cell>
        </row>
        <row r="1111">
          <cell r="B1111">
            <v>82.662999999999997</v>
          </cell>
          <cell r="D1111">
            <v>1.3475999999999999</v>
          </cell>
          <cell r="E1111">
            <v>1342.75</v>
          </cell>
          <cell r="F1111">
            <v>14.888020000000001</v>
          </cell>
          <cell r="G1111" t="e">
            <v>#VALUE!</v>
          </cell>
          <cell r="I1111">
            <v>2.39</v>
          </cell>
          <cell r="J1111">
            <v>6.8362999999999996</v>
          </cell>
          <cell r="K1111">
            <v>3.18</v>
          </cell>
          <cell r="L1111">
            <v>4.37</v>
          </cell>
          <cell r="M1111">
            <v>3.48</v>
          </cell>
          <cell r="O1111">
            <v>1.4983</v>
          </cell>
          <cell r="P1111">
            <v>0.70620000000000005</v>
          </cell>
          <cell r="Q1111">
            <v>106.08184650240725</v>
          </cell>
          <cell r="U1111">
            <v>1.5098</v>
          </cell>
          <cell r="V1111">
            <v>273.21800000000002</v>
          </cell>
          <cell r="W1111" t="str">
            <v>#N/A N/A</v>
          </cell>
        </row>
        <row r="1112">
          <cell r="B1112">
            <v>83.019000000000005</v>
          </cell>
          <cell r="D1112">
            <v>1.3411999999999999</v>
          </cell>
          <cell r="E1112">
            <v>1358.5</v>
          </cell>
          <cell r="F1112">
            <v>15.352410000000001</v>
          </cell>
          <cell r="G1112" t="e">
            <v>#VALUE!</v>
          </cell>
          <cell r="I1112">
            <v>2.3044000000000002</v>
          </cell>
          <cell r="J1112">
            <v>6.8411999999999997</v>
          </cell>
          <cell r="K1112">
            <v>3.18</v>
          </cell>
          <cell r="L1112">
            <v>4.42</v>
          </cell>
          <cell r="M1112">
            <v>3.53</v>
          </cell>
          <cell r="O1112">
            <v>1.4891000000000001</v>
          </cell>
          <cell r="P1112">
            <v>0.68410000000000004</v>
          </cell>
          <cell r="Q1112">
            <v>108.83642742289139</v>
          </cell>
          <cell r="U1112">
            <v>1.4411</v>
          </cell>
          <cell r="V1112">
            <v>272.93700000000001</v>
          </cell>
          <cell r="W1112" t="str">
            <v>#N/A N/A</v>
          </cell>
        </row>
        <row r="1113">
          <cell r="B1113">
            <v>84.265000000000001</v>
          </cell>
          <cell r="D1113">
            <v>1.3202</v>
          </cell>
          <cell r="E1113">
            <v>1354</v>
          </cell>
          <cell r="F1113">
            <v>14.98011</v>
          </cell>
          <cell r="G1113" t="e">
            <v>#VALUE!</v>
          </cell>
          <cell r="I1113">
            <v>2.2923999999999998</v>
          </cell>
          <cell r="J1113">
            <v>6.8395000000000001</v>
          </cell>
          <cell r="K1113">
            <v>3.13</v>
          </cell>
          <cell r="L1113">
            <v>4.3899999999999997</v>
          </cell>
          <cell r="M1113">
            <v>3.5</v>
          </cell>
          <cell r="O1113">
            <v>1.4777</v>
          </cell>
          <cell r="P1113">
            <v>0.66700000000000004</v>
          </cell>
          <cell r="Q1113">
            <v>110.77211394302849</v>
          </cell>
          <cell r="U1113">
            <v>1.4377</v>
          </cell>
          <cell r="V1113">
            <v>293.62200000000001</v>
          </cell>
          <cell r="W1113" t="str">
            <v>#N/A N/A</v>
          </cell>
        </row>
        <row r="1114">
          <cell r="B1114">
            <v>84.418999999999997</v>
          </cell>
          <cell r="D1114">
            <v>1.3172999999999999</v>
          </cell>
          <cell r="E1114">
            <v>1347.7</v>
          </cell>
          <cell r="F1114">
            <v>15.223319999999999</v>
          </cell>
          <cell r="G1114" t="e">
            <v>#VALUE!</v>
          </cell>
          <cell r="I1114">
            <v>2.1993</v>
          </cell>
          <cell r="J1114">
            <v>6.8449999999999998</v>
          </cell>
          <cell r="K1114">
            <v>3.02</v>
          </cell>
          <cell r="L1114">
            <v>4.28</v>
          </cell>
          <cell r="M1114">
            <v>3.36</v>
          </cell>
          <cell r="O1114">
            <v>1.4725999999999999</v>
          </cell>
          <cell r="P1114">
            <v>0.66279999999999994</v>
          </cell>
          <cell r="Q1114">
            <v>111.08931804465902</v>
          </cell>
          <cell r="U1114">
            <v>1.3529</v>
          </cell>
          <cell r="V1114">
            <v>300.92399999999998</v>
          </cell>
          <cell r="W1114" t="str">
            <v>#N/A N/A</v>
          </cell>
        </row>
        <row r="1115">
          <cell r="B1115">
            <v>84.44</v>
          </cell>
          <cell r="D1115">
            <v>1.3061</v>
          </cell>
          <cell r="E1115">
            <v>1392.15</v>
          </cell>
          <cell r="F1115">
            <v>15.515409999999999</v>
          </cell>
          <cell r="G1115" t="e">
            <v>#VALUE!</v>
          </cell>
          <cell r="I1115">
            <v>2.2054999999999998</v>
          </cell>
          <cell r="J1115">
            <v>6.8440000000000003</v>
          </cell>
          <cell r="K1115">
            <v>2.98</v>
          </cell>
          <cell r="L1115">
            <v>4.47</v>
          </cell>
          <cell r="M1115">
            <v>3.56</v>
          </cell>
          <cell r="O1115">
            <v>1.4704999999999999</v>
          </cell>
          <cell r="P1115">
            <v>0.65569999999999995</v>
          </cell>
          <cell r="Q1115">
            <v>112.13207259417418</v>
          </cell>
          <cell r="U1115">
            <v>1.3626</v>
          </cell>
          <cell r="V1115">
            <v>324.87599999999998</v>
          </cell>
          <cell r="W1115" t="str">
            <v>#N/A N/A</v>
          </cell>
        </row>
        <row r="1116">
          <cell r="B1116">
            <v>84.212000000000003</v>
          </cell>
          <cell r="D1116">
            <v>1.3267</v>
          </cell>
          <cell r="E1116">
            <v>1358.2</v>
          </cell>
          <cell r="F1116">
            <v>15.151020000000001</v>
          </cell>
          <cell r="G1116" t="e">
            <v>#VALUE!</v>
          </cell>
          <cell r="I1116">
            <v>2.3186999999999998</v>
          </cell>
          <cell r="J1116">
            <v>6.8449999999999998</v>
          </cell>
          <cell r="K1116">
            <v>2.97</v>
          </cell>
          <cell r="L1116">
            <v>4.53</v>
          </cell>
          <cell r="M1116">
            <v>3.61</v>
          </cell>
          <cell r="O1116">
            <v>1.4778</v>
          </cell>
          <cell r="P1116">
            <v>0.66710000000000003</v>
          </cell>
          <cell r="Q1116">
            <v>110.76300404736921</v>
          </cell>
          <cell r="U1116">
            <v>1.4671000000000001</v>
          </cell>
          <cell r="V1116">
            <v>319.596</v>
          </cell>
          <cell r="W1116" t="str">
            <v>#N/A N/A</v>
          </cell>
        </row>
        <row r="1117">
          <cell r="B1117">
            <v>84.212000000000003</v>
          </cell>
          <cell r="D1117">
            <v>1.3267</v>
          </cell>
          <cell r="E1117">
            <v>1358.2</v>
          </cell>
          <cell r="F1117">
            <v>15.151020000000001</v>
          </cell>
          <cell r="G1117" t="e">
            <v>#VALUE!</v>
          </cell>
          <cell r="I1117">
            <v>2.3186999999999998</v>
          </cell>
          <cell r="J1117">
            <v>6.8449999999999998</v>
          </cell>
          <cell r="K1117">
            <v>2.97</v>
          </cell>
          <cell r="L1117">
            <v>4.53</v>
          </cell>
          <cell r="M1117">
            <v>3.61</v>
          </cell>
          <cell r="O1117">
            <v>1.4778</v>
          </cell>
          <cell r="P1117">
            <v>0.66710000000000003</v>
          </cell>
          <cell r="Q1117">
            <v>110.76300404736921</v>
          </cell>
          <cell r="U1117">
            <v>1.4671000000000001</v>
          </cell>
          <cell r="V1117">
            <v>319.596</v>
          </cell>
          <cell r="W1117" t="str">
            <v>#N/A N/A</v>
          </cell>
        </row>
        <row r="1118">
          <cell r="B1118">
            <v>84.212000000000003</v>
          </cell>
          <cell r="D1118">
            <v>1.3267</v>
          </cell>
          <cell r="E1118">
            <v>1358.2</v>
          </cell>
          <cell r="F1118">
            <v>15.151020000000001</v>
          </cell>
          <cell r="G1118" t="e">
            <v>#VALUE!</v>
          </cell>
          <cell r="I1118">
            <v>2.3186999999999998</v>
          </cell>
          <cell r="J1118">
            <v>6.8449999999999998</v>
          </cell>
          <cell r="K1118">
            <v>2.97</v>
          </cell>
          <cell r="L1118">
            <v>4.53</v>
          </cell>
          <cell r="M1118">
            <v>3.61</v>
          </cell>
          <cell r="O1118">
            <v>1.4778</v>
          </cell>
          <cell r="P1118">
            <v>0.66710000000000003</v>
          </cell>
          <cell r="Q1118">
            <v>110.76300404736921</v>
          </cell>
          <cell r="U1118">
            <v>1.4671000000000001</v>
          </cell>
          <cell r="V1118">
            <v>319.596</v>
          </cell>
          <cell r="W1118" t="str">
            <v>#N/A N/A</v>
          </cell>
        </row>
        <row r="1119">
          <cell r="B1119">
            <v>84.721999999999994</v>
          </cell>
          <cell r="D1119">
            <v>1.3143</v>
          </cell>
          <cell r="E1119">
            <v>1362.6</v>
          </cell>
          <cell r="F1119">
            <v>15.117179999999999</v>
          </cell>
          <cell r="G1119" t="e">
            <v>#VALUE!</v>
          </cell>
          <cell r="I1119">
            <v>2.3184</v>
          </cell>
          <cell r="J1119">
            <v>6.8354999999999997</v>
          </cell>
          <cell r="K1119">
            <v>2.97</v>
          </cell>
          <cell r="L1119">
            <v>4.43</v>
          </cell>
          <cell r="M1119">
            <v>3.42</v>
          </cell>
          <cell r="O1119">
            <v>1.4856</v>
          </cell>
          <cell r="P1119">
            <v>0.67290000000000005</v>
          </cell>
          <cell r="Q1119">
            <v>110.38787338386089</v>
          </cell>
          <cell r="U1119">
            <v>1.4670000000000001</v>
          </cell>
          <cell r="V1119">
            <v>308.67200000000003</v>
          </cell>
          <cell r="W1119" t="str">
            <v>#N/A N/A</v>
          </cell>
        </row>
        <row r="1120">
          <cell r="B1120">
            <v>86.215999999999994</v>
          </cell>
          <cell r="D1120">
            <v>1.2934999999999999</v>
          </cell>
          <cell r="E1120">
            <v>1374.52</v>
          </cell>
          <cell r="F1120">
            <v>15.178290000000001</v>
          </cell>
          <cell r="G1120" t="e">
            <v>#VALUE!</v>
          </cell>
          <cell r="I1120">
            <v>2.3771</v>
          </cell>
          <cell r="J1120">
            <v>6.8410000000000002</v>
          </cell>
          <cell r="K1120">
            <v>2.97</v>
          </cell>
          <cell r="L1120">
            <v>4.5199999999999996</v>
          </cell>
          <cell r="M1120">
            <v>3.48</v>
          </cell>
          <cell r="O1120">
            <v>1.4815</v>
          </cell>
          <cell r="P1120">
            <v>0.65629999999999999</v>
          </cell>
          <cell r="Q1120">
            <v>112.86759104068263</v>
          </cell>
          <cell r="U1120">
            <v>1.4868000000000001</v>
          </cell>
          <cell r="V1120">
            <v>318.35000000000002</v>
          </cell>
          <cell r="W1120" t="str">
            <v>#N/A N/A</v>
          </cell>
        </row>
        <row r="1121">
          <cell r="B1121">
            <v>85.816999999999993</v>
          </cell>
          <cell r="D1121">
            <v>1.2867</v>
          </cell>
          <cell r="E1121">
            <v>1372.92</v>
          </cell>
          <cell r="F1121">
            <v>15.61725</v>
          </cell>
          <cell r="G1121" t="e">
            <v>#VALUE!</v>
          </cell>
          <cell r="I1121">
            <v>2.536</v>
          </cell>
          <cell r="J1121">
            <v>6.8425000000000002</v>
          </cell>
          <cell r="K1121">
            <v>2.97</v>
          </cell>
          <cell r="L1121">
            <v>4.49</v>
          </cell>
          <cell r="M1121">
            <v>3.39</v>
          </cell>
          <cell r="O1121">
            <v>1.4878</v>
          </cell>
          <cell r="P1121">
            <v>0.6522</v>
          </cell>
          <cell r="Q1121">
            <v>114.06010426249618</v>
          </cell>
          <cell r="U1121">
            <v>1.6089</v>
          </cell>
          <cell r="V1121">
            <v>329.54599999999999</v>
          </cell>
          <cell r="W1121" t="str">
            <v>#N/A N/A</v>
          </cell>
        </row>
        <row r="1122">
          <cell r="B1122">
            <v>85.52</v>
          </cell>
          <cell r="D1122">
            <v>1.2968999999999999</v>
          </cell>
          <cell r="E1122">
            <v>1377.55</v>
          </cell>
          <cell r="F1122">
            <v>15.56392</v>
          </cell>
          <cell r="G1122" t="e">
            <v>#VALUE!</v>
          </cell>
          <cell r="I1122">
            <v>2.5922000000000001</v>
          </cell>
          <cell r="J1122">
            <v>6.8375000000000004</v>
          </cell>
          <cell r="K1122">
            <v>2.96</v>
          </cell>
          <cell r="L1122">
            <v>4.5</v>
          </cell>
          <cell r="M1122">
            <v>3.39</v>
          </cell>
          <cell r="O1122">
            <v>1.4978</v>
          </cell>
          <cell r="P1122">
            <v>0.65600000000000003</v>
          </cell>
          <cell r="Q1122">
            <v>114.16158536585365</v>
          </cell>
          <cell r="U1122">
            <v>1.6024</v>
          </cell>
          <cell r="V1122">
            <v>324.87599999999998</v>
          </cell>
          <cell r="W1122" t="str">
            <v>#N/A N/A</v>
          </cell>
        </row>
        <row r="1123">
          <cell r="B1123">
            <v>85.608000000000004</v>
          </cell>
          <cell r="D1123">
            <v>1.2975000000000001</v>
          </cell>
          <cell r="E1123">
            <v>1390.7</v>
          </cell>
          <cell r="F1123">
            <v>15.923069999999999</v>
          </cell>
          <cell r="G1123" t="e">
            <v>#VALUE!</v>
          </cell>
          <cell r="I1123">
            <v>2.6172</v>
          </cell>
          <cell r="J1123">
            <v>6.8464999999999998</v>
          </cell>
          <cell r="K1123">
            <v>2.96</v>
          </cell>
          <cell r="L1123">
            <v>4.5</v>
          </cell>
          <cell r="M1123">
            <v>3.38</v>
          </cell>
          <cell r="O1123">
            <v>1.4976</v>
          </cell>
          <cell r="P1123">
            <v>0.6542</v>
          </cell>
          <cell r="Q1123">
            <v>114.46040966065422</v>
          </cell>
          <cell r="U1123">
            <v>1.6291</v>
          </cell>
          <cell r="V1123">
            <v>339.81799999999998</v>
          </cell>
          <cell r="W1123" t="str">
            <v>#N/A N/A</v>
          </cell>
        </row>
        <row r="1124">
          <cell r="B1124">
            <v>85.608000000000004</v>
          </cell>
          <cell r="D1124">
            <v>1.2975000000000001</v>
          </cell>
          <cell r="E1124">
            <v>1390.7</v>
          </cell>
          <cell r="F1124">
            <v>15.923069999999999</v>
          </cell>
          <cell r="G1124" t="e">
            <v>#VALUE!</v>
          </cell>
          <cell r="I1124">
            <v>2.6172</v>
          </cell>
          <cell r="J1124">
            <v>6.8464999999999998</v>
          </cell>
          <cell r="K1124">
            <v>2.96</v>
          </cell>
          <cell r="L1124">
            <v>4.5</v>
          </cell>
          <cell r="M1124">
            <v>3.38</v>
          </cell>
          <cell r="O1124">
            <v>1.4976</v>
          </cell>
          <cell r="P1124">
            <v>0.6542</v>
          </cell>
          <cell r="Q1124">
            <v>114.46040966065422</v>
          </cell>
          <cell r="U1124">
            <v>1.6291</v>
          </cell>
          <cell r="V1124">
            <v>339.81799999999998</v>
          </cell>
          <cell r="W1124" t="str">
            <v>#N/A N/A</v>
          </cell>
        </row>
        <row r="1125">
          <cell r="B1125">
            <v>85.608000000000004</v>
          </cell>
          <cell r="D1125">
            <v>1.2975000000000001</v>
          </cell>
          <cell r="E1125">
            <v>1390.7</v>
          </cell>
          <cell r="F1125">
            <v>15.923069999999999</v>
          </cell>
          <cell r="G1125" t="e">
            <v>#VALUE!</v>
          </cell>
          <cell r="I1125">
            <v>2.6172</v>
          </cell>
          <cell r="J1125">
            <v>6.8464999999999998</v>
          </cell>
          <cell r="K1125">
            <v>2.96</v>
          </cell>
          <cell r="L1125">
            <v>4.5</v>
          </cell>
          <cell r="M1125">
            <v>3.38</v>
          </cell>
          <cell r="O1125">
            <v>1.4976</v>
          </cell>
          <cell r="P1125">
            <v>0.6542</v>
          </cell>
          <cell r="Q1125">
            <v>114.46040966065422</v>
          </cell>
          <cell r="U1125">
            <v>1.6291</v>
          </cell>
          <cell r="V1125">
            <v>339.81799999999998</v>
          </cell>
          <cell r="W1125" t="str">
            <v>#N/A N/A</v>
          </cell>
        </row>
        <row r="1126">
          <cell r="B1126">
            <v>84.727000000000004</v>
          </cell>
          <cell r="D1126">
            <v>1.3146</v>
          </cell>
          <cell r="E1126">
            <v>1390.9</v>
          </cell>
          <cell r="F1126">
            <v>15.67689</v>
          </cell>
          <cell r="G1126" t="e">
            <v>#VALUE!</v>
          </cell>
          <cell r="I1126">
            <v>2.6410999999999998</v>
          </cell>
          <cell r="J1126">
            <v>6.8464999999999998</v>
          </cell>
          <cell r="K1126">
            <v>2.96</v>
          </cell>
          <cell r="L1126">
            <v>4.5</v>
          </cell>
          <cell r="M1126">
            <v>3.38</v>
          </cell>
          <cell r="O1126">
            <v>1.5022</v>
          </cell>
          <cell r="P1126">
            <v>0.65959999999999996</v>
          </cell>
          <cell r="Q1126">
            <v>113.87204366282594</v>
          </cell>
          <cell r="U1126">
            <v>1.6525000000000001</v>
          </cell>
          <cell r="V1126">
            <v>336.28699999999998</v>
          </cell>
          <cell r="W1126" t="str">
            <v>#N/A N/A</v>
          </cell>
        </row>
        <row r="1127">
          <cell r="B1127">
            <v>84.426000000000002</v>
          </cell>
          <cell r="D1127">
            <v>1.3178000000000001</v>
          </cell>
          <cell r="E1127">
            <v>1390.9</v>
          </cell>
          <cell r="F1127">
            <v>15.611319999999999</v>
          </cell>
          <cell r="G1127" t="e">
            <v>#VALUE!</v>
          </cell>
          <cell r="I1127">
            <v>2.5274000000000001</v>
          </cell>
          <cell r="J1127">
            <v>6.8464999999999998</v>
          </cell>
          <cell r="K1127">
            <v>2.96</v>
          </cell>
          <cell r="L1127">
            <v>4.5</v>
          </cell>
          <cell r="M1127">
            <v>3.38</v>
          </cell>
          <cell r="O1127">
            <v>1.5003</v>
          </cell>
          <cell r="P1127">
            <v>0.66239999999999999</v>
          </cell>
          <cell r="Q1127">
            <v>113.24728260869566</v>
          </cell>
          <cell r="U1127">
            <v>1.5661</v>
          </cell>
          <cell r="V1127">
            <v>336.28699999999998</v>
          </cell>
          <cell r="W1127" t="str">
            <v>#N/A N/A</v>
          </cell>
        </row>
        <row r="1128">
          <cell r="B1128">
            <v>84.671999999999997</v>
          </cell>
          <cell r="D1128">
            <v>1.327</v>
          </cell>
          <cell r="E1128">
            <v>1376.15</v>
          </cell>
          <cell r="F1128">
            <v>15.145440000000001</v>
          </cell>
          <cell r="G1128" t="e">
            <v>#VALUE!</v>
          </cell>
          <cell r="I1128">
            <v>2.6665000000000001</v>
          </cell>
          <cell r="J1128">
            <v>6.8402000000000003</v>
          </cell>
          <cell r="K1128">
            <v>2.96</v>
          </cell>
          <cell r="L1128">
            <v>4.51</v>
          </cell>
          <cell r="M1128">
            <v>3.36</v>
          </cell>
          <cell r="O1128">
            <v>1.5171000000000001</v>
          </cell>
          <cell r="P1128">
            <v>0.67090000000000005</v>
          </cell>
          <cell r="Q1128">
            <v>113.064540169921</v>
          </cell>
          <cell r="U1128">
            <v>1.6926999999999999</v>
          </cell>
          <cell r="V1128">
            <v>326.89800000000002</v>
          </cell>
          <cell r="W1128" t="str">
            <v>#N/A N/A</v>
          </cell>
        </row>
        <row r="1129">
          <cell r="B1129">
            <v>85.277000000000001</v>
          </cell>
          <cell r="D1129">
            <v>1.2966</v>
          </cell>
          <cell r="E1129">
            <v>1378.63</v>
          </cell>
          <cell r="F1129">
            <v>15.42657</v>
          </cell>
          <cell r="G1129" t="e">
            <v>#VALUE!</v>
          </cell>
          <cell r="I1129">
            <v>2.8586</v>
          </cell>
          <cell r="J1129">
            <v>6.8464999999999998</v>
          </cell>
          <cell r="K1129">
            <v>2.96</v>
          </cell>
          <cell r="L1129">
            <v>4.57</v>
          </cell>
          <cell r="M1129">
            <v>3.41</v>
          </cell>
          <cell r="O1129">
            <v>1.4927999999999999</v>
          </cell>
          <cell r="P1129">
            <v>0.65369999999999995</v>
          </cell>
          <cell r="Q1129">
            <v>114.18081688848096</v>
          </cell>
          <cell r="U1129">
            <v>1.8303</v>
          </cell>
          <cell r="V1129">
            <v>318.911</v>
          </cell>
          <cell r="W1129" t="str">
            <v>#N/A N/A</v>
          </cell>
        </row>
        <row r="1130">
          <cell r="B1130">
            <v>85.998999999999995</v>
          </cell>
          <cell r="D1130">
            <v>1.2812999999999999</v>
          </cell>
          <cell r="E1130">
            <v>1379.6</v>
          </cell>
          <cell r="F1130">
            <v>15.50925</v>
          </cell>
          <cell r="G1130" t="e">
            <v>#VALUE!</v>
          </cell>
          <cell r="I1130">
            <v>2.8403</v>
          </cell>
          <cell r="J1130">
            <v>6.8464999999999998</v>
          </cell>
          <cell r="K1130">
            <v>2.96</v>
          </cell>
          <cell r="L1130">
            <v>4.71</v>
          </cell>
          <cell r="M1130">
            <v>3.59</v>
          </cell>
          <cell r="O1130">
            <v>1.4889999999999999</v>
          </cell>
          <cell r="P1130">
            <v>0.6381</v>
          </cell>
          <cell r="Q1130">
            <v>116.67450242908635</v>
          </cell>
          <cell r="U1130">
            <v>1.8751</v>
          </cell>
          <cell r="V1130">
            <v>328.86500000000001</v>
          </cell>
          <cell r="W1130" t="str">
            <v>#N/A N/A</v>
          </cell>
        </row>
        <row r="1131">
          <cell r="B1131">
            <v>85.998999999999995</v>
          </cell>
          <cell r="D1131">
            <v>1.2812999999999999</v>
          </cell>
          <cell r="E1131">
            <v>1379.6</v>
          </cell>
          <cell r="F1131">
            <v>15.50925</v>
          </cell>
          <cell r="G1131" t="e">
            <v>#VALUE!</v>
          </cell>
          <cell r="I1131">
            <v>2.8403</v>
          </cell>
          <cell r="J1131">
            <v>6.8464999999999998</v>
          </cell>
          <cell r="K1131">
            <v>2.96</v>
          </cell>
          <cell r="L1131">
            <v>4.71</v>
          </cell>
          <cell r="M1131">
            <v>3.59</v>
          </cell>
          <cell r="O1131">
            <v>1.4889999999999999</v>
          </cell>
          <cell r="P1131">
            <v>0.6381</v>
          </cell>
          <cell r="Q1131">
            <v>116.67450242908635</v>
          </cell>
          <cell r="U1131">
            <v>1.8751</v>
          </cell>
          <cell r="V1131">
            <v>328.86500000000001</v>
          </cell>
          <cell r="W1131" t="str">
            <v>#N/A N/A</v>
          </cell>
        </row>
        <row r="1132">
          <cell r="B1132">
            <v>85.998999999999995</v>
          </cell>
          <cell r="D1132">
            <v>1.2812999999999999</v>
          </cell>
          <cell r="E1132">
            <v>1379.6</v>
          </cell>
          <cell r="F1132">
            <v>15.50925</v>
          </cell>
          <cell r="G1132" t="e">
            <v>#VALUE!</v>
          </cell>
          <cell r="I1132">
            <v>2.8403</v>
          </cell>
          <cell r="J1132">
            <v>6.8464999999999998</v>
          </cell>
          <cell r="K1132">
            <v>2.96</v>
          </cell>
          <cell r="L1132">
            <v>4.71</v>
          </cell>
          <cell r="M1132">
            <v>3.59</v>
          </cell>
          <cell r="O1132">
            <v>1.4889999999999999</v>
          </cell>
          <cell r="P1132">
            <v>0.6381</v>
          </cell>
          <cell r="Q1132">
            <v>116.67450242908635</v>
          </cell>
          <cell r="U1132">
            <v>1.8751</v>
          </cell>
          <cell r="V1132">
            <v>328.86500000000001</v>
          </cell>
          <cell r="W1132" t="str">
            <v>#N/A N/A</v>
          </cell>
        </row>
        <row r="1133">
          <cell r="B1133">
            <v>86.072999999999993</v>
          </cell>
          <cell r="D1133">
            <v>1.2866</v>
          </cell>
          <cell r="E1133">
            <v>1390.3</v>
          </cell>
          <cell r="F1133">
            <v>15.58831</v>
          </cell>
          <cell r="G1133" t="e">
            <v>#VALUE!</v>
          </cell>
          <cell r="I1133">
            <v>2.7225999999999999</v>
          </cell>
          <cell r="J1133">
            <v>6.8487</v>
          </cell>
          <cell r="K1133">
            <v>2.96</v>
          </cell>
          <cell r="L1133">
            <v>5.05</v>
          </cell>
          <cell r="M1133">
            <v>3.78</v>
          </cell>
          <cell r="O1133">
            <v>1.4917</v>
          </cell>
          <cell r="P1133">
            <v>0.63429999999999997</v>
          </cell>
          <cell r="Q1133">
            <v>117.586315623522</v>
          </cell>
          <cell r="U1133">
            <v>1.75</v>
          </cell>
          <cell r="V1133">
            <v>328.18400000000003</v>
          </cell>
          <cell r="W1133" t="str">
            <v>#N/A N/A</v>
          </cell>
        </row>
        <row r="1134">
          <cell r="B1134">
            <v>85.05</v>
          </cell>
          <cell r="D1134">
            <v>1.2939000000000001</v>
          </cell>
          <cell r="E1134">
            <v>1389.13</v>
          </cell>
          <cell r="F1134">
            <v>15.52018</v>
          </cell>
          <cell r="G1134" t="e">
            <v>#VALUE!</v>
          </cell>
          <cell r="I1134">
            <v>2.8839999999999999</v>
          </cell>
          <cell r="J1134">
            <v>6.8405000000000005</v>
          </cell>
          <cell r="K1134">
            <v>2.96</v>
          </cell>
          <cell r="L1134">
            <v>5.2</v>
          </cell>
          <cell r="M1134">
            <v>3.84</v>
          </cell>
          <cell r="O1134">
            <v>1.486</v>
          </cell>
          <cell r="P1134">
            <v>0.64529999999999998</v>
          </cell>
          <cell r="Q1134">
            <v>115.14024484735781</v>
          </cell>
          <cell r="U1134">
            <v>1.905</v>
          </cell>
          <cell r="V1134">
            <v>336.80200000000002</v>
          </cell>
          <cell r="W1134" t="str">
            <v>#N/A N/A</v>
          </cell>
        </row>
        <row r="1135">
          <cell r="B1135">
            <v>85.701999999999998</v>
          </cell>
          <cell r="D1135">
            <v>1.2852000000000001</v>
          </cell>
          <cell r="E1135">
            <v>1378.15</v>
          </cell>
          <cell r="F1135">
            <v>15.33855</v>
          </cell>
          <cell r="G1135" t="e">
            <v>#VALUE!</v>
          </cell>
          <cell r="I1135">
            <v>2.9352999999999998</v>
          </cell>
          <cell r="J1135">
            <v>6.8347999999999995</v>
          </cell>
          <cell r="K1135">
            <v>2.96</v>
          </cell>
          <cell r="L1135">
            <v>5.2</v>
          </cell>
          <cell r="M1135">
            <v>3.7</v>
          </cell>
          <cell r="O1135">
            <v>1.4897</v>
          </cell>
          <cell r="P1135">
            <v>0.64949999999999997</v>
          </cell>
          <cell r="Q1135">
            <v>114.6805234795997</v>
          </cell>
          <cell r="U1135">
            <v>1.9348999999999998</v>
          </cell>
          <cell r="V1135">
            <v>328.964</v>
          </cell>
          <cell r="W1135" t="str">
            <v>#N/A N/A</v>
          </cell>
        </row>
        <row r="1136">
          <cell r="B1136">
            <v>86.057000000000002</v>
          </cell>
          <cell r="D1136">
            <v>1.2871000000000001</v>
          </cell>
          <cell r="E1136">
            <v>1384.35</v>
          </cell>
          <cell r="F1136">
            <v>14.95341</v>
          </cell>
          <cell r="G1136" t="e">
            <v>#VALUE!</v>
          </cell>
          <cell r="I1136">
            <v>2.9119999999999999</v>
          </cell>
          <cell r="J1136">
            <v>6.8367000000000004</v>
          </cell>
          <cell r="K1136">
            <v>2.92</v>
          </cell>
          <cell r="L1136">
            <v>5.31</v>
          </cell>
          <cell r="M1136">
            <v>3.79</v>
          </cell>
          <cell r="O1136">
            <v>1.4990000000000001</v>
          </cell>
          <cell r="P1136">
            <v>0.65690000000000004</v>
          </cell>
          <cell r="Q1136">
            <v>114.09651392906075</v>
          </cell>
          <cell r="U1136">
            <v>1.8952</v>
          </cell>
          <cell r="V1136">
            <v>334.70299999999997</v>
          </cell>
          <cell r="W1136" t="str">
            <v>#N/A N/A</v>
          </cell>
        </row>
        <row r="1137">
          <cell r="B1137">
            <v>85.346000000000004</v>
          </cell>
          <cell r="D1137">
            <v>1.294</v>
          </cell>
          <cell r="E1137">
            <v>1383.55</v>
          </cell>
          <cell r="F1137">
            <v>14.93327</v>
          </cell>
          <cell r="G1137" t="e">
            <v>#VALUE!</v>
          </cell>
          <cell r="I1137">
            <v>2.9916999999999998</v>
          </cell>
          <cell r="J1137">
            <v>6.8361000000000001</v>
          </cell>
          <cell r="K1137">
            <v>2.92</v>
          </cell>
          <cell r="L1137">
            <v>5.27</v>
          </cell>
          <cell r="M1137">
            <v>3.73</v>
          </cell>
          <cell r="O1137">
            <v>1.5065</v>
          </cell>
          <cell r="P1137">
            <v>0.67649999999999999</v>
          </cell>
          <cell r="Q1137">
            <v>111.34515890613453</v>
          </cell>
          <cell r="U1137">
            <v>1.9619</v>
          </cell>
          <cell r="V1137">
            <v>335.21</v>
          </cell>
          <cell r="W1137" t="str">
            <v>#N/A N/A</v>
          </cell>
        </row>
        <row r="1138">
          <cell r="B1138">
            <v>85.346000000000004</v>
          </cell>
          <cell r="D1138">
            <v>1.294</v>
          </cell>
          <cell r="E1138">
            <v>1383.55</v>
          </cell>
          <cell r="F1138">
            <v>14.93327</v>
          </cell>
          <cell r="G1138" t="e">
            <v>#VALUE!</v>
          </cell>
          <cell r="I1138">
            <v>2.9916999999999998</v>
          </cell>
          <cell r="J1138">
            <v>6.8361000000000001</v>
          </cell>
          <cell r="K1138">
            <v>2.92</v>
          </cell>
          <cell r="L1138">
            <v>5.27</v>
          </cell>
          <cell r="M1138">
            <v>3.73</v>
          </cell>
          <cell r="O1138">
            <v>1.5065</v>
          </cell>
          <cell r="P1138">
            <v>0.67649999999999999</v>
          </cell>
          <cell r="Q1138">
            <v>111.34515890613453</v>
          </cell>
          <cell r="U1138">
            <v>1.9619</v>
          </cell>
          <cell r="V1138">
            <v>335.21</v>
          </cell>
          <cell r="W1138" t="str">
            <v>#N/A N/A</v>
          </cell>
        </row>
        <row r="1139">
          <cell r="B1139">
            <v>85.346000000000004</v>
          </cell>
          <cell r="D1139">
            <v>1.294</v>
          </cell>
          <cell r="E1139">
            <v>1383.55</v>
          </cell>
          <cell r="F1139">
            <v>14.93327</v>
          </cell>
          <cell r="G1139" t="e">
            <v>#VALUE!</v>
          </cell>
          <cell r="I1139">
            <v>2.9916999999999998</v>
          </cell>
          <cell r="J1139">
            <v>6.8361000000000001</v>
          </cell>
          <cell r="K1139">
            <v>2.92</v>
          </cell>
          <cell r="L1139">
            <v>5.27</v>
          </cell>
          <cell r="M1139">
            <v>3.73</v>
          </cell>
          <cell r="O1139">
            <v>1.5065</v>
          </cell>
          <cell r="P1139">
            <v>0.67649999999999999</v>
          </cell>
          <cell r="Q1139">
            <v>111.34515890613453</v>
          </cell>
          <cell r="U1139">
            <v>1.9619</v>
          </cell>
          <cell r="V1139">
            <v>335.21</v>
          </cell>
          <cell r="W1139" t="str">
            <v>#N/A N/A</v>
          </cell>
        </row>
        <row r="1140">
          <cell r="B1140">
            <v>84.792000000000002</v>
          </cell>
          <cell r="D1140">
            <v>1.3057000000000001</v>
          </cell>
          <cell r="E1140">
            <v>1381</v>
          </cell>
          <cell r="F1140">
            <v>15.08649</v>
          </cell>
          <cell r="G1140" t="e">
            <v>#VALUE!</v>
          </cell>
          <cell r="I1140">
            <v>2.9843999999999999</v>
          </cell>
          <cell r="J1140">
            <v>6.8396999999999997</v>
          </cell>
          <cell r="K1140">
            <v>2.92</v>
          </cell>
          <cell r="L1140">
            <v>5.29</v>
          </cell>
          <cell r="M1140">
            <v>3.74</v>
          </cell>
          <cell r="O1140">
            <v>1.5148000000000001</v>
          </cell>
          <cell r="P1140">
            <v>0.68369999999999997</v>
          </cell>
          <cell r="Q1140">
            <v>110.77958168787481</v>
          </cell>
          <cell r="U1140">
            <v>1.972</v>
          </cell>
          <cell r="V1140">
            <v>331.02699999999999</v>
          </cell>
          <cell r="W1140" t="str">
            <v>#N/A N/A</v>
          </cell>
        </row>
        <row r="1141">
          <cell r="B1141">
            <v>85.807000000000002</v>
          </cell>
          <cell r="D1141">
            <v>1.296</v>
          </cell>
          <cell r="E1141">
            <v>1383.1</v>
          </cell>
          <cell r="F1141">
            <v>15.426500000000001</v>
          </cell>
          <cell r="G1141" t="e">
            <v>#VALUE!</v>
          </cell>
          <cell r="I1141">
            <v>2.8136000000000001</v>
          </cell>
          <cell r="J1141">
            <v>6.8330000000000002</v>
          </cell>
          <cell r="K1141">
            <v>2.92</v>
          </cell>
          <cell r="L1141">
            <v>5.31</v>
          </cell>
          <cell r="M1141">
            <v>3.73</v>
          </cell>
          <cell r="O1141">
            <v>1.4971999999999999</v>
          </cell>
          <cell r="P1141">
            <v>0.65839999999999999</v>
          </cell>
          <cell r="Q1141">
            <v>113.69987849331713</v>
          </cell>
          <cell r="U1141">
            <v>1.75</v>
          </cell>
          <cell r="V1141">
            <v>334.26900000000001</v>
          </cell>
          <cell r="W1141" t="str">
            <v>#N/A N/A</v>
          </cell>
        </row>
        <row r="1142">
          <cell r="B1142">
            <v>85.775999999999996</v>
          </cell>
          <cell r="D1142">
            <v>1.2857000000000001</v>
          </cell>
          <cell r="E1142">
            <v>1393.5</v>
          </cell>
          <cell r="F1142">
            <v>15.43097</v>
          </cell>
          <cell r="G1142" t="e">
            <v>#VALUE!</v>
          </cell>
          <cell r="I1142">
            <v>2.7537000000000003</v>
          </cell>
          <cell r="J1142">
            <v>6.8337000000000003</v>
          </cell>
          <cell r="K1142">
            <v>2.92</v>
          </cell>
          <cell r="L1142">
            <v>5.27</v>
          </cell>
          <cell r="M1142">
            <v>3.66</v>
          </cell>
          <cell r="O1142">
            <v>1.4927000000000001</v>
          </cell>
          <cell r="P1142">
            <v>0.65290000000000004</v>
          </cell>
          <cell r="Q1142">
            <v>114.31306478786951</v>
          </cell>
          <cell r="U1142">
            <v>1.7532000000000001</v>
          </cell>
          <cell r="V1142">
            <v>344.59899999999999</v>
          </cell>
          <cell r="W1142" t="str">
            <v>#N/A N/A</v>
          </cell>
        </row>
        <row r="1143">
          <cell r="B1143">
            <v>86.546999999999997</v>
          </cell>
          <cell r="D1143">
            <v>1.2823</v>
          </cell>
          <cell r="E1143">
            <v>1404.5</v>
          </cell>
          <cell r="F1143">
            <v>15.60859</v>
          </cell>
          <cell r="G1143" t="e">
            <v>#VALUE!</v>
          </cell>
          <cell r="I1143">
            <v>2.7824</v>
          </cell>
          <cell r="J1143">
            <v>6.8367000000000004</v>
          </cell>
          <cell r="K1143">
            <v>2.64</v>
          </cell>
          <cell r="L1143">
            <v>5.25</v>
          </cell>
          <cell r="M1143">
            <v>3.62</v>
          </cell>
          <cell r="O1143">
            <v>1.4932000000000001</v>
          </cell>
          <cell r="P1143">
            <v>0.65139999999999998</v>
          </cell>
          <cell r="Q1143">
            <v>114.61467608228433</v>
          </cell>
          <cell r="U1143">
            <v>1.7631999999999999</v>
          </cell>
          <cell r="V1143">
            <v>353.03100000000001</v>
          </cell>
          <cell r="W1143" t="str">
            <v>#N/A N/A</v>
          </cell>
        </row>
        <row r="1144">
          <cell r="B1144">
            <v>86.040999999999997</v>
          </cell>
          <cell r="D1144">
            <v>1.2862</v>
          </cell>
          <cell r="E1144">
            <v>1404.35</v>
          </cell>
          <cell r="F1144">
            <v>15.346830000000001</v>
          </cell>
          <cell r="G1144" t="e">
            <v>#VALUE!</v>
          </cell>
          <cell r="I1144">
            <v>2.8894000000000002</v>
          </cell>
          <cell r="J1144">
            <v>6.835</v>
          </cell>
          <cell r="K1144">
            <v>2.57</v>
          </cell>
          <cell r="L1144">
            <v>5.19</v>
          </cell>
          <cell r="M1144">
            <v>3.57</v>
          </cell>
          <cell r="O1144">
            <v>1.4923</v>
          </cell>
          <cell r="P1144">
            <v>0.65810000000000002</v>
          </cell>
          <cell r="Q1144">
            <v>113.3794256192068</v>
          </cell>
          <cell r="U1144">
            <v>1.8727</v>
          </cell>
          <cell r="V1144">
            <v>350.88600000000002</v>
          </cell>
          <cell r="W1144" t="str">
            <v>#N/A N/A</v>
          </cell>
        </row>
        <row r="1145">
          <cell r="B1145">
            <v>86.040999999999997</v>
          </cell>
          <cell r="D1145">
            <v>1.2862</v>
          </cell>
          <cell r="E1145">
            <v>1404.35</v>
          </cell>
          <cell r="F1145">
            <v>15.346830000000001</v>
          </cell>
          <cell r="G1145" t="e">
            <v>#VALUE!</v>
          </cell>
          <cell r="I1145">
            <v>2.8894000000000002</v>
          </cell>
          <cell r="J1145">
            <v>6.835</v>
          </cell>
          <cell r="K1145">
            <v>2.57</v>
          </cell>
          <cell r="L1145">
            <v>5.19</v>
          </cell>
          <cell r="M1145">
            <v>3.57</v>
          </cell>
          <cell r="O1145">
            <v>1.4923</v>
          </cell>
          <cell r="P1145">
            <v>0.65810000000000002</v>
          </cell>
          <cell r="Q1145">
            <v>113.3794256192068</v>
          </cell>
          <cell r="U1145">
            <v>1.8727</v>
          </cell>
          <cell r="V1145">
            <v>350.88600000000002</v>
          </cell>
          <cell r="W1145" t="str">
            <v>#N/A N/A</v>
          </cell>
        </row>
        <row r="1146">
          <cell r="B1146">
            <v>86.040999999999997</v>
          </cell>
          <cell r="D1146">
            <v>1.2862</v>
          </cell>
          <cell r="E1146">
            <v>1404.35</v>
          </cell>
          <cell r="F1146">
            <v>15.346830000000001</v>
          </cell>
          <cell r="G1146" t="e">
            <v>#VALUE!</v>
          </cell>
          <cell r="I1146">
            <v>2.8894000000000002</v>
          </cell>
          <cell r="J1146">
            <v>6.835</v>
          </cell>
          <cell r="K1146">
            <v>2.57</v>
          </cell>
          <cell r="L1146">
            <v>5.19</v>
          </cell>
          <cell r="M1146">
            <v>3.57</v>
          </cell>
          <cell r="O1146">
            <v>1.4923</v>
          </cell>
          <cell r="P1146">
            <v>0.65810000000000002</v>
          </cell>
          <cell r="Q1146">
            <v>113.3794256192068</v>
          </cell>
          <cell r="U1146">
            <v>1.8727</v>
          </cell>
          <cell r="V1146">
            <v>350.88600000000002</v>
          </cell>
          <cell r="W1146" t="str">
            <v>#N/A N/A</v>
          </cell>
        </row>
        <row r="1147">
          <cell r="B1147">
            <v>86.66</v>
          </cell>
          <cell r="D1147">
            <v>1.2772000000000001</v>
          </cell>
          <cell r="E1147">
            <v>1427.27</v>
          </cell>
          <cell r="F1147">
            <v>15.54637</v>
          </cell>
          <cell r="G1147" t="e">
            <v>#VALUE!</v>
          </cell>
          <cell r="I1147">
            <v>2.8895</v>
          </cell>
          <cell r="J1147">
            <v>6.8346999999999998</v>
          </cell>
          <cell r="K1147">
            <v>2.57</v>
          </cell>
          <cell r="L1147">
            <v>5.26</v>
          </cell>
          <cell r="M1147">
            <v>3.69</v>
          </cell>
          <cell r="O1147">
            <v>1.4845999999999999</v>
          </cell>
          <cell r="P1147">
            <v>0.64859999999999995</v>
          </cell>
          <cell r="Q1147">
            <v>114.44650015417824</v>
          </cell>
          <cell r="U1147">
            <v>1.8694</v>
          </cell>
          <cell r="V1147">
            <v>363.74900000000002</v>
          </cell>
          <cell r="W1147" t="str">
            <v>#N/A N/A</v>
          </cell>
        </row>
        <row r="1148">
          <cell r="B1148">
            <v>87.581000000000003</v>
          </cell>
          <cell r="D1148">
            <v>1.2586999999999999</v>
          </cell>
          <cell r="E1148">
            <v>1455.63</v>
          </cell>
          <cell r="F1148">
            <v>15.744400000000001</v>
          </cell>
          <cell r="G1148" t="e">
            <v>#VALUE!</v>
          </cell>
          <cell r="I1148">
            <v>2.6478999999999999</v>
          </cell>
          <cell r="J1148">
            <v>6.8395000000000001</v>
          </cell>
          <cell r="K1148">
            <v>2.57</v>
          </cell>
          <cell r="L1148">
            <v>5.51</v>
          </cell>
          <cell r="M1148">
            <v>3.97</v>
          </cell>
          <cell r="O1148">
            <v>1.4776</v>
          </cell>
          <cell r="P1148">
            <v>0.63729999999999998</v>
          </cell>
          <cell r="Q1148">
            <v>115.92656519692453</v>
          </cell>
          <cell r="U1148">
            <v>1.6575</v>
          </cell>
          <cell r="V1148">
            <v>412.06599999999997</v>
          </cell>
          <cell r="W1148" t="str">
            <v>#N/A N/A</v>
          </cell>
        </row>
        <row r="1149">
          <cell r="B1149">
            <v>88.007000000000005</v>
          </cell>
          <cell r="D1149">
            <v>1.2565</v>
          </cell>
          <cell r="E1149">
            <v>1467.77</v>
          </cell>
          <cell r="F1149">
            <v>15.75052</v>
          </cell>
          <cell r="G1149" t="e">
            <v>#VALUE!</v>
          </cell>
          <cell r="I1149">
            <v>2.7553999999999998</v>
          </cell>
          <cell r="J1149">
            <v>6.8362999999999996</v>
          </cell>
          <cell r="K1149">
            <v>2.56</v>
          </cell>
          <cell r="L1149">
            <v>5.45</v>
          </cell>
          <cell r="M1149">
            <v>3.74</v>
          </cell>
          <cell r="O1149">
            <v>1.4812000000000001</v>
          </cell>
          <cell r="P1149">
            <v>0.63859999999999995</v>
          </cell>
          <cell r="Q1149">
            <v>115.97243971186973</v>
          </cell>
          <cell r="U1149">
            <v>1.8029999999999999</v>
          </cell>
          <cell r="V1149">
            <v>424.01299999999998</v>
          </cell>
          <cell r="W1149" t="str">
            <v>#N/A N/A</v>
          </cell>
        </row>
        <row r="1150">
          <cell r="B1150">
            <v>87.438999999999993</v>
          </cell>
          <cell r="D1150">
            <v>1.2679</v>
          </cell>
          <cell r="E1150">
            <v>1481.68</v>
          </cell>
          <cell r="F1150">
            <v>15.725519999999999</v>
          </cell>
          <cell r="G1150" t="e">
            <v>#VALUE!</v>
          </cell>
          <cell r="I1150">
            <v>2.8531</v>
          </cell>
          <cell r="J1150">
            <v>6.8369</v>
          </cell>
          <cell r="K1150">
            <v>2.5499999999999998</v>
          </cell>
          <cell r="L1150">
            <v>5.34</v>
          </cell>
          <cell r="M1150">
            <v>3.75</v>
          </cell>
          <cell r="O1150">
            <v>1.4893000000000001</v>
          </cell>
          <cell r="P1150">
            <v>0.64549999999999996</v>
          </cell>
          <cell r="Q1150">
            <v>115.36018590240124</v>
          </cell>
          <cell r="U1150">
            <v>1.8694999999999999</v>
          </cell>
          <cell r="V1150">
            <v>426.93900000000002</v>
          </cell>
          <cell r="W1150" t="str">
            <v>#N/A N/A</v>
          </cell>
        </row>
        <row r="1151">
          <cell r="B1151">
            <v>86.488</v>
          </cell>
          <cell r="D1151">
            <v>1.2826</v>
          </cell>
          <cell r="E1151">
            <v>1506.13</v>
          </cell>
          <cell r="F1151">
            <v>16.169820000000001</v>
          </cell>
          <cell r="G1151" t="e">
            <v>#VALUE!</v>
          </cell>
          <cell r="I1151">
            <v>2.7879</v>
          </cell>
          <cell r="J1151">
            <v>6.8372000000000002</v>
          </cell>
          <cell r="K1151">
            <v>2.54</v>
          </cell>
          <cell r="L1151">
            <v>5.27</v>
          </cell>
          <cell r="M1151">
            <v>3.92</v>
          </cell>
          <cell r="O1151">
            <v>1.4802</v>
          </cell>
          <cell r="P1151">
            <v>0.64419999999999999</v>
          </cell>
          <cell r="Q1151">
            <v>114.88668115492082</v>
          </cell>
          <cell r="U1151">
            <v>1.8264</v>
          </cell>
          <cell r="V1151">
            <v>450.29700000000003</v>
          </cell>
          <cell r="W1151" t="str">
            <v>#N/A N/A</v>
          </cell>
        </row>
        <row r="1152">
          <cell r="B1152">
            <v>86.488</v>
          </cell>
          <cell r="D1152">
            <v>1.2826</v>
          </cell>
          <cell r="E1152">
            <v>1506.13</v>
          </cell>
          <cell r="F1152">
            <v>16.169820000000001</v>
          </cell>
          <cell r="G1152" t="e">
            <v>#VALUE!</v>
          </cell>
          <cell r="I1152">
            <v>2.7879</v>
          </cell>
          <cell r="J1152">
            <v>6.8372000000000002</v>
          </cell>
          <cell r="K1152">
            <v>2.54</v>
          </cell>
          <cell r="L1152">
            <v>5.27</v>
          </cell>
          <cell r="M1152">
            <v>3.92</v>
          </cell>
          <cell r="O1152">
            <v>1.4802</v>
          </cell>
          <cell r="P1152">
            <v>0.64419999999999999</v>
          </cell>
          <cell r="Q1152">
            <v>114.88668115492082</v>
          </cell>
          <cell r="U1152">
            <v>1.8264</v>
          </cell>
          <cell r="V1152">
            <v>450.29700000000003</v>
          </cell>
          <cell r="W1152" t="str">
            <v>#N/A N/A</v>
          </cell>
        </row>
        <row r="1153">
          <cell r="B1153">
            <v>86.488</v>
          </cell>
          <cell r="D1153">
            <v>1.2826</v>
          </cell>
          <cell r="E1153">
            <v>1506.13</v>
          </cell>
          <cell r="F1153">
            <v>16.169820000000001</v>
          </cell>
          <cell r="G1153" t="e">
            <v>#VALUE!</v>
          </cell>
          <cell r="I1153">
            <v>2.7879</v>
          </cell>
          <cell r="J1153">
            <v>6.8372000000000002</v>
          </cell>
          <cell r="K1153">
            <v>2.54</v>
          </cell>
          <cell r="L1153">
            <v>5.27</v>
          </cell>
          <cell r="M1153">
            <v>3.92</v>
          </cell>
          <cell r="O1153">
            <v>1.4802</v>
          </cell>
          <cell r="P1153">
            <v>0.64419999999999999</v>
          </cell>
          <cell r="Q1153">
            <v>114.88668115492082</v>
          </cell>
          <cell r="U1153">
            <v>1.8264</v>
          </cell>
          <cell r="V1153">
            <v>450.29700000000003</v>
          </cell>
          <cell r="W1153" t="str">
            <v>#N/A N/A</v>
          </cell>
        </row>
        <row r="1154">
          <cell r="B1154">
            <v>87.24</v>
          </cell>
          <cell r="D1154">
            <v>1.274</v>
          </cell>
          <cell r="E1154">
            <v>1488</v>
          </cell>
          <cell r="F1154">
            <v>15.84712</v>
          </cell>
          <cell r="G1154" t="e">
            <v>#VALUE!</v>
          </cell>
          <cell r="I1154">
            <v>2.7536</v>
          </cell>
          <cell r="J1154">
            <v>6.8360000000000003</v>
          </cell>
          <cell r="K1154">
            <v>2.5299999999999998</v>
          </cell>
          <cell r="L1154">
            <v>5.15</v>
          </cell>
          <cell r="M1154">
            <v>3.83</v>
          </cell>
          <cell r="O1154">
            <v>1.4841</v>
          </cell>
          <cell r="P1154">
            <v>0.64390000000000003</v>
          </cell>
          <cell r="Q1154">
            <v>115.2430501630688</v>
          </cell>
          <cell r="U1154">
            <v>1.8064</v>
          </cell>
          <cell r="V1154">
            <v>436.00599999999997</v>
          </cell>
          <cell r="W1154" t="str">
            <v>#N/A N/A</v>
          </cell>
        </row>
        <row r="1155">
          <cell r="B1155">
            <v>86.894999999999996</v>
          </cell>
          <cell r="D1155">
            <v>1.2778</v>
          </cell>
          <cell r="E1155">
            <v>1516.65</v>
          </cell>
          <cell r="F1155">
            <v>15.69866</v>
          </cell>
          <cell r="G1155" t="e">
            <v>#VALUE!</v>
          </cell>
          <cell r="I1155">
            <v>2.7951000000000001</v>
          </cell>
          <cell r="J1155">
            <v>6.8372999999999999</v>
          </cell>
          <cell r="K1155">
            <v>2.5099999999999998</v>
          </cell>
          <cell r="L1155">
            <v>5.15</v>
          </cell>
          <cell r="M1155">
            <v>3.9</v>
          </cell>
          <cell r="O1155">
            <v>1.4897</v>
          </cell>
          <cell r="P1155">
            <v>0.64459999999999995</v>
          </cell>
          <cell r="Q1155">
            <v>115.55228048402111</v>
          </cell>
          <cell r="U1155">
            <v>1.8765000000000001</v>
          </cell>
          <cell r="V1155">
            <v>449.13900000000001</v>
          </cell>
          <cell r="W1155" t="str">
            <v>#N/A N/A</v>
          </cell>
        </row>
        <row r="1156">
          <cell r="B1156">
            <v>87.906000000000006</v>
          </cell>
          <cell r="D1156">
            <v>1.2746999999999999</v>
          </cell>
          <cell r="E1156">
            <v>1516.18</v>
          </cell>
          <cell r="F1156">
            <v>15.603149999999999</v>
          </cell>
          <cell r="G1156" t="e">
            <v>#VALUE!</v>
          </cell>
          <cell r="I1156">
            <v>2.9262999999999999</v>
          </cell>
          <cell r="J1156">
            <v>6.8373999999999997</v>
          </cell>
          <cell r="K1156">
            <v>2.5099999999999998</v>
          </cell>
          <cell r="L1156">
            <v>5.16</v>
          </cell>
          <cell r="M1156">
            <v>3.99</v>
          </cell>
          <cell r="O1156">
            <v>1.4863999999999999</v>
          </cell>
          <cell r="P1156">
            <v>0.64790000000000003</v>
          </cell>
          <cell r="Q1156">
            <v>114.70906004012964</v>
          </cell>
          <cell r="U1156">
            <v>1.9906999999999999</v>
          </cell>
          <cell r="V1156">
            <v>430.62700000000001</v>
          </cell>
          <cell r="W1156" t="str">
            <v>#N/A N/A</v>
          </cell>
        </row>
        <row r="1157">
          <cell r="B1157">
            <v>87.727000000000004</v>
          </cell>
          <cell r="D1157">
            <v>1.2753000000000001</v>
          </cell>
          <cell r="E1157">
            <v>1517.55</v>
          </cell>
          <cell r="F1157">
            <v>15.349869999999999</v>
          </cell>
          <cell r="G1157" t="e">
            <v>#VALUE!</v>
          </cell>
          <cell r="I1157">
            <v>2.9908000000000001</v>
          </cell>
          <cell r="J1157">
            <v>6.84</v>
          </cell>
          <cell r="K1157">
            <v>2.4900000000000002</v>
          </cell>
          <cell r="L1157">
            <v>5.0599999999999996</v>
          </cell>
          <cell r="M1157">
            <v>3.88</v>
          </cell>
          <cell r="O1157">
            <v>1.4870999999999999</v>
          </cell>
          <cell r="P1157">
            <v>0.65249999999999997</v>
          </cell>
          <cell r="Q1157">
            <v>113.95402298850574</v>
          </cell>
          <cell r="U1157">
            <v>2.0701999999999998</v>
          </cell>
          <cell r="V1157">
            <v>430.13499999999999</v>
          </cell>
          <cell r="W1157" t="str">
            <v>#N/A N/A</v>
          </cell>
        </row>
        <row r="1158">
          <cell r="B1158">
            <v>88.007999999999996</v>
          </cell>
          <cell r="D1158">
            <v>1.2669000000000001</v>
          </cell>
          <cell r="E1158">
            <v>1534.35</v>
          </cell>
          <cell r="F1158">
            <v>15.656750000000001</v>
          </cell>
          <cell r="G1158" t="e">
            <v>#VALUE!</v>
          </cell>
          <cell r="I1158">
            <v>3.0131000000000001</v>
          </cell>
          <cell r="J1158">
            <v>6.8398000000000003</v>
          </cell>
          <cell r="K1158">
            <v>2.4900000000000002</v>
          </cell>
          <cell r="L1158">
            <v>5.0599999999999996</v>
          </cell>
          <cell r="M1158">
            <v>3.82</v>
          </cell>
          <cell r="O1158">
            <v>1.4816</v>
          </cell>
          <cell r="P1158">
            <v>0.64480000000000004</v>
          </cell>
          <cell r="Q1158">
            <v>114.88833746898261</v>
          </cell>
          <cell r="U1158">
            <v>1.9839</v>
          </cell>
          <cell r="V1158">
            <v>432.47500000000002</v>
          </cell>
          <cell r="W1158" t="str">
            <v>#N/A N/A</v>
          </cell>
        </row>
        <row r="1159">
          <cell r="B1159">
            <v>88.007999999999996</v>
          </cell>
          <cell r="D1159">
            <v>1.2669000000000001</v>
          </cell>
          <cell r="E1159">
            <v>1534.35</v>
          </cell>
          <cell r="F1159">
            <v>15.656750000000001</v>
          </cell>
          <cell r="G1159" t="e">
            <v>#VALUE!</v>
          </cell>
          <cell r="I1159">
            <v>3.0131000000000001</v>
          </cell>
          <cell r="J1159">
            <v>6.8398000000000003</v>
          </cell>
          <cell r="K1159">
            <v>2.4900000000000002</v>
          </cell>
          <cell r="L1159">
            <v>5.0599999999999996</v>
          </cell>
          <cell r="M1159">
            <v>3.82</v>
          </cell>
          <cell r="O1159">
            <v>1.4816</v>
          </cell>
          <cell r="P1159">
            <v>0.64480000000000004</v>
          </cell>
          <cell r="Q1159">
            <v>114.88833746898261</v>
          </cell>
          <cell r="U1159">
            <v>1.9839</v>
          </cell>
          <cell r="V1159">
            <v>432.47500000000002</v>
          </cell>
          <cell r="W1159" t="str">
            <v>#N/A N/A</v>
          </cell>
        </row>
        <row r="1160">
          <cell r="B1160">
            <v>88.007999999999996</v>
          </cell>
          <cell r="D1160">
            <v>1.2669000000000001</v>
          </cell>
          <cell r="E1160">
            <v>1534.35</v>
          </cell>
          <cell r="F1160">
            <v>15.656750000000001</v>
          </cell>
          <cell r="G1160" t="e">
            <v>#VALUE!</v>
          </cell>
          <cell r="I1160">
            <v>3.0131000000000001</v>
          </cell>
          <cell r="J1160">
            <v>6.8398000000000003</v>
          </cell>
          <cell r="K1160">
            <v>2.4900000000000002</v>
          </cell>
          <cell r="L1160">
            <v>5.0599999999999996</v>
          </cell>
          <cell r="M1160">
            <v>3.82</v>
          </cell>
          <cell r="O1160">
            <v>1.4816</v>
          </cell>
          <cell r="P1160">
            <v>0.64480000000000004</v>
          </cell>
          <cell r="Q1160">
            <v>114.88833746898261</v>
          </cell>
          <cell r="U1160">
            <v>1.9839</v>
          </cell>
          <cell r="V1160">
            <v>432.47500000000002</v>
          </cell>
          <cell r="W1160" t="str">
            <v>#N/A N/A</v>
          </cell>
        </row>
        <row r="1161">
          <cell r="B1161">
            <v>88.94</v>
          </cell>
          <cell r="D1161">
            <v>1.2581</v>
          </cell>
          <cell r="E1161">
            <v>1570.65</v>
          </cell>
          <cell r="F1161">
            <v>16.128920000000001</v>
          </cell>
          <cell r="G1161" t="e">
            <v>#VALUE!</v>
          </cell>
          <cell r="I1161">
            <v>2.8624000000000001</v>
          </cell>
          <cell r="J1161">
            <v>6.8457999999999997</v>
          </cell>
          <cell r="K1161">
            <v>2.4900000000000002</v>
          </cell>
          <cell r="L1161">
            <v>5.0999999999999996</v>
          </cell>
          <cell r="M1161">
            <v>3.87</v>
          </cell>
          <cell r="O1161">
            <v>1.4792000000000001</v>
          </cell>
          <cell r="P1161">
            <v>0.63090000000000002</v>
          </cell>
          <cell r="Q1161">
            <v>117.22935488983993</v>
          </cell>
          <cell r="U1161">
            <v>1.8157999999999999</v>
          </cell>
          <cell r="V1161">
            <v>465</v>
          </cell>
          <cell r="W1161" t="str">
            <v>#N/A N/A</v>
          </cell>
        </row>
        <row r="1162">
          <cell r="B1162">
            <v>88.91</v>
          </cell>
          <cell r="D1162">
            <v>1.2570000000000001</v>
          </cell>
          <cell r="E1162">
            <v>1552.15</v>
          </cell>
          <cell r="F1162">
            <v>15.7788</v>
          </cell>
          <cell r="G1162" t="e">
            <v>#VALUE!</v>
          </cell>
          <cell r="I1162">
            <v>2.8771</v>
          </cell>
          <cell r="J1162">
            <v>6.8413000000000004</v>
          </cell>
          <cell r="K1162">
            <v>2.4900000000000002</v>
          </cell>
          <cell r="L1162">
            <v>5.04</v>
          </cell>
          <cell r="M1162">
            <v>3.74</v>
          </cell>
          <cell r="O1162">
            <v>1.4754</v>
          </cell>
          <cell r="P1162">
            <v>0.64039999999999997</v>
          </cell>
          <cell r="Q1162">
            <v>115.19362898188632</v>
          </cell>
          <cell r="U1162">
            <v>1.8322000000000001</v>
          </cell>
          <cell r="V1162">
            <v>460.41800000000001</v>
          </cell>
          <cell r="W1162" t="str">
            <v>#N/A N/A</v>
          </cell>
        </row>
        <row r="1163">
          <cell r="B1163">
            <v>88.576999999999998</v>
          </cell>
          <cell r="D1163">
            <v>1.2612999999999999</v>
          </cell>
          <cell r="E1163">
            <v>1551.22</v>
          </cell>
          <cell r="F1163">
            <v>15.631489999999999</v>
          </cell>
          <cell r="G1163" t="e">
            <v>#VALUE!</v>
          </cell>
          <cell r="I1163">
            <v>2.9744999999999999</v>
          </cell>
          <cell r="J1163">
            <v>6.8430999999999997</v>
          </cell>
          <cell r="K1163">
            <v>2.4900000000000002</v>
          </cell>
          <cell r="L1163">
            <v>5.03</v>
          </cell>
          <cell r="M1163">
            <v>3.7</v>
          </cell>
          <cell r="O1163">
            <v>1.4807000000000001</v>
          </cell>
          <cell r="P1163">
            <v>0.64770000000000005</v>
          </cell>
          <cell r="Q1163">
            <v>114.30446194225721</v>
          </cell>
          <cell r="U1163">
            <v>1.9377</v>
          </cell>
          <cell r="V1163">
            <v>455.40899999999999</v>
          </cell>
          <cell r="W1163" t="str">
            <v>#N/A N/A</v>
          </cell>
        </row>
        <row r="1164">
          <cell r="B1164">
            <v>89.105000000000004</v>
          </cell>
          <cell r="D1164">
            <v>1.2544</v>
          </cell>
          <cell r="E1164">
            <v>1567.7</v>
          </cell>
          <cell r="F1164">
            <v>15.93122</v>
          </cell>
          <cell r="G1164" t="e">
            <v>#VALUE!</v>
          </cell>
          <cell r="I1164">
            <v>2.8115000000000001</v>
          </cell>
          <cell r="J1164">
            <v>6.8407</v>
          </cell>
          <cell r="K1164">
            <v>2.4900000000000002</v>
          </cell>
          <cell r="L1164">
            <v>5.07</v>
          </cell>
          <cell r="M1164">
            <v>3.71</v>
          </cell>
          <cell r="O1164">
            <v>1.4734</v>
          </cell>
          <cell r="P1164">
            <v>0.63859999999999995</v>
          </cell>
          <cell r="Q1164">
            <v>115.36172878171</v>
          </cell>
          <cell r="U1164">
            <v>1.796</v>
          </cell>
          <cell r="V1164">
            <v>455.82499999999999</v>
          </cell>
          <cell r="W1164" t="str">
            <v>#N/A N/A</v>
          </cell>
        </row>
        <row r="1165">
          <cell r="B1165">
            <v>88.512</v>
          </cell>
          <cell r="D1165">
            <v>1.2652999999999999</v>
          </cell>
          <cell r="E1165">
            <v>1550.45</v>
          </cell>
          <cell r="F1165">
            <v>15.791449999999999</v>
          </cell>
          <cell r="G1165" t="e">
            <v>#VALUE!</v>
          </cell>
          <cell r="I1165">
            <v>2.8717000000000001</v>
          </cell>
          <cell r="J1165">
            <v>6.84</v>
          </cell>
          <cell r="K1165">
            <v>2.4900000000000002</v>
          </cell>
          <cell r="L1165">
            <v>5.03</v>
          </cell>
          <cell r="M1165">
            <v>3.63</v>
          </cell>
          <cell r="O1165">
            <v>1.4614</v>
          </cell>
          <cell r="P1165">
            <v>0.64090000000000003</v>
          </cell>
          <cell r="Q1165">
            <v>114.01154626306756</v>
          </cell>
          <cell r="U1165">
            <v>1.8782999999999999</v>
          </cell>
          <cell r="V1165">
            <v>455.26100000000002</v>
          </cell>
          <cell r="W1165" t="str">
            <v>#N/A N/A</v>
          </cell>
        </row>
        <row r="1166">
          <cell r="B1166">
            <v>88.512</v>
          </cell>
          <cell r="D1166">
            <v>1.2652999999999999</v>
          </cell>
          <cell r="E1166">
            <v>1550.45</v>
          </cell>
          <cell r="F1166">
            <v>15.791449999999999</v>
          </cell>
          <cell r="G1166" t="e">
            <v>#VALUE!</v>
          </cell>
          <cell r="I1166">
            <v>2.8717000000000001</v>
          </cell>
          <cell r="J1166">
            <v>6.84</v>
          </cell>
          <cell r="K1166">
            <v>2.4900000000000002</v>
          </cell>
          <cell r="L1166">
            <v>5.03</v>
          </cell>
          <cell r="M1166">
            <v>3.63</v>
          </cell>
          <cell r="O1166">
            <v>1.4614</v>
          </cell>
          <cell r="P1166">
            <v>0.64090000000000003</v>
          </cell>
          <cell r="Q1166">
            <v>114.01154626306756</v>
          </cell>
          <cell r="U1166">
            <v>1.8782999999999999</v>
          </cell>
          <cell r="V1166">
            <v>455.26100000000002</v>
          </cell>
          <cell r="W1166" t="str">
            <v>#N/A N/A</v>
          </cell>
        </row>
        <row r="1167">
          <cell r="B1167">
            <v>88.512</v>
          </cell>
          <cell r="D1167">
            <v>1.2652999999999999</v>
          </cell>
          <cell r="E1167">
            <v>1550.45</v>
          </cell>
          <cell r="F1167">
            <v>15.791449999999999</v>
          </cell>
          <cell r="G1167" t="e">
            <v>#VALUE!</v>
          </cell>
          <cell r="I1167">
            <v>2.8717000000000001</v>
          </cell>
          <cell r="J1167">
            <v>6.84</v>
          </cell>
          <cell r="K1167">
            <v>2.4900000000000002</v>
          </cell>
          <cell r="L1167">
            <v>5.03</v>
          </cell>
          <cell r="M1167">
            <v>3.63</v>
          </cell>
          <cell r="O1167">
            <v>1.4614</v>
          </cell>
          <cell r="P1167">
            <v>0.64090000000000003</v>
          </cell>
          <cell r="Q1167">
            <v>114.01154626306756</v>
          </cell>
          <cell r="U1167">
            <v>1.8782999999999999</v>
          </cell>
          <cell r="V1167">
            <v>455.26100000000002</v>
          </cell>
          <cell r="W1167" t="str">
            <v>#N/A N/A</v>
          </cell>
        </row>
        <row r="1168">
          <cell r="B1168">
            <v>89.009</v>
          </cell>
          <cell r="D1168">
            <v>1.264</v>
          </cell>
          <cell r="E1168">
            <v>1548.75</v>
          </cell>
          <cell r="F1168">
            <v>15.637650000000001</v>
          </cell>
          <cell r="G1168" t="e">
            <v>#VALUE!</v>
          </cell>
          <cell r="I1168">
            <v>2.8589000000000002</v>
          </cell>
          <cell r="J1168">
            <v>6.84</v>
          </cell>
          <cell r="K1168">
            <v>2.4500000000000002</v>
          </cell>
          <cell r="L1168">
            <v>5.0599999999999996</v>
          </cell>
          <cell r="M1168">
            <v>3.66</v>
          </cell>
          <cell r="O1168">
            <v>1.4647999999999999</v>
          </cell>
          <cell r="P1168">
            <v>0.63249999999999995</v>
          </cell>
          <cell r="Q1168">
            <v>115.79446640316205</v>
          </cell>
          <cell r="U1168">
            <v>1.875</v>
          </cell>
          <cell r="V1168">
            <v>455.01100000000002</v>
          </cell>
          <cell r="W1168" t="str">
            <v>#N/A N/A</v>
          </cell>
        </row>
        <row r="1169">
          <cell r="B1169">
            <v>88.927000000000007</v>
          </cell>
          <cell r="D1169">
            <v>1.2690000000000001</v>
          </cell>
          <cell r="E1169">
            <v>1510.77</v>
          </cell>
          <cell r="F1169">
            <v>15.18601</v>
          </cell>
          <cell r="G1169" t="e">
            <v>#VALUE!</v>
          </cell>
          <cell r="I1169">
            <v>3.0044</v>
          </cell>
          <cell r="J1169">
            <v>6.8411999999999997</v>
          </cell>
          <cell r="K1169">
            <v>2.4500000000000002</v>
          </cell>
          <cell r="L1169">
            <v>4.88</v>
          </cell>
          <cell r="M1169">
            <v>3.62</v>
          </cell>
          <cell r="O1169">
            <v>1.468</v>
          </cell>
          <cell r="P1169">
            <v>0.64449999999999996</v>
          </cell>
          <cell r="Q1169">
            <v>113.88673390224982</v>
          </cell>
          <cell r="U1169">
            <v>2.0009999999999999</v>
          </cell>
          <cell r="V1169">
            <v>449.22500000000002</v>
          </cell>
          <cell r="W1169" t="str">
            <v>#N/A N/A</v>
          </cell>
        </row>
        <row r="1170">
          <cell r="B1170">
            <v>87.867999999999995</v>
          </cell>
          <cell r="D1170">
            <v>1.2784</v>
          </cell>
          <cell r="E1170">
            <v>1470.75</v>
          </cell>
          <cell r="F1170">
            <v>15.28585</v>
          </cell>
          <cell r="G1170" t="e">
            <v>#VALUE!</v>
          </cell>
          <cell r="I1170">
            <v>2.9047999999999998</v>
          </cell>
          <cell r="J1170">
            <v>6.8403999999999998</v>
          </cell>
          <cell r="K1170">
            <v>2.4500000000000002</v>
          </cell>
          <cell r="L1170">
            <v>4.91</v>
          </cell>
          <cell r="M1170">
            <v>3.69</v>
          </cell>
          <cell r="O1170">
            <v>1.4783999999999999</v>
          </cell>
          <cell r="P1170">
            <v>0.64900000000000002</v>
          </cell>
          <cell r="Q1170">
            <v>113.89830508474574</v>
          </cell>
          <cell r="U1170">
            <v>1.9412</v>
          </cell>
          <cell r="V1170">
            <v>445.63499999999999</v>
          </cell>
          <cell r="W1170" t="str">
            <v>#N/A N/A</v>
          </cell>
        </row>
        <row r="1171">
          <cell r="B1171">
            <v>87.66</v>
          </cell>
          <cell r="D1171">
            <v>1.2839</v>
          </cell>
          <cell r="E1171">
            <v>1496.55</v>
          </cell>
          <cell r="F1171">
            <v>15.265040000000001</v>
          </cell>
          <cell r="G1171" t="e">
            <v>#VALUE!</v>
          </cell>
          <cell r="I1171">
            <v>2.8534999999999999</v>
          </cell>
          <cell r="J1171">
            <v>6.8388</v>
          </cell>
          <cell r="K1171">
            <v>2.4500000000000002</v>
          </cell>
          <cell r="L1171">
            <v>4.84</v>
          </cell>
          <cell r="M1171">
            <v>3.62</v>
          </cell>
          <cell r="O1171">
            <v>1.5247999999999999</v>
          </cell>
          <cell r="P1171">
            <v>0.65029999999999999</v>
          </cell>
          <cell r="Q1171">
            <v>117.23819775488235</v>
          </cell>
          <cell r="U1171">
            <v>1.8980999999999999</v>
          </cell>
          <cell r="V1171">
            <v>429.048</v>
          </cell>
          <cell r="W1171" t="str">
            <v>#N/A N/A</v>
          </cell>
        </row>
        <row r="1172">
          <cell r="B1172">
            <v>87.427999999999997</v>
          </cell>
          <cell r="D1172">
            <v>1.2927999999999999</v>
          </cell>
          <cell r="E1172">
            <v>1483.05</v>
          </cell>
          <cell r="F1172">
            <v>15.15582</v>
          </cell>
          <cell r="G1172" t="e">
            <v>#VALUE!</v>
          </cell>
          <cell r="I1172">
            <v>2.8902000000000001</v>
          </cell>
          <cell r="J1172">
            <v>6.8380000000000001</v>
          </cell>
          <cell r="K1172">
            <v>2.4300000000000002</v>
          </cell>
          <cell r="L1172">
            <v>4.88</v>
          </cell>
          <cell r="M1172">
            <v>3.72</v>
          </cell>
          <cell r="O1172">
            <v>1.5323</v>
          </cell>
          <cell r="P1172">
            <v>0.65720000000000001</v>
          </cell>
          <cell r="Q1172">
            <v>116.57790626902009</v>
          </cell>
          <cell r="U1172">
            <v>1.865</v>
          </cell>
          <cell r="V1172">
            <v>421.56099999999998</v>
          </cell>
          <cell r="W1172" t="str">
            <v>#N/A N/A</v>
          </cell>
        </row>
        <row r="1173">
          <cell r="B1173">
            <v>87.427999999999997</v>
          </cell>
          <cell r="D1173">
            <v>1.2927999999999999</v>
          </cell>
          <cell r="E1173">
            <v>1483.05</v>
          </cell>
          <cell r="F1173">
            <v>15.15582</v>
          </cell>
          <cell r="G1173" t="e">
            <v>#VALUE!</v>
          </cell>
          <cell r="I1173">
            <v>2.8902000000000001</v>
          </cell>
          <cell r="J1173">
            <v>6.8380000000000001</v>
          </cell>
          <cell r="K1173">
            <v>2.4300000000000002</v>
          </cell>
          <cell r="L1173">
            <v>4.88</v>
          </cell>
          <cell r="M1173">
            <v>3.72</v>
          </cell>
          <cell r="O1173">
            <v>1.5323</v>
          </cell>
          <cell r="P1173">
            <v>0.65720000000000001</v>
          </cell>
          <cell r="Q1173">
            <v>116.57790626902009</v>
          </cell>
          <cell r="U1173">
            <v>1.865</v>
          </cell>
          <cell r="V1173">
            <v>421.56099999999998</v>
          </cell>
          <cell r="W1173" t="str">
            <v>#N/A N/A</v>
          </cell>
        </row>
        <row r="1174">
          <cell r="B1174">
            <v>87.427999999999997</v>
          </cell>
          <cell r="D1174">
            <v>1.2927999999999999</v>
          </cell>
          <cell r="E1174">
            <v>1483.05</v>
          </cell>
          <cell r="F1174">
            <v>15.15582</v>
          </cell>
          <cell r="G1174" t="e">
            <v>#VALUE!</v>
          </cell>
          <cell r="I1174">
            <v>2.8902000000000001</v>
          </cell>
          <cell r="J1174">
            <v>6.8380000000000001</v>
          </cell>
          <cell r="K1174">
            <v>2.4300000000000002</v>
          </cell>
          <cell r="L1174">
            <v>4.88</v>
          </cell>
          <cell r="M1174">
            <v>3.72</v>
          </cell>
          <cell r="O1174">
            <v>1.5323</v>
          </cell>
          <cell r="P1174">
            <v>0.65720000000000001</v>
          </cell>
          <cell r="Q1174">
            <v>116.57790626902009</v>
          </cell>
          <cell r="U1174">
            <v>1.865</v>
          </cell>
          <cell r="V1174">
            <v>421.56099999999998</v>
          </cell>
          <cell r="W1174" t="str">
            <v>#N/A N/A</v>
          </cell>
        </row>
        <row r="1175">
          <cell r="B1175">
            <v>86.945999999999998</v>
          </cell>
          <cell r="D1175">
            <v>1.2998000000000001</v>
          </cell>
          <cell r="E1175">
            <v>1440.15</v>
          </cell>
          <cell r="F1175">
            <v>14.39072</v>
          </cell>
          <cell r="G1175" t="e">
            <v>#VALUE!</v>
          </cell>
          <cell r="I1175">
            <v>2.9529000000000001</v>
          </cell>
          <cell r="J1175">
            <v>6.8380999999999998</v>
          </cell>
          <cell r="K1175">
            <v>2.4300000000000002</v>
          </cell>
          <cell r="L1175">
            <v>4.95</v>
          </cell>
          <cell r="M1175">
            <v>3.74</v>
          </cell>
          <cell r="O1175">
            <v>1.5407999999999999</v>
          </cell>
          <cell r="P1175">
            <v>0.66239999999999999</v>
          </cell>
          <cell r="Q1175">
            <v>116.30434782608697</v>
          </cell>
          <cell r="U1175">
            <v>1.9180999999999999</v>
          </cell>
          <cell r="V1175">
            <v>394.08600000000001</v>
          </cell>
          <cell r="W1175" t="str">
            <v>#N/A N/A</v>
          </cell>
        </row>
        <row r="1176">
          <cell r="B1176">
            <v>86.933000000000007</v>
          </cell>
          <cell r="D1176">
            <v>1.2986</v>
          </cell>
          <cell r="E1176">
            <v>1408.25</v>
          </cell>
          <cell r="F1176">
            <v>14.32203</v>
          </cell>
          <cell r="G1176" t="e">
            <v>#VALUE!</v>
          </cell>
          <cell r="I1176">
            <v>3.0066000000000002</v>
          </cell>
          <cell r="J1176">
            <v>6.8372000000000002</v>
          </cell>
          <cell r="K1176">
            <v>2.4300000000000002</v>
          </cell>
          <cell r="L1176">
            <v>4.8499999999999996</v>
          </cell>
          <cell r="M1176">
            <v>3.62</v>
          </cell>
          <cell r="O1176">
            <v>1.5382</v>
          </cell>
          <cell r="P1176">
            <v>0.6593</v>
          </cell>
          <cell r="Q1176">
            <v>116.65402699833156</v>
          </cell>
          <cell r="U1176">
            <v>1.9748000000000001</v>
          </cell>
          <cell r="V1176">
            <v>380.28399999999999</v>
          </cell>
          <cell r="W1176" t="str">
            <v>#N/A N/A</v>
          </cell>
        </row>
        <row r="1177">
          <cell r="B1177">
            <v>84.594999999999999</v>
          </cell>
          <cell r="D1177">
            <v>1.3120000000000001</v>
          </cell>
          <cell r="E1177">
            <v>1420.7</v>
          </cell>
          <cell r="F1177">
            <v>14.452640000000001</v>
          </cell>
          <cell r="G1177" t="e">
            <v>#VALUE!</v>
          </cell>
          <cell r="I1177">
            <v>2.5329999999999999</v>
          </cell>
          <cell r="J1177">
            <v>6.8346999999999998</v>
          </cell>
          <cell r="K1177">
            <v>2.4300000000000002</v>
          </cell>
          <cell r="L1177">
            <v>4.87</v>
          </cell>
          <cell r="M1177">
            <v>3.66</v>
          </cell>
          <cell r="O1177">
            <v>1.5297000000000001</v>
          </cell>
          <cell r="P1177">
            <v>0.6603</v>
          </cell>
          <cell r="Q1177">
            <v>115.83371194911405</v>
          </cell>
          <cell r="U1177">
            <v>1.5686</v>
          </cell>
          <cell r="V1177">
            <v>381.01600000000002</v>
          </cell>
          <cell r="W1177" t="str">
            <v>#N/A N/A</v>
          </cell>
        </row>
        <row r="1178">
          <cell r="B1178">
            <v>83.129000000000005</v>
          </cell>
          <cell r="D1178">
            <v>1.3637000000000001</v>
          </cell>
          <cell r="E1178">
            <v>1396.5</v>
          </cell>
          <cell r="F1178">
            <v>14.738989999999999</v>
          </cell>
          <cell r="G1178" t="e">
            <v>#VALUE!</v>
          </cell>
          <cell r="I1178">
            <v>2.6023000000000001</v>
          </cell>
          <cell r="J1178">
            <v>6.8285</v>
          </cell>
          <cell r="K1178">
            <v>2.4300000000000002</v>
          </cell>
          <cell r="L1178">
            <v>4.7300000000000004</v>
          </cell>
          <cell r="M1178">
            <v>3.49</v>
          </cell>
          <cell r="O1178">
            <v>1.5342</v>
          </cell>
          <cell r="P1178">
            <v>0.68799999999999994</v>
          </cell>
          <cell r="Q1178">
            <v>111.49709302325583</v>
          </cell>
          <cell r="U1178">
            <v>1.6436999999999999</v>
          </cell>
          <cell r="V1178">
            <v>377.74</v>
          </cell>
          <cell r="W1178" t="str">
            <v>#N/A N/A</v>
          </cell>
        </row>
        <row r="1179">
          <cell r="B1179">
            <v>83.840999999999994</v>
          </cell>
          <cell r="D1179">
            <v>1.3582000000000001</v>
          </cell>
          <cell r="E1179">
            <v>1412.25</v>
          </cell>
          <cell r="F1179">
            <v>14.655709999999999</v>
          </cell>
          <cell r="G1179" t="e">
            <v>#VALUE!</v>
          </cell>
          <cell r="I1179">
            <v>2.6343999999999999</v>
          </cell>
          <cell r="J1179">
            <v>6.8277000000000001</v>
          </cell>
          <cell r="K1179">
            <v>2.4300000000000002</v>
          </cell>
          <cell r="L1179">
            <v>4.7699999999999996</v>
          </cell>
          <cell r="M1179">
            <v>3.49</v>
          </cell>
          <cell r="O1179">
            <v>1.5314000000000001</v>
          </cell>
          <cell r="P1179">
            <v>0.68720000000000003</v>
          </cell>
          <cell r="Q1179">
            <v>111.42316647264261</v>
          </cell>
          <cell r="U1179">
            <v>1.6400999999999999</v>
          </cell>
          <cell r="V1179">
            <v>379.16300000000001</v>
          </cell>
          <cell r="W1179" t="str">
            <v>#N/A N/A</v>
          </cell>
        </row>
        <row r="1180">
          <cell r="B1180">
            <v>83.840999999999994</v>
          </cell>
          <cell r="D1180">
            <v>1.3582000000000001</v>
          </cell>
          <cell r="E1180">
            <v>1412.25</v>
          </cell>
          <cell r="F1180">
            <v>14.655709999999999</v>
          </cell>
          <cell r="G1180" t="e">
            <v>#VALUE!</v>
          </cell>
          <cell r="I1180">
            <v>2.6343999999999999</v>
          </cell>
          <cell r="J1180">
            <v>6.8277000000000001</v>
          </cell>
          <cell r="K1180">
            <v>2.4300000000000002</v>
          </cell>
          <cell r="L1180">
            <v>4.7699999999999996</v>
          </cell>
          <cell r="M1180">
            <v>3.49</v>
          </cell>
          <cell r="O1180">
            <v>1.5314000000000001</v>
          </cell>
          <cell r="P1180">
            <v>0.68720000000000003</v>
          </cell>
          <cell r="Q1180">
            <v>111.42316647264261</v>
          </cell>
          <cell r="U1180">
            <v>1.6400999999999999</v>
          </cell>
          <cell r="V1180">
            <v>379.16300000000001</v>
          </cell>
          <cell r="W1180" t="str">
            <v>#N/A N/A</v>
          </cell>
        </row>
        <row r="1181">
          <cell r="B1181">
            <v>83.840999999999994</v>
          </cell>
          <cell r="D1181">
            <v>1.3582000000000001</v>
          </cell>
          <cell r="E1181">
            <v>1412.25</v>
          </cell>
          <cell r="F1181">
            <v>14.655709999999999</v>
          </cell>
          <cell r="G1181" t="e">
            <v>#VALUE!</v>
          </cell>
          <cell r="I1181">
            <v>2.6343999999999999</v>
          </cell>
          <cell r="J1181">
            <v>6.8277000000000001</v>
          </cell>
          <cell r="K1181">
            <v>2.4300000000000002</v>
          </cell>
          <cell r="L1181">
            <v>4.7699999999999996</v>
          </cell>
          <cell r="M1181">
            <v>3.49</v>
          </cell>
          <cell r="O1181">
            <v>1.5314000000000001</v>
          </cell>
          <cell r="P1181">
            <v>0.68720000000000003</v>
          </cell>
          <cell r="Q1181">
            <v>111.42316647264261</v>
          </cell>
          <cell r="U1181">
            <v>1.6400999999999999</v>
          </cell>
          <cell r="V1181">
            <v>379.16300000000001</v>
          </cell>
          <cell r="W1181" t="str">
            <v>#N/A N/A</v>
          </cell>
        </row>
        <row r="1182">
          <cell r="B1182">
            <v>83.426000000000002</v>
          </cell>
          <cell r="D1182">
            <v>1.3614999999999999</v>
          </cell>
          <cell r="E1182">
            <v>1392.22</v>
          </cell>
          <cell r="F1182">
            <v>14.3278</v>
          </cell>
          <cell r="G1182" t="e">
            <v>#VALUE!</v>
          </cell>
          <cell r="I1182">
            <v>2.6522999999999999</v>
          </cell>
          <cell r="J1182">
            <v>6.8331</v>
          </cell>
          <cell r="K1182">
            <v>2.4300000000000002</v>
          </cell>
          <cell r="L1182">
            <v>4.9400000000000004</v>
          </cell>
          <cell r="M1182">
            <v>3.55</v>
          </cell>
          <cell r="O1182">
            <v>1.5298</v>
          </cell>
          <cell r="P1182">
            <v>0.70089999999999997</v>
          </cell>
          <cell r="Q1182">
            <v>109.13111713511201</v>
          </cell>
          <cell r="U1182">
            <v>1.6827999999999999</v>
          </cell>
          <cell r="V1182">
            <v>378.9</v>
          </cell>
          <cell r="W1182" t="str">
            <v>#N/A N/A</v>
          </cell>
        </row>
        <row r="1183">
          <cell r="B1183">
            <v>83.858000000000004</v>
          </cell>
          <cell r="D1183">
            <v>1.3494999999999999</v>
          </cell>
          <cell r="E1183">
            <v>1383.27</v>
          </cell>
          <cell r="F1183">
            <v>14.08343</v>
          </cell>
          <cell r="G1183" t="e">
            <v>#VALUE!</v>
          </cell>
          <cell r="I1183">
            <v>2.7010000000000001</v>
          </cell>
          <cell r="J1183">
            <v>6.8296000000000001</v>
          </cell>
          <cell r="K1183">
            <v>2.4300000000000002</v>
          </cell>
          <cell r="L1183">
            <v>5.01</v>
          </cell>
          <cell r="M1183">
            <v>3.64</v>
          </cell>
          <cell r="O1183">
            <v>1.5251999999999999</v>
          </cell>
          <cell r="P1183">
            <v>0.69969999999999999</v>
          </cell>
          <cell r="Q1183">
            <v>108.9895669572674</v>
          </cell>
          <cell r="U1183">
            <v>1.7256</v>
          </cell>
          <cell r="V1183">
            <v>362.64100000000002</v>
          </cell>
          <cell r="W1183" t="str">
            <v>#N/A N/A</v>
          </cell>
        </row>
        <row r="1184">
          <cell r="B1184">
            <v>83.808000000000007</v>
          </cell>
          <cell r="D1184">
            <v>1.3568</v>
          </cell>
          <cell r="E1184">
            <v>1362.35</v>
          </cell>
          <cell r="F1184">
            <v>13.902010000000001</v>
          </cell>
          <cell r="G1184" t="e">
            <v>#VALUE!</v>
          </cell>
          <cell r="I1184">
            <v>2.7843999999999998</v>
          </cell>
          <cell r="J1184">
            <v>6.8308999999999997</v>
          </cell>
          <cell r="K1184">
            <v>2.4300000000000002</v>
          </cell>
          <cell r="L1184">
            <v>5</v>
          </cell>
          <cell r="M1184">
            <v>3.64</v>
          </cell>
          <cell r="O1184">
            <v>1.5205</v>
          </cell>
          <cell r="P1184">
            <v>0.69750000000000001</v>
          </cell>
          <cell r="Q1184">
            <v>108.99641577060932</v>
          </cell>
          <cell r="U1184">
            <v>1.8117000000000001</v>
          </cell>
          <cell r="V1184">
            <v>355.36700000000002</v>
          </cell>
          <cell r="W1184" t="str">
            <v>#N/A N/A</v>
          </cell>
        </row>
        <row r="1185">
          <cell r="B1185">
            <v>84.165000000000006</v>
          </cell>
          <cell r="D1185">
            <v>1.3538000000000001</v>
          </cell>
          <cell r="E1185">
            <v>1330.75</v>
          </cell>
          <cell r="F1185">
            <v>13.542479999999999</v>
          </cell>
          <cell r="G1185" t="e">
            <v>#VALUE!</v>
          </cell>
          <cell r="I1185">
            <v>2.7389000000000001</v>
          </cell>
          <cell r="J1185">
            <v>6.8319999999999999</v>
          </cell>
          <cell r="K1185">
            <v>2.4300000000000002</v>
          </cell>
          <cell r="L1185">
            <v>5.08</v>
          </cell>
          <cell r="M1185">
            <v>3.71</v>
          </cell>
          <cell r="O1185">
            <v>1.5263</v>
          </cell>
          <cell r="P1185">
            <v>0.70179999999999998</v>
          </cell>
          <cell r="Q1185">
            <v>108.74180678255914</v>
          </cell>
          <cell r="U1185">
            <v>1.7894000000000001</v>
          </cell>
          <cell r="V1185">
            <v>336.41899999999998</v>
          </cell>
          <cell r="W1185" t="str">
            <v>#N/A N/A</v>
          </cell>
        </row>
        <row r="1186">
          <cell r="B1186">
            <v>85.111000000000004</v>
          </cell>
          <cell r="D1186">
            <v>1.3287</v>
          </cell>
          <cell r="E1186">
            <v>1348.18</v>
          </cell>
          <cell r="F1186">
            <v>13.79519</v>
          </cell>
          <cell r="G1186" t="e">
            <v>#VALUE!</v>
          </cell>
          <cell r="I1186">
            <v>2.7570999999999999</v>
          </cell>
          <cell r="J1186">
            <v>6.8324999999999996</v>
          </cell>
          <cell r="K1186">
            <v>2.4300000000000002</v>
          </cell>
          <cell r="L1186">
            <v>5.0599999999999996</v>
          </cell>
          <cell r="M1186">
            <v>3.74</v>
          </cell>
          <cell r="O1186">
            <v>1.5205</v>
          </cell>
          <cell r="P1186">
            <v>0.69089999999999996</v>
          </cell>
          <cell r="Q1186">
            <v>110.03763207410624</v>
          </cell>
          <cell r="U1186">
            <v>1.8025</v>
          </cell>
          <cell r="V1186">
            <v>329.88499999999999</v>
          </cell>
          <cell r="W1186" t="str">
            <v>#N/A N/A</v>
          </cell>
        </row>
        <row r="1187">
          <cell r="B1187">
            <v>85.111000000000004</v>
          </cell>
          <cell r="D1187">
            <v>1.3287</v>
          </cell>
          <cell r="E1187">
            <v>1348.18</v>
          </cell>
          <cell r="F1187">
            <v>13.79519</v>
          </cell>
          <cell r="G1187" t="e">
            <v>#VALUE!</v>
          </cell>
          <cell r="I1187">
            <v>2.7570999999999999</v>
          </cell>
          <cell r="J1187">
            <v>6.8324999999999996</v>
          </cell>
          <cell r="K1187">
            <v>2.4300000000000002</v>
          </cell>
          <cell r="L1187">
            <v>5.0599999999999996</v>
          </cell>
          <cell r="M1187">
            <v>3.74</v>
          </cell>
          <cell r="O1187">
            <v>1.5205</v>
          </cell>
          <cell r="P1187">
            <v>0.69089999999999996</v>
          </cell>
          <cell r="Q1187">
            <v>110.03763207410624</v>
          </cell>
          <cell r="U1187">
            <v>1.8025</v>
          </cell>
          <cell r="V1187">
            <v>329.88499999999999</v>
          </cell>
          <cell r="W1187" t="str">
            <v>#N/A N/A</v>
          </cell>
        </row>
        <row r="1188">
          <cell r="B1188">
            <v>85.111000000000004</v>
          </cell>
          <cell r="D1188">
            <v>1.3287</v>
          </cell>
          <cell r="E1188">
            <v>1348.18</v>
          </cell>
          <cell r="F1188">
            <v>13.79519</v>
          </cell>
          <cell r="G1188" t="e">
            <v>#VALUE!</v>
          </cell>
          <cell r="I1188">
            <v>2.7570999999999999</v>
          </cell>
          <cell r="J1188">
            <v>6.8324999999999996</v>
          </cell>
          <cell r="K1188">
            <v>2.4300000000000002</v>
          </cell>
          <cell r="L1188">
            <v>5.0599999999999996</v>
          </cell>
          <cell r="M1188">
            <v>3.74</v>
          </cell>
          <cell r="O1188">
            <v>1.5205</v>
          </cell>
          <cell r="P1188">
            <v>0.69089999999999996</v>
          </cell>
          <cell r="Q1188">
            <v>110.03763207410624</v>
          </cell>
          <cell r="U1188">
            <v>1.8025</v>
          </cell>
          <cell r="V1188">
            <v>329.88499999999999</v>
          </cell>
          <cell r="W1188" t="str">
            <v>#N/A N/A</v>
          </cell>
        </row>
        <row r="1189">
          <cell r="B1189">
            <v>85.869</v>
          </cell>
          <cell r="D1189">
            <v>1.3165</v>
          </cell>
          <cell r="E1189">
            <v>1391.3</v>
          </cell>
          <cell r="F1189">
            <v>14.34435</v>
          </cell>
          <cell r="G1189" t="e">
            <v>#VALUE!</v>
          </cell>
          <cell r="I1189">
            <v>2.7117</v>
          </cell>
          <cell r="J1189">
            <v>6.8365999999999998</v>
          </cell>
          <cell r="K1189">
            <v>2.4300000000000002</v>
          </cell>
          <cell r="L1189">
            <v>5.15</v>
          </cell>
          <cell r="M1189">
            <v>3.89</v>
          </cell>
          <cell r="O1189">
            <v>1.5165</v>
          </cell>
          <cell r="P1189">
            <v>0.67930000000000001</v>
          </cell>
          <cell r="Q1189">
            <v>111.62225820697778</v>
          </cell>
          <cell r="U1189">
            <v>1.7238</v>
          </cell>
          <cell r="V1189">
            <v>341.08499999999998</v>
          </cell>
          <cell r="W1189" t="str">
            <v>#N/A N/A</v>
          </cell>
        </row>
        <row r="1190">
          <cell r="B1190">
            <v>85.43</v>
          </cell>
          <cell r="D1190">
            <v>1.3229</v>
          </cell>
          <cell r="E1190">
            <v>1383.1</v>
          </cell>
          <cell r="F1190">
            <v>13.783250000000001</v>
          </cell>
          <cell r="G1190" t="e">
            <v>#VALUE!</v>
          </cell>
          <cell r="I1190">
            <v>2.6629</v>
          </cell>
          <cell r="J1190">
            <v>6.8335999999999997</v>
          </cell>
          <cell r="K1190">
            <v>2.4300000000000002</v>
          </cell>
          <cell r="L1190">
            <v>5.17</v>
          </cell>
          <cell r="M1190">
            <v>3.94</v>
          </cell>
          <cell r="O1190">
            <v>1.5125999999999999</v>
          </cell>
          <cell r="P1190">
            <v>0.69269999999999998</v>
          </cell>
          <cell r="Q1190">
            <v>109.18146383715894</v>
          </cell>
          <cell r="U1190">
            <v>1.6551</v>
          </cell>
          <cell r="V1190">
            <v>332.584</v>
          </cell>
          <cell r="W1190" t="str">
            <v>#N/A N/A</v>
          </cell>
        </row>
        <row r="1191">
          <cell r="B1191">
            <v>85.503</v>
          </cell>
          <cell r="D1191">
            <v>1.3208</v>
          </cell>
          <cell r="E1191">
            <v>1379.75</v>
          </cell>
          <cell r="F1191">
            <v>13.83164</v>
          </cell>
          <cell r="G1191" t="e">
            <v>#VALUE!</v>
          </cell>
          <cell r="I1191">
            <v>2.6539000000000001</v>
          </cell>
          <cell r="J1191">
            <v>6.8342999999999998</v>
          </cell>
          <cell r="K1191">
            <v>2.4300000000000002</v>
          </cell>
          <cell r="L1191">
            <v>5.08</v>
          </cell>
          <cell r="M1191">
            <v>3.83</v>
          </cell>
          <cell r="O1191">
            <v>1.5167000000000002</v>
          </cell>
          <cell r="P1191">
            <v>0.69320000000000004</v>
          </cell>
          <cell r="Q1191">
            <v>109.39844200807849</v>
          </cell>
          <cell r="U1191">
            <v>1.6419999999999999</v>
          </cell>
          <cell r="V1191">
            <v>323.58199999999999</v>
          </cell>
          <cell r="W1191" t="str">
            <v>#N/A N/A</v>
          </cell>
        </row>
        <row r="1192">
          <cell r="B1192">
            <v>84.445999999999998</v>
          </cell>
          <cell r="D1192">
            <v>1.3484</v>
          </cell>
          <cell r="E1192">
            <v>1334.25</v>
          </cell>
          <cell r="F1192">
            <v>13.241630000000001</v>
          </cell>
          <cell r="G1192" t="e">
            <v>#VALUE!</v>
          </cell>
          <cell r="I1192">
            <v>2.7662</v>
          </cell>
          <cell r="J1192">
            <v>6.8331</v>
          </cell>
          <cell r="K1192">
            <v>2.4300000000000002</v>
          </cell>
          <cell r="L1192">
            <v>5.0599999999999996</v>
          </cell>
          <cell r="M1192">
            <v>3.87</v>
          </cell>
          <cell r="O1192">
            <v>1.5272999999999999</v>
          </cell>
          <cell r="P1192">
            <v>0.71819999999999995</v>
          </cell>
          <cell r="Q1192">
            <v>106.32832080200501</v>
          </cell>
          <cell r="U1192">
            <v>1.7467000000000001</v>
          </cell>
          <cell r="V1192">
            <v>305.01</v>
          </cell>
          <cell r="W1192" t="str">
            <v>#N/A N/A</v>
          </cell>
        </row>
        <row r="1193">
          <cell r="B1193">
            <v>84.165000000000006</v>
          </cell>
          <cell r="D1193">
            <v>1.3442000000000001</v>
          </cell>
          <cell r="E1193">
            <v>1340.9</v>
          </cell>
          <cell r="F1193">
            <v>13.35561</v>
          </cell>
          <cell r="G1193" t="e">
            <v>#VALUE!</v>
          </cell>
          <cell r="I1193">
            <v>2.8853</v>
          </cell>
          <cell r="J1193">
            <v>6.8347999999999995</v>
          </cell>
          <cell r="K1193">
            <v>2.4300000000000002</v>
          </cell>
          <cell r="L1193">
            <v>5.05</v>
          </cell>
          <cell r="M1193">
            <v>3.95</v>
          </cell>
          <cell r="O1193">
            <v>1.5230000000000001</v>
          </cell>
          <cell r="P1193">
            <v>0.71050000000000002</v>
          </cell>
          <cell r="Q1193">
            <v>107.17804363124561</v>
          </cell>
          <cell r="U1193">
            <v>1.8521999999999998</v>
          </cell>
          <cell r="V1193">
            <v>305.18299999999999</v>
          </cell>
          <cell r="W1193" t="str">
            <v>#N/A N/A</v>
          </cell>
        </row>
        <row r="1194">
          <cell r="B1194">
            <v>84.165000000000006</v>
          </cell>
          <cell r="D1194">
            <v>1.3442000000000001</v>
          </cell>
          <cell r="E1194">
            <v>1340.9</v>
          </cell>
          <cell r="F1194">
            <v>13.35561</v>
          </cell>
          <cell r="G1194" t="e">
            <v>#VALUE!</v>
          </cell>
          <cell r="I1194">
            <v>2.8853</v>
          </cell>
          <cell r="J1194">
            <v>6.8347999999999995</v>
          </cell>
          <cell r="K1194">
            <v>2.4300000000000002</v>
          </cell>
          <cell r="L1194">
            <v>5.05</v>
          </cell>
          <cell r="M1194">
            <v>3.95</v>
          </cell>
          <cell r="O1194">
            <v>1.5230000000000001</v>
          </cell>
          <cell r="P1194">
            <v>0.71050000000000002</v>
          </cell>
          <cell r="Q1194">
            <v>107.17804363124561</v>
          </cell>
          <cell r="U1194">
            <v>1.8521999999999998</v>
          </cell>
          <cell r="V1194">
            <v>305.18299999999999</v>
          </cell>
          <cell r="W1194" t="str">
            <v>#N/A N/A</v>
          </cell>
        </row>
        <row r="1195">
          <cell r="B1195">
            <v>84.165000000000006</v>
          </cell>
          <cell r="D1195">
            <v>1.3442000000000001</v>
          </cell>
          <cell r="E1195">
            <v>1340.9</v>
          </cell>
          <cell r="F1195">
            <v>13.35561</v>
          </cell>
          <cell r="G1195" t="e">
            <v>#VALUE!</v>
          </cell>
          <cell r="I1195">
            <v>2.8853</v>
          </cell>
          <cell r="J1195">
            <v>6.8347999999999995</v>
          </cell>
          <cell r="K1195">
            <v>2.4300000000000002</v>
          </cell>
          <cell r="L1195">
            <v>5.05</v>
          </cell>
          <cell r="M1195">
            <v>3.95</v>
          </cell>
          <cell r="O1195">
            <v>1.5230000000000001</v>
          </cell>
          <cell r="P1195">
            <v>0.71050000000000002</v>
          </cell>
          <cell r="Q1195">
            <v>107.17804363124561</v>
          </cell>
          <cell r="U1195">
            <v>1.8521999999999998</v>
          </cell>
          <cell r="V1195">
            <v>305.18299999999999</v>
          </cell>
          <cell r="W1195" t="str">
            <v>#N/A N/A</v>
          </cell>
        </row>
        <row r="1196">
          <cell r="B1196">
            <v>84.570999999999998</v>
          </cell>
          <cell r="D1196">
            <v>1.3389</v>
          </cell>
          <cell r="E1196">
            <v>1309.25</v>
          </cell>
          <cell r="F1196">
            <v>13.21346</v>
          </cell>
          <cell r="G1196" t="e">
            <v>#VALUE!</v>
          </cell>
          <cell r="I1196">
            <v>2.9222999999999999</v>
          </cell>
          <cell r="J1196">
            <v>6.8330000000000002</v>
          </cell>
          <cell r="K1196">
            <v>2.4300000000000002</v>
          </cell>
          <cell r="L1196">
            <v>5.13</v>
          </cell>
          <cell r="M1196">
            <v>3.99</v>
          </cell>
          <cell r="O1196">
            <v>1.5224</v>
          </cell>
          <cell r="P1196">
            <v>0.70979999999999999</v>
          </cell>
          <cell r="Q1196">
            <v>107.24147647224571</v>
          </cell>
          <cell r="U1196">
            <v>1.8853</v>
          </cell>
          <cell r="V1196">
            <v>298.35000000000002</v>
          </cell>
          <cell r="W1196" t="str">
            <v>#N/A N/A</v>
          </cell>
        </row>
        <row r="1197">
          <cell r="B1197">
            <v>85.287999999999997</v>
          </cell>
          <cell r="D1197">
            <v>1.327</v>
          </cell>
          <cell r="E1197">
            <v>1322.85</v>
          </cell>
          <cell r="F1197">
            <v>13.280279999999999</v>
          </cell>
          <cell r="G1197" t="e">
            <v>#VALUE!</v>
          </cell>
          <cell r="I1197">
            <v>2.8965000000000001</v>
          </cell>
          <cell r="J1197">
            <v>6.8368000000000002</v>
          </cell>
          <cell r="K1197">
            <v>2.4300000000000002</v>
          </cell>
          <cell r="L1197">
            <v>5.13</v>
          </cell>
          <cell r="M1197">
            <v>3.94</v>
          </cell>
          <cell r="O1197">
            <v>1.5169000000000001</v>
          </cell>
          <cell r="P1197">
            <v>0.71340000000000003</v>
          </cell>
          <cell r="Q1197">
            <v>106.31483038968321</v>
          </cell>
          <cell r="U1197">
            <v>1.849</v>
          </cell>
          <cell r="V1197">
            <v>312.48599999999999</v>
          </cell>
          <cell r="W1197" t="str">
            <v>#N/A N/A</v>
          </cell>
        </row>
        <row r="1198">
          <cell r="B1198">
            <v>85.361000000000004</v>
          </cell>
          <cell r="D1198">
            <v>1.3296999999999999</v>
          </cell>
          <cell r="E1198">
            <v>1354.75</v>
          </cell>
          <cell r="F1198">
            <v>13.46208</v>
          </cell>
          <cell r="G1198" t="e">
            <v>#VALUE!</v>
          </cell>
          <cell r="I1198">
            <v>2.8559000000000001</v>
          </cell>
          <cell r="J1198">
            <v>6.8358999999999996</v>
          </cell>
          <cell r="K1198">
            <v>2.4300000000000002</v>
          </cell>
          <cell r="L1198">
            <v>5.08</v>
          </cell>
          <cell r="M1198">
            <v>3.89</v>
          </cell>
          <cell r="O1198">
            <v>1.5223</v>
          </cell>
          <cell r="P1198">
            <v>0.7127</v>
          </cell>
          <cell r="Q1198">
            <v>106.79809176371545</v>
          </cell>
          <cell r="U1198">
            <v>1.8292000000000002</v>
          </cell>
          <cell r="V1198">
            <v>318.04300000000001</v>
          </cell>
          <cell r="W1198" t="str">
            <v>#N/A N/A</v>
          </cell>
        </row>
        <row r="1199">
          <cell r="B1199">
            <v>85.786000000000001</v>
          </cell>
          <cell r="D1199">
            <v>1.3144</v>
          </cell>
          <cell r="E1199">
            <v>1322.5</v>
          </cell>
          <cell r="F1199">
            <v>13.106629999999999</v>
          </cell>
          <cell r="G1199" t="e">
            <v>#VALUE!</v>
          </cell>
          <cell r="I1199">
            <v>2.9207000000000001</v>
          </cell>
          <cell r="J1199">
            <v>6.8346999999999998</v>
          </cell>
          <cell r="K1199">
            <v>2.4300000000000002</v>
          </cell>
          <cell r="L1199">
            <v>5.03</v>
          </cell>
          <cell r="M1199">
            <v>3.88</v>
          </cell>
          <cell r="O1199">
            <v>1.5217000000000001</v>
          </cell>
          <cell r="P1199">
            <v>0.71709999999999996</v>
          </cell>
          <cell r="Q1199">
            <v>106.10096220889696</v>
          </cell>
          <cell r="U1199">
            <v>1.8856999999999999</v>
          </cell>
          <cell r="V1199">
            <v>303.71100000000001</v>
          </cell>
          <cell r="W1199" t="str">
            <v>#N/A N/A</v>
          </cell>
        </row>
        <row r="1200">
          <cell r="B1200">
            <v>85.786000000000001</v>
          </cell>
          <cell r="D1200">
            <v>1.3189</v>
          </cell>
          <cell r="E1200">
            <v>1332.7</v>
          </cell>
          <cell r="F1200">
            <v>13.28401</v>
          </cell>
          <cell r="G1200" t="e">
            <v>#VALUE!</v>
          </cell>
          <cell r="I1200">
            <v>2.9226000000000001</v>
          </cell>
          <cell r="J1200">
            <v>6.8334999999999999</v>
          </cell>
          <cell r="K1200">
            <v>2.4300000000000002</v>
          </cell>
          <cell r="L1200">
            <v>5.04</v>
          </cell>
          <cell r="M1200">
            <v>3.88</v>
          </cell>
          <cell r="O1200">
            <v>1.5221</v>
          </cell>
          <cell r="P1200">
            <v>0.71819999999999995</v>
          </cell>
          <cell r="Q1200">
            <v>105.96630465051517</v>
          </cell>
          <cell r="U1200">
            <v>1.8858000000000001</v>
          </cell>
          <cell r="V1200">
            <v>303.69799999999998</v>
          </cell>
          <cell r="W1200" t="str">
            <v>#N/A N/A</v>
          </cell>
        </row>
        <row r="1201">
          <cell r="B1201">
            <v>85.786000000000001</v>
          </cell>
          <cell r="D1201">
            <v>1.3189</v>
          </cell>
          <cell r="E1201">
            <v>1332.7</v>
          </cell>
          <cell r="F1201">
            <v>13.28401</v>
          </cell>
          <cell r="G1201" t="e">
            <v>#VALUE!</v>
          </cell>
          <cell r="I1201">
            <v>2.9226000000000001</v>
          </cell>
          <cell r="J1201">
            <v>6.8334999999999999</v>
          </cell>
          <cell r="K1201">
            <v>2.4300000000000002</v>
          </cell>
          <cell r="L1201">
            <v>5.04</v>
          </cell>
          <cell r="M1201">
            <v>3.88</v>
          </cell>
          <cell r="O1201">
            <v>1.5221</v>
          </cell>
          <cell r="P1201">
            <v>0.71819999999999995</v>
          </cell>
          <cell r="Q1201">
            <v>105.96630465051517</v>
          </cell>
          <cell r="U1201">
            <v>1.8858000000000001</v>
          </cell>
          <cell r="V1201">
            <v>303.69799999999998</v>
          </cell>
          <cell r="W1201" t="str">
            <v>#N/A N/A</v>
          </cell>
        </row>
        <row r="1202">
          <cell r="B1202">
            <v>85.786000000000001</v>
          </cell>
          <cell r="D1202">
            <v>1.3189</v>
          </cell>
          <cell r="E1202">
            <v>1332.7</v>
          </cell>
          <cell r="F1202">
            <v>13.28401</v>
          </cell>
          <cell r="G1202" t="e">
            <v>#VALUE!</v>
          </cell>
          <cell r="I1202">
            <v>2.9226000000000001</v>
          </cell>
          <cell r="J1202">
            <v>6.8334999999999999</v>
          </cell>
          <cell r="K1202">
            <v>2.4300000000000002</v>
          </cell>
          <cell r="L1202">
            <v>5.04</v>
          </cell>
          <cell r="M1202">
            <v>3.88</v>
          </cell>
          <cell r="O1202">
            <v>1.5221</v>
          </cell>
          <cell r="P1202">
            <v>0.71819999999999995</v>
          </cell>
          <cell r="Q1202">
            <v>105.96630465051517</v>
          </cell>
          <cell r="U1202">
            <v>1.8858000000000001</v>
          </cell>
          <cell r="V1202">
            <v>303.69799999999998</v>
          </cell>
          <cell r="W1202" t="str">
            <v>#N/A N/A</v>
          </cell>
        </row>
        <row r="1203">
          <cell r="B1203">
            <v>84.635000000000005</v>
          </cell>
          <cell r="D1203">
            <v>1.3360000000000001</v>
          </cell>
          <cell r="E1203">
            <v>1329.5</v>
          </cell>
          <cell r="F1203">
            <v>13.231809999999999</v>
          </cell>
          <cell r="G1203" t="e">
            <v>#VALUE!</v>
          </cell>
          <cell r="I1203">
            <v>2.8578999999999999</v>
          </cell>
          <cell r="J1203">
            <v>6.8352000000000004</v>
          </cell>
          <cell r="K1203">
            <v>2.4300000000000002</v>
          </cell>
          <cell r="L1203">
            <v>5.04</v>
          </cell>
          <cell r="M1203">
            <v>3.88</v>
          </cell>
          <cell r="O1203">
            <v>1.5143</v>
          </cell>
          <cell r="P1203">
            <v>0.7288</v>
          </cell>
          <cell r="Q1203">
            <v>103.88995609220638</v>
          </cell>
          <cell r="U1203">
            <v>1.7995999999999999</v>
          </cell>
          <cell r="V1203">
            <v>300.69499999999999</v>
          </cell>
          <cell r="W1203" t="str">
            <v>#N/A N/A</v>
          </cell>
        </row>
        <row r="1204">
          <cell r="B1204">
            <v>84.641999999999996</v>
          </cell>
          <cell r="D1204">
            <v>1.3280000000000001</v>
          </cell>
          <cell r="E1204">
            <v>1323.25</v>
          </cell>
          <cell r="F1204">
            <v>13.36158</v>
          </cell>
          <cell r="G1204" t="e">
            <v>#VALUE!</v>
          </cell>
          <cell r="I1204">
            <v>2.7845</v>
          </cell>
          <cell r="J1204">
            <v>6.8319999999999999</v>
          </cell>
          <cell r="K1204">
            <v>2.4300000000000002</v>
          </cell>
          <cell r="L1204">
            <v>4.99</v>
          </cell>
          <cell r="M1204">
            <v>3.78</v>
          </cell>
          <cell r="O1204">
            <v>1.5112999999999999</v>
          </cell>
          <cell r="P1204">
            <v>0.7268</v>
          </cell>
          <cell r="Q1204">
            <v>103.96945514584479</v>
          </cell>
          <cell r="U1204">
            <v>1.7168999999999999</v>
          </cell>
          <cell r="V1204">
            <v>299.214</v>
          </cell>
          <cell r="W1204" t="str">
            <v>#N/A N/A</v>
          </cell>
        </row>
        <row r="1205">
          <cell r="B1205">
            <v>85.081000000000003</v>
          </cell>
          <cell r="D1205">
            <v>1.3229</v>
          </cell>
          <cell r="E1205">
            <v>1338.22</v>
          </cell>
          <cell r="F1205">
            <v>13.38673</v>
          </cell>
          <cell r="G1205" t="e">
            <v>#VALUE!</v>
          </cell>
          <cell r="I1205">
            <v>2.7644000000000002</v>
          </cell>
          <cell r="J1205">
            <v>6.8322000000000003</v>
          </cell>
          <cell r="K1205">
            <v>2.42</v>
          </cell>
          <cell r="L1205">
            <v>4.8899999999999997</v>
          </cell>
          <cell r="M1205">
            <v>3.75</v>
          </cell>
          <cell r="O1205">
            <v>1.5118</v>
          </cell>
          <cell r="P1205">
            <v>0.72729999999999995</v>
          </cell>
          <cell r="Q1205">
            <v>103.93235253677989</v>
          </cell>
          <cell r="U1205">
            <v>1.7004000000000001</v>
          </cell>
          <cell r="V1205">
            <v>283.35000000000002</v>
          </cell>
          <cell r="W1205" t="str">
            <v>#N/A N/A</v>
          </cell>
        </row>
        <row r="1206">
          <cell r="B1206">
            <v>85.227000000000004</v>
          </cell>
          <cell r="D1206">
            <v>1.3195999999999999</v>
          </cell>
          <cell r="E1206">
            <v>1332.1</v>
          </cell>
          <cell r="F1206">
            <v>13.4305</v>
          </cell>
          <cell r="G1206" t="e">
            <v>#VALUE!</v>
          </cell>
          <cell r="I1206">
            <v>2.8303000000000003</v>
          </cell>
          <cell r="J1206">
            <v>6.8326000000000002</v>
          </cell>
          <cell r="K1206">
            <v>2.41</v>
          </cell>
          <cell r="L1206">
            <v>4.9000000000000004</v>
          </cell>
          <cell r="M1206">
            <v>3.8</v>
          </cell>
          <cell r="O1206">
            <v>1.5133999999999999</v>
          </cell>
          <cell r="P1206">
            <v>0.71830000000000005</v>
          </cell>
          <cell r="Q1206">
            <v>105.3459557288041</v>
          </cell>
          <cell r="U1206">
            <v>1.7698</v>
          </cell>
          <cell r="V1206">
            <v>277.03800000000001</v>
          </cell>
          <cell r="W1206" t="str">
            <v>#N/A N/A</v>
          </cell>
        </row>
        <row r="1207">
          <cell r="B1207">
            <v>85.980999999999995</v>
          </cell>
          <cell r="D1207">
            <v>1.3044</v>
          </cell>
          <cell r="E1207">
            <v>1331.55</v>
          </cell>
          <cell r="F1207">
            <v>13.45669</v>
          </cell>
          <cell r="G1207" t="e">
            <v>#VALUE!</v>
          </cell>
          <cell r="I1207">
            <v>2.9451000000000001</v>
          </cell>
          <cell r="J1207">
            <v>6.8326000000000002</v>
          </cell>
          <cell r="K1207">
            <v>2.41</v>
          </cell>
          <cell r="L1207">
            <v>4.84</v>
          </cell>
          <cell r="M1207">
            <v>3.72</v>
          </cell>
          <cell r="O1207">
            <v>1.522</v>
          </cell>
          <cell r="P1207">
            <v>0.72009999999999996</v>
          </cell>
          <cell r="Q1207">
            <v>105.67976669906957</v>
          </cell>
          <cell r="U1207">
            <v>1.8929</v>
          </cell>
          <cell r="V1207">
            <v>274.68799999999999</v>
          </cell>
          <cell r="W1207" t="str">
            <v>#N/A N/A</v>
          </cell>
        </row>
        <row r="1208">
          <cell r="B1208">
            <v>85.980999999999995</v>
          </cell>
          <cell r="D1208">
            <v>1.3044</v>
          </cell>
          <cell r="E1208">
            <v>1331.55</v>
          </cell>
          <cell r="F1208">
            <v>13.45669</v>
          </cell>
          <cell r="G1208" t="e">
            <v>#VALUE!</v>
          </cell>
          <cell r="I1208">
            <v>2.9451000000000001</v>
          </cell>
          <cell r="J1208">
            <v>6.8326000000000002</v>
          </cell>
          <cell r="K1208">
            <v>2.41</v>
          </cell>
          <cell r="L1208">
            <v>4.84</v>
          </cell>
          <cell r="M1208">
            <v>3.72</v>
          </cell>
          <cell r="O1208">
            <v>1.522</v>
          </cell>
          <cell r="P1208">
            <v>0.72009999999999996</v>
          </cell>
          <cell r="Q1208">
            <v>105.67976669906957</v>
          </cell>
          <cell r="U1208">
            <v>1.8929</v>
          </cell>
          <cell r="V1208">
            <v>274.68799999999999</v>
          </cell>
          <cell r="W1208" t="str">
            <v>#N/A N/A</v>
          </cell>
        </row>
        <row r="1209">
          <cell r="B1209">
            <v>85.980999999999995</v>
          </cell>
          <cell r="D1209">
            <v>1.3044</v>
          </cell>
          <cell r="E1209">
            <v>1331.55</v>
          </cell>
          <cell r="F1209">
            <v>13.45669</v>
          </cell>
          <cell r="G1209" t="e">
            <v>#VALUE!</v>
          </cell>
          <cell r="I1209">
            <v>2.9451000000000001</v>
          </cell>
          <cell r="J1209">
            <v>6.8326000000000002</v>
          </cell>
          <cell r="K1209">
            <v>2.41</v>
          </cell>
          <cell r="L1209">
            <v>4.84</v>
          </cell>
          <cell r="M1209">
            <v>3.72</v>
          </cell>
          <cell r="O1209">
            <v>1.522</v>
          </cell>
          <cell r="P1209">
            <v>0.72009999999999996</v>
          </cell>
          <cell r="Q1209">
            <v>105.67976669906957</v>
          </cell>
          <cell r="U1209">
            <v>1.8929</v>
          </cell>
          <cell r="V1209">
            <v>274.68799999999999</v>
          </cell>
          <cell r="W1209" t="str">
            <v>#N/A N/A</v>
          </cell>
        </row>
        <row r="1210">
          <cell r="B1210">
            <v>86.637</v>
          </cell>
          <cell r="D1210">
            <v>1.2930999999999999</v>
          </cell>
          <cell r="E1210">
            <v>1334.7</v>
          </cell>
          <cell r="F1210">
            <v>13.87913</v>
          </cell>
          <cell r="G1210" t="e">
            <v>#VALUE!</v>
          </cell>
          <cell r="I1210">
            <v>2.8359000000000001</v>
          </cell>
          <cell r="J1210">
            <v>6.8335999999999997</v>
          </cell>
          <cell r="K1210">
            <v>2.41</v>
          </cell>
          <cell r="L1210">
            <v>4.82</v>
          </cell>
          <cell r="M1210">
            <v>3.7</v>
          </cell>
          <cell r="O1210">
            <v>1.5112000000000001</v>
          </cell>
          <cell r="P1210">
            <v>0.7006</v>
          </cell>
          <cell r="Q1210">
            <v>107.85041393091636</v>
          </cell>
          <cell r="U1210">
            <v>1.7964</v>
          </cell>
          <cell r="V1210">
            <v>281.45800000000003</v>
          </cell>
          <cell r="W1210" t="str">
            <v>#N/A N/A</v>
          </cell>
        </row>
        <row r="1211">
          <cell r="B1211">
            <v>86.578999999999994</v>
          </cell>
          <cell r="D1211">
            <v>1.2965</v>
          </cell>
          <cell r="E1211">
            <v>1349.25</v>
          </cell>
          <cell r="F1211">
            <v>13.69462</v>
          </cell>
          <cell r="G1211" t="e">
            <v>#VALUE!</v>
          </cell>
          <cell r="I1211">
            <v>2.8969</v>
          </cell>
          <cell r="J1211">
            <v>6.8322000000000003</v>
          </cell>
          <cell r="K1211">
            <v>2.41</v>
          </cell>
          <cell r="L1211">
            <v>4.8099999999999996</v>
          </cell>
          <cell r="M1211">
            <v>3.69</v>
          </cell>
          <cell r="O1211">
            <v>1.5118</v>
          </cell>
          <cell r="P1211">
            <v>0.71160000000000001</v>
          </cell>
          <cell r="Q1211">
            <v>106.22540753232153</v>
          </cell>
          <cell r="U1211">
            <v>1.8563000000000001</v>
          </cell>
          <cell r="V1211">
            <v>295.41699999999997</v>
          </cell>
          <cell r="W1211" t="str">
            <v>#N/A N/A</v>
          </cell>
        </row>
        <row r="1212">
          <cell r="B1212">
            <v>86.191000000000003</v>
          </cell>
          <cell r="D1212">
            <v>1.2999000000000001</v>
          </cell>
          <cell r="E1212">
            <v>1348.1</v>
          </cell>
          <cell r="F1212">
            <v>13.763529999999999</v>
          </cell>
          <cell r="G1212" t="e">
            <v>#VALUE!</v>
          </cell>
          <cell r="I1212">
            <v>2.9397000000000002</v>
          </cell>
          <cell r="J1212">
            <v>6.83</v>
          </cell>
          <cell r="K1212">
            <v>2.41</v>
          </cell>
          <cell r="L1212">
            <v>4.84</v>
          </cell>
          <cell r="M1212">
            <v>3.72</v>
          </cell>
          <cell r="O1212">
            <v>1.5135000000000001</v>
          </cell>
          <cell r="P1212">
            <v>0.70720000000000005</v>
          </cell>
          <cell r="Q1212">
            <v>107.00650452488686</v>
          </cell>
          <cell r="U1212">
            <v>1.8931</v>
          </cell>
          <cell r="V1212">
            <v>299.34100000000001</v>
          </cell>
          <cell r="W1212" t="str">
            <v>#N/A N/A</v>
          </cell>
        </row>
        <row r="1213">
          <cell r="B1213">
            <v>85.516999999999996</v>
          </cell>
          <cell r="D1213">
            <v>1.3073000000000001</v>
          </cell>
          <cell r="E1213">
            <v>1348.15</v>
          </cell>
          <cell r="F1213">
            <v>13.738440000000001</v>
          </cell>
          <cell r="G1213" t="e">
            <v>#VALUE!</v>
          </cell>
          <cell r="I1213">
            <v>2.9192999999999998</v>
          </cell>
          <cell r="J1213">
            <v>6.8299000000000003</v>
          </cell>
          <cell r="K1213">
            <v>2.41</v>
          </cell>
          <cell r="L1213">
            <v>4.83</v>
          </cell>
          <cell r="M1213">
            <v>3.7</v>
          </cell>
          <cell r="O1213">
            <v>1.5121</v>
          </cell>
          <cell r="P1213">
            <v>0.7107</v>
          </cell>
          <cell r="Q1213">
            <v>106.38103278457858</v>
          </cell>
          <cell r="U1213">
            <v>1.8763999999999998</v>
          </cell>
          <cell r="V1213">
            <v>293.31400000000002</v>
          </cell>
          <cell r="W1213" t="str">
            <v>#N/A N/A</v>
          </cell>
        </row>
        <row r="1214">
          <cell r="B1214">
            <v>84.713999999999999</v>
          </cell>
          <cell r="D1214">
            <v>1.3242</v>
          </cell>
          <cell r="E1214">
            <v>1343.05</v>
          </cell>
          <cell r="F1214">
            <v>13.66723</v>
          </cell>
          <cell r="G1214" t="e">
            <v>#VALUE!</v>
          </cell>
          <cell r="I1214">
            <v>2.9903</v>
          </cell>
          <cell r="J1214">
            <v>6.8273000000000001</v>
          </cell>
          <cell r="K1214">
            <v>2.41</v>
          </cell>
          <cell r="L1214">
            <v>4.72</v>
          </cell>
          <cell r="M1214">
            <v>3.57</v>
          </cell>
          <cell r="O1214">
            <v>1.5087000000000002</v>
          </cell>
          <cell r="P1214">
            <v>0.72199999999999998</v>
          </cell>
          <cell r="Q1214">
            <v>104.48060941828257</v>
          </cell>
          <cell r="U1214">
            <v>1.9370000000000001</v>
          </cell>
          <cell r="V1214">
            <v>282.54599999999999</v>
          </cell>
          <cell r="W1214" t="str">
            <v>#N/A N/A</v>
          </cell>
        </row>
        <row r="1215">
          <cell r="B1215">
            <v>84.713999999999999</v>
          </cell>
          <cell r="D1215">
            <v>1.3242</v>
          </cell>
          <cell r="E1215">
            <v>1343.05</v>
          </cell>
          <cell r="F1215">
            <v>13.66723</v>
          </cell>
          <cell r="G1215" t="e">
            <v>#VALUE!</v>
          </cell>
          <cell r="I1215">
            <v>2.9903</v>
          </cell>
          <cell r="J1215">
            <v>6.8273000000000001</v>
          </cell>
          <cell r="K1215">
            <v>2.41</v>
          </cell>
          <cell r="L1215">
            <v>4.72</v>
          </cell>
          <cell r="M1215">
            <v>3.57</v>
          </cell>
          <cell r="O1215">
            <v>1.5087000000000002</v>
          </cell>
          <cell r="P1215">
            <v>0.72199999999999998</v>
          </cell>
          <cell r="Q1215">
            <v>104.48060941828257</v>
          </cell>
          <cell r="U1215">
            <v>1.9370000000000001</v>
          </cell>
          <cell r="V1215">
            <v>282.54599999999999</v>
          </cell>
          <cell r="W1215" t="str">
            <v>#N/A N/A</v>
          </cell>
        </row>
        <row r="1216">
          <cell r="B1216">
            <v>84.713999999999999</v>
          </cell>
          <cell r="D1216">
            <v>1.3242</v>
          </cell>
          <cell r="E1216">
            <v>1343.05</v>
          </cell>
          <cell r="F1216">
            <v>13.66723</v>
          </cell>
          <cell r="G1216" t="e">
            <v>#VALUE!</v>
          </cell>
          <cell r="I1216">
            <v>2.9903</v>
          </cell>
          <cell r="J1216">
            <v>6.8273000000000001</v>
          </cell>
          <cell r="K1216">
            <v>2.41</v>
          </cell>
          <cell r="L1216">
            <v>4.72</v>
          </cell>
          <cell r="M1216">
            <v>3.57</v>
          </cell>
          <cell r="O1216">
            <v>1.5087000000000002</v>
          </cell>
          <cell r="P1216">
            <v>0.72199999999999998</v>
          </cell>
          <cell r="Q1216">
            <v>104.48060941828257</v>
          </cell>
          <cell r="U1216">
            <v>1.9370000000000001</v>
          </cell>
          <cell r="V1216">
            <v>282.54599999999999</v>
          </cell>
          <cell r="W1216" t="str">
            <v>#N/A N/A</v>
          </cell>
        </row>
        <row r="1217">
          <cell r="B1217">
            <v>85.695999999999998</v>
          </cell>
          <cell r="D1217">
            <v>1.3126</v>
          </cell>
          <cell r="E1217">
            <v>1343.3</v>
          </cell>
          <cell r="F1217">
            <v>13.96119</v>
          </cell>
          <cell r="G1217" t="e">
            <v>#VALUE!</v>
          </cell>
          <cell r="I1217">
            <v>2.9083000000000001</v>
          </cell>
          <cell r="J1217">
            <v>6.8273999999999999</v>
          </cell>
          <cell r="K1217">
            <v>2.41</v>
          </cell>
          <cell r="L1217">
            <v>4.7300000000000004</v>
          </cell>
          <cell r="M1217">
            <v>3.58</v>
          </cell>
          <cell r="O1217">
            <v>1.5064</v>
          </cell>
          <cell r="P1217">
            <v>0.71399999999999997</v>
          </cell>
          <cell r="Q1217">
            <v>105.49019607843138</v>
          </cell>
          <cell r="U1217">
            <v>1.8433000000000002</v>
          </cell>
          <cell r="V1217">
            <v>287.00599999999997</v>
          </cell>
          <cell r="W1217" t="str">
            <v>#N/A N/A</v>
          </cell>
        </row>
        <row r="1218">
          <cell r="B1218">
            <v>85.158000000000001</v>
          </cell>
          <cell r="D1218">
            <v>1.3110999999999999</v>
          </cell>
          <cell r="E1218">
            <v>1356.85</v>
          </cell>
          <cell r="F1218">
            <v>14.00816</v>
          </cell>
          <cell r="G1218" t="e">
            <v>#VALUE!</v>
          </cell>
          <cell r="I1218">
            <v>3.0072999999999999</v>
          </cell>
          <cell r="J1218">
            <v>6.8266999999999998</v>
          </cell>
          <cell r="K1218">
            <v>2.41</v>
          </cell>
          <cell r="L1218">
            <v>4.5599999999999996</v>
          </cell>
          <cell r="M1218">
            <v>3.5</v>
          </cell>
          <cell r="O1218">
            <v>1.5037</v>
          </cell>
          <cell r="P1218">
            <v>0.70620000000000005</v>
          </cell>
          <cell r="Q1218">
            <v>106.46417445482865</v>
          </cell>
          <cell r="U1218">
            <v>1.9405000000000001</v>
          </cell>
          <cell r="V1218">
            <v>301.68</v>
          </cell>
          <cell r="W1218" t="str">
            <v>#N/A N/A</v>
          </cell>
        </row>
        <row r="1219">
          <cell r="B1219">
            <v>84.474000000000004</v>
          </cell>
          <cell r="D1219">
            <v>1.3324</v>
          </cell>
          <cell r="E1219">
            <v>1340.75</v>
          </cell>
          <cell r="F1219">
            <v>13.58591</v>
          </cell>
          <cell r="G1219" t="e">
            <v>#VALUE!</v>
          </cell>
          <cell r="I1219">
            <v>3.1073</v>
          </cell>
          <cell r="J1219">
            <v>6.8239999999999998</v>
          </cell>
          <cell r="K1219">
            <v>2.41</v>
          </cell>
          <cell r="L1219">
            <v>4.5599999999999996</v>
          </cell>
          <cell r="M1219">
            <v>3.51</v>
          </cell>
          <cell r="O1219">
            <v>1.5093999999999999</v>
          </cell>
          <cell r="P1219">
            <v>0.72799999999999998</v>
          </cell>
          <cell r="Q1219">
            <v>103.66758241758241</v>
          </cell>
          <cell r="U1219">
            <v>2.0301999999999998</v>
          </cell>
          <cell r="V1219">
            <v>274.46499999999997</v>
          </cell>
          <cell r="W1219" t="str">
            <v>#N/A N/A</v>
          </cell>
        </row>
        <row r="1220">
          <cell r="B1220">
            <v>84.614000000000004</v>
          </cell>
          <cell r="D1220">
            <v>1.3209</v>
          </cell>
          <cell r="E1220">
            <v>1282.95</v>
          </cell>
          <cell r="F1220">
            <v>12.97569</v>
          </cell>
          <cell r="G1220" t="e">
            <v>#VALUE!</v>
          </cell>
          <cell r="I1220">
            <v>3.1187</v>
          </cell>
          <cell r="J1220">
            <v>6.8230000000000004</v>
          </cell>
          <cell r="K1220">
            <v>2.41</v>
          </cell>
          <cell r="L1220">
            <v>4.6900000000000004</v>
          </cell>
          <cell r="M1220">
            <v>3.59</v>
          </cell>
          <cell r="O1220">
            <v>1.5097</v>
          </cell>
          <cell r="P1220">
            <v>0.7288</v>
          </cell>
          <cell r="Q1220">
            <v>103.57436882546651</v>
          </cell>
          <cell r="U1220">
            <v>2.0104000000000002</v>
          </cell>
          <cell r="V1220">
            <v>256.08600000000001</v>
          </cell>
          <cell r="W1220" t="str">
            <v>#N/A N/A</v>
          </cell>
        </row>
        <row r="1221">
          <cell r="B1221">
            <v>84.546000000000006</v>
          </cell>
          <cell r="D1221">
            <v>1.3272999999999999</v>
          </cell>
          <cell r="E1221">
            <v>1283</v>
          </cell>
          <cell r="F1221">
            <v>12.94965</v>
          </cell>
          <cell r="G1221" t="e">
            <v>#VALUE!</v>
          </cell>
          <cell r="I1221">
            <v>3.1532999999999998</v>
          </cell>
          <cell r="J1221">
            <v>6.8230000000000004</v>
          </cell>
          <cell r="K1221">
            <v>2.41</v>
          </cell>
          <cell r="L1221">
            <v>4.6900000000000004</v>
          </cell>
          <cell r="M1221">
            <v>3.59</v>
          </cell>
          <cell r="O1221">
            <v>1.5068999999999999</v>
          </cell>
          <cell r="P1221">
            <v>0.72829999999999995</v>
          </cell>
          <cell r="Q1221">
            <v>103.45324728820542</v>
          </cell>
          <cell r="U1221">
            <v>2.0106000000000002</v>
          </cell>
          <cell r="V1221">
            <v>255.434</v>
          </cell>
          <cell r="W1221" t="str">
            <v>#N/A N/A</v>
          </cell>
        </row>
        <row r="1222">
          <cell r="B1222">
            <v>84.546000000000006</v>
          </cell>
          <cell r="D1222">
            <v>1.3272999999999999</v>
          </cell>
          <cell r="E1222">
            <v>1283</v>
          </cell>
          <cell r="F1222">
            <v>12.94965</v>
          </cell>
          <cell r="G1222" t="e">
            <v>#VALUE!</v>
          </cell>
          <cell r="I1222">
            <v>3.1532999999999998</v>
          </cell>
          <cell r="J1222">
            <v>6.8230000000000004</v>
          </cell>
          <cell r="K1222">
            <v>2.41</v>
          </cell>
          <cell r="L1222">
            <v>4.6900000000000004</v>
          </cell>
          <cell r="M1222">
            <v>3.59</v>
          </cell>
          <cell r="O1222">
            <v>1.5068999999999999</v>
          </cell>
          <cell r="P1222">
            <v>0.72829999999999995</v>
          </cell>
          <cell r="Q1222">
            <v>103.45324728820542</v>
          </cell>
          <cell r="U1222">
            <v>2.0106000000000002</v>
          </cell>
          <cell r="V1222">
            <v>255.434</v>
          </cell>
          <cell r="W1222" t="str">
            <v>#N/A N/A</v>
          </cell>
        </row>
        <row r="1223">
          <cell r="B1223">
            <v>84.546000000000006</v>
          </cell>
          <cell r="D1223">
            <v>1.3272999999999999</v>
          </cell>
          <cell r="E1223">
            <v>1283</v>
          </cell>
          <cell r="F1223">
            <v>12.94965</v>
          </cell>
          <cell r="G1223" t="e">
            <v>#VALUE!</v>
          </cell>
          <cell r="I1223">
            <v>3.1532999999999998</v>
          </cell>
          <cell r="J1223">
            <v>6.8230000000000004</v>
          </cell>
          <cell r="K1223">
            <v>2.41</v>
          </cell>
          <cell r="L1223">
            <v>4.6900000000000004</v>
          </cell>
          <cell r="M1223">
            <v>3.59</v>
          </cell>
          <cell r="O1223">
            <v>1.5068999999999999</v>
          </cell>
          <cell r="P1223">
            <v>0.72829999999999995</v>
          </cell>
          <cell r="Q1223">
            <v>103.45324728820542</v>
          </cell>
          <cell r="U1223">
            <v>2.0106000000000002</v>
          </cell>
          <cell r="V1223">
            <v>255.434</v>
          </cell>
          <cell r="W1223" t="str">
            <v>#N/A N/A</v>
          </cell>
        </row>
        <row r="1224">
          <cell r="B1224">
            <v>83.97</v>
          </cell>
          <cell r="D1224">
            <v>1.3373999999999999</v>
          </cell>
          <cell r="E1224">
            <v>1272.45</v>
          </cell>
          <cell r="F1224">
            <v>12.76975</v>
          </cell>
          <cell r="G1224" t="e">
            <v>#VALUE!</v>
          </cell>
          <cell r="I1224">
            <v>3.1514000000000002</v>
          </cell>
          <cell r="J1224">
            <v>6.8230000000000004</v>
          </cell>
          <cell r="K1224">
            <v>2.41</v>
          </cell>
          <cell r="L1224">
            <v>4.8600000000000003</v>
          </cell>
          <cell r="M1224">
            <v>3.78</v>
          </cell>
          <cell r="O1224">
            <v>1.5083</v>
          </cell>
          <cell r="P1224">
            <v>0.7379</v>
          </cell>
          <cell r="Q1224">
            <v>102.20219541943352</v>
          </cell>
          <cell r="U1224">
            <v>2.0238999999999998</v>
          </cell>
          <cell r="V1224">
            <v>233.35</v>
          </cell>
          <cell r="W1224" t="str">
            <v>#N/A N/A</v>
          </cell>
        </row>
        <row r="1225">
          <cell r="B1225">
            <v>84.156999999999996</v>
          </cell>
          <cell r="D1225">
            <v>1.3357000000000001</v>
          </cell>
          <cell r="E1225">
            <v>1268.5</v>
          </cell>
          <cell r="F1225">
            <v>12.81339</v>
          </cell>
          <cell r="G1225" t="e">
            <v>#VALUE!</v>
          </cell>
          <cell r="I1225">
            <v>3.1592000000000002</v>
          </cell>
          <cell r="J1225">
            <v>6.8198999999999996</v>
          </cell>
          <cell r="K1225">
            <v>2.41</v>
          </cell>
          <cell r="L1225">
            <v>4.8600000000000003</v>
          </cell>
          <cell r="M1225">
            <v>3.78</v>
          </cell>
          <cell r="O1225">
            <v>1.5104</v>
          </cell>
          <cell r="P1225">
            <v>0.74229999999999996</v>
          </cell>
          <cell r="Q1225">
            <v>101.73784184292064</v>
          </cell>
          <cell r="U1225">
            <v>2.0472999999999999</v>
          </cell>
          <cell r="V1225">
            <v>216.71199999999999</v>
          </cell>
          <cell r="W1225" t="str">
            <v>#N/A N/A</v>
          </cell>
        </row>
        <row r="1226">
          <cell r="B1226">
            <v>83.802999999999997</v>
          </cell>
          <cell r="D1226">
            <v>1.3304</v>
          </cell>
          <cell r="E1226">
            <v>1277.25</v>
          </cell>
          <cell r="F1226">
            <v>12.86383</v>
          </cell>
          <cell r="G1226" t="e">
            <v>#VALUE!</v>
          </cell>
          <cell r="I1226">
            <v>3.1612</v>
          </cell>
          <cell r="J1226">
            <v>6.8216000000000001</v>
          </cell>
          <cell r="K1226">
            <v>2.41</v>
          </cell>
          <cell r="L1226">
            <v>4.88</v>
          </cell>
          <cell r="M1226">
            <v>3.8</v>
          </cell>
          <cell r="O1226">
            <v>1.5087000000000002</v>
          </cell>
          <cell r="P1226">
            <v>0.74729999999999996</v>
          </cell>
          <cell r="Q1226">
            <v>100.9433962264151</v>
          </cell>
          <cell r="U1226">
            <v>2.0507</v>
          </cell>
          <cell r="V1226">
            <v>199.65</v>
          </cell>
          <cell r="W1226" t="str">
            <v>#N/A N/A</v>
          </cell>
        </row>
        <row r="1227">
          <cell r="B1227">
            <v>83.941000000000003</v>
          </cell>
          <cell r="D1227">
            <v>1.3395999999999999</v>
          </cell>
          <cell r="E1227">
            <v>1262.4000000000001</v>
          </cell>
          <cell r="F1227">
            <v>12.595269999999999</v>
          </cell>
          <cell r="G1227" t="e">
            <v>#VALUE!</v>
          </cell>
          <cell r="I1227">
            <v>3.3340999999999998</v>
          </cell>
          <cell r="J1227">
            <v>6.8217999999999996</v>
          </cell>
          <cell r="K1227">
            <v>2.41</v>
          </cell>
          <cell r="L1227">
            <v>5.0599999999999996</v>
          </cell>
          <cell r="M1227">
            <v>3.91</v>
          </cell>
          <cell r="O1227">
            <v>1.5125999999999999</v>
          </cell>
          <cell r="P1227">
            <v>0.75870000000000004</v>
          </cell>
          <cell r="Q1227">
            <v>99.683669434559107</v>
          </cell>
          <cell r="U1227">
            <v>2.1711999999999998</v>
          </cell>
          <cell r="V1227">
            <v>186.75</v>
          </cell>
          <cell r="W1227" t="str">
            <v>#N/A N/A</v>
          </cell>
        </row>
        <row r="1228">
          <cell r="B1228">
            <v>82.528999999999996</v>
          </cell>
          <cell r="D1228">
            <v>1.3633999999999999</v>
          </cell>
          <cell r="E1228">
            <v>1246.9000000000001</v>
          </cell>
          <cell r="F1228">
            <v>12.59346</v>
          </cell>
          <cell r="G1228" t="e">
            <v>#VALUE!</v>
          </cell>
          <cell r="I1228">
            <v>3.2856000000000001</v>
          </cell>
          <cell r="J1228">
            <v>6.8217999999999996</v>
          </cell>
          <cell r="K1228">
            <v>2.41</v>
          </cell>
          <cell r="L1228">
            <v>5.07</v>
          </cell>
          <cell r="M1228">
            <v>3.9</v>
          </cell>
          <cell r="O1228">
            <v>1.5091999999999999</v>
          </cell>
          <cell r="P1228">
            <v>0.76429999999999998</v>
          </cell>
          <cell r="Q1228">
            <v>98.73086484364778</v>
          </cell>
          <cell r="U1228">
            <v>2.1381000000000001</v>
          </cell>
          <cell r="V1228">
            <v>167.488</v>
          </cell>
          <cell r="W1228" t="str">
            <v>#N/A N/A</v>
          </cell>
        </row>
        <row r="1229">
          <cell r="B1229">
            <v>82.528999999999996</v>
          </cell>
          <cell r="D1229">
            <v>1.3633999999999999</v>
          </cell>
          <cell r="E1229">
            <v>1246.9000000000001</v>
          </cell>
          <cell r="F1229">
            <v>12.59346</v>
          </cell>
          <cell r="G1229" t="e">
            <v>#VALUE!</v>
          </cell>
          <cell r="I1229">
            <v>3.2856000000000001</v>
          </cell>
          <cell r="J1229">
            <v>6.8217999999999996</v>
          </cell>
          <cell r="K1229">
            <v>2.41</v>
          </cell>
          <cell r="L1229">
            <v>5.07</v>
          </cell>
          <cell r="M1229">
            <v>3.9</v>
          </cell>
          <cell r="O1229">
            <v>1.5091999999999999</v>
          </cell>
          <cell r="P1229">
            <v>0.76429999999999998</v>
          </cell>
          <cell r="Q1229">
            <v>98.73086484364778</v>
          </cell>
          <cell r="U1229">
            <v>2.1381000000000001</v>
          </cell>
          <cell r="V1229">
            <v>167.488</v>
          </cell>
          <cell r="W1229" t="str">
            <v>#N/A N/A</v>
          </cell>
        </row>
        <row r="1230">
          <cell r="B1230">
            <v>82.528999999999996</v>
          </cell>
          <cell r="D1230">
            <v>1.3633999999999999</v>
          </cell>
          <cell r="E1230">
            <v>1246.9000000000001</v>
          </cell>
          <cell r="F1230">
            <v>12.59346</v>
          </cell>
          <cell r="G1230" t="e">
            <v>#VALUE!</v>
          </cell>
          <cell r="I1230">
            <v>3.2856000000000001</v>
          </cell>
          <cell r="J1230">
            <v>6.8217999999999996</v>
          </cell>
          <cell r="K1230">
            <v>2.41</v>
          </cell>
          <cell r="L1230">
            <v>5.07</v>
          </cell>
          <cell r="M1230">
            <v>3.9</v>
          </cell>
          <cell r="O1230">
            <v>1.5091999999999999</v>
          </cell>
          <cell r="P1230">
            <v>0.76429999999999998</v>
          </cell>
          <cell r="Q1230">
            <v>98.73086484364778</v>
          </cell>
          <cell r="U1230">
            <v>2.1381000000000001</v>
          </cell>
          <cell r="V1230">
            <v>167.488</v>
          </cell>
          <cell r="W1230" t="str">
            <v>#N/A N/A</v>
          </cell>
        </row>
        <row r="1231">
          <cell r="B1231">
            <v>82.677999999999997</v>
          </cell>
          <cell r="D1231">
            <v>1.3599000000000001</v>
          </cell>
          <cell r="E1231">
            <v>1237.8</v>
          </cell>
          <cell r="F1231">
            <v>12.86126</v>
          </cell>
          <cell r="G1231" t="e">
            <v>#VALUE!</v>
          </cell>
          <cell r="I1231">
            <v>3.1654</v>
          </cell>
          <cell r="J1231">
            <v>6.8230000000000004</v>
          </cell>
          <cell r="K1231">
            <v>2.41</v>
          </cell>
          <cell r="L1231">
            <v>5.12</v>
          </cell>
          <cell r="M1231">
            <v>3.93</v>
          </cell>
          <cell r="O1231">
            <v>1.5075000000000001</v>
          </cell>
          <cell r="P1231">
            <v>0.76070000000000004</v>
          </cell>
          <cell r="Q1231">
            <v>99.086367819113974</v>
          </cell>
          <cell r="U1231">
            <v>2.0211000000000001</v>
          </cell>
          <cell r="V1231">
            <v>176.952</v>
          </cell>
          <cell r="W1231" t="str">
            <v>#N/A N/A</v>
          </cell>
        </row>
        <row r="1232">
          <cell r="B1232">
            <v>82.305999999999997</v>
          </cell>
          <cell r="D1232">
            <v>1.3605</v>
          </cell>
          <cell r="E1232">
            <v>1242.8</v>
          </cell>
          <cell r="F1232">
            <v>12.90197</v>
          </cell>
          <cell r="G1232" t="e">
            <v>#VALUE!</v>
          </cell>
          <cell r="I1232">
            <v>3.1726999999999999</v>
          </cell>
          <cell r="J1232">
            <v>6.8216000000000001</v>
          </cell>
          <cell r="K1232">
            <v>2.41</v>
          </cell>
          <cell r="L1232">
            <v>5.0199999999999996</v>
          </cell>
          <cell r="M1232">
            <v>3.83</v>
          </cell>
          <cell r="O1232">
            <v>1.5066000000000002</v>
          </cell>
          <cell r="P1232">
            <v>0.76070000000000004</v>
          </cell>
          <cell r="Q1232">
            <v>99.027211778624959</v>
          </cell>
          <cell r="U1232">
            <v>2.0112000000000001</v>
          </cell>
          <cell r="V1232">
            <v>179.76900000000001</v>
          </cell>
          <cell r="W1232" t="str">
            <v>#N/A N/A</v>
          </cell>
        </row>
        <row r="1233">
          <cell r="B1233">
            <v>82.498999999999995</v>
          </cell>
          <cell r="D1233">
            <v>1.3609</v>
          </cell>
          <cell r="E1233">
            <v>1244</v>
          </cell>
          <cell r="F1233">
            <v>13.051539999999999</v>
          </cell>
          <cell r="G1233" t="e">
            <v>#VALUE!</v>
          </cell>
          <cell r="I1233">
            <v>3.1194999999999999</v>
          </cell>
          <cell r="J1233">
            <v>6.8224</v>
          </cell>
          <cell r="K1233">
            <v>2.41</v>
          </cell>
          <cell r="L1233">
            <v>5.03</v>
          </cell>
          <cell r="M1233">
            <v>3.85</v>
          </cell>
          <cell r="O1233">
            <v>1.5058</v>
          </cell>
          <cell r="P1233">
            <v>0.75639999999999996</v>
          </cell>
          <cell r="Q1233">
            <v>99.537281861448974</v>
          </cell>
          <cell r="U1233">
            <v>1.9779</v>
          </cell>
          <cell r="V1233">
            <v>171.79499999999999</v>
          </cell>
          <cell r="W1233" t="str">
            <v>#N/A N/A</v>
          </cell>
        </row>
        <row r="1234">
          <cell r="B1234">
            <v>82.278999999999996</v>
          </cell>
          <cell r="D1234">
            <v>1.3618000000000001</v>
          </cell>
          <cell r="E1234">
            <v>1266.9000000000001</v>
          </cell>
          <cell r="F1234">
            <v>13.2614</v>
          </cell>
          <cell r="G1234" t="e">
            <v>#VALUE!</v>
          </cell>
          <cell r="I1234">
            <v>3.0884</v>
          </cell>
          <cell r="J1234">
            <v>6.8250000000000002</v>
          </cell>
          <cell r="K1234">
            <v>2.41</v>
          </cell>
          <cell r="L1234">
            <v>4.97</v>
          </cell>
          <cell r="M1234">
            <v>3.77</v>
          </cell>
          <cell r="O1234">
            <v>1.5053000000000001</v>
          </cell>
          <cell r="P1234">
            <v>0.75760000000000005</v>
          </cell>
          <cell r="Q1234">
            <v>99.34662090813093</v>
          </cell>
          <cell r="U1234">
            <v>1.958</v>
          </cell>
          <cell r="V1234">
            <v>185.61699999999999</v>
          </cell>
          <cell r="W1234" t="str">
            <v>#N/A N/A</v>
          </cell>
        </row>
        <row r="1235">
          <cell r="B1235">
            <v>83.024000000000001</v>
          </cell>
          <cell r="D1235">
            <v>1.3494999999999999</v>
          </cell>
          <cell r="E1235">
            <v>1257</v>
          </cell>
          <cell r="F1235">
            <v>13.256690000000001</v>
          </cell>
          <cell r="G1235" t="e">
            <v>#VALUE!</v>
          </cell>
          <cell r="I1235">
            <v>3.1341000000000001</v>
          </cell>
          <cell r="J1235">
            <v>6.8258000000000001</v>
          </cell>
          <cell r="K1235">
            <v>2.41</v>
          </cell>
          <cell r="L1235">
            <v>5.01</v>
          </cell>
          <cell r="M1235">
            <v>3.79</v>
          </cell>
          <cell r="O1235">
            <v>1.5129999999999999</v>
          </cell>
          <cell r="P1235">
            <v>0.752</v>
          </cell>
          <cell r="Q1235">
            <v>100.59840425531914</v>
          </cell>
          <cell r="U1235">
            <v>1.9981</v>
          </cell>
          <cell r="V1235">
            <v>184.17500000000001</v>
          </cell>
          <cell r="W1235" t="str">
            <v>#N/A N/A</v>
          </cell>
        </row>
        <row r="1236">
          <cell r="B1236">
            <v>83.024000000000001</v>
          </cell>
          <cell r="D1236">
            <v>1.3494999999999999</v>
          </cell>
          <cell r="E1236">
            <v>1257</v>
          </cell>
          <cell r="F1236">
            <v>13.256690000000001</v>
          </cell>
          <cell r="G1236" t="e">
            <v>#VALUE!</v>
          </cell>
          <cell r="I1236">
            <v>3.1341000000000001</v>
          </cell>
          <cell r="J1236">
            <v>6.8258000000000001</v>
          </cell>
          <cell r="K1236">
            <v>2.41</v>
          </cell>
          <cell r="L1236">
            <v>5.01</v>
          </cell>
          <cell r="M1236">
            <v>3.79</v>
          </cell>
          <cell r="O1236">
            <v>1.5129999999999999</v>
          </cell>
          <cell r="P1236">
            <v>0.752</v>
          </cell>
          <cell r="Q1236">
            <v>100.59840425531914</v>
          </cell>
          <cell r="U1236">
            <v>1.9981</v>
          </cell>
          <cell r="V1236">
            <v>184.17500000000001</v>
          </cell>
          <cell r="W1236" t="str">
            <v>#N/A N/A</v>
          </cell>
        </row>
        <row r="1237">
          <cell r="B1237">
            <v>83.024000000000001</v>
          </cell>
          <cell r="D1237">
            <v>1.3494999999999999</v>
          </cell>
          <cell r="E1237">
            <v>1257</v>
          </cell>
          <cell r="F1237">
            <v>13.256690000000001</v>
          </cell>
          <cell r="G1237" t="e">
            <v>#VALUE!</v>
          </cell>
          <cell r="I1237">
            <v>3.1341000000000001</v>
          </cell>
          <cell r="J1237">
            <v>6.8258000000000001</v>
          </cell>
          <cell r="K1237">
            <v>2.41</v>
          </cell>
          <cell r="L1237">
            <v>5.01</v>
          </cell>
          <cell r="M1237">
            <v>3.79</v>
          </cell>
          <cell r="O1237">
            <v>1.5129999999999999</v>
          </cell>
          <cell r="P1237">
            <v>0.752</v>
          </cell>
          <cell r="Q1237">
            <v>100.59840425531914</v>
          </cell>
          <cell r="U1237">
            <v>1.9981</v>
          </cell>
          <cell r="V1237">
            <v>184.17500000000001</v>
          </cell>
          <cell r="W1237" t="str">
            <v>#N/A N/A</v>
          </cell>
        </row>
        <row r="1238">
          <cell r="B1238">
            <v>82.667000000000002</v>
          </cell>
          <cell r="D1238">
            <v>1.3545</v>
          </cell>
          <cell r="E1238">
            <v>1259.3499999999999</v>
          </cell>
          <cell r="F1238">
            <v>12.93037</v>
          </cell>
          <cell r="G1238" t="e">
            <v>#VALUE!</v>
          </cell>
          <cell r="I1238">
            <v>3.23</v>
          </cell>
          <cell r="J1238">
            <v>6.827</v>
          </cell>
          <cell r="K1238">
            <v>2.41</v>
          </cell>
          <cell r="L1238">
            <v>4.99</v>
          </cell>
          <cell r="M1238">
            <v>3.75</v>
          </cell>
          <cell r="O1238">
            <v>1.5105</v>
          </cell>
          <cell r="P1238">
            <v>0.76380000000000003</v>
          </cell>
          <cell r="Q1238">
            <v>98.880597014925371</v>
          </cell>
          <cell r="U1238">
            <v>2.0987</v>
          </cell>
          <cell r="V1238">
            <v>181.55</v>
          </cell>
          <cell r="W1238" t="str">
            <v>#N/A N/A</v>
          </cell>
        </row>
        <row r="1239">
          <cell r="B1239">
            <v>81.977999999999994</v>
          </cell>
          <cell r="D1239">
            <v>1.3603000000000001</v>
          </cell>
          <cell r="E1239">
            <v>1249.25</v>
          </cell>
          <cell r="F1239">
            <v>12.923360000000001</v>
          </cell>
          <cell r="G1239" t="e">
            <v>#VALUE!</v>
          </cell>
          <cell r="I1239">
            <v>3.2429999999999999</v>
          </cell>
          <cell r="J1239">
            <v>6.8246000000000002</v>
          </cell>
          <cell r="K1239">
            <v>2.41</v>
          </cell>
          <cell r="L1239">
            <v>5.0999999999999996</v>
          </cell>
          <cell r="M1239">
            <v>3.86</v>
          </cell>
          <cell r="O1239">
            <v>1.5131999999999999</v>
          </cell>
          <cell r="P1239">
            <v>0.77329999999999999</v>
          </cell>
          <cell r="Q1239">
            <v>97.840424156213629</v>
          </cell>
          <cell r="U1239">
            <v>2.0989</v>
          </cell>
          <cell r="V1239">
            <v>169.90600000000001</v>
          </cell>
          <cell r="W1239" t="str">
            <v>#N/A N/A</v>
          </cell>
        </row>
        <row r="1240">
          <cell r="B1240">
            <v>80.984999999999999</v>
          </cell>
          <cell r="D1240">
            <v>1.3759999999999999</v>
          </cell>
          <cell r="E1240">
            <v>1250.9000000000001</v>
          </cell>
          <cell r="F1240">
            <v>13.024509999999999</v>
          </cell>
          <cell r="G1240" t="e">
            <v>#VALUE!</v>
          </cell>
          <cell r="I1240">
            <v>3.1911999999999998</v>
          </cell>
          <cell r="J1240">
            <v>6.8250000000000002</v>
          </cell>
          <cell r="K1240">
            <v>2.41</v>
          </cell>
          <cell r="L1240">
            <v>5.1100000000000003</v>
          </cell>
          <cell r="M1240">
            <v>3.87</v>
          </cell>
          <cell r="O1240">
            <v>1.5157</v>
          </cell>
          <cell r="P1240">
            <v>0.77480000000000004</v>
          </cell>
          <cell r="Q1240">
            <v>97.812338668043367</v>
          </cell>
          <cell r="U1240">
            <v>2.0251000000000001</v>
          </cell>
          <cell r="V1240">
            <v>157.75299999999999</v>
          </cell>
          <cell r="W1240" t="str">
            <v>#N/A N/A</v>
          </cell>
        </row>
        <row r="1241">
          <cell r="B1241">
            <v>80.558000000000007</v>
          </cell>
          <cell r="D1241">
            <v>1.3894</v>
          </cell>
          <cell r="E1241">
            <v>1248.67</v>
          </cell>
          <cell r="F1241">
            <v>13.214370000000001</v>
          </cell>
          <cell r="G1241" t="e">
            <v>#VALUE!</v>
          </cell>
          <cell r="I1241">
            <v>3.3643999999999998</v>
          </cell>
          <cell r="J1241">
            <v>6.8247</v>
          </cell>
          <cell r="K1241">
            <v>2.41</v>
          </cell>
          <cell r="L1241">
            <v>5.09</v>
          </cell>
          <cell r="M1241">
            <v>3.84</v>
          </cell>
          <cell r="O1241">
            <v>1.5194000000000001</v>
          </cell>
          <cell r="P1241">
            <v>0.77890000000000004</v>
          </cell>
          <cell r="Q1241">
            <v>97.53498523558865</v>
          </cell>
          <cell r="U1241">
            <v>2.1395</v>
          </cell>
          <cell r="V1241">
            <v>161.99</v>
          </cell>
          <cell r="W1241" t="str">
            <v>#N/A N/A</v>
          </cell>
        </row>
        <row r="1242">
          <cell r="B1242">
            <v>79.957999999999998</v>
          </cell>
          <cell r="D1242">
            <v>1.3997999999999999</v>
          </cell>
          <cell r="E1242">
            <v>1247.67</v>
          </cell>
          <cell r="F1242">
            <v>13.210139999999999</v>
          </cell>
          <cell r="G1242" t="e">
            <v>#VALUE!</v>
          </cell>
          <cell r="I1242">
            <v>3.4495</v>
          </cell>
          <cell r="J1242">
            <v>6.8231999999999999</v>
          </cell>
          <cell r="K1242">
            <v>2.41</v>
          </cell>
          <cell r="L1242">
            <v>5.08</v>
          </cell>
          <cell r="M1242">
            <v>3.85</v>
          </cell>
          <cell r="O1242">
            <v>1.5194000000000001</v>
          </cell>
          <cell r="P1242">
            <v>0.78439999999999999</v>
          </cell>
          <cell r="Q1242">
            <v>96.851096379398271</v>
          </cell>
          <cell r="U1242">
            <v>2.2010000000000001</v>
          </cell>
          <cell r="V1242">
            <v>150.124</v>
          </cell>
          <cell r="W1242" t="str">
            <v>#N/A N/A</v>
          </cell>
        </row>
        <row r="1243">
          <cell r="B1243">
            <v>79.957999999999998</v>
          </cell>
          <cell r="D1243">
            <v>1.3997999999999999</v>
          </cell>
          <cell r="E1243">
            <v>1247.67</v>
          </cell>
          <cell r="F1243">
            <v>13.210139999999999</v>
          </cell>
          <cell r="G1243" t="e">
            <v>#VALUE!</v>
          </cell>
          <cell r="I1243">
            <v>3.4495</v>
          </cell>
          <cell r="J1243">
            <v>6.8231999999999999</v>
          </cell>
          <cell r="K1243">
            <v>2.41</v>
          </cell>
          <cell r="L1243">
            <v>5.08</v>
          </cell>
          <cell r="M1243">
            <v>3.85</v>
          </cell>
          <cell r="O1243">
            <v>1.5194000000000001</v>
          </cell>
          <cell r="P1243">
            <v>0.78439999999999999</v>
          </cell>
          <cell r="Q1243">
            <v>96.851096379398271</v>
          </cell>
          <cell r="U1243">
            <v>2.2010000000000001</v>
          </cell>
          <cell r="V1243">
            <v>150.124</v>
          </cell>
          <cell r="W1243" t="str">
            <v>#N/A N/A</v>
          </cell>
        </row>
        <row r="1244">
          <cell r="B1244">
            <v>79.957999999999998</v>
          </cell>
          <cell r="D1244">
            <v>1.3997999999999999</v>
          </cell>
          <cell r="E1244">
            <v>1247.67</v>
          </cell>
          <cell r="F1244">
            <v>13.210139999999999</v>
          </cell>
          <cell r="G1244" t="e">
            <v>#VALUE!</v>
          </cell>
          <cell r="I1244">
            <v>3.4495</v>
          </cell>
          <cell r="J1244">
            <v>6.8231999999999999</v>
          </cell>
          <cell r="K1244">
            <v>2.41</v>
          </cell>
          <cell r="L1244">
            <v>5.08</v>
          </cell>
          <cell r="M1244">
            <v>3.85</v>
          </cell>
          <cell r="O1244">
            <v>1.5194000000000001</v>
          </cell>
          <cell r="P1244">
            <v>0.78439999999999999</v>
          </cell>
          <cell r="Q1244">
            <v>96.851096379398271</v>
          </cell>
          <cell r="U1244">
            <v>2.2010000000000001</v>
          </cell>
          <cell r="V1244">
            <v>150.124</v>
          </cell>
          <cell r="W1244" t="str">
            <v>#N/A N/A</v>
          </cell>
        </row>
        <row r="1245">
          <cell r="B1245">
            <v>80.024000000000001</v>
          </cell>
          <cell r="D1245">
            <v>1.4011</v>
          </cell>
          <cell r="E1245">
            <v>1248.82</v>
          </cell>
          <cell r="F1245">
            <v>13.17714</v>
          </cell>
          <cell r="G1245" t="e">
            <v>#VALUE!</v>
          </cell>
          <cell r="I1245">
            <v>3.4496000000000002</v>
          </cell>
          <cell r="J1245">
            <v>6.8238000000000003</v>
          </cell>
          <cell r="K1245">
            <v>2.41</v>
          </cell>
          <cell r="L1245">
            <v>5.05</v>
          </cell>
          <cell r="M1245">
            <v>3.81</v>
          </cell>
          <cell r="O1245">
            <v>1.5171000000000001</v>
          </cell>
          <cell r="P1245">
            <v>0.78220000000000001</v>
          </cell>
          <cell r="Q1245">
            <v>96.97647660444899</v>
          </cell>
          <cell r="U1245">
            <v>2.2012</v>
          </cell>
          <cell r="V1245">
            <v>147.93700000000001</v>
          </cell>
          <cell r="W1245" t="str">
            <v>#N/A N/A</v>
          </cell>
        </row>
        <row r="1246">
          <cell r="B1246">
            <v>80.131</v>
          </cell>
          <cell r="D1246">
            <v>1.3982000000000001</v>
          </cell>
          <cell r="E1246">
            <v>1262.8800000000001</v>
          </cell>
          <cell r="F1246">
            <v>13.30954</v>
          </cell>
          <cell r="G1246" t="e">
            <v>#VALUE!</v>
          </cell>
          <cell r="I1246">
            <v>3.5467</v>
          </cell>
          <cell r="J1246">
            <v>6.8338000000000001</v>
          </cell>
          <cell r="K1246">
            <v>2.41</v>
          </cell>
          <cell r="L1246">
            <v>5.05</v>
          </cell>
          <cell r="M1246">
            <v>3.79</v>
          </cell>
          <cell r="O1246">
            <v>1.5158</v>
          </cell>
          <cell r="P1246">
            <v>0.78459999999999996</v>
          </cell>
          <cell r="Q1246">
            <v>96.596992097884282</v>
          </cell>
          <cell r="U1246">
            <v>2.3031999999999999</v>
          </cell>
          <cell r="V1246">
            <v>146.31800000000001</v>
          </cell>
          <cell r="W1246" t="str">
            <v>#N/A N/A</v>
          </cell>
        </row>
        <row r="1247">
          <cell r="B1247">
            <v>80.331999999999994</v>
          </cell>
          <cell r="D1247">
            <v>1.3921999999999999</v>
          </cell>
          <cell r="E1247">
            <v>1269.3499999999999</v>
          </cell>
          <cell r="F1247">
            <v>13.50245</v>
          </cell>
          <cell r="G1247" t="e">
            <v>#VALUE!</v>
          </cell>
          <cell r="I1247">
            <v>3.7381000000000002</v>
          </cell>
          <cell r="J1247">
            <v>6.8281000000000001</v>
          </cell>
          <cell r="K1247">
            <v>2.41</v>
          </cell>
          <cell r="L1247">
            <v>5.09</v>
          </cell>
          <cell r="M1247">
            <v>3.82</v>
          </cell>
          <cell r="O1247">
            <v>1.5124</v>
          </cell>
          <cell r="P1247">
            <v>0.78639999999999999</v>
          </cell>
          <cell r="Q1247">
            <v>96.159715157680566</v>
          </cell>
          <cell r="U1247">
            <v>2.4369999999999998</v>
          </cell>
          <cell r="V1247">
            <v>152.53800000000001</v>
          </cell>
          <cell r="W1247" t="str">
            <v>#N/A N/A</v>
          </cell>
        </row>
        <row r="1248">
          <cell r="B1248">
            <v>80.433000000000007</v>
          </cell>
          <cell r="D1248">
            <v>1.3917999999999999</v>
          </cell>
          <cell r="E1248">
            <v>1256.77</v>
          </cell>
          <cell r="F1248">
            <v>13.06864</v>
          </cell>
          <cell r="G1248" t="e">
            <v>#VALUE!</v>
          </cell>
          <cell r="I1248">
            <v>3.6122000000000001</v>
          </cell>
          <cell r="J1248">
            <v>6.83</v>
          </cell>
          <cell r="K1248">
            <v>2.41</v>
          </cell>
          <cell r="L1248">
            <v>5.17</v>
          </cell>
          <cell r="M1248">
            <v>3.87</v>
          </cell>
          <cell r="O1248">
            <v>1.5114999999999998</v>
          </cell>
          <cell r="P1248">
            <v>0.78080000000000005</v>
          </cell>
          <cell r="Q1248">
            <v>96.791752049180317</v>
          </cell>
          <cell r="U1248">
            <v>2.4369999999999998</v>
          </cell>
          <cell r="V1248">
            <v>163.40299999999999</v>
          </cell>
          <cell r="W1248" t="str">
            <v>#N/A N/A</v>
          </cell>
        </row>
        <row r="1249">
          <cell r="B1249">
            <v>79.347999999999999</v>
          </cell>
          <cell r="D1249">
            <v>1.4118999999999999</v>
          </cell>
          <cell r="E1249">
            <v>1255.25</v>
          </cell>
          <cell r="F1249">
            <v>13.143800000000001</v>
          </cell>
          <cell r="G1249" t="e">
            <v>#VALUE!</v>
          </cell>
          <cell r="I1249">
            <v>3.4594</v>
          </cell>
          <cell r="J1249">
            <v>6.83</v>
          </cell>
          <cell r="K1249">
            <v>2.41</v>
          </cell>
          <cell r="L1249">
            <v>5.17</v>
          </cell>
          <cell r="M1249">
            <v>3.83</v>
          </cell>
          <cell r="O1249">
            <v>1.5091999999999999</v>
          </cell>
          <cell r="P1249">
            <v>0.79969999999999997</v>
          </cell>
          <cell r="Q1249">
            <v>94.360385144429159</v>
          </cell>
          <cell r="U1249">
            <v>2.3399000000000001</v>
          </cell>
          <cell r="V1249">
            <v>166.411</v>
          </cell>
          <cell r="W1249" t="str">
            <v>#N/A N/A</v>
          </cell>
        </row>
        <row r="1250">
          <cell r="B1250">
            <v>79.347999999999999</v>
          </cell>
          <cell r="D1250">
            <v>1.4118999999999999</v>
          </cell>
          <cell r="E1250">
            <v>1255.25</v>
          </cell>
          <cell r="F1250">
            <v>13.143800000000001</v>
          </cell>
          <cell r="G1250" t="e">
            <v>#VALUE!</v>
          </cell>
          <cell r="I1250">
            <v>3.4594</v>
          </cell>
          <cell r="J1250">
            <v>6.83</v>
          </cell>
          <cell r="K1250">
            <v>2.41</v>
          </cell>
          <cell r="L1250">
            <v>5.17</v>
          </cell>
          <cell r="M1250">
            <v>3.83</v>
          </cell>
          <cell r="O1250">
            <v>1.5091999999999999</v>
          </cell>
          <cell r="P1250">
            <v>0.79969999999999997</v>
          </cell>
          <cell r="Q1250">
            <v>94.360385144429159</v>
          </cell>
          <cell r="U1250">
            <v>2.3399000000000001</v>
          </cell>
          <cell r="V1250">
            <v>166.411</v>
          </cell>
          <cell r="W1250" t="str">
            <v>#N/A N/A</v>
          </cell>
        </row>
        <row r="1251">
          <cell r="B1251">
            <v>79.347999999999999</v>
          </cell>
          <cell r="D1251">
            <v>1.4118999999999999</v>
          </cell>
          <cell r="E1251">
            <v>1255.25</v>
          </cell>
          <cell r="F1251">
            <v>13.143800000000001</v>
          </cell>
          <cell r="G1251" t="e">
            <v>#VALUE!</v>
          </cell>
          <cell r="I1251">
            <v>3.4594</v>
          </cell>
          <cell r="J1251">
            <v>6.83</v>
          </cell>
          <cell r="K1251">
            <v>2.41</v>
          </cell>
          <cell r="L1251">
            <v>5.17</v>
          </cell>
          <cell r="M1251">
            <v>3.83</v>
          </cell>
          <cell r="O1251">
            <v>1.5091999999999999</v>
          </cell>
          <cell r="P1251">
            <v>0.79969999999999997</v>
          </cell>
          <cell r="Q1251">
            <v>94.360385144429159</v>
          </cell>
          <cell r="U1251">
            <v>2.3399000000000001</v>
          </cell>
          <cell r="V1251">
            <v>166.411</v>
          </cell>
          <cell r="W1251" t="str">
            <v>#N/A N/A</v>
          </cell>
        </row>
        <row r="1252">
          <cell r="B1252">
            <v>79.171000000000006</v>
          </cell>
          <cell r="D1252">
            <v>1.4184999999999999</v>
          </cell>
          <cell r="E1252">
            <v>1237.25</v>
          </cell>
          <cell r="F1252">
            <v>12.80419</v>
          </cell>
          <cell r="G1252" t="e">
            <v>#VALUE!</v>
          </cell>
          <cell r="I1252">
            <v>3.6726000000000001</v>
          </cell>
          <cell r="J1252">
            <v>6.8265000000000002</v>
          </cell>
          <cell r="K1252">
            <v>2.41</v>
          </cell>
          <cell r="L1252">
            <v>5.15</v>
          </cell>
          <cell r="M1252">
            <v>3.81</v>
          </cell>
          <cell r="O1252">
            <v>1.5167000000000002</v>
          </cell>
          <cell r="P1252">
            <v>0.80969999999999998</v>
          </cell>
          <cell r="Q1252">
            <v>93.65814499197235</v>
          </cell>
          <cell r="U1252">
            <v>2.5213000000000001</v>
          </cell>
          <cell r="V1252">
            <v>148.35</v>
          </cell>
          <cell r="W1252" t="str">
            <v>#N/A N/A</v>
          </cell>
        </row>
        <row r="1253">
          <cell r="B1253">
            <v>78.403999999999996</v>
          </cell>
          <cell r="D1253">
            <v>1.4291</v>
          </cell>
          <cell r="E1253">
            <v>1239.3499999999999</v>
          </cell>
          <cell r="F1253">
            <v>12.90368</v>
          </cell>
          <cell r="G1253" t="e">
            <v>#VALUE!</v>
          </cell>
          <cell r="I1253">
            <v>3.6127000000000002</v>
          </cell>
          <cell r="J1253">
            <v>6.83</v>
          </cell>
          <cell r="K1253">
            <v>2.41</v>
          </cell>
          <cell r="L1253">
            <v>5.19</v>
          </cell>
          <cell r="M1253">
            <v>3.93</v>
          </cell>
          <cell r="O1253">
            <v>1.5169000000000001</v>
          </cell>
          <cell r="P1253">
            <v>0.82240000000000002</v>
          </cell>
          <cell r="Q1253">
            <v>92.223978599221795</v>
          </cell>
          <cell r="U1253">
            <v>2.4910000000000001</v>
          </cell>
          <cell r="V1253">
            <v>137.68</v>
          </cell>
          <cell r="W1253" t="str">
            <v>#N/A N/A</v>
          </cell>
        </row>
        <row r="1254">
          <cell r="B1254">
            <v>79.5</v>
          </cell>
          <cell r="D1254">
            <v>1.4127000000000001</v>
          </cell>
          <cell r="E1254">
            <v>1233.2</v>
          </cell>
          <cell r="F1254">
            <v>12.933920000000001</v>
          </cell>
          <cell r="G1254" t="e">
            <v>#VALUE!</v>
          </cell>
          <cell r="I1254">
            <v>3.5398000000000001</v>
          </cell>
          <cell r="J1254">
            <v>6.8307000000000002</v>
          </cell>
          <cell r="K1254">
            <v>2.41</v>
          </cell>
          <cell r="L1254">
            <v>5.14</v>
          </cell>
          <cell r="M1254">
            <v>3.91</v>
          </cell>
          <cell r="O1254">
            <v>1.5175000000000001</v>
          </cell>
          <cell r="P1254">
            <v>0.80169999999999997</v>
          </cell>
          <cell r="Q1254">
            <v>94.642634401895975</v>
          </cell>
          <cell r="U1254">
            <v>2.4239000000000002</v>
          </cell>
          <cell r="V1254">
            <v>137.411</v>
          </cell>
          <cell r="W1254" t="str">
            <v>#N/A N/A</v>
          </cell>
        </row>
        <row r="1255">
          <cell r="B1255">
            <v>79.414000000000001</v>
          </cell>
          <cell r="D1255">
            <v>1.4169</v>
          </cell>
          <cell r="E1255">
            <v>1250.3</v>
          </cell>
          <cell r="F1255">
            <v>12.911099999999999</v>
          </cell>
          <cell r="G1255" t="e">
            <v>#VALUE!</v>
          </cell>
          <cell r="I1255">
            <v>3.7099000000000002</v>
          </cell>
          <cell r="J1255">
            <v>6.8331</v>
          </cell>
          <cell r="K1255">
            <v>2.42</v>
          </cell>
          <cell r="L1255">
            <v>5.1100000000000003</v>
          </cell>
          <cell r="M1255">
            <v>3.88</v>
          </cell>
          <cell r="O1255">
            <v>1.5158</v>
          </cell>
          <cell r="P1255">
            <v>0.79890000000000005</v>
          </cell>
          <cell r="Q1255">
            <v>94.867943422205528</v>
          </cell>
          <cell r="U1255">
            <v>2.5893999999999999</v>
          </cell>
          <cell r="V1255">
            <v>139.95400000000001</v>
          </cell>
          <cell r="W1255" t="str">
            <v>#N/A N/A</v>
          </cell>
        </row>
        <row r="1256">
          <cell r="B1256">
            <v>80.67</v>
          </cell>
          <cell r="D1256">
            <v>1.4017999999999999</v>
          </cell>
          <cell r="E1256">
            <v>1243.1500000000001</v>
          </cell>
          <cell r="F1256">
            <v>12.72837</v>
          </cell>
          <cell r="G1256" t="e">
            <v>#VALUE!</v>
          </cell>
          <cell r="I1256">
            <v>3.8279000000000001</v>
          </cell>
          <cell r="J1256">
            <v>6.8330000000000002</v>
          </cell>
          <cell r="K1256">
            <v>2.41</v>
          </cell>
          <cell r="L1256">
            <v>5.12</v>
          </cell>
          <cell r="M1256">
            <v>3.87</v>
          </cell>
          <cell r="O1256">
            <v>1.5192000000000001</v>
          </cell>
          <cell r="P1256">
            <v>0.80210000000000004</v>
          </cell>
          <cell r="Q1256">
            <v>94.701408801895028</v>
          </cell>
          <cell r="U1256">
            <v>2.8326000000000002</v>
          </cell>
          <cell r="V1256">
            <v>135.511</v>
          </cell>
          <cell r="W1256" t="str">
            <v>#N/A N/A</v>
          </cell>
        </row>
        <row r="1257">
          <cell r="B1257">
            <v>80.67</v>
          </cell>
          <cell r="D1257">
            <v>1.4017999999999999</v>
          </cell>
          <cell r="E1257">
            <v>1243.1500000000001</v>
          </cell>
          <cell r="F1257">
            <v>12.72837</v>
          </cell>
          <cell r="G1257" t="e">
            <v>#VALUE!</v>
          </cell>
          <cell r="I1257">
            <v>3.8279000000000001</v>
          </cell>
          <cell r="J1257">
            <v>6.8330000000000002</v>
          </cell>
          <cell r="K1257">
            <v>2.41</v>
          </cell>
          <cell r="L1257">
            <v>5.12</v>
          </cell>
          <cell r="M1257">
            <v>3.87</v>
          </cell>
          <cell r="O1257">
            <v>1.5192000000000001</v>
          </cell>
          <cell r="P1257">
            <v>0.80210000000000004</v>
          </cell>
          <cell r="Q1257">
            <v>94.701408801895028</v>
          </cell>
          <cell r="U1257">
            <v>2.8326000000000002</v>
          </cell>
          <cell r="V1257">
            <v>135.511</v>
          </cell>
          <cell r="W1257" t="str">
            <v>#N/A N/A</v>
          </cell>
        </row>
        <row r="1258">
          <cell r="B1258">
            <v>80.67</v>
          </cell>
          <cell r="D1258">
            <v>1.4017999999999999</v>
          </cell>
          <cell r="E1258">
            <v>1243.1500000000001</v>
          </cell>
          <cell r="F1258">
            <v>12.72837</v>
          </cell>
          <cell r="G1258" t="e">
            <v>#VALUE!</v>
          </cell>
          <cell r="I1258">
            <v>3.8279000000000001</v>
          </cell>
          <cell r="J1258">
            <v>6.8330000000000002</v>
          </cell>
          <cell r="K1258">
            <v>2.41</v>
          </cell>
          <cell r="L1258">
            <v>5.12</v>
          </cell>
          <cell r="M1258">
            <v>3.87</v>
          </cell>
          <cell r="O1258">
            <v>1.5192000000000001</v>
          </cell>
          <cell r="P1258">
            <v>0.80210000000000004</v>
          </cell>
          <cell r="Q1258">
            <v>94.701408801895028</v>
          </cell>
          <cell r="U1258">
            <v>2.8326000000000002</v>
          </cell>
          <cell r="V1258">
            <v>135.511</v>
          </cell>
          <cell r="W1258" t="str">
            <v>#N/A N/A</v>
          </cell>
        </row>
        <row r="1259">
          <cell r="B1259">
            <v>80.909000000000006</v>
          </cell>
          <cell r="D1259">
            <v>1.39</v>
          </cell>
          <cell r="E1259">
            <v>1252.45</v>
          </cell>
          <cell r="F1259">
            <v>12.818289999999999</v>
          </cell>
          <cell r="G1259" t="e">
            <v>#VALUE!</v>
          </cell>
          <cell r="I1259">
            <v>3.8736000000000002</v>
          </cell>
          <cell r="J1259">
            <v>6.8370999999999995</v>
          </cell>
          <cell r="K1259">
            <v>2.41</v>
          </cell>
          <cell r="L1259">
            <v>5.28</v>
          </cell>
          <cell r="M1259">
            <v>4.0199999999999996</v>
          </cell>
          <cell r="O1259">
            <v>1.5184</v>
          </cell>
          <cell r="P1259">
            <v>0.78590000000000004</v>
          </cell>
          <cell r="Q1259">
            <v>96.602621198625769</v>
          </cell>
          <cell r="U1259">
            <v>2.9226000000000001</v>
          </cell>
          <cell r="V1259">
            <v>147.011</v>
          </cell>
          <cell r="W1259" t="str">
            <v>#N/A N/A</v>
          </cell>
        </row>
        <row r="1260">
          <cell r="B1260">
            <v>79.787000000000006</v>
          </cell>
          <cell r="D1260">
            <v>1.4028</v>
          </cell>
          <cell r="E1260">
            <v>1264.8499999999999</v>
          </cell>
          <cell r="F1260">
            <v>12.94171</v>
          </cell>
          <cell r="G1260" t="e">
            <v>#VALUE!</v>
          </cell>
          <cell r="I1260">
            <v>3.8559000000000001</v>
          </cell>
          <cell r="J1260">
            <v>6.8353999999999999</v>
          </cell>
          <cell r="K1260">
            <v>2.41</v>
          </cell>
          <cell r="L1260">
            <v>5.3</v>
          </cell>
          <cell r="M1260">
            <v>4.03</v>
          </cell>
          <cell r="O1260">
            <v>1.5165999999999999</v>
          </cell>
          <cell r="P1260">
            <v>0.8004</v>
          </cell>
          <cell r="Q1260">
            <v>94.740129935032485</v>
          </cell>
          <cell r="U1260">
            <v>2.8675999999999999</v>
          </cell>
          <cell r="V1260">
            <v>155.30199999999999</v>
          </cell>
          <cell r="W1260" t="str">
            <v>#N/A N/A</v>
          </cell>
        </row>
        <row r="1261">
          <cell r="B1261">
            <v>80.328999999999994</v>
          </cell>
          <cell r="D1261">
            <v>1.3991</v>
          </cell>
          <cell r="E1261">
            <v>1246.5999999999999</v>
          </cell>
          <cell r="F1261">
            <v>12.82118</v>
          </cell>
          <cell r="G1261" t="e">
            <v>#VALUE!</v>
          </cell>
          <cell r="I1261">
            <v>3.9455</v>
          </cell>
          <cell r="J1261">
            <v>6.8334000000000001</v>
          </cell>
          <cell r="K1261">
            <v>2.41</v>
          </cell>
          <cell r="L1261">
            <v>5.32</v>
          </cell>
          <cell r="M1261">
            <v>4.04</v>
          </cell>
          <cell r="O1261">
            <v>1.5112999999999999</v>
          </cell>
          <cell r="P1261">
            <v>0.80400000000000005</v>
          </cell>
          <cell r="Q1261">
            <v>93.986318407960184</v>
          </cell>
          <cell r="U1261">
            <v>2.9163000000000001</v>
          </cell>
          <cell r="V1261">
            <v>151.08199999999999</v>
          </cell>
          <cell r="W1261" t="str">
            <v>#N/A N/A</v>
          </cell>
        </row>
        <row r="1262">
          <cell r="B1262">
            <v>79.41</v>
          </cell>
          <cell r="D1262">
            <v>1.4094</v>
          </cell>
          <cell r="E1262">
            <v>1253</v>
          </cell>
          <cell r="F1262">
            <v>12.79941</v>
          </cell>
          <cell r="G1262" t="e">
            <v>#VALUE!</v>
          </cell>
          <cell r="I1262">
            <v>3.8542999999999998</v>
          </cell>
          <cell r="J1262">
            <v>6.8365</v>
          </cell>
          <cell r="K1262">
            <v>2.41</v>
          </cell>
          <cell r="L1262">
            <v>5.48</v>
          </cell>
          <cell r="M1262">
            <v>4.22</v>
          </cell>
          <cell r="O1262">
            <v>1.5114000000000001</v>
          </cell>
          <cell r="P1262">
            <v>0.82130000000000003</v>
          </cell>
          <cell r="Q1262">
            <v>92.012662851576764</v>
          </cell>
          <cell r="U1262">
            <v>2.8475000000000001</v>
          </cell>
          <cell r="V1262">
            <v>161.96199999999999</v>
          </cell>
          <cell r="W1262" t="str">
            <v>#N/A N/A</v>
          </cell>
        </row>
        <row r="1263">
          <cell r="B1263">
            <v>80.141999999999996</v>
          </cell>
          <cell r="D1263">
            <v>1.4022999999999999</v>
          </cell>
          <cell r="E1263">
            <v>1254.02</v>
          </cell>
          <cell r="F1263">
            <v>12.744870000000001</v>
          </cell>
          <cell r="G1263" t="e">
            <v>#VALUE!</v>
          </cell>
          <cell r="I1263">
            <v>3.7915999999999999</v>
          </cell>
          <cell r="J1263">
            <v>6.8360000000000003</v>
          </cell>
          <cell r="K1263">
            <v>2.41</v>
          </cell>
          <cell r="L1263">
            <v>5.41</v>
          </cell>
          <cell r="M1263">
            <v>4.3</v>
          </cell>
          <cell r="O1263">
            <v>1.5093999999999999</v>
          </cell>
          <cell r="P1263">
            <v>0.81259999999999999</v>
          </cell>
          <cell r="Q1263">
            <v>92.874723111001714</v>
          </cell>
          <cell r="U1263">
            <v>2.7829000000000002</v>
          </cell>
          <cell r="V1263">
            <v>160.93100000000001</v>
          </cell>
          <cell r="W1263" t="str">
            <v>#N/A N/A</v>
          </cell>
        </row>
        <row r="1264">
          <cell r="B1264">
            <v>80.141999999999996</v>
          </cell>
          <cell r="D1264">
            <v>1.4022999999999999</v>
          </cell>
          <cell r="E1264">
            <v>1254.02</v>
          </cell>
          <cell r="F1264">
            <v>12.744870000000001</v>
          </cell>
          <cell r="G1264" t="e">
            <v>#VALUE!</v>
          </cell>
          <cell r="I1264">
            <v>3.7915999999999999</v>
          </cell>
          <cell r="J1264">
            <v>6.8360000000000003</v>
          </cell>
          <cell r="K1264">
            <v>2.41</v>
          </cell>
          <cell r="L1264">
            <v>5.41</v>
          </cell>
          <cell r="M1264">
            <v>4.3</v>
          </cell>
          <cell r="O1264">
            <v>1.5093999999999999</v>
          </cell>
          <cell r="P1264">
            <v>0.81259999999999999</v>
          </cell>
          <cell r="Q1264">
            <v>92.874723111001714</v>
          </cell>
          <cell r="U1264">
            <v>2.7829000000000002</v>
          </cell>
          <cell r="V1264">
            <v>160.93100000000001</v>
          </cell>
          <cell r="W1264" t="str">
            <v>#N/A N/A</v>
          </cell>
        </row>
        <row r="1265">
          <cell r="B1265">
            <v>80.141999999999996</v>
          </cell>
          <cell r="D1265">
            <v>1.4022999999999999</v>
          </cell>
          <cell r="E1265">
            <v>1254.02</v>
          </cell>
          <cell r="F1265">
            <v>12.744870000000001</v>
          </cell>
          <cell r="G1265" t="e">
            <v>#VALUE!</v>
          </cell>
          <cell r="I1265">
            <v>3.7915999999999999</v>
          </cell>
          <cell r="J1265">
            <v>6.8360000000000003</v>
          </cell>
          <cell r="K1265">
            <v>2.41</v>
          </cell>
          <cell r="L1265">
            <v>5.41</v>
          </cell>
          <cell r="M1265">
            <v>4.3</v>
          </cell>
          <cell r="O1265">
            <v>1.5093999999999999</v>
          </cell>
          <cell r="P1265">
            <v>0.81259999999999999</v>
          </cell>
          <cell r="Q1265">
            <v>92.874723111001714</v>
          </cell>
          <cell r="U1265">
            <v>2.7829000000000002</v>
          </cell>
          <cell r="V1265">
            <v>160.93100000000001</v>
          </cell>
          <cell r="W1265" t="str">
            <v>#N/A N/A</v>
          </cell>
        </row>
        <row r="1266">
          <cell r="B1266">
            <v>81.14</v>
          </cell>
          <cell r="D1266">
            <v>1.3785000000000001</v>
          </cell>
          <cell r="E1266">
            <v>1262</v>
          </cell>
          <cell r="F1266">
            <v>12.94502</v>
          </cell>
          <cell r="G1266" t="e">
            <v>#VALUE!</v>
          </cell>
          <cell r="I1266">
            <v>3.7113</v>
          </cell>
          <cell r="J1266">
            <v>6.8364000000000003</v>
          </cell>
          <cell r="K1266">
            <v>2.41</v>
          </cell>
          <cell r="L1266">
            <v>5.38</v>
          </cell>
          <cell r="M1266">
            <v>4.2699999999999996</v>
          </cell>
          <cell r="O1266">
            <v>1.5064</v>
          </cell>
          <cell r="P1266">
            <v>0.79349999999999998</v>
          </cell>
          <cell r="Q1266">
            <v>94.921235034656576</v>
          </cell>
          <cell r="U1266">
            <v>2.7213000000000003</v>
          </cell>
          <cell r="V1266">
            <v>174.53399999999999</v>
          </cell>
          <cell r="W1266" t="str">
            <v>#N/A N/A</v>
          </cell>
        </row>
        <row r="1267">
          <cell r="B1267">
            <v>80.709000000000003</v>
          </cell>
          <cell r="D1267">
            <v>1.3843000000000001</v>
          </cell>
          <cell r="E1267">
            <v>1256.75</v>
          </cell>
          <cell r="F1267">
            <v>13.08235</v>
          </cell>
          <cell r="G1267" t="e">
            <v>#VALUE!</v>
          </cell>
          <cell r="I1267">
            <v>3.6588000000000003</v>
          </cell>
          <cell r="J1267">
            <v>6.8341000000000003</v>
          </cell>
          <cell r="K1267">
            <v>2.41</v>
          </cell>
          <cell r="L1267">
            <v>5.35</v>
          </cell>
          <cell r="M1267">
            <v>4.25</v>
          </cell>
          <cell r="O1267">
            <v>1.5066000000000002</v>
          </cell>
          <cell r="P1267">
            <v>0.79649999999999999</v>
          </cell>
          <cell r="Q1267">
            <v>94.576271186440692</v>
          </cell>
          <cell r="U1267">
            <v>2.6734999999999998</v>
          </cell>
          <cell r="V1267">
            <v>182.36799999999999</v>
          </cell>
          <cell r="W1267" t="str">
            <v>#N/A N/A</v>
          </cell>
        </row>
        <row r="1268">
          <cell r="B1268">
            <v>80.168999999999997</v>
          </cell>
          <cell r="D1268">
            <v>1.3869</v>
          </cell>
          <cell r="E1268">
            <v>1259.75</v>
          </cell>
          <cell r="F1268">
            <v>13.26431</v>
          </cell>
          <cell r="G1268" t="e">
            <v>#VALUE!</v>
          </cell>
          <cell r="I1268">
            <v>3.6882000000000001</v>
          </cell>
          <cell r="J1268">
            <v>6.8373999999999997</v>
          </cell>
          <cell r="K1268">
            <v>2.41</v>
          </cell>
          <cell r="L1268">
            <v>5.32</v>
          </cell>
          <cell r="M1268">
            <v>4.24</v>
          </cell>
          <cell r="O1268">
            <v>1.5061</v>
          </cell>
          <cell r="P1268">
            <v>0.79059999999999997</v>
          </cell>
          <cell r="Q1268">
            <v>95.250442701745513</v>
          </cell>
          <cell r="U1268">
            <v>2.6771000000000003</v>
          </cell>
          <cell r="V1268">
            <v>201.244</v>
          </cell>
          <cell r="W1268" t="str">
            <v>#N/A N/A</v>
          </cell>
        </row>
        <row r="1269">
          <cell r="B1269">
            <v>80.608999999999995</v>
          </cell>
          <cell r="D1269">
            <v>1.3971</v>
          </cell>
          <cell r="E1269">
            <v>1266.25</v>
          </cell>
          <cell r="F1269">
            <v>13.14057</v>
          </cell>
          <cell r="G1269" t="e">
            <v>#VALUE!</v>
          </cell>
          <cell r="I1269">
            <v>3.8277000000000001</v>
          </cell>
          <cell r="J1269">
            <v>6.8346999999999998</v>
          </cell>
          <cell r="K1269">
            <v>2.41</v>
          </cell>
          <cell r="L1269">
            <v>5.24</v>
          </cell>
          <cell r="M1269">
            <v>4.2</v>
          </cell>
          <cell r="O1269">
            <v>1.5129999999999999</v>
          </cell>
          <cell r="P1269">
            <v>0.80410000000000004</v>
          </cell>
          <cell r="Q1269">
            <v>94.080338266384771</v>
          </cell>
          <cell r="U1269">
            <v>2.8393000000000002</v>
          </cell>
          <cell r="V1269">
            <v>200.66200000000001</v>
          </cell>
          <cell r="W1269" t="str">
            <v>#N/A N/A</v>
          </cell>
        </row>
        <row r="1270">
          <cell r="B1270">
            <v>80.263999999999996</v>
          </cell>
          <cell r="D1270">
            <v>1.3963000000000001</v>
          </cell>
          <cell r="E1270">
            <v>1268.4000000000001</v>
          </cell>
          <cell r="F1270">
            <v>13.174379999999999</v>
          </cell>
          <cell r="G1270" t="e">
            <v>#VALUE!</v>
          </cell>
          <cell r="I1270">
            <v>3.7808000000000002</v>
          </cell>
          <cell r="J1270">
            <v>6.8361999999999998</v>
          </cell>
          <cell r="K1270">
            <v>2.41</v>
          </cell>
          <cell r="L1270">
            <v>5.25</v>
          </cell>
          <cell r="M1270">
            <v>4.17</v>
          </cell>
          <cell r="O1270">
            <v>1.5075000000000001</v>
          </cell>
          <cell r="P1270">
            <v>0.80620000000000003</v>
          </cell>
          <cell r="Q1270">
            <v>93.494170181096507</v>
          </cell>
          <cell r="U1270">
            <v>2.8021000000000003</v>
          </cell>
          <cell r="V1270">
            <v>197.096</v>
          </cell>
          <cell r="W1270" t="str">
            <v>#N/A N/A</v>
          </cell>
        </row>
        <row r="1271">
          <cell r="B1271">
            <v>80.263999999999996</v>
          </cell>
          <cell r="D1271">
            <v>1.3963000000000001</v>
          </cell>
          <cell r="E1271">
            <v>1268.4000000000001</v>
          </cell>
          <cell r="F1271">
            <v>13.174379999999999</v>
          </cell>
          <cell r="G1271" t="e">
            <v>#VALUE!</v>
          </cell>
          <cell r="I1271">
            <v>3.7808000000000002</v>
          </cell>
          <cell r="J1271">
            <v>6.8361999999999998</v>
          </cell>
          <cell r="K1271">
            <v>2.41</v>
          </cell>
          <cell r="L1271">
            <v>5.25</v>
          </cell>
          <cell r="M1271">
            <v>4.17</v>
          </cell>
          <cell r="O1271">
            <v>1.5075000000000001</v>
          </cell>
          <cell r="P1271">
            <v>0.80620000000000003</v>
          </cell>
          <cell r="Q1271">
            <v>93.494170181096507</v>
          </cell>
          <cell r="U1271">
            <v>2.8021000000000003</v>
          </cell>
          <cell r="V1271">
            <v>197.096</v>
          </cell>
          <cell r="W1271" t="str">
            <v>#N/A N/A</v>
          </cell>
        </row>
        <row r="1272">
          <cell r="B1272">
            <v>80.263999999999996</v>
          </cell>
          <cell r="D1272">
            <v>1.3963000000000001</v>
          </cell>
          <cell r="E1272">
            <v>1268.4000000000001</v>
          </cell>
          <cell r="F1272">
            <v>13.174379999999999</v>
          </cell>
          <cell r="G1272" t="e">
            <v>#VALUE!</v>
          </cell>
          <cell r="I1272">
            <v>3.7808000000000002</v>
          </cell>
          <cell r="J1272">
            <v>6.8361999999999998</v>
          </cell>
          <cell r="K1272">
            <v>2.41</v>
          </cell>
          <cell r="L1272">
            <v>5.25</v>
          </cell>
          <cell r="M1272">
            <v>4.17</v>
          </cell>
          <cell r="O1272">
            <v>1.5075000000000001</v>
          </cell>
          <cell r="P1272">
            <v>0.80620000000000003</v>
          </cell>
          <cell r="Q1272">
            <v>93.494170181096507</v>
          </cell>
          <cell r="U1272">
            <v>2.8021000000000003</v>
          </cell>
          <cell r="V1272">
            <v>197.096</v>
          </cell>
          <cell r="W1272" t="str">
            <v>#N/A N/A</v>
          </cell>
        </row>
        <row r="1273">
          <cell r="B1273">
            <v>80.783000000000001</v>
          </cell>
          <cell r="D1273">
            <v>1.3874</v>
          </cell>
          <cell r="E1273">
            <v>1274.3699999999999</v>
          </cell>
          <cell r="F1273">
            <v>13.392770000000001</v>
          </cell>
          <cell r="G1273" t="e">
            <v>#VALUE!</v>
          </cell>
          <cell r="I1273">
            <v>3.681</v>
          </cell>
          <cell r="J1273">
            <v>6.8356000000000003</v>
          </cell>
          <cell r="K1273">
            <v>2.41</v>
          </cell>
          <cell r="L1273">
            <v>5.29</v>
          </cell>
          <cell r="M1273">
            <v>4.2</v>
          </cell>
          <cell r="O1273">
            <v>1.5057</v>
          </cell>
          <cell r="P1273">
            <v>0.79010000000000002</v>
          </cell>
          <cell r="Q1273">
            <v>95.285406910517651</v>
          </cell>
          <cell r="U1273">
            <v>2.6987999999999999</v>
          </cell>
          <cell r="V1273">
            <v>201.364</v>
          </cell>
          <cell r="W1273" t="str">
            <v>#N/A N/A</v>
          </cell>
        </row>
        <row r="1274">
          <cell r="B1274">
            <v>79.840999999999994</v>
          </cell>
          <cell r="D1274">
            <v>1.4092</v>
          </cell>
          <cell r="E1274">
            <v>1290.67</v>
          </cell>
          <cell r="F1274">
            <v>13.523580000000001</v>
          </cell>
          <cell r="G1274" t="e">
            <v>#VALUE!</v>
          </cell>
          <cell r="I1274">
            <v>3.6208</v>
          </cell>
          <cell r="J1274">
            <v>6.8347999999999995</v>
          </cell>
          <cell r="K1274">
            <v>2.41</v>
          </cell>
          <cell r="L1274">
            <v>5.25</v>
          </cell>
          <cell r="M1274">
            <v>4.12</v>
          </cell>
          <cell r="O1274">
            <v>1.5026000000000002</v>
          </cell>
          <cell r="P1274">
            <v>0.79579999999999995</v>
          </cell>
          <cell r="Q1274">
            <v>94.408142749434546</v>
          </cell>
          <cell r="U1274">
            <v>2.6715</v>
          </cell>
          <cell r="V1274">
            <v>211.34</v>
          </cell>
          <cell r="W1274" t="str">
            <v>#N/A N/A</v>
          </cell>
        </row>
        <row r="1275">
          <cell r="B1275">
            <v>80.555999999999997</v>
          </cell>
          <cell r="D1275">
            <v>1.3986000000000001</v>
          </cell>
          <cell r="E1275">
            <v>1283.55</v>
          </cell>
          <cell r="F1275">
            <v>13.33013</v>
          </cell>
          <cell r="G1275" t="e">
            <v>#VALUE!</v>
          </cell>
          <cell r="I1275">
            <v>3.6851000000000003</v>
          </cell>
          <cell r="J1275">
            <v>6.8327999999999998</v>
          </cell>
          <cell r="K1275">
            <v>2.41</v>
          </cell>
          <cell r="L1275">
            <v>5.22</v>
          </cell>
          <cell r="M1275">
            <v>4.07</v>
          </cell>
          <cell r="O1275">
            <v>1.5319</v>
          </cell>
          <cell r="P1275">
            <v>0.80030000000000001</v>
          </cell>
          <cell r="Q1275">
            <v>95.707859552667756</v>
          </cell>
          <cell r="U1275">
            <v>2.7130999999999998</v>
          </cell>
          <cell r="V1275">
            <v>201.995</v>
          </cell>
          <cell r="W1275" t="str">
            <v>#N/A N/A</v>
          </cell>
        </row>
        <row r="1276">
          <cell r="B1276">
            <v>80.403000000000006</v>
          </cell>
          <cell r="D1276">
            <v>1.3942000000000001</v>
          </cell>
          <cell r="E1276">
            <v>1288.8499999999999</v>
          </cell>
          <cell r="F1276">
            <v>13.41743</v>
          </cell>
          <cell r="G1276" t="e">
            <v>#VALUE!</v>
          </cell>
          <cell r="I1276">
            <v>3.5398000000000001</v>
          </cell>
          <cell r="J1276">
            <v>6.8346999999999998</v>
          </cell>
          <cell r="K1276">
            <v>2.41</v>
          </cell>
          <cell r="L1276">
            <v>5.26</v>
          </cell>
          <cell r="M1276">
            <v>4.17</v>
          </cell>
          <cell r="O1276">
            <v>1.5258</v>
          </cell>
          <cell r="P1276">
            <v>0.79759999999999998</v>
          </cell>
          <cell r="Q1276">
            <v>95.649448345035111</v>
          </cell>
          <cell r="U1276">
            <v>2.5848</v>
          </cell>
          <cell r="V1276">
            <v>193.709</v>
          </cell>
          <cell r="W1276" t="str">
            <v>#N/A N/A</v>
          </cell>
        </row>
        <row r="1277">
          <cell r="B1277">
            <v>79.878</v>
          </cell>
          <cell r="D1277">
            <v>1.4091</v>
          </cell>
          <cell r="E1277">
            <v>1284.25</v>
          </cell>
          <cell r="F1277">
            <v>13.494289999999999</v>
          </cell>
          <cell r="G1277" t="e">
            <v>#VALUE!</v>
          </cell>
          <cell r="I1277">
            <v>3.5362999999999998</v>
          </cell>
          <cell r="J1277">
            <v>6.8338000000000001</v>
          </cell>
          <cell r="K1277">
            <v>2.41</v>
          </cell>
          <cell r="L1277">
            <v>5.21</v>
          </cell>
          <cell r="M1277">
            <v>4.12</v>
          </cell>
          <cell r="O1277">
            <v>1.5237000000000001</v>
          </cell>
          <cell r="P1277">
            <v>0.80769999999999997</v>
          </cell>
          <cell r="Q1277">
            <v>94.323387396310522</v>
          </cell>
          <cell r="U1277">
            <v>2.5579999999999998</v>
          </cell>
          <cell r="V1277">
            <v>188.13399999999999</v>
          </cell>
          <cell r="W1277" t="str">
            <v>#N/A N/A</v>
          </cell>
        </row>
        <row r="1278">
          <cell r="B1278">
            <v>79.878</v>
          </cell>
          <cell r="D1278">
            <v>1.4091</v>
          </cell>
          <cell r="E1278">
            <v>1284.25</v>
          </cell>
          <cell r="F1278">
            <v>13.494289999999999</v>
          </cell>
          <cell r="G1278" t="e">
            <v>#VALUE!</v>
          </cell>
          <cell r="I1278">
            <v>3.5362999999999998</v>
          </cell>
          <cell r="J1278">
            <v>6.8338000000000001</v>
          </cell>
          <cell r="K1278">
            <v>2.41</v>
          </cell>
          <cell r="L1278">
            <v>5.21</v>
          </cell>
          <cell r="M1278">
            <v>4.12</v>
          </cell>
          <cell r="O1278">
            <v>1.5237000000000001</v>
          </cell>
          <cell r="P1278">
            <v>0.80769999999999997</v>
          </cell>
          <cell r="Q1278">
            <v>94.323387396310522</v>
          </cell>
          <cell r="U1278">
            <v>2.5579999999999998</v>
          </cell>
          <cell r="V1278">
            <v>188.13399999999999</v>
          </cell>
          <cell r="W1278" t="str">
            <v>#N/A N/A</v>
          </cell>
        </row>
        <row r="1279">
          <cell r="B1279">
            <v>79.878</v>
          </cell>
          <cell r="D1279">
            <v>1.4091</v>
          </cell>
          <cell r="E1279">
            <v>1284.25</v>
          </cell>
          <cell r="F1279">
            <v>13.494289999999999</v>
          </cell>
          <cell r="G1279" t="e">
            <v>#VALUE!</v>
          </cell>
          <cell r="I1279">
            <v>3.5362999999999998</v>
          </cell>
          <cell r="J1279">
            <v>6.8338000000000001</v>
          </cell>
          <cell r="K1279">
            <v>2.41</v>
          </cell>
          <cell r="L1279">
            <v>5.21</v>
          </cell>
          <cell r="M1279">
            <v>4.12</v>
          </cell>
          <cell r="O1279">
            <v>1.5237000000000001</v>
          </cell>
          <cell r="P1279">
            <v>0.80769999999999997</v>
          </cell>
          <cell r="Q1279">
            <v>94.323387396310522</v>
          </cell>
          <cell r="U1279">
            <v>2.5579999999999998</v>
          </cell>
          <cell r="V1279">
            <v>188.13399999999999</v>
          </cell>
          <cell r="W1279" t="str">
            <v>#N/A N/A</v>
          </cell>
        </row>
        <row r="1280">
          <cell r="B1280">
            <v>79.834999999999994</v>
          </cell>
          <cell r="D1280">
            <v>1.4073</v>
          </cell>
          <cell r="E1280">
            <v>1286</v>
          </cell>
          <cell r="F1280">
            <v>13.393090000000001</v>
          </cell>
          <cell r="G1280" t="e">
            <v>#VALUE!</v>
          </cell>
          <cell r="I1280">
            <v>3.4767999999999999</v>
          </cell>
          <cell r="J1280">
            <v>6.8338000000000001</v>
          </cell>
          <cell r="K1280">
            <v>2.41</v>
          </cell>
          <cell r="L1280">
            <v>5.15</v>
          </cell>
          <cell r="M1280">
            <v>4.0999999999999996</v>
          </cell>
          <cell r="O1280">
            <v>1.5264</v>
          </cell>
          <cell r="P1280">
            <v>0.80649999999999999</v>
          </cell>
          <cell r="Q1280">
            <v>94.631122132672047</v>
          </cell>
          <cell r="U1280">
            <v>2.5213000000000001</v>
          </cell>
          <cell r="V1280">
            <v>190.17500000000001</v>
          </cell>
          <cell r="W1280" t="str">
            <v>#N/A N/A</v>
          </cell>
        </row>
        <row r="1281">
          <cell r="B1281">
            <v>80.132999999999996</v>
          </cell>
          <cell r="D1281">
            <v>1.405</v>
          </cell>
          <cell r="E1281">
            <v>1273.8</v>
          </cell>
          <cell r="F1281">
            <v>13.231590000000001</v>
          </cell>
          <cell r="G1281" t="e">
            <v>#VALUE!</v>
          </cell>
          <cell r="I1281">
            <v>3.5326</v>
          </cell>
          <cell r="J1281">
            <v>6.8307000000000002</v>
          </cell>
          <cell r="K1281">
            <v>2.41</v>
          </cell>
          <cell r="L1281">
            <v>5.19</v>
          </cell>
          <cell r="M1281">
            <v>4.16</v>
          </cell>
          <cell r="O1281">
            <v>1.5243</v>
          </cell>
          <cell r="P1281">
            <v>0.8075</v>
          </cell>
          <cell r="Q1281">
            <v>94.383900928792571</v>
          </cell>
          <cell r="U1281">
            <v>2.5545999999999998</v>
          </cell>
          <cell r="V1281">
            <v>183.98400000000001</v>
          </cell>
          <cell r="W1281" t="str">
            <v>#N/A N/A</v>
          </cell>
        </row>
        <row r="1282">
          <cell r="B1282">
            <v>79.634</v>
          </cell>
          <cell r="D1282">
            <v>1.4161000000000001</v>
          </cell>
          <cell r="E1282">
            <v>1267.6500000000001</v>
          </cell>
          <cell r="F1282">
            <v>13.05092</v>
          </cell>
          <cell r="G1282" t="e">
            <v>#VALUE!</v>
          </cell>
          <cell r="I1282">
            <v>3.5365000000000002</v>
          </cell>
          <cell r="J1282">
            <v>6.8331</v>
          </cell>
          <cell r="K1282">
            <v>2.41</v>
          </cell>
          <cell r="L1282">
            <v>5.08</v>
          </cell>
          <cell r="M1282">
            <v>4.08</v>
          </cell>
          <cell r="O1282">
            <v>1.5205</v>
          </cell>
          <cell r="P1282">
            <v>0.80830000000000002</v>
          </cell>
          <cell r="Q1282">
            <v>94.055424965977977</v>
          </cell>
          <cell r="U1282">
            <v>2.5078</v>
          </cell>
          <cell r="V1282">
            <v>181.53299999999999</v>
          </cell>
          <cell r="W1282" t="str">
            <v>#N/A N/A</v>
          </cell>
        </row>
        <row r="1283">
          <cell r="B1283">
            <v>80.150999999999996</v>
          </cell>
          <cell r="D1283">
            <v>1.4012</v>
          </cell>
          <cell r="E1283">
            <v>1269.6500000000001</v>
          </cell>
          <cell r="F1283">
            <v>13.28589</v>
          </cell>
          <cell r="G1283" t="e">
            <v>#VALUE!</v>
          </cell>
          <cell r="I1283">
            <v>3.4946000000000002</v>
          </cell>
          <cell r="J1283">
            <v>6.8314000000000004</v>
          </cell>
          <cell r="K1283">
            <v>2.41</v>
          </cell>
          <cell r="L1283">
            <v>5.05</v>
          </cell>
          <cell r="M1283">
            <v>4.0599999999999996</v>
          </cell>
          <cell r="O1283">
            <v>1.5188999999999999</v>
          </cell>
          <cell r="P1283">
            <v>0.79490000000000005</v>
          </cell>
          <cell r="Q1283">
            <v>95.540319537048674</v>
          </cell>
          <cell r="U1283">
            <v>2.4207999999999998</v>
          </cell>
          <cell r="V1283">
            <v>178.07400000000001</v>
          </cell>
          <cell r="W1283" t="str">
            <v>#N/A N/A</v>
          </cell>
        </row>
        <row r="1284">
          <cell r="B1284">
            <v>80.382000000000005</v>
          </cell>
          <cell r="D1284">
            <v>1.3980000000000001</v>
          </cell>
          <cell r="E1284">
            <v>1265.9000000000001</v>
          </cell>
          <cell r="F1284">
            <v>13.20979</v>
          </cell>
          <cell r="G1284" t="e">
            <v>#VALUE!</v>
          </cell>
          <cell r="I1284">
            <v>3.4984999999999999</v>
          </cell>
          <cell r="J1284">
            <v>6.8323</v>
          </cell>
          <cell r="K1284">
            <v>2.41</v>
          </cell>
          <cell r="L1284">
            <v>5.04</v>
          </cell>
          <cell r="M1284">
            <v>4.04</v>
          </cell>
          <cell r="O1284">
            <v>1.5190000000000001</v>
          </cell>
          <cell r="P1284">
            <v>0.79730000000000001</v>
          </cell>
          <cell r="Q1284">
            <v>95.258999122036883</v>
          </cell>
          <cell r="U1284">
            <v>2.4239999999999999</v>
          </cell>
          <cell r="V1284">
            <v>184.45099999999999</v>
          </cell>
          <cell r="W1284" t="str">
            <v>#N/A N/A</v>
          </cell>
        </row>
        <row r="1285">
          <cell r="B1285">
            <v>80.382000000000005</v>
          </cell>
          <cell r="D1285">
            <v>1.3980000000000001</v>
          </cell>
          <cell r="E1285">
            <v>1265.9000000000001</v>
          </cell>
          <cell r="F1285">
            <v>13.20979</v>
          </cell>
          <cell r="G1285" t="e">
            <v>#VALUE!</v>
          </cell>
          <cell r="I1285">
            <v>3.4984999999999999</v>
          </cell>
          <cell r="J1285">
            <v>6.8323</v>
          </cell>
          <cell r="K1285">
            <v>2.41</v>
          </cell>
          <cell r="L1285">
            <v>5.04</v>
          </cell>
          <cell r="M1285">
            <v>4.04</v>
          </cell>
          <cell r="O1285">
            <v>1.5190000000000001</v>
          </cell>
          <cell r="P1285">
            <v>0.79730000000000001</v>
          </cell>
          <cell r="Q1285">
            <v>95.258999122036883</v>
          </cell>
          <cell r="U1285">
            <v>2.4239999999999999</v>
          </cell>
          <cell r="V1285">
            <v>184.45099999999999</v>
          </cell>
          <cell r="W1285" t="str">
            <v>#N/A N/A</v>
          </cell>
        </row>
        <row r="1286">
          <cell r="B1286">
            <v>80.382000000000005</v>
          </cell>
          <cell r="D1286">
            <v>1.3980000000000001</v>
          </cell>
          <cell r="E1286">
            <v>1265.9000000000001</v>
          </cell>
          <cell r="F1286">
            <v>13.20979</v>
          </cell>
          <cell r="G1286" t="e">
            <v>#VALUE!</v>
          </cell>
          <cell r="I1286">
            <v>3.4984999999999999</v>
          </cell>
          <cell r="J1286">
            <v>6.8323</v>
          </cell>
          <cell r="K1286">
            <v>2.41</v>
          </cell>
          <cell r="L1286">
            <v>5.04</v>
          </cell>
          <cell r="M1286">
            <v>4.04</v>
          </cell>
          <cell r="O1286">
            <v>1.5190000000000001</v>
          </cell>
          <cell r="P1286">
            <v>0.79730000000000001</v>
          </cell>
          <cell r="Q1286">
            <v>95.258999122036883</v>
          </cell>
          <cell r="U1286">
            <v>2.4239999999999999</v>
          </cell>
          <cell r="V1286">
            <v>184.45099999999999</v>
          </cell>
          <cell r="W1286" t="str">
            <v>#N/A N/A</v>
          </cell>
        </row>
        <row r="1287">
          <cell r="B1287">
            <v>80.453999999999994</v>
          </cell>
          <cell r="D1287">
            <v>1.3931</v>
          </cell>
          <cell r="E1287">
            <v>1268.5</v>
          </cell>
          <cell r="F1287">
            <v>13.4</v>
          </cell>
          <cell r="G1287" t="e">
            <v>#VALUE!</v>
          </cell>
          <cell r="I1287">
            <v>3.5063</v>
          </cell>
          <cell r="J1287">
            <v>6.8345000000000002</v>
          </cell>
          <cell r="K1287">
            <v>2.41</v>
          </cell>
          <cell r="L1287">
            <v>5.08</v>
          </cell>
          <cell r="M1287">
            <v>4.09</v>
          </cell>
          <cell r="O1287">
            <v>1.5158</v>
          </cell>
          <cell r="P1287">
            <v>0.79179999999999995</v>
          </cell>
          <cell r="Q1287">
            <v>95.718615812073764</v>
          </cell>
          <cell r="U1287">
            <v>2.3872999999999998</v>
          </cell>
          <cell r="V1287">
            <v>183.447</v>
          </cell>
          <cell r="W1287" t="str">
            <v>#N/A N/A</v>
          </cell>
        </row>
        <row r="1288">
          <cell r="B1288">
            <v>80.620999999999995</v>
          </cell>
          <cell r="D1288">
            <v>1.3945000000000001</v>
          </cell>
          <cell r="E1288">
            <v>1273.17</v>
          </cell>
          <cell r="F1288">
            <v>13.45669</v>
          </cell>
          <cell r="G1288" t="e">
            <v>#VALUE!</v>
          </cell>
          <cell r="I1288">
            <v>3.4544000000000001</v>
          </cell>
          <cell r="J1288">
            <v>6.8327</v>
          </cell>
          <cell r="K1288">
            <v>2.41</v>
          </cell>
          <cell r="L1288">
            <v>5.14</v>
          </cell>
          <cell r="M1288">
            <v>4.13</v>
          </cell>
          <cell r="O1288">
            <v>1.5152999999999999</v>
          </cell>
          <cell r="P1288">
            <v>0.79479999999999995</v>
          </cell>
          <cell r="Q1288">
            <v>95.325868142929039</v>
          </cell>
          <cell r="U1288">
            <v>2.3540000000000001</v>
          </cell>
          <cell r="V1288">
            <v>186.28700000000001</v>
          </cell>
          <cell r="W1288" t="str">
            <v>#N/A N/A</v>
          </cell>
        </row>
        <row r="1289">
          <cell r="B1289">
            <v>80.766000000000005</v>
          </cell>
          <cell r="D1289">
            <v>1.385</v>
          </cell>
          <cell r="E1289">
            <v>1276.25</v>
          </cell>
          <cell r="F1289">
            <v>13.82409</v>
          </cell>
          <cell r="G1289" t="e">
            <v>#VALUE!</v>
          </cell>
          <cell r="I1289">
            <v>3.3081</v>
          </cell>
          <cell r="J1289">
            <v>6.8329000000000004</v>
          </cell>
          <cell r="K1289">
            <v>2.41</v>
          </cell>
          <cell r="L1289">
            <v>5.09</v>
          </cell>
          <cell r="M1289">
            <v>4.0599999999999996</v>
          </cell>
          <cell r="O1289">
            <v>1.5131000000000001</v>
          </cell>
          <cell r="P1289">
            <v>0.77459999999999996</v>
          </cell>
          <cell r="Q1289">
            <v>97.669765040020678</v>
          </cell>
          <cell r="U1289">
            <v>2.2313999999999998</v>
          </cell>
          <cell r="V1289">
            <v>195.625</v>
          </cell>
          <cell r="W1289" t="str">
            <v>#N/A N/A</v>
          </cell>
        </row>
        <row r="1290">
          <cell r="B1290">
            <v>79.864000000000004</v>
          </cell>
          <cell r="D1290">
            <v>1.405</v>
          </cell>
          <cell r="E1290">
            <v>1278.95</v>
          </cell>
          <cell r="F1290">
            <v>13.71658</v>
          </cell>
          <cell r="G1290" t="e">
            <v>#VALUE!</v>
          </cell>
          <cell r="I1290">
            <v>3.403</v>
          </cell>
          <cell r="J1290">
            <v>6.8316999999999997</v>
          </cell>
          <cell r="K1290">
            <v>2.41</v>
          </cell>
          <cell r="L1290">
            <v>5.04</v>
          </cell>
          <cell r="M1290">
            <v>4</v>
          </cell>
          <cell r="O1290">
            <v>1.5117</v>
          </cell>
          <cell r="P1290">
            <v>0.78569999999999995</v>
          </cell>
          <cell r="Q1290">
            <v>96.200840015273016</v>
          </cell>
          <cell r="U1290">
            <v>2.3172000000000001</v>
          </cell>
          <cell r="V1290">
            <v>188.45</v>
          </cell>
          <cell r="W1290" t="str">
            <v>#N/A N/A</v>
          </cell>
        </row>
        <row r="1291">
          <cell r="B1291">
            <v>80.233000000000004</v>
          </cell>
          <cell r="D1291">
            <v>1.3935999999999999</v>
          </cell>
          <cell r="E1291">
            <v>1282.5</v>
          </cell>
          <cell r="F1291">
            <v>13.96564</v>
          </cell>
          <cell r="G1291" t="e">
            <v>#VALUE!</v>
          </cell>
          <cell r="I1291">
            <v>3.3026</v>
          </cell>
          <cell r="J1291">
            <v>6.8327999999999998</v>
          </cell>
          <cell r="K1291">
            <v>2.41</v>
          </cell>
          <cell r="L1291">
            <v>4.9800000000000004</v>
          </cell>
          <cell r="M1291">
            <v>3.91</v>
          </cell>
          <cell r="O1291">
            <v>1.5138</v>
          </cell>
          <cell r="P1291">
            <v>0.77700000000000002</v>
          </cell>
          <cell r="Q1291">
            <v>97.413127413127413</v>
          </cell>
          <cell r="U1291">
            <v>2.2172999999999998</v>
          </cell>
          <cell r="V1291">
            <v>185.59</v>
          </cell>
          <cell r="W1291" t="str">
            <v>#N/A N/A</v>
          </cell>
        </row>
        <row r="1292">
          <cell r="B1292">
            <v>80.233000000000004</v>
          </cell>
          <cell r="D1292">
            <v>1.3935999999999999</v>
          </cell>
          <cell r="E1292">
            <v>1282.5</v>
          </cell>
          <cell r="F1292">
            <v>13.96564</v>
          </cell>
          <cell r="G1292" t="e">
            <v>#VALUE!</v>
          </cell>
          <cell r="I1292">
            <v>3.3026</v>
          </cell>
          <cell r="J1292">
            <v>6.8327999999999998</v>
          </cell>
          <cell r="K1292">
            <v>2.41</v>
          </cell>
          <cell r="L1292">
            <v>4.9800000000000004</v>
          </cell>
          <cell r="M1292">
            <v>3.91</v>
          </cell>
          <cell r="O1292">
            <v>1.5138</v>
          </cell>
          <cell r="P1292">
            <v>0.77700000000000002</v>
          </cell>
          <cell r="Q1292">
            <v>97.413127413127413</v>
          </cell>
          <cell r="U1292">
            <v>2.2172999999999998</v>
          </cell>
          <cell r="V1292">
            <v>185.59</v>
          </cell>
          <cell r="W1292" t="str">
            <v>#N/A N/A</v>
          </cell>
        </row>
        <row r="1293">
          <cell r="B1293">
            <v>80.233000000000004</v>
          </cell>
          <cell r="D1293">
            <v>1.3935999999999999</v>
          </cell>
          <cell r="E1293">
            <v>1282.5</v>
          </cell>
          <cell r="F1293">
            <v>13.96564</v>
          </cell>
          <cell r="G1293" t="e">
            <v>#VALUE!</v>
          </cell>
          <cell r="I1293">
            <v>3.3026</v>
          </cell>
          <cell r="J1293">
            <v>6.8327999999999998</v>
          </cell>
          <cell r="K1293">
            <v>2.41</v>
          </cell>
          <cell r="L1293">
            <v>4.9800000000000004</v>
          </cell>
          <cell r="M1293">
            <v>3.91</v>
          </cell>
          <cell r="O1293">
            <v>1.5138</v>
          </cell>
          <cell r="P1293">
            <v>0.77700000000000002</v>
          </cell>
          <cell r="Q1293">
            <v>97.413127413127413</v>
          </cell>
          <cell r="U1293">
            <v>2.2172999999999998</v>
          </cell>
          <cell r="V1293">
            <v>185.59</v>
          </cell>
          <cell r="W1293" t="str">
            <v>#N/A N/A</v>
          </cell>
        </row>
        <row r="1294">
          <cell r="B1294">
            <v>80.126000000000005</v>
          </cell>
          <cell r="D1294">
            <v>1.3965000000000001</v>
          </cell>
          <cell r="E1294">
            <v>1316.5</v>
          </cell>
          <cell r="F1294">
            <v>14.14208</v>
          </cell>
          <cell r="G1294" t="e">
            <v>#VALUE!</v>
          </cell>
          <cell r="I1294">
            <v>3.35</v>
          </cell>
          <cell r="J1294">
            <v>6.8327</v>
          </cell>
          <cell r="K1294">
            <v>2.41</v>
          </cell>
          <cell r="L1294">
            <v>5.03</v>
          </cell>
          <cell r="M1294">
            <v>3.95</v>
          </cell>
          <cell r="O1294">
            <v>1.5138</v>
          </cell>
          <cell r="P1294">
            <v>0.78</v>
          </cell>
          <cell r="Q1294">
            <v>97.038461538461547</v>
          </cell>
          <cell r="U1294">
            <v>2.2568000000000001</v>
          </cell>
          <cell r="V1294">
            <v>196.02199999999999</v>
          </cell>
          <cell r="W1294" t="str">
            <v>#N/A N/A</v>
          </cell>
        </row>
        <row r="1295">
          <cell r="B1295">
            <v>80.183999999999997</v>
          </cell>
          <cell r="D1295">
            <v>1.3956</v>
          </cell>
          <cell r="E1295">
            <v>1293.25</v>
          </cell>
          <cell r="F1295">
            <v>13.90058</v>
          </cell>
          <cell r="G1295" t="e">
            <v>#VALUE!</v>
          </cell>
          <cell r="I1295">
            <v>3.4702999999999999</v>
          </cell>
          <cell r="J1295">
            <v>6.8329000000000004</v>
          </cell>
          <cell r="K1295">
            <v>2.41</v>
          </cell>
          <cell r="L1295">
            <v>5.07</v>
          </cell>
          <cell r="M1295">
            <v>3.96</v>
          </cell>
          <cell r="O1295">
            <v>1.5185</v>
          </cell>
          <cell r="P1295">
            <v>0.78920000000000001</v>
          </cell>
          <cell r="Q1295">
            <v>96.205017739483011</v>
          </cell>
          <cell r="U1295">
            <v>2.3529999999999998</v>
          </cell>
          <cell r="V1295">
            <v>192.12899999999999</v>
          </cell>
          <cell r="W1295" t="str">
            <v>#N/A N/A</v>
          </cell>
        </row>
        <row r="1296">
          <cell r="B1296">
            <v>79.316000000000003</v>
          </cell>
          <cell r="D1296">
            <v>1.4094</v>
          </cell>
          <cell r="E1296">
            <v>1278.3499999999999</v>
          </cell>
          <cell r="F1296">
            <v>13.48692</v>
          </cell>
          <cell r="G1296" t="e">
            <v>#VALUE!</v>
          </cell>
          <cell r="I1296">
            <v>3.6038000000000001</v>
          </cell>
          <cell r="J1296">
            <v>6.8315999999999999</v>
          </cell>
          <cell r="K1296">
            <v>2.41</v>
          </cell>
          <cell r="L1296">
            <v>5.15</v>
          </cell>
          <cell r="M1296">
            <v>3.99</v>
          </cell>
          <cell r="O1296">
            <v>1.5181</v>
          </cell>
          <cell r="P1296">
            <v>0.80289999999999995</v>
          </cell>
          <cell r="Q1296">
            <v>94.53854776435422</v>
          </cell>
          <cell r="U1296">
            <v>2.5068000000000001</v>
          </cell>
          <cell r="V1296">
            <v>181.13200000000001</v>
          </cell>
          <cell r="W1296" t="str">
            <v>#N/A N/A</v>
          </cell>
        </row>
        <row r="1297">
          <cell r="B1297">
            <v>79.215999999999994</v>
          </cell>
          <cell r="D1297">
            <v>1.4117</v>
          </cell>
          <cell r="E1297">
            <v>1265.75</v>
          </cell>
          <cell r="F1297">
            <v>13.548389999999999</v>
          </cell>
          <cell r="G1297" t="e">
            <v>#VALUE!</v>
          </cell>
          <cell r="I1297">
            <v>3.5689000000000002</v>
          </cell>
          <cell r="J1297">
            <v>6.8312999999999997</v>
          </cell>
          <cell r="K1297">
            <v>2.41</v>
          </cell>
          <cell r="L1297">
            <v>5.16</v>
          </cell>
          <cell r="M1297">
            <v>3.99</v>
          </cell>
          <cell r="O1297">
            <v>1.5185</v>
          </cell>
          <cell r="P1297">
            <v>0.80169999999999997</v>
          </cell>
          <cell r="Q1297">
            <v>94.705001871024081</v>
          </cell>
          <cell r="U1297">
            <v>2.4462999999999999</v>
          </cell>
          <cell r="V1297">
            <v>178.096</v>
          </cell>
          <cell r="W1297" t="str">
            <v>#N/A N/A</v>
          </cell>
        </row>
        <row r="1298">
          <cell r="B1298">
            <v>79.346999999999994</v>
          </cell>
          <cell r="D1298">
            <v>1.4102000000000001</v>
          </cell>
          <cell r="E1298">
            <v>1259.3</v>
          </cell>
          <cell r="F1298">
            <v>13.394299999999999</v>
          </cell>
          <cell r="G1298" t="e">
            <v>#VALUE!</v>
          </cell>
          <cell r="I1298">
            <v>3.6433</v>
          </cell>
          <cell r="J1298">
            <v>6.8316999999999997</v>
          </cell>
          <cell r="K1298">
            <v>2.41</v>
          </cell>
          <cell r="L1298">
            <v>5.26</v>
          </cell>
          <cell r="M1298">
            <v>4.0999999999999996</v>
          </cell>
          <cell r="O1298">
            <v>1.5201</v>
          </cell>
          <cell r="P1298">
            <v>0.80189999999999995</v>
          </cell>
          <cell r="Q1298">
            <v>94.781144781144789</v>
          </cell>
          <cell r="U1298">
            <v>2.4965000000000002</v>
          </cell>
          <cell r="V1298">
            <v>176.22399999999999</v>
          </cell>
          <cell r="W1298" t="str">
            <v>#N/A N/A</v>
          </cell>
        </row>
        <row r="1299">
          <cell r="B1299">
            <v>79.346999999999994</v>
          </cell>
          <cell r="D1299">
            <v>1.4102000000000001</v>
          </cell>
          <cell r="E1299">
            <v>1259.3</v>
          </cell>
          <cell r="F1299">
            <v>13.394299999999999</v>
          </cell>
          <cell r="G1299" t="e">
            <v>#VALUE!</v>
          </cell>
          <cell r="I1299">
            <v>3.6433</v>
          </cell>
          <cell r="J1299">
            <v>6.8316999999999997</v>
          </cell>
          <cell r="K1299">
            <v>2.41</v>
          </cell>
          <cell r="L1299">
            <v>5.26</v>
          </cell>
          <cell r="M1299">
            <v>4.0999999999999996</v>
          </cell>
          <cell r="O1299">
            <v>1.5201</v>
          </cell>
          <cell r="P1299">
            <v>0.80189999999999995</v>
          </cell>
          <cell r="Q1299">
            <v>94.781144781144789</v>
          </cell>
          <cell r="U1299">
            <v>2.4965000000000002</v>
          </cell>
          <cell r="V1299">
            <v>176.22399999999999</v>
          </cell>
          <cell r="W1299" t="str">
            <v>#N/A N/A</v>
          </cell>
        </row>
        <row r="1300">
          <cell r="B1300">
            <v>79.346999999999994</v>
          </cell>
          <cell r="D1300">
            <v>1.4102000000000001</v>
          </cell>
          <cell r="E1300">
            <v>1259.3</v>
          </cell>
          <cell r="F1300">
            <v>13.394299999999999</v>
          </cell>
          <cell r="G1300" t="e">
            <v>#VALUE!</v>
          </cell>
          <cell r="I1300">
            <v>3.6433</v>
          </cell>
          <cell r="J1300">
            <v>6.8316999999999997</v>
          </cell>
          <cell r="K1300">
            <v>2.41</v>
          </cell>
          <cell r="L1300">
            <v>5.26</v>
          </cell>
          <cell r="M1300">
            <v>4.0999999999999996</v>
          </cell>
          <cell r="O1300">
            <v>1.5201</v>
          </cell>
          <cell r="P1300">
            <v>0.80189999999999995</v>
          </cell>
          <cell r="Q1300">
            <v>94.781144781144789</v>
          </cell>
          <cell r="U1300">
            <v>2.4965000000000002</v>
          </cell>
          <cell r="V1300">
            <v>176.22399999999999</v>
          </cell>
          <cell r="W1300" t="str">
            <v>#N/A N/A</v>
          </cell>
        </row>
        <row r="1301">
          <cell r="B1301">
            <v>78.906999999999996</v>
          </cell>
          <cell r="D1301">
            <v>1.423</v>
          </cell>
          <cell r="E1301">
            <v>1250.0999999999999</v>
          </cell>
          <cell r="F1301">
            <v>13.164099999999999</v>
          </cell>
          <cell r="G1301" t="e">
            <v>#VALUE!</v>
          </cell>
          <cell r="I1301">
            <v>3.6063000000000001</v>
          </cell>
          <cell r="J1301">
            <v>6.8311000000000002</v>
          </cell>
          <cell r="K1301">
            <v>2.41</v>
          </cell>
          <cell r="L1301">
            <v>5.38</v>
          </cell>
          <cell r="M1301">
            <v>4.18</v>
          </cell>
          <cell r="O1301">
            <v>1.5196000000000001</v>
          </cell>
          <cell r="P1301">
            <v>0.81399999999999995</v>
          </cell>
          <cell r="Q1301">
            <v>93.341523341523342</v>
          </cell>
          <cell r="U1301">
            <v>2.456</v>
          </cell>
          <cell r="V1301">
            <v>170.756</v>
          </cell>
          <cell r="W1301" t="str">
            <v>#N/A N/A</v>
          </cell>
        </row>
        <row r="1302">
          <cell r="B1302">
            <v>78.927000000000007</v>
          </cell>
          <cell r="D1302">
            <v>1.4179999999999999</v>
          </cell>
          <cell r="E1302">
            <v>1248.7</v>
          </cell>
          <cell r="F1302">
            <v>13.406269999999999</v>
          </cell>
          <cell r="G1302" t="e">
            <v>#VALUE!</v>
          </cell>
          <cell r="I1302">
            <v>3.4824000000000002</v>
          </cell>
          <cell r="J1302">
            <v>6.8307000000000002</v>
          </cell>
          <cell r="K1302">
            <v>2.41</v>
          </cell>
          <cell r="L1302">
            <v>5.35</v>
          </cell>
          <cell r="M1302">
            <v>4.16</v>
          </cell>
          <cell r="O1302">
            <v>1.5145999999999999</v>
          </cell>
          <cell r="P1302">
            <v>0.81100000000000005</v>
          </cell>
          <cell r="Q1302">
            <v>93.378545006165211</v>
          </cell>
          <cell r="U1302">
            <v>2.3386</v>
          </cell>
          <cell r="V1302">
            <v>154.077</v>
          </cell>
          <cell r="W1302" t="str">
            <v>#N/A N/A</v>
          </cell>
        </row>
        <row r="1303">
          <cell r="B1303">
            <v>78.706000000000003</v>
          </cell>
          <cell r="D1303">
            <v>1.4235</v>
          </cell>
          <cell r="E1303">
            <v>1248.05</v>
          </cell>
          <cell r="F1303">
            <v>13.35622</v>
          </cell>
          <cell r="G1303" t="e">
            <v>#VALUE!</v>
          </cell>
          <cell r="I1303">
            <v>3.5442999999999998</v>
          </cell>
          <cell r="J1303">
            <v>6.8306000000000004</v>
          </cell>
          <cell r="K1303">
            <v>2.41</v>
          </cell>
          <cell r="L1303">
            <v>5.37</v>
          </cell>
          <cell r="M1303">
            <v>4.21</v>
          </cell>
          <cell r="O1303">
            <v>1.5154999999999998</v>
          </cell>
          <cell r="P1303">
            <v>0.81830000000000003</v>
          </cell>
          <cell r="Q1303">
            <v>92.600513259195878</v>
          </cell>
          <cell r="U1303">
            <v>2.3954</v>
          </cell>
          <cell r="V1303">
            <v>153.911</v>
          </cell>
          <cell r="W1303" t="str">
            <v>#N/A N/A</v>
          </cell>
        </row>
        <row r="1304">
          <cell r="B1304">
            <v>78.802999999999997</v>
          </cell>
          <cell r="D1304">
            <v>1.4245999999999999</v>
          </cell>
          <cell r="E1304">
            <v>1248.77</v>
          </cell>
          <cell r="F1304">
            <v>13.10642</v>
          </cell>
          <cell r="G1304" t="e">
            <v>#VALUE!</v>
          </cell>
          <cell r="I1304">
            <v>3.6555</v>
          </cell>
          <cell r="J1304">
            <v>6.8312999999999997</v>
          </cell>
          <cell r="K1304">
            <v>2.41</v>
          </cell>
          <cell r="L1304">
            <v>5.26</v>
          </cell>
          <cell r="M1304">
            <v>4.16</v>
          </cell>
          <cell r="O1304">
            <v>1.5213000000000001</v>
          </cell>
          <cell r="P1304">
            <v>0.81930000000000003</v>
          </cell>
          <cell r="Q1304">
            <v>92.841450018308308</v>
          </cell>
          <cell r="U1304">
            <v>2.5299</v>
          </cell>
          <cell r="V1304">
            <v>144.20699999999999</v>
          </cell>
          <cell r="W1304" t="str">
            <v>#N/A N/A</v>
          </cell>
        </row>
        <row r="1305">
          <cell r="B1305">
            <v>78.748999999999995</v>
          </cell>
          <cell r="D1305">
            <v>1.4201999999999999</v>
          </cell>
          <cell r="E1305">
            <v>1249.55</v>
          </cell>
          <cell r="F1305">
            <v>13.17897</v>
          </cell>
          <cell r="G1305" t="e">
            <v>#VALUE!</v>
          </cell>
          <cell r="I1305">
            <v>3.6577999999999999</v>
          </cell>
          <cell r="J1305">
            <v>6.8309999999999995</v>
          </cell>
          <cell r="K1305">
            <v>2.41</v>
          </cell>
          <cell r="L1305">
            <v>5.26</v>
          </cell>
          <cell r="M1305">
            <v>4.16</v>
          </cell>
          <cell r="O1305">
            <v>1.5215000000000001</v>
          </cell>
          <cell r="P1305">
            <v>0.81710000000000005</v>
          </cell>
          <cell r="Q1305">
            <v>93.103659282829526</v>
          </cell>
          <cell r="U1305">
            <v>2.5297999999999998</v>
          </cell>
          <cell r="V1305">
            <v>144.15299999999999</v>
          </cell>
          <cell r="W1305" t="str">
            <v>#N/A N/A</v>
          </cell>
        </row>
        <row r="1306">
          <cell r="B1306">
            <v>78.748999999999995</v>
          </cell>
          <cell r="D1306">
            <v>1.4201999999999999</v>
          </cell>
          <cell r="E1306">
            <v>1249.55</v>
          </cell>
          <cell r="F1306">
            <v>13.17897</v>
          </cell>
          <cell r="G1306" t="e">
            <v>#VALUE!</v>
          </cell>
          <cell r="I1306">
            <v>3.6577999999999999</v>
          </cell>
          <cell r="J1306">
            <v>6.8309999999999995</v>
          </cell>
          <cell r="K1306">
            <v>2.41</v>
          </cell>
          <cell r="L1306">
            <v>5.26</v>
          </cell>
          <cell r="M1306">
            <v>4.16</v>
          </cell>
          <cell r="O1306">
            <v>1.5215000000000001</v>
          </cell>
          <cell r="P1306">
            <v>0.81710000000000005</v>
          </cell>
          <cell r="Q1306">
            <v>93.103659282829526</v>
          </cell>
          <cell r="U1306">
            <v>2.5297999999999998</v>
          </cell>
          <cell r="V1306">
            <v>144.15299999999999</v>
          </cell>
          <cell r="W1306" t="str">
            <v>#N/A N/A</v>
          </cell>
        </row>
        <row r="1307">
          <cell r="B1307">
            <v>78.748999999999995</v>
          </cell>
          <cell r="D1307">
            <v>1.4201999999999999</v>
          </cell>
          <cell r="E1307">
            <v>1249.55</v>
          </cell>
          <cell r="F1307">
            <v>13.17897</v>
          </cell>
          <cell r="G1307" t="e">
            <v>#VALUE!</v>
          </cell>
          <cell r="I1307">
            <v>3.6577999999999999</v>
          </cell>
          <cell r="J1307">
            <v>6.8309999999999995</v>
          </cell>
          <cell r="K1307">
            <v>2.41</v>
          </cell>
          <cell r="L1307">
            <v>5.26</v>
          </cell>
          <cell r="M1307">
            <v>4.16</v>
          </cell>
          <cell r="O1307">
            <v>1.5215000000000001</v>
          </cell>
          <cell r="P1307">
            <v>0.81710000000000005</v>
          </cell>
          <cell r="Q1307">
            <v>93.103659282829526</v>
          </cell>
          <cell r="U1307">
            <v>2.5297999999999998</v>
          </cell>
          <cell r="V1307">
            <v>144.15299999999999</v>
          </cell>
          <cell r="W1307" t="str">
            <v>#N/A N/A</v>
          </cell>
        </row>
        <row r="1308">
          <cell r="B1308">
            <v>78.626000000000005</v>
          </cell>
          <cell r="D1308">
            <v>1.4224000000000001</v>
          </cell>
          <cell r="E1308">
            <v>1244.05</v>
          </cell>
          <cell r="F1308">
            <v>13.058009999999999</v>
          </cell>
          <cell r="G1308" t="e">
            <v>#VALUE!</v>
          </cell>
          <cell r="I1308">
            <v>3.7189000000000001</v>
          </cell>
          <cell r="J1308">
            <v>6.8309999999999995</v>
          </cell>
          <cell r="K1308">
            <v>2.41</v>
          </cell>
          <cell r="L1308">
            <v>5.27</v>
          </cell>
          <cell r="M1308">
            <v>4.17</v>
          </cell>
          <cell r="O1308">
            <v>1.5243</v>
          </cell>
          <cell r="P1308">
            <v>0.82199999999999995</v>
          </cell>
          <cell r="Q1308">
            <v>92.71897810218978</v>
          </cell>
          <cell r="U1308">
            <v>2.5874000000000001</v>
          </cell>
          <cell r="V1308">
            <v>141.102</v>
          </cell>
          <cell r="W1308" t="str">
            <v>#N/A N/A</v>
          </cell>
        </row>
        <row r="1309">
          <cell r="B1309">
            <v>78.849999999999994</v>
          </cell>
          <cell r="D1309">
            <v>1.4163999999999999</v>
          </cell>
          <cell r="E1309">
            <v>1236.5999999999999</v>
          </cell>
          <cell r="F1309">
            <v>13.19182</v>
          </cell>
          <cell r="G1309" t="e">
            <v>#VALUE!</v>
          </cell>
          <cell r="I1309">
            <v>3.6856</v>
          </cell>
          <cell r="J1309">
            <v>6.8308999999999997</v>
          </cell>
          <cell r="K1309">
            <v>2.41</v>
          </cell>
          <cell r="L1309">
            <v>5.27</v>
          </cell>
          <cell r="M1309">
            <v>4.16</v>
          </cell>
          <cell r="O1309">
            <v>1.5234999999999999</v>
          </cell>
          <cell r="P1309">
            <v>0.8236</v>
          </cell>
          <cell r="Q1309">
            <v>92.490286546867409</v>
          </cell>
          <cell r="U1309">
            <v>2.6009000000000002</v>
          </cell>
          <cell r="V1309">
            <v>132.30600000000001</v>
          </cell>
          <cell r="W1309" t="str">
            <v>#N/A N/A</v>
          </cell>
        </row>
        <row r="1310">
          <cell r="B1310">
            <v>79.63</v>
          </cell>
          <cell r="D1310">
            <v>1.4033</v>
          </cell>
          <cell r="E1310">
            <v>1239.95</v>
          </cell>
          <cell r="F1310">
            <v>13.092969999999999</v>
          </cell>
          <cell r="G1310">
            <v>200.88</v>
          </cell>
          <cell r="I1310">
            <v>3.6581999999999999</v>
          </cell>
          <cell r="J1310">
            <v>6.8314000000000004</v>
          </cell>
          <cell r="K1310">
            <v>2.41</v>
          </cell>
          <cell r="L1310">
            <v>5.3</v>
          </cell>
          <cell r="M1310">
            <v>4.17</v>
          </cell>
          <cell r="O1310">
            <v>1.5276000000000001</v>
          </cell>
          <cell r="P1310">
            <v>0.81659999999999999</v>
          </cell>
          <cell r="Q1310">
            <v>93.534166054371795</v>
          </cell>
          <cell r="U1310">
            <v>2.6316000000000002</v>
          </cell>
          <cell r="V1310">
            <v>136.95099999999999</v>
          </cell>
          <cell r="W1310" t="str">
            <v>#N/A N/A</v>
          </cell>
        </row>
        <row r="1311">
          <cell r="B1311">
            <v>79.284999999999997</v>
          </cell>
          <cell r="D1311">
            <v>1.4071</v>
          </cell>
          <cell r="E1311">
            <v>1236.7</v>
          </cell>
          <cell r="F1311">
            <v>12.849819999999999</v>
          </cell>
          <cell r="G1311">
            <v>189.76</v>
          </cell>
          <cell r="I1311">
            <v>3.6074000000000002</v>
          </cell>
          <cell r="J1311">
            <v>6.8323</v>
          </cell>
          <cell r="K1311">
            <v>2.41</v>
          </cell>
          <cell r="L1311">
            <v>5.25</v>
          </cell>
          <cell r="M1311">
            <v>4.1500000000000004</v>
          </cell>
          <cell r="O1311">
            <v>1.5314000000000001</v>
          </cell>
          <cell r="P1311">
            <v>0.82650000000000001</v>
          </cell>
          <cell r="Q1311">
            <v>92.643678160919535</v>
          </cell>
          <cell r="U1311">
            <v>2.625</v>
          </cell>
          <cell r="V1311">
            <v>131.202</v>
          </cell>
          <cell r="W1311" t="str">
            <v>#N/A N/A</v>
          </cell>
        </row>
        <row r="1312">
          <cell r="B1312">
            <v>78.346999999999994</v>
          </cell>
          <cell r="D1312">
            <v>1.4257</v>
          </cell>
          <cell r="E1312">
            <v>1228.42</v>
          </cell>
          <cell r="F1312">
            <v>12.920450000000001</v>
          </cell>
          <cell r="G1312">
            <v>190.34</v>
          </cell>
          <cell r="I1312">
            <v>3.4796</v>
          </cell>
          <cell r="J1312">
            <v>6.8320999999999996</v>
          </cell>
          <cell r="K1312">
            <v>2.41</v>
          </cell>
          <cell r="L1312">
            <v>5.33</v>
          </cell>
          <cell r="M1312">
            <v>4.26</v>
          </cell>
          <cell r="O1312">
            <v>1.5228000000000002</v>
          </cell>
          <cell r="P1312">
            <v>0.83179999999999998</v>
          </cell>
          <cell r="Q1312">
            <v>91.536427025727349</v>
          </cell>
          <cell r="U1312">
            <v>2.5144000000000002</v>
          </cell>
          <cell r="V1312">
            <v>128.267</v>
          </cell>
          <cell r="W1312" t="str">
            <v>#N/A N/A</v>
          </cell>
        </row>
        <row r="1313">
          <cell r="B1313">
            <v>78.346999999999994</v>
          </cell>
          <cell r="D1313">
            <v>1.4257</v>
          </cell>
          <cell r="E1313">
            <v>1228.42</v>
          </cell>
          <cell r="F1313">
            <v>12.920450000000001</v>
          </cell>
          <cell r="G1313">
            <v>190.34</v>
          </cell>
          <cell r="I1313">
            <v>3.4796</v>
          </cell>
          <cell r="J1313">
            <v>6.8320999999999996</v>
          </cell>
          <cell r="K1313">
            <v>2.41</v>
          </cell>
          <cell r="L1313">
            <v>5.33</v>
          </cell>
          <cell r="M1313">
            <v>4.26</v>
          </cell>
          <cell r="O1313">
            <v>1.5228000000000002</v>
          </cell>
          <cell r="P1313">
            <v>0.83179999999999998</v>
          </cell>
          <cell r="Q1313">
            <v>91.536427025727349</v>
          </cell>
          <cell r="U1313">
            <v>2.5144000000000002</v>
          </cell>
          <cell r="V1313">
            <v>128.267</v>
          </cell>
          <cell r="W1313" t="str">
            <v>#N/A N/A</v>
          </cell>
        </row>
        <row r="1314">
          <cell r="B1314">
            <v>78.346999999999994</v>
          </cell>
          <cell r="D1314">
            <v>1.4257</v>
          </cell>
          <cell r="E1314">
            <v>1228.42</v>
          </cell>
          <cell r="F1314">
            <v>12.920450000000001</v>
          </cell>
          <cell r="G1314">
            <v>190.34</v>
          </cell>
          <cell r="I1314">
            <v>3.4796</v>
          </cell>
          <cell r="J1314">
            <v>6.8320999999999996</v>
          </cell>
          <cell r="K1314">
            <v>2.41</v>
          </cell>
          <cell r="L1314">
            <v>5.33</v>
          </cell>
          <cell r="M1314">
            <v>4.26</v>
          </cell>
          <cell r="O1314">
            <v>1.5228000000000002</v>
          </cell>
          <cell r="P1314">
            <v>0.83179999999999998</v>
          </cell>
          <cell r="Q1314">
            <v>91.536427025727349</v>
          </cell>
          <cell r="U1314">
            <v>2.5144000000000002</v>
          </cell>
          <cell r="V1314">
            <v>128.267</v>
          </cell>
          <cell r="W1314" t="str">
            <v>#N/A N/A</v>
          </cell>
        </row>
        <row r="1315">
          <cell r="B1315">
            <v>77.638999999999996</v>
          </cell>
          <cell r="D1315">
            <v>1.4403999999999999</v>
          </cell>
          <cell r="E1315">
            <v>1222.4000000000001</v>
          </cell>
          <cell r="F1315">
            <v>12.773</v>
          </cell>
          <cell r="G1315">
            <v>191.97</v>
          </cell>
          <cell r="I1315">
            <v>3.6333000000000002</v>
          </cell>
          <cell r="J1315">
            <v>6.8308</v>
          </cell>
          <cell r="K1315">
            <v>2.41</v>
          </cell>
          <cell r="L1315">
            <v>5.39</v>
          </cell>
          <cell r="M1315">
            <v>4.37</v>
          </cell>
          <cell r="O1315">
            <v>1.5268999999999999</v>
          </cell>
          <cell r="P1315">
            <v>0.84140000000000004</v>
          </cell>
          <cell r="Q1315">
            <v>90.735678630853329</v>
          </cell>
          <cell r="U1315">
            <v>2.6619999999999999</v>
          </cell>
          <cell r="V1315">
            <v>123.717</v>
          </cell>
          <cell r="W1315" t="str">
            <v>#N/A N/A</v>
          </cell>
        </row>
        <row r="1316">
          <cell r="B1316">
            <v>77.765000000000001</v>
          </cell>
          <cell r="D1316">
            <v>1.4430000000000001</v>
          </cell>
          <cell r="E1316">
            <v>1218.05</v>
          </cell>
          <cell r="F1316">
            <v>12.792389999999999</v>
          </cell>
          <cell r="G1316">
            <v>185.25</v>
          </cell>
          <cell r="I1316">
            <v>3.6844999999999999</v>
          </cell>
          <cell r="J1316">
            <v>6.8301999999999996</v>
          </cell>
          <cell r="K1316">
            <v>2.41</v>
          </cell>
          <cell r="L1316">
            <v>5.37</v>
          </cell>
          <cell r="M1316">
            <v>4.3499999999999996</v>
          </cell>
          <cell r="O1316">
            <v>1.5268000000000002</v>
          </cell>
          <cell r="P1316">
            <v>0.84419999999999995</v>
          </cell>
          <cell r="Q1316">
            <v>90.428808339256122</v>
          </cell>
          <cell r="U1316">
            <v>2.6957</v>
          </cell>
          <cell r="V1316">
            <v>119.405</v>
          </cell>
          <cell r="W1316" t="str">
            <v>#N/A N/A</v>
          </cell>
        </row>
        <row r="1317">
          <cell r="B1317">
            <v>77.516999999999996</v>
          </cell>
          <cell r="D1317">
            <v>1.4417</v>
          </cell>
          <cell r="E1317">
            <v>1224.4000000000001</v>
          </cell>
          <cell r="F1317">
            <v>12.89898</v>
          </cell>
          <cell r="G1317">
            <v>190.01</v>
          </cell>
          <cell r="I1317">
            <v>3.7458999999999998</v>
          </cell>
          <cell r="J1317">
            <v>6.8308999999999997</v>
          </cell>
          <cell r="K1317">
            <v>2.41</v>
          </cell>
          <cell r="L1317">
            <v>5.4</v>
          </cell>
          <cell r="M1317">
            <v>4.43</v>
          </cell>
          <cell r="O1317">
            <v>1.5291999999999999</v>
          </cell>
          <cell r="P1317">
            <v>0.83989999999999998</v>
          </cell>
          <cell r="Q1317">
            <v>91.034646981783538</v>
          </cell>
          <cell r="U1317">
            <v>2.7194000000000003</v>
          </cell>
          <cell r="V1317">
            <v>121.849</v>
          </cell>
          <cell r="W1317" t="str">
            <v>#N/A N/A</v>
          </cell>
        </row>
        <row r="1318">
          <cell r="B1318">
            <v>78.064999999999998</v>
          </cell>
          <cell r="D1318">
            <v>1.4341999999999999</v>
          </cell>
          <cell r="E1318">
            <v>1222.55</v>
          </cell>
          <cell r="F1318">
            <v>12.792009999999999</v>
          </cell>
          <cell r="G1318">
            <v>190.79</v>
          </cell>
          <cell r="I1318">
            <v>3.7500999999999998</v>
          </cell>
          <cell r="J1318">
            <v>6.8311999999999999</v>
          </cell>
          <cell r="K1318">
            <v>2.42</v>
          </cell>
          <cell r="L1318">
            <v>5.43</v>
          </cell>
          <cell r="M1318">
            <v>4.49</v>
          </cell>
          <cell r="O1318">
            <v>1.5293000000000001</v>
          </cell>
          <cell r="P1318">
            <v>0.83830000000000005</v>
          </cell>
          <cell r="Q1318">
            <v>91.214362400095425</v>
          </cell>
          <cell r="U1318">
            <v>2.7058999999999997</v>
          </cell>
          <cell r="V1318">
            <v>124.976</v>
          </cell>
          <cell r="W1318" t="str">
            <v>#N/A N/A</v>
          </cell>
        </row>
        <row r="1319">
          <cell r="B1319">
            <v>78.974999999999994</v>
          </cell>
          <cell r="D1319">
            <v>1.4182999999999999</v>
          </cell>
          <cell r="E1319">
            <v>1224.9000000000001</v>
          </cell>
          <cell r="F1319">
            <v>12.532590000000001</v>
          </cell>
          <cell r="G1319">
            <v>193.78</v>
          </cell>
          <cell r="I1319">
            <v>3.8502000000000001</v>
          </cell>
          <cell r="J1319">
            <v>6.8318000000000003</v>
          </cell>
          <cell r="K1319">
            <v>2.42</v>
          </cell>
          <cell r="L1319">
            <v>5.4</v>
          </cell>
          <cell r="M1319">
            <v>4.46</v>
          </cell>
          <cell r="O1319">
            <v>1.5354000000000001</v>
          </cell>
          <cell r="P1319">
            <v>0.8367</v>
          </cell>
          <cell r="Q1319">
            <v>91.753316600932237</v>
          </cell>
          <cell r="U1319">
            <v>2.8181000000000003</v>
          </cell>
          <cell r="V1319">
            <v>126.82599999999999</v>
          </cell>
          <cell r="W1319" t="str">
            <v>#N/A N/A</v>
          </cell>
        </row>
        <row r="1320">
          <cell r="B1320">
            <v>78.974999999999994</v>
          </cell>
          <cell r="D1320">
            <v>1.4182999999999999</v>
          </cell>
          <cell r="E1320">
            <v>1224.9000000000001</v>
          </cell>
          <cell r="F1320">
            <v>12.532590000000001</v>
          </cell>
          <cell r="G1320">
            <v>193.78</v>
          </cell>
          <cell r="I1320">
            <v>3.8502000000000001</v>
          </cell>
          <cell r="J1320">
            <v>6.8318000000000003</v>
          </cell>
          <cell r="K1320">
            <v>2.42</v>
          </cell>
          <cell r="L1320">
            <v>5.4</v>
          </cell>
          <cell r="M1320">
            <v>4.46</v>
          </cell>
          <cell r="O1320">
            <v>1.5354000000000001</v>
          </cell>
          <cell r="P1320">
            <v>0.8367</v>
          </cell>
          <cell r="Q1320">
            <v>91.753316600932237</v>
          </cell>
          <cell r="U1320">
            <v>2.8181000000000003</v>
          </cell>
          <cell r="V1320">
            <v>126.82599999999999</v>
          </cell>
          <cell r="W1320" t="str">
            <v>#N/A N/A</v>
          </cell>
        </row>
        <row r="1321">
          <cell r="B1321">
            <v>78.974999999999994</v>
          </cell>
          <cell r="D1321">
            <v>1.4182999999999999</v>
          </cell>
          <cell r="E1321">
            <v>1224.9000000000001</v>
          </cell>
          <cell r="F1321">
            <v>12.532590000000001</v>
          </cell>
          <cell r="G1321">
            <v>193.78</v>
          </cell>
          <cell r="I1321">
            <v>3.8502000000000001</v>
          </cell>
          <cell r="J1321">
            <v>6.8318000000000003</v>
          </cell>
          <cell r="K1321">
            <v>2.42</v>
          </cell>
          <cell r="L1321">
            <v>5.4</v>
          </cell>
          <cell r="M1321">
            <v>4.46</v>
          </cell>
          <cell r="O1321">
            <v>1.5354000000000001</v>
          </cell>
          <cell r="P1321">
            <v>0.8367</v>
          </cell>
          <cell r="Q1321">
            <v>91.753316600932237</v>
          </cell>
          <cell r="U1321">
            <v>2.8181000000000003</v>
          </cell>
          <cell r="V1321">
            <v>126.82599999999999</v>
          </cell>
          <cell r="W1321" t="str">
            <v>#N/A N/A</v>
          </cell>
        </row>
        <row r="1322">
          <cell r="B1322">
            <v>79.256</v>
          </cell>
          <cell r="D1322">
            <v>1.4139999999999999</v>
          </cell>
          <cell r="E1322">
            <v>1228.05</v>
          </cell>
          <cell r="F1322">
            <v>12.673999999999999</v>
          </cell>
          <cell r="G1322">
            <v>184.15</v>
          </cell>
          <cell r="I1322">
            <v>3.7765</v>
          </cell>
          <cell r="J1322">
            <v>6.8344000000000005</v>
          </cell>
          <cell r="K1322">
            <v>2.42</v>
          </cell>
          <cell r="L1322">
            <v>5.44</v>
          </cell>
          <cell r="M1322">
            <v>4.47</v>
          </cell>
          <cell r="O1322">
            <v>1.5352000000000001</v>
          </cell>
          <cell r="P1322">
            <v>0.8357</v>
          </cell>
          <cell r="Q1322">
            <v>91.851142754577012</v>
          </cell>
          <cell r="U1322">
            <v>2.7467000000000001</v>
          </cell>
          <cell r="V1322">
            <v>125.61799999999999</v>
          </cell>
          <cell r="W1322" t="str">
            <v>#N/A N/A</v>
          </cell>
        </row>
        <row r="1323">
          <cell r="B1323">
            <v>79.176000000000002</v>
          </cell>
          <cell r="D1323">
            <v>1.4158999999999999</v>
          </cell>
          <cell r="E1323">
            <v>1239.2</v>
          </cell>
          <cell r="F1323">
            <v>12.984299999999999</v>
          </cell>
          <cell r="G1323">
            <v>186.33</v>
          </cell>
          <cell r="I1323">
            <v>3.6677</v>
          </cell>
          <cell r="J1323">
            <v>6.835</v>
          </cell>
          <cell r="K1323">
            <v>2.42</v>
          </cell>
          <cell r="L1323">
            <v>5.44</v>
          </cell>
          <cell r="M1323">
            <v>4.41</v>
          </cell>
          <cell r="O1323">
            <v>1.5308000000000002</v>
          </cell>
          <cell r="P1323">
            <v>0.82879999999999998</v>
          </cell>
          <cell r="Q1323">
            <v>92.350386100386118</v>
          </cell>
          <cell r="U1323">
            <v>2.6654</v>
          </cell>
          <cell r="V1323">
            <v>127.958</v>
          </cell>
          <cell r="W1323" t="str">
            <v>#N/A N/A</v>
          </cell>
        </row>
        <row r="1324">
          <cell r="B1324">
            <v>78.790000000000006</v>
          </cell>
          <cell r="D1324">
            <v>1.4219999999999999</v>
          </cell>
          <cell r="E1324">
            <v>1246.5999999999999</v>
          </cell>
          <cell r="F1324">
            <v>12.923360000000001</v>
          </cell>
          <cell r="G1324">
            <v>190.38</v>
          </cell>
          <cell r="I1324">
            <v>3.7172000000000001</v>
          </cell>
          <cell r="J1324">
            <v>6.8350999999999997</v>
          </cell>
          <cell r="K1324">
            <v>2.42</v>
          </cell>
          <cell r="L1324">
            <v>5.46</v>
          </cell>
          <cell r="M1324">
            <v>4.45</v>
          </cell>
          <cell r="O1324">
            <v>1.5293000000000001</v>
          </cell>
          <cell r="P1324">
            <v>0.83350000000000002</v>
          </cell>
          <cell r="Q1324">
            <v>91.739652069586086</v>
          </cell>
          <cell r="U1324">
            <v>2.6756000000000002</v>
          </cell>
          <cell r="V1324">
            <v>145.923</v>
          </cell>
          <cell r="W1324" t="str">
            <v>#N/A N/A</v>
          </cell>
        </row>
        <row r="1325">
          <cell r="B1325">
            <v>78.489000000000004</v>
          </cell>
          <cell r="D1325">
            <v>1.4277</v>
          </cell>
          <cell r="E1325">
            <v>1237.3499999999999</v>
          </cell>
          <cell r="F1325">
            <v>12.93196</v>
          </cell>
          <cell r="G1325">
            <v>190.1</v>
          </cell>
          <cell r="I1325">
            <v>3.5950000000000002</v>
          </cell>
          <cell r="J1325">
            <v>6.8337000000000003</v>
          </cell>
          <cell r="K1325">
            <v>2.4500000000000002</v>
          </cell>
          <cell r="L1325">
            <v>5.49</v>
          </cell>
          <cell r="M1325">
            <v>4.5199999999999996</v>
          </cell>
          <cell r="O1325">
            <v>1.5287999999999999</v>
          </cell>
          <cell r="P1325">
            <v>0.84150000000000003</v>
          </cell>
          <cell r="Q1325">
            <v>90.837789661319064</v>
          </cell>
          <cell r="U1325">
            <v>2.5540000000000003</v>
          </cell>
          <cell r="V1325">
            <v>140.863</v>
          </cell>
          <cell r="W1325" t="str">
            <v>#N/A N/A</v>
          </cell>
        </row>
        <row r="1326">
          <cell r="B1326">
            <v>78.885000000000005</v>
          </cell>
          <cell r="D1326">
            <v>1.4203000000000001</v>
          </cell>
          <cell r="E1326">
            <v>1239.1300000000001</v>
          </cell>
          <cell r="F1326">
            <v>13.08114</v>
          </cell>
          <cell r="G1326">
            <v>190.12</v>
          </cell>
          <cell r="I1326">
            <v>3.5688</v>
          </cell>
          <cell r="J1326">
            <v>6.8342000000000001</v>
          </cell>
          <cell r="K1326">
            <v>2.4700000000000002</v>
          </cell>
          <cell r="L1326">
            <v>5.53</v>
          </cell>
          <cell r="M1326">
            <v>4.6100000000000003</v>
          </cell>
          <cell r="O1326">
            <v>1.5238</v>
          </cell>
          <cell r="P1326">
            <v>0.83260000000000001</v>
          </cell>
          <cell r="Q1326">
            <v>91.508527504203698</v>
          </cell>
          <cell r="U1326">
            <v>2.5068000000000001</v>
          </cell>
          <cell r="V1326">
            <v>136.16300000000001</v>
          </cell>
          <cell r="W1326" t="str">
            <v>#N/A N/A</v>
          </cell>
        </row>
        <row r="1327">
          <cell r="B1327">
            <v>78.885000000000005</v>
          </cell>
          <cell r="D1327">
            <v>1.4203000000000001</v>
          </cell>
          <cell r="E1327">
            <v>1239.1300000000001</v>
          </cell>
          <cell r="F1327">
            <v>13.08114</v>
          </cell>
          <cell r="G1327">
            <v>190.12</v>
          </cell>
          <cell r="I1327">
            <v>3.5688</v>
          </cell>
          <cell r="J1327">
            <v>6.8342000000000001</v>
          </cell>
          <cell r="K1327">
            <v>2.4700000000000002</v>
          </cell>
          <cell r="L1327">
            <v>5.53</v>
          </cell>
          <cell r="M1327">
            <v>4.6100000000000003</v>
          </cell>
          <cell r="O1327">
            <v>1.5238</v>
          </cell>
          <cell r="P1327">
            <v>0.83260000000000001</v>
          </cell>
          <cell r="Q1327">
            <v>91.508527504203698</v>
          </cell>
          <cell r="U1327">
            <v>2.5068000000000001</v>
          </cell>
          <cell r="V1327">
            <v>136.16300000000001</v>
          </cell>
          <cell r="W1327" t="str">
            <v>#N/A N/A</v>
          </cell>
        </row>
        <row r="1328">
          <cell r="B1328">
            <v>78.885000000000005</v>
          </cell>
          <cell r="D1328">
            <v>1.4203000000000001</v>
          </cell>
          <cell r="E1328">
            <v>1239.1300000000001</v>
          </cell>
          <cell r="F1328">
            <v>13.08114</v>
          </cell>
          <cell r="G1328">
            <v>190.12</v>
          </cell>
          <cell r="I1328">
            <v>3.5688</v>
          </cell>
          <cell r="J1328">
            <v>6.8342000000000001</v>
          </cell>
          <cell r="K1328">
            <v>2.4700000000000002</v>
          </cell>
          <cell r="L1328">
            <v>5.53</v>
          </cell>
          <cell r="M1328">
            <v>4.6100000000000003</v>
          </cell>
          <cell r="O1328">
            <v>1.5238</v>
          </cell>
          <cell r="P1328">
            <v>0.83260000000000001</v>
          </cell>
          <cell r="Q1328">
            <v>91.508527504203698</v>
          </cell>
          <cell r="U1328">
            <v>2.5068000000000001</v>
          </cell>
          <cell r="V1328">
            <v>136.16300000000001</v>
          </cell>
          <cell r="W1328" t="str">
            <v>#N/A N/A</v>
          </cell>
        </row>
        <row r="1329">
          <cell r="B1329">
            <v>79.292000000000002</v>
          </cell>
          <cell r="D1329">
            <v>1.4081999999999999</v>
          </cell>
          <cell r="E1329">
            <v>1256.8800000000001</v>
          </cell>
          <cell r="F1329">
            <v>13.42887</v>
          </cell>
          <cell r="G1329">
            <v>190.16</v>
          </cell>
          <cell r="I1329">
            <v>3.4683999999999999</v>
          </cell>
          <cell r="J1329">
            <v>6.8360000000000003</v>
          </cell>
          <cell r="K1329">
            <v>2.48</v>
          </cell>
          <cell r="L1329">
            <v>5.46</v>
          </cell>
          <cell r="M1329">
            <v>4.46</v>
          </cell>
          <cell r="O1329">
            <v>1.5185999999999999</v>
          </cell>
          <cell r="P1329">
            <v>0.82399999999999995</v>
          </cell>
          <cell r="Q1329">
            <v>92.148058252427191</v>
          </cell>
          <cell r="U1329">
            <v>2.4060000000000001</v>
          </cell>
          <cell r="V1329">
            <v>148.501</v>
          </cell>
          <cell r="W1329" t="str">
            <v>#N/A N/A</v>
          </cell>
        </row>
        <row r="1330">
          <cell r="B1330">
            <v>78.936999999999998</v>
          </cell>
          <cell r="D1330">
            <v>1.4123000000000001</v>
          </cell>
          <cell r="E1330">
            <v>1246.75</v>
          </cell>
          <cell r="F1330">
            <v>13.212590000000001</v>
          </cell>
          <cell r="G1330">
            <v>189.58</v>
          </cell>
          <cell r="I1330">
            <v>3.5091999999999999</v>
          </cell>
          <cell r="J1330">
            <v>6.8338999999999999</v>
          </cell>
          <cell r="K1330">
            <v>2.4900000000000002</v>
          </cell>
          <cell r="L1330">
            <v>5.49</v>
          </cell>
          <cell r="M1330">
            <v>4.51</v>
          </cell>
          <cell r="O1330">
            <v>1.5203</v>
          </cell>
          <cell r="P1330">
            <v>0.82440000000000002</v>
          </cell>
          <cell r="Q1330">
            <v>92.206453178068898</v>
          </cell>
          <cell r="U1330">
            <v>2.4561999999999999</v>
          </cell>
          <cell r="V1330">
            <v>144.286</v>
          </cell>
          <cell r="W1330" t="str">
            <v>#N/A N/A</v>
          </cell>
        </row>
        <row r="1331">
          <cell r="B1331">
            <v>78.468999999999994</v>
          </cell>
          <cell r="D1331">
            <v>1.4254</v>
          </cell>
          <cell r="E1331">
            <v>1255.8499999999999</v>
          </cell>
          <cell r="F1331">
            <v>13.359120000000001</v>
          </cell>
          <cell r="G1331">
            <v>190.83</v>
          </cell>
          <cell r="I1331">
            <v>3.4516999999999998</v>
          </cell>
          <cell r="J1331">
            <v>6.8341000000000003</v>
          </cell>
          <cell r="K1331">
            <v>2.4900000000000002</v>
          </cell>
          <cell r="L1331">
            <v>5.41</v>
          </cell>
          <cell r="M1331">
            <v>4.37</v>
          </cell>
          <cell r="O1331">
            <v>1.5157</v>
          </cell>
          <cell r="P1331">
            <v>0.83009999999999995</v>
          </cell>
          <cell r="Q1331">
            <v>91.296229369955441</v>
          </cell>
          <cell r="U1331">
            <v>2.4058000000000002</v>
          </cell>
          <cell r="V1331">
            <v>146.71700000000001</v>
          </cell>
          <cell r="W1331" t="str">
            <v>#N/A N/A</v>
          </cell>
        </row>
        <row r="1332">
          <cell r="B1332">
            <v>78.384</v>
          </cell>
          <cell r="D1332">
            <v>1.4236</v>
          </cell>
          <cell r="E1332">
            <v>1246.8800000000001</v>
          </cell>
          <cell r="F1332">
            <v>13.24428</v>
          </cell>
          <cell r="G1332">
            <v>190.17</v>
          </cell>
          <cell r="I1332">
            <v>3.4313000000000002</v>
          </cell>
          <cell r="J1332">
            <v>6.8318000000000003</v>
          </cell>
          <cell r="K1332">
            <v>2.5099999999999998</v>
          </cell>
          <cell r="L1332">
            <v>5.47</v>
          </cell>
          <cell r="M1332">
            <v>4.3899999999999997</v>
          </cell>
          <cell r="O1332">
            <v>1.5165999999999999</v>
          </cell>
          <cell r="P1332">
            <v>0.83109999999999995</v>
          </cell>
          <cell r="Q1332">
            <v>91.240524605943932</v>
          </cell>
          <cell r="U1332">
            <v>2.4089999999999998</v>
          </cell>
          <cell r="V1332">
            <v>146.21700000000001</v>
          </cell>
          <cell r="W1332" t="str">
            <v>#N/A N/A</v>
          </cell>
        </row>
        <row r="1333">
          <cell r="B1333">
            <v>78.043999999999997</v>
          </cell>
          <cell r="D1333">
            <v>1.4325999999999999</v>
          </cell>
          <cell r="E1333">
            <v>1249.8499999999999</v>
          </cell>
          <cell r="F1333">
            <v>13.15588</v>
          </cell>
          <cell r="G1333">
            <v>190.21</v>
          </cell>
          <cell r="I1333">
            <v>3.5648999999999997</v>
          </cell>
          <cell r="J1333">
            <v>6.8311999999999999</v>
          </cell>
          <cell r="K1333">
            <v>2.5099999999999998</v>
          </cell>
          <cell r="L1333">
            <v>5.42</v>
          </cell>
          <cell r="M1333">
            <v>4.34</v>
          </cell>
          <cell r="O1333">
            <v>1.5150999999999999</v>
          </cell>
          <cell r="P1333">
            <v>0.83520000000000005</v>
          </cell>
          <cell r="Q1333">
            <v>90.702825670498072</v>
          </cell>
          <cell r="U1333">
            <v>2.5638000000000001</v>
          </cell>
          <cell r="V1333">
            <v>143.71700000000001</v>
          </cell>
          <cell r="W1333" t="str">
            <v>#N/A N/A</v>
          </cell>
        </row>
        <row r="1334">
          <cell r="B1334">
            <v>78.043999999999997</v>
          </cell>
          <cell r="D1334">
            <v>1.4325999999999999</v>
          </cell>
          <cell r="E1334">
            <v>1249.8499999999999</v>
          </cell>
          <cell r="F1334">
            <v>13.15588</v>
          </cell>
          <cell r="G1334">
            <v>190.21</v>
          </cell>
          <cell r="I1334">
            <v>3.5648999999999997</v>
          </cell>
          <cell r="J1334">
            <v>6.8311999999999999</v>
          </cell>
          <cell r="K1334">
            <v>2.5099999999999998</v>
          </cell>
          <cell r="L1334">
            <v>5.42</v>
          </cell>
          <cell r="M1334">
            <v>4.34</v>
          </cell>
          <cell r="O1334">
            <v>1.5150999999999999</v>
          </cell>
          <cell r="P1334">
            <v>0.83520000000000005</v>
          </cell>
          <cell r="Q1334">
            <v>90.702825670498072</v>
          </cell>
          <cell r="U1334">
            <v>2.5638000000000001</v>
          </cell>
          <cell r="V1334">
            <v>143.71700000000001</v>
          </cell>
          <cell r="W1334" t="str">
            <v>#N/A N/A</v>
          </cell>
        </row>
        <row r="1335">
          <cell r="B1335">
            <v>78.043999999999997</v>
          </cell>
          <cell r="D1335">
            <v>1.4325999999999999</v>
          </cell>
          <cell r="E1335">
            <v>1249.8499999999999</v>
          </cell>
          <cell r="F1335">
            <v>13.15588</v>
          </cell>
          <cell r="G1335">
            <v>190.21</v>
          </cell>
          <cell r="I1335">
            <v>3.5648999999999997</v>
          </cell>
          <cell r="J1335">
            <v>6.8311999999999999</v>
          </cell>
          <cell r="K1335">
            <v>2.5099999999999998</v>
          </cell>
          <cell r="L1335">
            <v>5.42</v>
          </cell>
          <cell r="M1335">
            <v>4.34</v>
          </cell>
          <cell r="O1335">
            <v>1.5150999999999999</v>
          </cell>
          <cell r="P1335">
            <v>0.83520000000000005</v>
          </cell>
          <cell r="Q1335">
            <v>90.702825670498072</v>
          </cell>
          <cell r="U1335">
            <v>2.5638000000000001</v>
          </cell>
          <cell r="V1335">
            <v>143.71700000000001</v>
          </cell>
          <cell r="W1335" t="str">
            <v>#N/A N/A</v>
          </cell>
        </row>
        <row r="1336">
          <cell r="B1336">
            <v>78.271000000000001</v>
          </cell>
          <cell r="D1336">
            <v>1.4327000000000001</v>
          </cell>
          <cell r="E1336">
            <v>1240</v>
          </cell>
          <cell r="F1336">
            <v>13.13012</v>
          </cell>
          <cell r="G1336">
            <v>189.75</v>
          </cell>
          <cell r="I1336">
            <v>3.4754999999999998</v>
          </cell>
          <cell r="J1336">
            <v>6.8312999999999997</v>
          </cell>
          <cell r="K1336">
            <v>2.5099999999999998</v>
          </cell>
          <cell r="L1336">
            <v>5.52</v>
          </cell>
          <cell r="M1336">
            <v>4.4000000000000004</v>
          </cell>
          <cell r="O1336">
            <v>1.518</v>
          </cell>
          <cell r="P1336">
            <v>0.83989999999999998</v>
          </cell>
          <cell r="Q1336">
            <v>90.367900940588157</v>
          </cell>
          <cell r="U1336">
            <v>2.4826000000000001</v>
          </cell>
          <cell r="V1336">
            <v>132.417</v>
          </cell>
          <cell r="W1336" t="str">
            <v>#N/A N/A</v>
          </cell>
        </row>
        <row r="1337">
          <cell r="B1337">
            <v>78.242999999999995</v>
          </cell>
          <cell r="D1337">
            <v>1.4320999999999999</v>
          </cell>
          <cell r="E1337">
            <v>1248.1500000000001</v>
          </cell>
          <cell r="F1337">
            <v>13.25812</v>
          </cell>
          <cell r="G1337">
            <v>190.22</v>
          </cell>
          <cell r="I1337">
            <v>3.4348000000000001</v>
          </cell>
          <cell r="J1337">
            <v>6.8318000000000003</v>
          </cell>
          <cell r="K1337">
            <v>2.52</v>
          </cell>
          <cell r="L1337">
            <v>5.46</v>
          </cell>
          <cell r="M1337">
            <v>4.34</v>
          </cell>
          <cell r="O1337">
            <v>1.5173999999999999</v>
          </cell>
          <cell r="P1337">
            <v>0.83579999999999999</v>
          </cell>
          <cell r="Q1337">
            <v>90.775305096913129</v>
          </cell>
          <cell r="U1337">
            <v>2.4420999999999999</v>
          </cell>
          <cell r="V1337">
            <v>135.90299999999999</v>
          </cell>
          <cell r="W1337" t="str">
            <v>#N/A N/A</v>
          </cell>
        </row>
        <row r="1338">
          <cell r="B1338">
            <v>78.661000000000001</v>
          </cell>
          <cell r="D1338">
            <v>1.4238999999999999</v>
          </cell>
          <cell r="E1338">
            <v>1245.45</v>
          </cell>
          <cell r="F1338">
            <v>13.2492</v>
          </cell>
          <cell r="G1338">
            <v>180.51</v>
          </cell>
          <cell r="I1338">
            <v>3.4329000000000001</v>
          </cell>
          <cell r="J1338">
            <v>6.8311000000000002</v>
          </cell>
          <cell r="K1338">
            <v>2.56</v>
          </cell>
          <cell r="L1338">
            <v>5.44</v>
          </cell>
          <cell r="M1338">
            <v>4.3600000000000003</v>
          </cell>
          <cell r="O1338">
            <v>1.5226999999999999</v>
          </cell>
          <cell r="P1338">
            <v>0.82799999999999996</v>
          </cell>
          <cell r="Q1338">
            <v>91.950483091787433</v>
          </cell>
          <cell r="U1338">
            <v>2.4352</v>
          </cell>
          <cell r="V1338">
            <v>136.03800000000001</v>
          </cell>
          <cell r="W1338" t="str">
            <v>#N/A N/A</v>
          </cell>
        </row>
        <row r="1339">
          <cell r="B1339">
            <v>78.009</v>
          </cell>
          <cell r="D1339">
            <v>1.4267000000000001</v>
          </cell>
          <cell r="E1339">
            <v>1248.9000000000001</v>
          </cell>
          <cell r="F1339">
            <v>13.32475</v>
          </cell>
          <cell r="G1339">
            <v>180.29</v>
          </cell>
          <cell r="I1339">
            <v>3.4531000000000001</v>
          </cell>
          <cell r="J1339">
            <v>6.8319999999999999</v>
          </cell>
          <cell r="K1339">
            <v>2.57</v>
          </cell>
          <cell r="L1339">
            <v>5.4</v>
          </cell>
          <cell r="M1339">
            <v>4.3099999999999996</v>
          </cell>
          <cell r="O1339">
            <v>1.5226</v>
          </cell>
          <cell r="P1339">
            <v>0.83679999999999999</v>
          </cell>
          <cell r="Q1339">
            <v>90.977533460803059</v>
          </cell>
          <cell r="U1339">
            <v>2.4685000000000001</v>
          </cell>
          <cell r="V1339">
            <v>133.21299999999999</v>
          </cell>
          <cell r="W1339" t="str">
            <v>#N/A N/A</v>
          </cell>
        </row>
        <row r="1340">
          <cell r="B1340">
            <v>78.366</v>
          </cell>
          <cell r="D1340">
            <v>1.4302999999999999</v>
          </cell>
          <cell r="E1340">
            <v>1244.25</v>
          </cell>
          <cell r="F1340">
            <v>13.308859999999999</v>
          </cell>
          <cell r="G1340">
            <v>180.34</v>
          </cell>
          <cell r="I1340">
            <v>3.4455999999999998</v>
          </cell>
          <cell r="J1340">
            <v>6.8300999999999998</v>
          </cell>
          <cell r="K1340">
            <v>2.57</v>
          </cell>
          <cell r="L1340">
            <v>5.44</v>
          </cell>
          <cell r="M1340">
            <v>4.3499999999999996</v>
          </cell>
          <cell r="O1340">
            <v>1.5165</v>
          </cell>
          <cell r="P1340">
            <v>0.84060000000000001</v>
          </cell>
          <cell r="Q1340">
            <v>90.203426124196994</v>
          </cell>
          <cell r="U1340">
            <v>2.4451000000000001</v>
          </cell>
          <cell r="V1340">
            <v>133.14099999999999</v>
          </cell>
          <cell r="W1340" t="str">
            <v>#N/A N/A</v>
          </cell>
        </row>
        <row r="1341">
          <cell r="B1341">
            <v>78.366</v>
          </cell>
          <cell r="D1341">
            <v>1.4302999999999999</v>
          </cell>
          <cell r="E1341">
            <v>1244.25</v>
          </cell>
          <cell r="F1341">
            <v>13.308859999999999</v>
          </cell>
          <cell r="G1341">
            <v>180.14</v>
          </cell>
          <cell r="I1341">
            <v>3.4455999999999998</v>
          </cell>
          <cell r="J1341">
            <v>6.8300999999999998</v>
          </cell>
          <cell r="K1341">
            <v>2.57</v>
          </cell>
          <cell r="L1341">
            <v>5.44</v>
          </cell>
          <cell r="M1341">
            <v>4.3499999999999996</v>
          </cell>
          <cell r="O1341">
            <v>1.5165</v>
          </cell>
          <cell r="P1341">
            <v>0.84060000000000001</v>
          </cell>
          <cell r="Q1341">
            <v>90.203426124196994</v>
          </cell>
          <cell r="U1341">
            <v>2.4451000000000001</v>
          </cell>
          <cell r="V1341">
            <v>133.14099999999999</v>
          </cell>
          <cell r="W1341" t="str">
            <v>#N/A N/A</v>
          </cell>
        </row>
        <row r="1342">
          <cell r="B1342">
            <v>78.366</v>
          </cell>
          <cell r="D1342">
            <v>1.4302999999999999</v>
          </cell>
          <cell r="E1342">
            <v>1244.25</v>
          </cell>
          <cell r="F1342">
            <v>13.308859999999999</v>
          </cell>
          <cell r="G1342">
            <v>180.14</v>
          </cell>
          <cell r="I1342">
            <v>3.4455999999999998</v>
          </cell>
          <cell r="J1342">
            <v>6.8300999999999998</v>
          </cell>
          <cell r="K1342">
            <v>2.57</v>
          </cell>
          <cell r="L1342">
            <v>5.44</v>
          </cell>
          <cell r="M1342">
            <v>4.3499999999999996</v>
          </cell>
          <cell r="O1342">
            <v>1.5165</v>
          </cell>
          <cell r="P1342">
            <v>0.84060000000000001</v>
          </cell>
          <cell r="Q1342">
            <v>90.203426124196994</v>
          </cell>
          <cell r="U1342">
            <v>2.4451000000000001</v>
          </cell>
          <cell r="V1342">
            <v>133.14099999999999</v>
          </cell>
          <cell r="W1342" t="str">
            <v>#N/A N/A</v>
          </cell>
        </row>
        <row r="1343">
          <cell r="B1343">
            <v>78.171999999999997</v>
          </cell>
          <cell r="D1343">
            <v>1.4341999999999999</v>
          </cell>
          <cell r="E1343">
            <v>1248.95</v>
          </cell>
          <cell r="F1343">
            <v>13.44797</v>
          </cell>
          <cell r="G1343">
            <v>179.95</v>
          </cell>
          <cell r="I1343">
            <v>3.3975</v>
          </cell>
          <cell r="J1343">
            <v>6.8306000000000004</v>
          </cell>
          <cell r="K1343">
            <v>2.57</v>
          </cell>
          <cell r="L1343">
            <v>5.46</v>
          </cell>
          <cell r="M1343">
            <v>4.38</v>
          </cell>
          <cell r="O1343">
            <v>1.5171999999999999</v>
          </cell>
          <cell r="P1343">
            <v>0.8427</v>
          </cell>
          <cell r="Q1343">
            <v>90.020173252640319</v>
          </cell>
          <cell r="U1343">
            <v>2.3849999999999998</v>
          </cell>
          <cell r="V1343">
            <v>136.80600000000001</v>
          </cell>
          <cell r="W1343" t="str">
            <v>#N/A N/A</v>
          </cell>
        </row>
        <row r="1344">
          <cell r="B1344">
            <v>78.760000000000005</v>
          </cell>
          <cell r="D1344">
            <v>1.4232</v>
          </cell>
          <cell r="E1344">
            <v>1240.8</v>
          </cell>
          <cell r="F1344">
            <v>13.397180000000001</v>
          </cell>
          <cell r="G1344">
            <v>180.15</v>
          </cell>
          <cell r="I1344">
            <v>3.3624999999999998</v>
          </cell>
          <cell r="J1344">
            <v>6.8304</v>
          </cell>
          <cell r="K1344">
            <v>2.57</v>
          </cell>
          <cell r="L1344">
            <v>5.45</v>
          </cell>
          <cell r="M1344">
            <v>4.37</v>
          </cell>
          <cell r="O1344">
            <v>1.5163</v>
          </cell>
          <cell r="P1344">
            <v>0.82840000000000003</v>
          </cell>
          <cell r="Q1344">
            <v>91.519797199420566</v>
          </cell>
          <cell r="U1344">
            <v>2.3149999999999999</v>
          </cell>
          <cell r="V1344">
            <v>140.72499999999999</v>
          </cell>
          <cell r="W1344" t="str">
            <v>#N/A N/A</v>
          </cell>
        </row>
        <row r="1345">
          <cell r="B1345">
            <v>78.376000000000005</v>
          </cell>
          <cell r="D1345">
            <v>1.4289000000000001</v>
          </cell>
          <cell r="E1345">
            <v>1249.8</v>
          </cell>
          <cell r="F1345">
            <v>13.53167</v>
          </cell>
          <cell r="G1345">
            <v>170.14</v>
          </cell>
          <cell r="I1345">
            <v>3.3056000000000001</v>
          </cell>
          <cell r="J1345">
            <v>6.8309999999999995</v>
          </cell>
          <cell r="K1345">
            <v>2.57</v>
          </cell>
          <cell r="L1345">
            <v>5.38</v>
          </cell>
          <cell r="M1345">
            <v>4.3099999999999996</v>
          </cell>
          <cell r="O1345">
            <v>1.5127999999999999</v>
          </cell>
          <cell r="P1345">
            <v>0.83660000000000001</v>
          </cell>
          <cell r="Q1345">
            <v>90.413578771216834</v>
          </cell>
          <cell r="U1345">
            <v>2.2650999999999999</v>
          </cell>
          <cell r="V1345">
            <v>145.69</v>
          </cell>
          <cell r="W1345" t="str">
            <v>#N/A N/A</v>
          </cell>
        </row>
        <row r="1346">
          <cell r="B1346">
            <v>78.465000000000003</v>
          </cell>
          <cell r="D1346">
            <v>1.4259999999999999</v>
          </cell>
          <cell r="E1346">
            <v>1245.95</v>
          </cell>
          <cell r="F1346">
            <v>13.45905</v>
          </cell>
          <cell r="G1346">
            <v>170</v>
          </cell>
          <cell r="I1346">
            <v>3.3439999999999999</v>
          </cell>
          <cell r="J1346">
            <v>6.8304999999999998</v>
          </cell>
          <cell r="K1346">
            <v>2.57</v>
          </cell>
          <cell r="L1346">
            <v>5.34</v>
          </cell>
          <cell r="M1346">
            <v>4.28</v>
          </cell>
          <cell r="O1346">
            <v>1.5133999999999999</v>
          </cell>
          <cell r="P1346">
            <v>0.8387</v>
          </cell>
          <cell r="Q1346">
            <v>90.222964111124355</v>
          </cell>
          <cell r="U1346">
            <v>2.2983000000000002</v>
          </cell>
          <cell r="V1346">
            <v>141.51</v>
          </cell>
          <cell r="W1346" t="str">
            <v>#N/A N/A</v>
          </cell>
        </row>
        <row r="1347">
          <cell r="B1347">
            <v>78.135999999999996</v>
          </cell>
          <cell r="D1347">
            <v>1.4297</v>
          </cell>
          <cell r="E1347">
            <v>1241.2</v>
          </cell>
          <cell r="F1347">
            <v>13.331720000000001</v>
          </cell>
          <cell r="G1347">
            <v>170.12</v>
          </cell>
          <cell r="I1347">
            <v>3.4378000000000002</v>
          </cell>
          <cell r="J1347">
            <v>6.83</v>
          </cell>
          <cell r="K1347">
            <v>2.57</v>
          </cell>
          <cell r="L1347">
            <v>5.35</v>
          </cell>
          <cell r="M1347">
            <v>4.3</v>
          </cell>
          <cell r="O1347">
            <v>1.5163</v>
          </cell>
          <cell r="P1347">
            <v>0.85170000000000001</v>
          </cell>
          <cell r="Q1347">
            <v>89.01608547610661</v>
          </cell>
          <cell r="U1347">
            <v>2.3515000000000001</v>
          </cell>
          <cell r="V1347">
            <v>140.059</v>
          </cell>
          <cell r="W1347" t="str">
            <v>#N/A N/A</v>
          </cell>
        </row>
        <row r="1348">
          <cell r="B1348">
            <v>78.135999999999996</v>
          </cell>
          <cell r="D1348">
            <v>1.4297</v>
          </cell>
          <cell r="E1348">
            <v>1241.2</v>
          </cell>
          <cell r="F1348">
            <v>13.331720000000001</v>
          </cell>
          <cell r="G1348">
            <v>170.12</v>
          </cell>
          <cell r="I1348">
            <v>3.4378000000000002</v>
          </cell>
          <cell r="J1348">
            <v>6.83</v>
          </cell>
          <cell r="K1348">
            <v>2.57</v>
          </cell>
          <cell r="L1348">
            <v>5.35</v>
          </cell>
          <cell r="M1348">
            <v>4.3</v>
          </cell>
          <cell r="O1348">
            <v>1.5163</v>
          </cell>
          <cell r="P1348">
            <v>0.85170000000000001</v>
          </cell>
          <cell r="Q1348">
            <v>89.01608547610661</v>
          </cell>
          <cell r="U1348">
            <v>2.3515000000000001</v>
          </cell>
          <cell r="V1348">
            <v>140.059</v>
          </cell>
          <cell r="W1348" t="str">
            <v>#N/A N/A</v>
          </cell>
        </row>
        <row r="1349">
          <cell r="B1349">
            <v>78.135999999999996</v>
          </cell>
          <cell r="D1349">
            <v>1.4297</v>
          </cell>
          <cell r="E1349">
            <v>1241.2</v>
          </cell>
          <cell r="F1349">
            <v>13.331720000000001</v>
          </cell>
          <cell r="G1349">
            <v>170.12</v>
          </cell>
          <cell r="I1349">
            <v>3.4378000000000002</v>
          </cell>
          <cell r="J1349">
            <v>6.83</v>
          </cell>
          <cell r="K1349">
            <v>2.57</v>
          </cell>
          <cell r="L1349">
            <v>5.35</v>
          </cell>
          <cell r="M1349">
            <v>4.3</v>
          </cell>
          <cell r="O1349">
            <v>1.5163</v>
          </cell>
          <cell r="P1349">
            <v>0.85170000000000001</v>
          </cell>
          <cell r="Q1349">
            <v>89.01608547610661</v>
          </cell>
          <cell r="U1349">
            <v>2.3515000000000001</v>
          </cell>
          <cell r="V1349">
            <v>140.059</v>
          </cell>
          <cell r="W1349" t="str">
            <v>#N/A N/A</v>
          </cell>
        </row>
        <row r="1350">
          <cell r="B1350">
            <v>78.012</v>
          </cell>
          <cell r="D1350">
            <v>1.4336</v>
          </cell>
          <cell r="E1350">
            <v>1233.47</v>
          </cell>
          <cell r="F1350">
            <v>13.25746</v>
          </cell>
          <cell r="G1350">
            <v>169.75</v>
          </cell>
          <cell r="I1350">
            <v>3.4415</v>
          </cell>
          <cell r="J1350">
            <v>6.8289999999999997</v>
          </cell>
          <cell r="K1350">
            <v>2.57</v>
          </cell>
          <cell r="L1350">
            <v>5.37</v>
          </cell>
          <cell r="M1350">
            <v>4.33</v>
          </cell>
          <cell r="O1350">
            <v>1.5198</v>
          </cell>
          <cell r="P1350">
            <v>0.85589999999999999</v>
          </cell>
          <cell r="Q1350">
            <v>88.783736417805827</v>
          </cell>
          <cell r="U1350">
            <v>2.3548999999999998</v>
          </cell>
          <cell r="V1350">
            <v>138.857</v>
          </cell>
          <cell r="W1350" t="str">
            <v>#N/A N/A</v>
          </cell>
        </row>
        <row r="1351">
          <cell r="B1351">
            <v>77.322999999999993</v>
          </cell>
          <cell r="D1351">
            <v>1.4519</v>
          </cell>
          <cell r="E1351">
            <v>1233.2</v>
          </cell>
          <cell r="F1351">
            <v>13.2613</v>
          </cell>
          <cell r="G1351">
            <v>170.17</v>
          </cell>
          <cell r="I1351">
            <v>3.4823</v>
          </cell>
          <cell r="J1351">
            <v>6.8274999999999997</v>
          </cell>
          <cell r="K1351">
            <v>2.57</v>
          </cell>
          <cell r="L1351">
            <v>5.35</v>
          </cell>
          <cell r="M1351">
            <v>4.3099999999999996</v>
          </cell>
          <cell r="O1351">
            <v>1.5167000000000002</v>
          </cell>
          <cell r="P1351">
            <v>0.8639</v>
          </cell>
          <cell r="Q1351">
            <v>87.782150711887965</v>
          </cell>
          <cell r="U1351">
            <v>2.3917000000000002</v>
          </cell>
          <cell r="V1351">
            <v>134.364</v>
          </cell>
          <cell r="W1351" t="str">
            <v>#N/A N/A</v>
          </cell>
        </row>
        <row r="1352">
          <cell r="B1352">
            <v>77.09</v>
          </cell>
          <cell r="D1352">
            <v>1.4573</v>
          </cell>
          <cell r="E1352">
            <v>1226.82</v>
          </cell>
          <cell r="F1352">
            <v>13.34516</v>
          </cell>
          <cell r="G1352">
            <v>170.39</v>
          </cell>
          <cell r="I1352">
            <v>3.4710999999999999</v>
          </cell>
          <cell r="J1352">
            <v>6.8288000000000002</v>
          </cell>
          <cell r="K1352">
            <v>2.57</v>
          </cell>
          <cell r="L1352">
            <v>5.34</v>
          </cell>
          <cell r="M1352">
            <v>4.29</v>
          </cell>
          <cell r="O1352">
            <v>1.5164</v>
          </cell>
          <cell r="P1352">
            <v>0.8639</v>
          </cell>
          <cell r="Q1352">
            <v>87.764787591156377</v>
          </cell>
          <cell r="U1352">
            <v>2.3649</v>
          </cell>
          <cell r="V1352">
            <v>135.715</v>
          </cell>
          <cell r="W1352" t="str">
            <v>#N/A N/A</v>
          </cell>
        </row>
        <row r="1353">
          <cell r="B1353">
            <v>76.816999999999993</v>
          </cell>
          <cell r="D1353">
            <v>1.4592000000000001</v>
          </cell>
          <cell r="E1353">
            <v>1224.47</v>
          </cell>
          <cell r="F1353">
            <v>13.34394</v>
          </cell>
          <cell r="G1353">
            <v>170.88</v>
          </cell>
          <cell r="I1353">
            <v>3.3472</v>
          </cell>
          <cell r="J1353">
            <v>6.8293999999999997</v>
          </cell>
          <cell r="K1353">
            <v>2.58</v>
          </cell>
          <cell r="L1353">
            <v>5.45</v>
          </cell>
          <cell r="M1353">
            <v>4.5</v>
          </cell>
          <cell r="O1353">
            <v>1.5143</v>
          </cell>
          <cell r="P1353">
            <v>0.86280000000000001</v>
          </cell>
          <cell r="Q1353">
            <v>87.754983773759847</v>
          </cell>
          <cell r="U1353">
            <v>2.2812999999999999</v>
          </cell>
          <cell r="V1353">
            <v>124.08</v>
          </cell>
          <cell r="W1353" t="str">
            <v>#N/A N/A</v>
          </cell>
        </row>
        <row r="1354">
          <cell r="B1354">
            <v>76.608000000000004</v>
          </cell>
          <cell r="D1354">
            <v>1.4571000000000001</v>
          </cell>
          <cell r="E1354">
            <v>1221.75</v>
          </cell>
          <cell r="F1354">
            <v>13.50361</v>
          </cell>
          <cell r="G1354">
            <v>169.9</v>
          </cell>
          <cell r="I1354">
            <v>3.347</v>
          </cell>
          <cell r="J1354">
            <v>6.8289999999999997</v>
          </cell>
          <cell r="K1354">
            <v>2.59</v>
          </cell>
          <cell r="L1354">
            <v>5.43</v>
          </cell>
          <cell r="M1354">
            <v>4.49</v>
          </cell>
          <cell r="O1354">
            <v>1.5129999999999999</v>
          </cell>
          <cell r="P1354">
            <v>0.86319999999999997</v>
          </cell>
          <cell r="Q1354">
            <v>87.639017608897134</v>
          </cell>
          <cell r="U1354">
            <v>2.3012000000000001</v>
          </cell>
          <cell r="V1354">
            <v>122.458</v>
          </cell>
          <cell r="W1354" t="str">
            <v>#N/A N/A</v>
          </cell>
        </row>
        <row r="1355">
          <cell r="B1355">
            <v>76.608000000000004</v>
          </cell>
          <cell r="D1355">
            <v>1.4571000000000001</v>
          </cell>
          <cell r="E1355">
            <v>1221.75</v>
          </cell>
          <cell r="F1355">
            <v>13.50361</v>
          </cell>
          <cell r="G1355">
            <v>170</v>
          </cell>
          <cell r="I1355">
            <v>3.347</v>
          </cell>
          <cell r="J1355">
            <v>6.8289999999999997</v>
          </cell>
          <cell r="K1355">
            <v>2.59</v>
          </cell>
          <cell r="L1355">
            <v>5.43</v>
          </cell>
          <cell r="M1355">
            <v>4.49</v>
          </cell>
          <cell r="O1355">
            <v>1.5129999999999999</v>
          </cell>
          <cell r="P1355">
            <v>0.86319999999999997</v>
          </cell>
          <cell r="Q1355">
            <v>87.639017608897134</v>
          </cell>
          <cell r="U1355">
            <v>2.3012000000000001</v>
          </cell>
          <cell r="V1355">
            <v>122.458</v>
          </cell>
          <cell r="W1355" t="str">
            <v>#N/A N/A</v>
          </cell>
        </row>
        <row r="1356">
          <cell r="B1356">
            <v>76.608000000000004</v>
          </cell>
          <cell r="D1356">
            <v>1.4571000000000001</v>
          </cell>
          <cell r="E1356">
            <v>1221.75</v>
          </cell>
          <cell r="F1356">
            <v>13.50361</v>
          </cell>
          <cell r="G1356">
            <v>170</v>
          </cell>
          <cell r="I1356">
            <v>3.347</v>
          </cell>
          <cell r="J1356">
            <v>6.8289999999999997</v>
          </cell>
          <cell r="K1356">
            <v>2.59</v>
          </cell>
          <cell r="L1356">
            <v>5.43</v>
          </cell>
          <cell r="M1356">
            <v>4.49</v>
          </cell>
          <cell r="O1356">
            <v>1.5129999999999999</v>
          </cell>
          <cell r="P1356">
            <v>0.86319999999999997</v>
          </cell>
          <cell r="Q1356">
            <v>87.639017608897134</v>
          </cell>
          <cell r="U1356">
            <v>2.3012000000000001</v>
          </cell>
          <cell r="V1356">
            <v>122.458</v>
          </cell>
          <cell r="W1356" t="str">
            <v>#N/A N/A</v>
          </cell>
        </row>
        <row r="1357">
          <cell r="B1357">
            <v>76.694999999999993</v>
          </cell>
          <cell r="D1357">
            <v>1.4622999999999999</v>
          </cell>
          <cell r="E1357">
            <v>1225.05</v>
          </cell>
          <cell r="F1357">
            <v>13.456049999999999</v>
          </cell>
          <cell r="G1357">
            <v>170.12</v>
          </cell>
          <cell r="I1357">
            <v>3.4207999999999998</v>
          </cell>
          <cell r="J1357">
            <v>6.8289</v>
          </cell>
          <cell r="K1357">
            <v>2.61</v>
          </cell>
          <cell r="L1357">
            <v>5.44</v>
          </cell>
          <cell r="M1357">
            <v>4.49</v>
          </cell>
          <cell r="O1357">
            <v>1.5131999999999999</v>
          </cell>
          <cell r="P1357">
            <v>0.85980000000000001</v>
          </cell>
          <cell r="Q1357">
            <v>87.99720865317515</v>
          </cell>
          <cell r="U1357">
            <v>2.3681999999999999</v>
          </cell>
          <cell r="V1357">
            <v>125.16200000000001</v>
          </cell>
          <cell r="W1357" t="str">
            <v>#N/A N/A</v>
          </cell>
        </row>
        <row r="1358">
          <cell r="B1358">
            <v>76.543999999999997</v>
          </cell>
          <cell r="D1358">
            <v>1.4636</v>
          </cell>
          <cell r="E1358">
            <v>1218.45</v>
          </cell>
          <cell r="F1358">
            <v>13.343679999999999</v>
          </cell>
          <cell r="G1358">
            <v>170.39</v>
          </cell>
          <cell r="I1358">
            <v>3.4540999999999999</v>
          </cell>
          <cell r="J1358">
            <v>6.8289</v>
          </cell>
          <cell r="K1358">
            <v>2.62</v>
          </cell>
          <cell r="L1358">
            <v>5.4</v>
          </cell>
          <cell r="M1358">
            <v>4.47</v>
          </cell>
          <cell r="O1358">
            <v>1.5164</v>
          </cell>
          <cell r="P1358">
            <v>0.86140000000000005</v>
          </cell>
          <cell r="Q1358">
            <v>88.019503134432313</v>
          </cell>
          <cell r="U1358">
            <v>2.3951000000000002</v>
          </cell>
          <cell r="V1358">
            <v>122.224</v>
          </cell>
          <cell r="W1358" t="str">
            <v>#N/A N/A</v>
          </cell>
        </row>
        <row r="1359">
          <cell r="B1359">
            <v>76.236000000000004</v>
          </cell>
          <cell r="D1359">
            <v>1.4701</v>
          </cell>
          <cell r="E1359">
            <v>1211.22</v>
          </cell>
          <cell r="F1359">
            <v>13.29588</v>
          </cell>
          <cell r="G1359">
            <v>160.69999999999999</v>
          </cell>
          <cell r="I1359">
            <v>3.4689999999999999</v>
          </cell>
          <cell r="J1359">
            <v>6.8258000000000001</v>
          </cell>
          <cell r="K1359">
            <v>2.63</v>
          </cell>
          <cell r="L1359">
            <v>5.38</v>
          </cell>
          <cell r="M1359">
            <v>4.4000000000000004</v>
          </cell>
          <cell r="O1359">
            <v>1.5171000000000001</v>
          </cell>
          <cell r="P1359">
            <v>0.87280000000000002</v>
          </cell>
          <cell r="Q1359">
            <v>86.909945004582951</v>
          </cell>
          <cell r="U1359">
            <v>2.4388999999999998</v>
          </cell>
          <cell r="V1359">
            <v>117.452</v>
          </cell>
          <cell r="W1359" t="str">
            <v>#N/A N/A</v>
          </cell>
        </row>
        <row r="1360">
          <cell r="B1360">
            <v>76.188000000000002</v>
          </cell>
          <cell r="D1360">
            <v>1.4715</v>
          </cell>
          <cell r="E1360">
            <v>1204.5999999999999</v>
          </cell>
          <cell r="F1360">
            <v>13.23945</v>
          </cell>
          <cell r="G1360">
            <v>149.94</v>
          </cell>
          <cell r="I1360">
            <v>3.3835999999999999</v>
          </cell>
          <cell r="J1360">
            <v>6.8265000000000002</v>
          </cell>
          <cell r="K1360">
            <v>2.64</v>
          </cell>
          <cell r="L1360">
            <v>5.35</v>
          </cell>
          <cell r="M1360">
            <v>4.4000000000000004</v>
          </cell>
          <cell r="O1360">
            <v>1.5158</v>
          </cell>
          <cell r="P1360">
            <v>0.87029999999999996</v>
          </cell>
          <cell r="Q1360">
            <v>87.084913248305185</v>
          </cell>
          <cell r="U1360">
            <v>2.3614000000000002</v>
          </cell>
          <cell r="V1360">
            <v>106.468</v>
          </cell>
          <cell r="W1360" t="str">
            <v>#N/A N/A</v>
          </cell>
        </row>
        <row r="1361">
          <cell r="B1361">
            <v>76.424999999999997</v>
          </cell>
          <cell r="D1361">
            <v>1.4712000000000001</v>
          </cell>
          <cell r="E1361">
            <v>1207.8</v>
          </cell>
          <cell r="F1361">
            <v>13.22668</v>
          </cell>
          <cell r="G1361">
            <v>149.97999999999999</v>
          </cell>
          <cell r="I1361">
            <v>3.4632000000000001</v>
          </cell>
          <cell r="J1361">
            <v>6.8278999999999996</v>
          </cell>
          <cell r="K1361">
            <v>2.65</v>
          </cell>
          <cell r="L1361">
            <v>5.32</v>
          </cell>
          <cell r="M1361">
            <v>4.37</v>
          </cell>
          <cell r="O1361">
            <v>1.5148000000000001</v>
          </cell>
          <cell r="P1361">
            <v>0.86919999999999997</v>
          </cell>
          <cell r="Q1361">
            <v>87.137597791072267</v>
          </cell>
          <cell r="U1361">
            <v>2.4525000000000001</v>
          </cell>
          <cell r="V1361">
            <v>109.39</v>
          </cell>
          <cell r="W1361" t="str">
            <v>#N/A N/A</v>
          </cell>
        </row>
        <row r="1362">
          <cell r="B1362">
            <v>76.424999999999997</v>
          </cell>
          <cell r="D1362">
            <v>1.4712000000000001</v>
          </cell>
          <cell r="E1362">
            <v>1207.8</v>
          </cell>
          <cell r="F1362">
            <v>13.22668</v>
          </cell>
          <cell r="G1362">
            <v>149.97999999999999</v>
          </cell>
          <cell r="I1362">
            <v>3.4632000000000001</v>
          </cell>
          <cell r="J1362">
            <v>6.8278999999999996</v>
          </cell>
          <cell r="K1362">
            <v>2.65</v>
          </cell>
          <cell r="L1362">
            <v>5.32</v>
          </cell>
          <cell r="M1362">
            <v>4.37</v>
          </cell>
          <cell r="O1362">
            <v>1.5148000000000001</v>
          </cell>
          <cell r="P1362">
            <v>0.86919999999999997</v>
          </cell>
          <cell r="Q1362">
            <v>87.137597791072267</v>
          </cell>
          <cell r="U1362">
            <v>2.4525000000000001</v>
          </cell>
          <cell r="V1362">
            <v>109.39</v>
          </cell>
          <cell r="W1362" t="str">
            <v>#N/A N/A</v>
          </cell>
        </row>
        <row r="1363">
          <cell r="B1363">
            <v>76.424999999999997</v>
          </cell>
          <cell r="D1363">
            <v>1.4712000000000001</v>
          </cell>
          <cell r="E1363">
            <v>1207.8</v>
          </cell>
          <cell r="F1363">
            <v>13.22668</v>
          </cell>
          <cell r="G1363">
            <v>149.97999999999999</v>
          </cell>
          <cell r="I1363">
            <v>3.4632000000000001</v>
          </cell>
          <cell r="J1363">
            <v>6.8278999999999996</v>
          </cell>
          <cell r="K1363">
            <v>2.65</v>
          </cell>
          <cell r="L1363">
            <v>5.32</v>
          </cell>
          <cell r="M1363">
            <v>4.37</v>
          </cell>
          <cell r="O1363">
            <v>1.5148000000000001</v>
          </cell>
          <cell r="P1363">
            <v>0.86919999999999997</v>
          </cell>
          <cell r="Q1363">
            <v>87.137597791072267</v>
          </cell>
          <cell r="U1363">
            <v>2.4525000000000001</v>
          </cell>
          <cell r="V1363">
            <v>109.39</v>
          </cell>
          <cell r="W1363" t="str">
            <v>#N/A N/A</v>
          </cell>
        </row>
        <row r="1364">
          <cell r="B1364">
            <v>76.775999999999996</v>
          </cell>
          <cell r="D1364">
            <v>1.4677</v>
          </cell>
          <cell r="E1364">
            <v>1204.4000000000001</v>
          </cell>
          <cell r="F1364">
            <v>13.12279</v>
          </cell>
          <cell r="G1364">
            <v>150.51</v>
          </cell>
          <cell r="I1364">
            <v>3.4798999999999998</v>
          </cell>
          <cell r="J1364">
            <v>6.8289</v>
          </cell>
          <cell r="K1364">
            <v>2.68</v>
          </cell>
          <cell r="L1364">
            <v>5.37</v>
          </cell>
          <cell r="M1364">
            <v>4.43</v>
          </cell>
          <cell r="O1364">
            <v>1.5156000000000001</v>
          </cell>
          <cell r="P1364">
            <v>0.86270000000000002</v>
          </cell>
          <cell r="Q1364">
            <v>87.840500753448481</v>
          </cell>
          <cell r="U1364">
            <v>2.4525000000000001</v>
          </cell>
          <cell r="V1364">
            <v>109.22199999999999</v>
          </cell>
          <cell r="W1364" t="str">
            <v>#N/A N/A</v>
          </cell>
        </row>
        <row r="1365">
          <cell r="B1365">
            <v>76.117999999999995</v>
          </cell>
          <cell r="D1365">
            <v>1.4781</v>
          </cell>
          <cell r="E1365">
            <v>1203.75</v>
          </cell>
          <cell r="F1365">
            <v>13.2035</v>
          </cell>
          <cell r="G1365">
            <v>150.35</v>
          </cell>
          <cell r="I1365">
            <v>3.4445000000000001</v>
          </cell>
          <cell r="J1365">
            <v>6.8269000000000002</v>
          </cell>
          <cell r="K1365">
            <v>2.7</v>
          </cell>
          <cell r="L1365">
            <v>5.4</v>
          </cell>
          <cell r="M1365">
            <v>4.49</v>
          </cell>
          <cell r="O1365">
            <v>1.5143</v>
          </cell>
          <cell r="P1365">
            <v>0.87339999999999995</v>
          </cell>
          <cell r="Q1365">
            <v>86.689947332264722</v>
          </cell>
          <cell r="U1365">
            <v>2.4153000000000002</v>
          </cell>
          <cell r="V1365">
            <v>110.65</v>
          </cell>
          <cell r="W1365" t="str">
            <v>#N/A N/A</v>
          </cell>
        </row>
        <row r="1366">
          <cell r="B1366">
            <v>76.046999999999997</v>
          </cell>
          <cell r="D1366">
            <v>1.4775</v>
          </cell>
          <cell r="E1366">
            <v>1194.45</v>
          </cell>
          <cell r="F1366">
            <v>13.08404</v>
          </cell>
          <cell r="G1366">
            <v>149.76</v>
          </cell>
          <cell r="I1366">
            <v>3.4184000000000001</v>
          </cell>
          <cell r="J1366">
            <v>6.8261000000000003</v>
          </cell>
          <cell r="K1366">
            <v>2.71</v>
          </cell>
          <cell r="L1366">
            <v>5.37</v>
          </cell>
          <cell r="M1366">
            <v>4.47</v>
          </cell>
          <cell r="O1366">
            <v>1.5137</v>
          </cell>
          <cell r="P1366">
            <v>0.87470000000000003</v>
          </cell>
          <cell r="Q1366">
            <v>86.526809191722876</v>
          </cell>
          <cell r="U1366">
            <v>2.3715000000000002</v>
          </cell>
          <cell r="V1366">
            <v>105.04600000000001</v>
          </cell>
          <cell r="W1366" t="str">
            <v>#N/A N/A</v>
          </cell>
        </row>
        <row r="1367">
          <cell r="B1367">
            <v>76.900000000000006</v>
          </cell>
          <cell r="D1367">
            <v>1.4682999999999999</v>
          </cell>
          <cell r="E1367">
            <v>1195.55</v>
          </cell>
          <cell r="F1367">
            <v>13.087569999999999</v>
          </cell>
          <cell r="G1367">
            <v>149.77000000000001</v>
          </cell>
          <cell r="I1367">
            <v>3.3813</v>
          </cell>
          <cell r="J1367">
            <v>6.8272000000000004</v>
          </cell>
          <cell r="K1367">
            <v>2.72</v>
          </cell>
          <cell r="L1367">
            <v>5.36</v>
          </cell>
          <cell r="M1367">
            <v>4.4400000000000004</v>
          </cell>
          <cell r="O1367">
            <v>1.5085999999999999</v>
          </cell>
          <cell r="P1367">
            <v>0.86660000000000004</v>
          </cell>
          <cell r="Q1367">
            <v>87.041310870066923</v>
          </cell>
          <cell r="U1367">
            <v>2.3650000000000002</v>
          </cell>
          <cell r="V1367">
            <v>104.96</v>
          </cell>
          <cell r="W1367" t="str">
            <v>#N/A N/A</v>
          </cell>
        </row>
        <row r="1368">
          <cell r="B1368">
            <v>76.811999999999998</v>
          </cell>
          <cell r="D1368">
            <v>1.4689000000000001</v>
          </cell>
          <cell r="E1368">
            <v>1186</v>
          </cell>
          <cell r="F1368">
            <v>13.25924</v>
          </cell>
          <cell r="G1368">
            <v>149.46</v>
          </cell>
          <cell r="I1368">
            <v>3.3184</v>
          </cell>
          <cell r="J1368">
            <v>6.8281999999999998</v>
          </cell>
          <cell r="K1368">
            <v>2.72</v>
          </cell>
          <cell r="L1368">
            <v>5.35</v>
          </cell>
          <cell r="M1368">
            <v>4.43</v>
          </cell>
          <cell r="O1368">
            <v>1.5089000000000001</v>
          </cell>
          <cell r="P1368">
            <v>0.86509999999999998</v>
          </cell>
          <cell r="Q1368">
            <v>87.209571147844187</v>
          </cell>
          <cell r="U1368">
            <v>2.3650000000000002</v>
          </cell>
          <cell r="V1368">
            <v>106.658</v>
          </cell>
          <cell r="W1368" t="str">
            <v>#N/A N/A</v>
          </cell>
        </row>
        <row r="1369">
          <cell r="B1369">
            <v>76.811999999999998</v>
          </cell>
          <cell r="D1369">
            <v>1.4689000000000001</v>
          </cell>
          <cell r="E1369">
            <v>1186</v>
          </cell>
          <cell r="F1369">
            <v>13.25924</v>
          </cell>
          <cell r="G1369">
            <v>149.46</v>
          </cell>
          <cell r="I1369">
            <v>3.3184</v>
          </cell>
          <cell r="J1369">
            <v>6.8281999999999998</v>
          </cell>
          <cell r="K1369">
            <v>2.72</v>
          </cell>
          <cell r="L1369">
            <v>5.35</v>
          </cell>
          <cell r="M1369">
            <v>4.43</v>
          </cell>
          <cell r="O1369">
            <v>1.5089000000000001</v>
          </cell>
          <cell r="P1369">
            <v>0.86509999999999998</v>
          </cell>
          <cell r="Q1369">
            <v>87.209571147844187</v>
          </cell>
          <cell r="U1369">
            <v>2.3650000000000002</v>
          </cell>
          <cell r="V1369">
            <v>106.658</v>
          </cell>
          <cell r="W1369" t="str">
            <v>#N/A N/A</v>
          </cell>
        </row>
        <row r="1370">
          <cell r="B1370">
            <v>76.811999999999998</v>
          </cell>
          <cell r="D1370">
            <v>1.4689000000000001</v>
          </cell>
          <cell r="E1370">
            <v>1186</v>
          </cell>
          <cell r="F1370">
            <v>13.25924</v>
          </cell>
          <cell r="G1370">
            <v>149.46</v>
          </cell>
          <cell r="I1370">
            <v>3.3184</v>
          </cell>
          <cell r="J1370">
            <v>6.8281999999999998</v>
          </cell>
          <cell r="K1370">
            <v>2.72</v>
          </cell>
          <cell r="L1370">
            <v>5.35</v>
          </cell>
          <cell r="M1370">
            <v>4.43</v>
          </cell>
          <cell r="O1370">
            <v>1.5089000000000001</v>
          </cell>
          <cell r="P1370">
            <v>0.86509999999999998</v>
          </cell>
          <cell r="Q1370">
            <v>87.209571147844187</v>
          </cell>
          <cell r="U1370">
            <v>2.3650000000000002</v>
          </cell>
          <cell r="V1370">
            <v>106.658</v>
          </cell>
          <cell r="W1370" t="str">
            <v>#N/A N/A</v>
          </cell>
        </row>
        <row r="1371">
          <cell r="B1371">
            <v>77.051000000000002</v>
          </cell>
          <cell r="D1371">
            <v>1.4617</v>
          </cell>
          <cell r="E1371">
            <v>1195.8</v>
          </cell>
          <cell r="F1371">
            <v>13.33479</v>
          </cell>
          <cell r="G1371">
            <v>150.13</v>
          </cell>
          <cell r="I1371">
            <v>3.2797000000000001</v>
          </cell>
          <cell r="J1371">
            <v>6.8274999999999997</v>
          </cell>
          <cell r="K1371">
            <v>2.73</v>
          </cell>
          <cell r="L1371">
            <v>5.36</v>
          </cell>
          <cell r="M1371">
            <v>4.45</v>
          </cell>
          <cell r="O1371">
            <v>1.5089000000000001</v>
          </cell>
          <cell r="P1371">
            <v>0.87280000000000002</v>
          </cell>
          <cell r="Q1371">
            <v>86.440192483959677</v>
          </cell>
          <cell r="U1371">
            <v>2.3317000000000001</v>
          </cell>
          <cell r="V1371">
            <v>110.482</v>
          </cell>
          <cell r="W1371" t="str">
            <v>#N/A N/A</v>
          </cell>
        </row>
        <row r="1372">
          <cell r="B1372">
            <v>77.123999999999995</v>
          </cell>
          <cell r="D1372">
            <v>1.458</v>
          </cell>
          <cell r="E1372">
            <v>1186</v>
          </cell>
          <cell r="F1372">
            <v>13.18351</v>
          </cell>
          <cell r="G1372">
            <v>150.54</v>
          </cell>
          <cell r="I1372">
            <v>3.2906</v>
          </cell>
          <cell r="J1372">
            <v>6.8280000000000003</v>
          </cell>
          <cell r="K1372">
            <v>2.74</v>
          </cell>
          <cell r="L1372">
            <v>5.38</v>
          </cell>
          <cell r="M1372">
            <v>4.47</v>
          </cell>
          <cell r="O1372">
            <v>1.5116000000000001</v>
          </cell>
          <cell r="P1372">
            <v>0.873</v>
          </cell>
          <cell r="Q1372">
            <v>86.575028636884312</v>
          </cell>
          <cell r="U1372">
            <v>2.3351000000000002</v>
          </cell>
          <cell r="V1372">
            <v>106.85299999999999</v>
          </cell>
          <cell r="W1372" t="str">
            <v>#N/A N/A</v>
          </cell>
        </row>
        <row r="1373">
          <cell r="B1373">
            <v>76.653000000000006</v>
          </cell>
          <cell r="D1373">
            <v>1.4642999999999999</v>
          </cell>
          <cell r="E1373">
            <v>1178.05</v>
          </cell>
          <cell r="F1373">
            <v>13.106579999999999</v>
          </cell>
          <cell r="G1373">
            <v>140.16999999999999</v>
          </cell>
          <cell r="I1373">
            <v>3.3052999999999999</v>
          </cell>
          <cell r="J1373">
            <v>6.8262999999999998</v>
          </cell>
          <cell r="K1373">
            <v>2.75</v>
          </cell>
          <cell r="L1373">
            <v>5.34</v>
          </cell>
          <cell r="M1373">
            <v>4.3899999999999997</v>
          </cell>
          <cell r="O1373">
            <v>1.5178</v>
          </cell>
          <cell r="P1373">
            <v>0.88380000000000003</v>
          </cell>
          <cell r="Q1373">
            <v>85.867843403484954</v>
          </cell>
          <cell r="U1373">
            <v>2.3117000000000001</v>
          </cell>
          <cell r="V1373">
            <v>103.456</v>
          </cell>
          <cell r="W1373" t="str">
            <v>#N/A N/A</v>
          </cell>
        </row>
        <row r="1374">
          <cell r="B1374">
            <v>77.188000000000002</v>
          </cell>
          <cell r="D1374">
            <v>1.4548000000000001</v>
          </cell>
          <cell r="E1374">
            <v>1178.25</v>
          </cell>
          <cell r="F1374">
            <v>13.18807</v>
          </cell>
          <cell r="G1374">
            <v>140.19999999999999</v>
          </cell>
          <cell r="I1374">
            <v>3.1789999999999998</v>
          </cell>
          <cell r="J1374">
            <v>6.8262999999999998</v>
          </cell>
          <cell r="K1374">
            <v>2.76</v>
          </cell>
          <cell r="L1374">
            <v>5.32</v>
          </cell>
          <cell r="M1374">
            <v>4.3600000000000003</v>
          </cell>
          <cell r="O1374">
            <v>1.5145</v>
          </cell>
          <cell r="P1374">
            <v>0.87339999999999995</v>
          </cell>
          <cell r="Q1374">
            <v>86.701396839935882</v>
          </cell>
          <cell r="U1374">
            <v>2.1825000000000001</v>
          </cell>
          <cell r="V1374">
            <v>106.86199999999999</v>
          </cell>
          <cell r="W1374" t="str">
            <v>#N/A N/A</v>
          </cell>
        </row>
        <row r="1375">
          <cell r="B1375">
            <v>77.003</v>
          </cell>
          <cell r="D1375">
            <v>1.4576</v>
          </cell>
          <cell r="E1375">
            <v>1174.3</v>
          </cell>
          <cell r="F1375">
            <v>13.113289999999999</v>
          </cell>
          <cell r="G1375">
            <v>143.32</v>
          </cell>
          <cell r="I1375">
            <v>3.2187999999999999</v>
          </cell>
          <cell r="J1375">
            <v>6.8262999999999998</v>
          </cell>
          <cell r="K1375">
            <v>2.76</v>
          </cell>
          <cell r="L1375">
            <v>5.32</v>
          </cell>
          <cell r="M1375">
            <v>4.3600000000000003</v>
          </cell>
          <cell r="O1375">
            <v>1.5091999999999999</v>
          </cell>
          <cell r="P1375">
            <v>0.8659</v>
          </cell>
          <cell r="Q1375">
            <v>87.146321746160055</v>
          </cell>
          <cell r="U1375">
            <v>2.2052999999999998</v>
          </cell>
          <cell r="V1375">
            <v>110.93600000000001</v>
          </cell>
          <cell r="W1375">
            <v>52.119</v>
          </cell>
        </row>
        <row r="1376">
          <cell r="B1376">
            <v>77.003</v>
          </cell>
          <cell r="D1376">
            <v>1.4576</v>
          </cell>
          <cell r="E1376">
            <v>1174.3</v>
          </cell>
          <cell r="F1376">
            <v>13.113289999999999</v>
          </cell>
          <cell r="G1376">
            <v>143.02000000000001</v>
          </cell>
          <cell r="I1376">
            <v>3.2187999999999999</v>
          </cell>
          <cell r="J1376">
            <v>6.8262999999999998</v>
          </cell>
          <cell r="K1376">
            <v>2.76</v>
          </cell>
          <cell r="L1376">
            <v>5.32</v>
          </cell>
          <cell r="M1376">
            <v>4.3600000000000003</v>
          </cell>
          <cell r="O1376">
            <v>1.5091999999999999</v>
          </cell>
          <cell r="P1376">
            <v>0.8659</v>
          </cell>
          <cell r="Q1376">
            <v>87.146321746160055</v>
          </cell>
          <cell r="U1376">
            <v>2.2052999999999998</v>
          </cell>
          <cell r="V1376">
            <v>110.93600000000001</v>
          </cell>
          <cell r="W1376">
            <v>52.119</v>
          </cell>
        </row>
        <row r="1377">
          <cell r="B1377">
            <v>77.003</v>
          </cell>
          <cell r="D1377">
            <v>1.4576</v>
          </cell>
          <cell r="E1377">
            <v>1174.3</v>
          </cell>
          <cell r="F1377">
            <v>13.113289999999999</v>
          </cell>
          <cell r="G1377">
            <v>143.02000000000001</v>
          </cell>
          <cell r="I1377">
            <v>3.2187999999999999</v>
          </cell>
          <cell r="J1377">
            <v>6.8262999999999998</v>
          </cell>
          <cell r="K1377">
            <v>2.76</v>
          </cell>
          <cell r="L1377">
            <v>5.32</v>
          </cell>
          <cell r="M1377">
            <v>4.3600000000000003</v>
          </cell>
          <cell r="O1377">
            <v>1.5091999999999999</v>
          </cell>
          <cell r="P1377">
            <v>0.8659</v>
          </cell>
          <cell r="Q1377">
            <v>87.146321746160055</v>
          </cell>
          <cell r="U1377">
            <v>2.2052999999999998</v>
          </cell>
          <cell r="V1377">
            <v>110.93600000000001</v>
          </cell>
          <cell r="W1377">
            <v>52.119</v>
          </cell>
        </row>
        <row r="1378">
          <cell r="B1378">
            <v>76.641999999999996</v>
          </cell>
          <cell r="D1378">
            <v>1.4647999999999999</v>
          </cell>
          <cell r="E1378">
            <v>1173.75</v>
          </cell>
          <cell r="F1378">
            <v>13.01867</v>
          </cell>
          <cell r="G1378">
            <v>125.35</v>
          </cell>
          <cell r="I1378">
            <v>3.2204999999999999</v>
          </cell>
          <cell r="J1378">
            <v>6.8262999999999998</v>
          </cell>
          <cell r="K1378">
            <v>2.77</v>
          </cell>
          <cell r="L1378">
            <v>5.3</v>
          </cell>
          <cell r="M1378">
            <v>4.34</v>
          </cell>
          <cell r="O1378">
            <v>1.5124</v>
          </cell>
          <cell r="P1378">
            <v>0.87790000000000001</v>
          </cell>
          <cell r="Q1378">
            <v>86.137373277138622</v>
          </cell>
          <cell r="U1378">
            <v>2.2084999999999999</v>
          </cell>
          <cell r="V1378">
            <v>109.452</v>
          </cell>
          <cell r="W1378">
            <v>48.95</v>
          </cell>
        </row>
        <row r="1379">
          <cell r="B1379">
            <v>76.334999999999994</v>
          </cell>
          <cell r="D1379">
            <v>1.4722</v>
          </cell>
          <cell r="E1379">
            <v>1170.18</v>
          </cell>
          <cell r="F1379">
            <v>13.14992</v>
          </cell>
          <cell r="G1379">
            <v>115.18</v>
          </cell>
          <cell r="I1379">
            <v>3.2551999999999999</v>
          </cell>
          <cell r="J1379">
            <v>6.8262999999999998</v>
          </cell>
          <cell r="K1379">
            <v>2.78</v>
          </cell>
          <cell r="L1379">
            <v>5.37</v>
          </cell>
          <cell r="M1379">
            <v>4.4400000000000004</v>
          </cell>
          <cell r="O1379">
            <v>1.5110999999999999</v>
          </cell>
          <cell r="P1379">
            <v>0.88980000000000004</v>
          </cell>
          <cell r="Q1379">
            <v>84.91233985165205</v>
          </cell>
          <cell r="U1379">
            <v>2.2416</v>
          </cell>
          <cell r="V1379">
            <v>104.86</v>
          </cell>
          <cell r="W1379">
            <v>47.326000000000001</v>
          </cell>
        </row>
        <row r="1380">
          <cell r="B1380">
            <v>76.494</v>
          </cell>
          <cell r="D1380">
            <v>1.4674</v>
          </cell>
          <cell r="E1380">
            <v>1170.52</v>
          </cell>
          <cell r="F1380">
            <v>13.20234</v>
          </cell>
          <cell r="G1380">
            <v>105.3</v>
          </cell>
          <cell r="I1380">
            <v>3.1819999999999999</v>
          </cell>
          <cell r="J1380">
            <v>6.8262999999999998</v>
          </cell>
          <cell r="K1380">
            <v>2.79</v>
          </cell>
          <cell r="L1380">
            <v>5.36</v>
          </cell>
          <cell r="M1380">
            <v>4.45</v>
          </cell>
          <cell r="O1380">
            <v>1.5173999999999999</v>
          </cell>
          <cell r="P1380">
            <v>0.88800000000000001</v>
          </cell>
          <cell r="Q1380">
            <v>85.439189189189179</v>
          </cell>
          <cell r="U1380">
            <v>2.1686000000000001</v>
          </cell>
          <cell r="V1380">
            <v>100.837</v>
          </cell>
          <cell r="W1380">
            <v>49.01</v>
          </cell>
        </row>
        <row r="1381">
          <cell r="B1381">
            <v>75.965999999999994</v>
          </cell>
          <cell r="D1381">
            <v>1.4807000000000001</v>
          </cell>
          <cell r="E1381">
            <v>1167.1500000000001</v>
          </cell>
          <cell r="F1381">
            <v>13.18839</v>
          </cell>
          <cell r="G1381">
            <v>100.73</v>
          </cell>
          <cell r="I1381">
            <v>3.2477</v>
          </cell>
          <cell r="J1381">
            <v>6.8262999999999998</v>
          </cell>
          <cell r="K1381">
            <v>2.8</v>
          </cell>
          <cell r="L1381">
            <v>5.35</v>
          </cell>
          <cell r="M1381">
            <v>4.47</v>
          </cell>
          <cell r="O1381">
            <v>1.5169000000000001</v>
          </cell>
          <cell r="P1381">
            <v>0.90800000000000003</v>
          </cell>
          <cell r="Q1381">
            <v>83.529735682819378</v>
          </cell>
          <cell r="U1381">
            <v>2.2214999999999998</v>
          </cell>
          <cell r="V1381">
            <v>92.006</v>
          </cell>
          <cell r="W1381">
            <v>47.634999999999998</v>
          </cell>
        </row>
        <row r="1382">
          <cell r="B1382">
            <v>76.430999999999997</v>
          </cell>
          <cell r="D1382">
            <v>1.4732000000000001</v>
          </cell>
          <cell r="E1382">
            <v>1164.3800000000001</v>
          </cell>
          <cell r="F1382">
            <v>13.03195</v>
          </cell>
          <cell r="G1382">
            <v>99.98</v>
          </cell>
          <cell r="I1382">
            <v>3.3801999999999999</v>
          </cell>
          <cell r="J1382">
            <v>6.8255999999999997</v>
          </cell>
          <cell r="K1382">
            <v>2.81</v>
          </cell>
          <cell r="L1382">
            <v>5.28</v>
          </cell>
          <cell r="M1382">
            <v>4.3600000000000003</v>
          </cell>
          <cell r="O1382">
            <v>1.5183</v>
          </cell>
          <cell r="P1382">
            <v>0.90290000000000004</v>
          </cell>
          <cell r="Q1382">
            <v>84.079078524753569</v>
          </cell>
          <cell r="U1382">
            <v>2.3481000000000001</v>
          </cell>
          <cell r="V1382">
            <v>93.388999999999996</v>
          </cell>
          <cell r="W1382">
            <v>48.145000000000003</v>
          </cell>
        </row>
        <row r="1383">
          <cell r="B1383">
            <v>76.430999999999997</v>
          </cell>
          <cell r="D1383">
            <v>1.4732000000000001</v>
          </cell>
          <cell r="E1383">
            <v>1164.3800000000001</v>
          </cell>
          <cell r="F1383">
            <v>13.03195</v>
          </cell>
          <cell r="G1383">
            <v>99.98</v>
          </cell>
          <cell r="I1383">
            <v>3.3801999999999999</v>
          </cell>
          <cell r="J1383">
            <v>6.8255999999999997</v>
          </cell>
          <cell r="K1383">
            <v>2.81</v>
          </cell>
          <cell r="L1383">
            <v>5.28</v>
          </cell>
          <cell r="M1383">
            <v>4.3600000000000003</v>
          </cell>
          <cell r="O1383">
            <v>1.5183</v>
          </cell>
          <cell r="P1383">
            <v>0.90290000000000004</v>
          </cell>
          <cell r="Q1383">
            <v>84.079078524753569</v>
          </cell>
          <cell r="U1383">
            <v>2.3481000000000001</v>
          </cell>
          <cell r="V1383">
            <v>93.388999999999996</v>
          </cell>
          <cell r="W1383">
            <v>48.145000000000003</v>
          </cell>
        </row>
        <row r="1384">
          <cell r="B1384">
            <v>76.430999999999997</v>
          </cell>
          <cell r="D1384">
            <v>1.4732000000000001</v>
          </cell>
          <cell r="E1384">
            <v>1164.3800000000001</v>
          </cell>
          <cell r="F1384">
            <v>13.03195</v>
          </cell>
          <cell r="G1384">
            <v>99.98</v>
          </cell>
          <cell r="I1384">
            <v>3.3801999999999999</v>
          </cell>
          <cell r="J1384">
            <v>6.8255999999999997</v>
          </cell>
          <cell r="K1384">
            <v>2.81</v>
          </cell>
          <cell r="L1384">
            <v>5.28</v>
          </cell>
          <cell r="M1384">
            <v>4.3600000000000003</v>
          </cell>
          <cell r="O1384">
            <v>1.5183</v>
          </cell>
          <cell r="P1384">
            <v>0.90290000000000004</v>
          </cell>
          <cell r="Q1384">
            <v>84.079078524753569</v>
          </cell>
          <cell r="U1384">
            <v>2.3481000000000001</v>
          </cell>
          <cell r="V1384">
            <v>93.388999999999996</v>
          </cell>
          <cell r="W1384">
            <v>48.145000000000003</v>
          </cell>
        </row>
        <row r="1385">
          <cell r="B1385">
            <v>76.126000000000005</v>
          </cell>
          <cell r="D1385">
            <v>1.4788999999999999</v>
          </cell>
          <cell r="E1385">
            <v>1169.95</v>
          </cell>
          <cell r="F1385">
            <v>13.02501</v>
          </cell>
          <cell r="G1385">
            <v>100.17</v>
          </cell>
          <cell r="I1385">
            <v>3.3782999999999999</v>
          </cell>
          <cell r="J1385">
            <v>6.8250999999999999</v>
          </cell>
          <cell r="K1385">
            <v>2.81</v>
          </cell>
          <cell r="L1385">
            <v>5.37</v>
          </cell>
          <cell r="M1385">
            <v>4.3899999999999997</v>
          </cell>
          <cell r="O1385">
            <v>1.5171999999999999</v>
          </cell>
          <cell r="P1385">
            <v>0.90659999999999996</v>
          </cell>
          <cell r="Q1385">
            <v>83.675270240458858</v>
          </cell>
          <cell r="U1385">
            <v>2.3481000000000001</v>
          </cell>
          <cell r="V1385">
            <v>93.147000000000006</v>
          </cell>
          <cell r="W1385">
            <v>47.576000000000001</v>
          </cell>
        </row>
        <row r="1386">
          <cell r="B1386">
            <v>75.975999999999999</v>
          </cell>
          <cell r="D1386">
            <v>1.4838</v>
          </cell>
          <cell r="E1386">
            <v>1168.8</v>
          </cell>
          <cell r="F1386">
            <v>13.044980000000001</v>
          </cell>
          <cell r="G1386">
            <v>100.32</v>
          </cell>
          <cell r="I1386">
            <v>3.3468</v>
          </cell>
          <cell r="J1386">
            <v>6.8265000000000002</v>
          </cell>
          <cell r="K1386">
            <v>2.81</v>
          </cell>
          <cell r="L1386">
            <v>5.38</v>
          </cell>
          <cell r="M1386">
            <v>4.37</v>
          </cell>
          <cell r="O1386">
            <v>1.5173000000000001</v>
          </cell>
          <cell r="P1386">
            <v>0.90639999999999998</v>
          </cell>
          <cell r="Q1386">
            <v>83.699249779346871</v>
          </cell>
          <cell r="U1386">
            <v>2.2911999999999999</v>
          </cell>
          <cell r="V1386">
            <v>92.736000000000004</v>
          </cell>
          <cell r="W1386">
            <v>48.03</v>
          </cell>
        </row>
        <row r="1387">
          <cell r="B1387">
            <v>75.551000000000002</v>
          </cell>
          <cell r="D1387">
            <v>1.4896</v>
          </cell>
          <cell r="E1387">
            <v>1164.8</v>
          </cell>
          <cell r="F1387">
            <v>12.93486</v>
          </cell>
          <cell r="G1387">
            <v>94.739999999999952</v>
          </cell>
          <cell r="I1387">
            <v>3.4136000000000002</v>
          </cell>
          <cell r="J1387">
            <v>6.8265000000000002</v>
          </cell>
          <cell r="K1387">
            <v>2.81</v>
          </cell>
          <cell r="L1387">
            <v>5.39</v>
          </cell>
          <cell r="M1387">
            <v>4.37</v>
          </cell>
          <cell r="O1387">
            <v>1.5152000000000001</v>
          </cell>
          <cell r="P1387">
            <v>0.91290000000000004</v>
          </cell>
          <cell r="Q1387">
            <v>82.988279110526904</v>
          </cell>
          <cell r="U1387">
            <v>2.3279000000000001</v>
          </cell>
          <cell r="V1387">
            <v>91.742999999999995</v>
          </cell>
          <cell r="W1387">
            <v>46.917000000000002</v>
          </cell>
        </row>
        <row r="1388">
          <cell r="B1388">
            <v>75.480999999999995</v>
          </cell>
          <cell r="D1388">
            <v>1.4919</v>
          </cell>
          <cell r="E1388">
            <v>1155.1500000000001</v>
          </cell>
          <cell r="F1388">
            <v>12.78823</v>
          </cell>
          <cell r="G1388">
            <v>95.95</v>
          </cell>
          <cell r="I1388">
            <v>3.4565000000000001</v>
          </cell>
          <cell r="J1388">
            <v>6.8286999999999995</v>
          </cell>
          <cell r="K1388">
            <v>2.8</v>
          </cell>
          <cell r="L1388">
            <v>5.43</v>
          </cell>
          <cell r="M1388">
            <v>4.42</v>
          </cell>
          <cell r="O1388">
            <v>1.5154000000000001</v>
          </cell>
          <cell r="P1388">
            <v>0.91849999999999998</v>
          </cell>
          <cell r="Q1388">
            <v>82.493195427327166</v>
          </cell>
          <cell r="U1388">
            <v>2.3782000000000001</v>
          </cell>
          <cell r="V1388">
            <v>87.745999999999995</v>
          </cell>
          <cell r="W1388">
            <v>46.914999999999999</v>
          </cell>
        </row>
        <row r="1389">
          <cell r="B1389">
            <v>75.596999999999994</v>
          </cell>
          <cell r="D1389">
            <v>1.4904999999999999</v>
          </cell>
          <cell r="E1389">
            <v>1164</v>
          </cell>
          <cell r="F1389">
            <v>12.93141</v>
          </cell>
          <cell r="G1389">
            <v>94.05</v>
          </cell>
          <cell r="I1389">
            <v>3.4115000000000002</v>
          </cell>
          <cell r="J1389">
            <v>6.827</v>
          </cell>
          <cell r="K1389">
            <v>2.8</v>
          </cell>
          <cell r="L1389">
            <v>5.52</v>
          </cell>
          <cell r="M1389">
            <v>4.5599999999999996</v>
          </cell>
          <cell r="O1389">
            <v>1.5167000000000002</v>
          </cell>
          <cell r="P1389">
            <v>0.91610000000000003</v>
          </cell>
          <cell r="Q1389">
            <v>82.780264163300956</v>
          </cell>
          <cell r="U1389">
            <v>2.3513000000000002</v>
          </cell>
          <cell r="V1389">
            <v>87.825000000000003</v>
          </cell>
          <cell r="W1389">
            <v>47.558999999999997</v>
          </cell>
        </row>
        <row r="1390">
          <cell r="B1390">
            <v>75.596999999999994</v>
          </cell>
          <cell r="D1390">
            <v>1.4904999999999999</v>
          </cell>
          <cell r="E1390">
            <v>1164</v>
          </cell>
          <cell r="F1390">
            <v>12.93141</v>
          </cell>
          <cell r="G1390">
            <v>94.05</v>
          </cell>
          <cell r="I1390">
            <v>3.4115000000000002</v>
          </cell>
          <cell r="J1390">
            <v>6.827</v>
          </cell>
          <cell r="K1390">
            <v>2.8</v>
          </cell>
          <cell r="L1390">
            <v>5.52</v>
          </cell>
          <cell r="M1390">
            <v>4.5599999999999996</v>
          </cell>
          <cell r="O1390">
            <v>1.5167000000000002</v>
          </cell>
          <cell r="P1390">
            <v>0.91610000000000003</v>
          </cell>
          <cell r="Q1390">
            <v>82.780264163300956</v>
          </cell>
          <cell r="U1390">
            <v>2.3513000000000002</v>
          </cell>
          <cell r="V1390">
            <v>87.825000000000003</v>
          </cell>
          <cell r="W1390">
            <v>47.558999999999997</v>
          </cell>
        </row>
        <row r="1391">
          <cell r="B1391">
            <v>75.596999999999994</v>
          </cell>
          <cell r="D1391">
            <v>1.4904999999999999</v>
          </cell>
          <cell r="E1391">
            <v>1164</v>
          </cell>
          <cell r="F1391">
            <v>12.93141</v>
          </cell>
          <cell r="G1391">
            <v>94.05</v>
          </cell>
          <cell r="I1391">
            <v>3.4115000000000002</v>
          </cell>
          <cell r="J1391">
            <v>6.827</v>
          </cell>
          <cell r="K1391">
            <v>2.8</v>
          </cell>
          <cell r="L1391">
            <v>5.52</v>
          </cell>
          <cell r="M1391">
            <v>4.5599999999999996</v>
          </cell>
          <cell r="O1391">
            <v>1.5167000000000002</v>
          </cell>
          <cell r="P1391">
            <v>0.91610000000000003</v>
          </cell>
          <cell r="Q1391">
            <v>82.780264163300956</v>
          </cell>
          <cell r="U1391">
            <v>2.3513000000000002</v>
          </cell>
          <cell r="V1391">
            <v>87.825000000000003</v>
          </cell>
          <cell r="W1391">
            <v>47.558999999999997</v>
          </cell>
        </row>
        <row r="1392">
          <cell r="B1392">
            <v>75.510000000000005</v>
          </cell>
          <cell r="D1392">
            <v>1.4946999999999999</v>
          </cell>
          <cell r="E1392">
            <v>1171.2</v>
          </cell>
          <cell r="F1392">
            <v>12.876200000000001</v>
          </cell>
          <cell r="G1392">
            <v>95.49</v>
          </cell>
          <cell r="I1392">
            <v>3.3891</v>
          </cell>
          <cell r="J1392">
            <v>6.8266999999999998</v>
          </cell>
          <cell r="K1392">
            <v>2.8</v>
          </cell>
          <cell r="L1392">
            <v>5.53</v>
          </cell>
          <cell r="M1392">
            <v>4.54</v>
          </cell>
          <cell r="O1392">
            <v>1.5137</v>
          </cell>
          <cell r="P1392">
            <v>0.92700000000000005</v>
          </cell>
          <cell r="Q1392">
            <v>81.645091693635379</v>
          </cell>
          <cell r="U1392">
            <v>2.3412000000000002</v>
          </cell>
          <cell r="V1392">
            <v>89.522999999999996</v>
          </cell>
          <cell r="W1392">
            <v>47.335000000000001</v>
          </cell>
        </row>
        <row r="1393">
          <cell r="B1393">
            <v>75.564999999999998</v>
          </cell>
          <cell r="D1393">
            <v>1.4906999999999999</v>
          </cell>
          <cell r="E1393">
            <v>1165.82</v>
          </cell>
          <cell r="F1393">
            <v>13.04684</v>
          </cell>
          <cell r="G1393">
            <v>95.13</v>
          </cell>
          <cell r="I1393">
            <v>3.3407</v>
          </cell>
          <cell r="J1393">
            <v>6.8265000000000002</v>
          </cell>
          <cell r="K1393">
            <v>2.79</v>
          </cell>
          <cell r="L1393">
            <v>5.53</v>
          </cell>
          <cell r="M1393">
            <v>4.55</v>
          </cell>
          <cell r="O1393">
            <v>1.5119</v>
          </cell>
          <cell r="P1393">
            <v>0.92020000000000002</v>
          </cell>
          <cell r="Q1393">
            <v>82.150619430558564</v>
          </cell>
          <cell r="U1393">
            <v>2.2875000000000001</v>
          </cell>
          <cell r="V1393">
            <v>90.468999999999994</v>
          </cell>
          <cell r="W1393">
            <v>46.997</v>
          </cell>
        </row>
        <row r="1394">
          <cell r="B1394">
            <v>74.971999999999994</v>
          </cell>
          <cell r="D1394">
            <v>1.5013000000000001</v>
          </cell>
          <cell r="E1394">
            <v>1179.0999999999999</v>
          </cell>
          <cell r="F1394">
            <v>12.96725</v>
          </cell>
          <cell r="G1394">
            <v>105.37</v>
          </cell>
          <cell r="I1394">
            <v>3.3853</v>
          </cell>
          <cell r="J1394">
            <v>6.8273000000000001</v>
          </cell>
          <cell r="K1394">
            <v>2.79</v>
          </cell>
          <cell r="L1394">
            <v>5.53</v>
          </cell>
          <cell r="M1394">
            <v>4.53</v>
          </cell>
          <cell r="O1394">
            <v>1.5099</v>
          </cell>
          <cell r="P1394">
            <v>0.92949999999999999</v>
          </cell>
          <cell r="Q1394">
            <v>81.221086605701984</v>
          </cell>
          <cell r="U1394">
            <v>2.3412000000000002</v>
          </cell>
          <cell r="V1394">
            <v>91.543999999999997</v>
          </cell>
          <cell r="W1394">
            <v>47.253</v>
          </cell>
        </row>
        <row r="1395">
          <cell r="B1395">
            <v>75.093999999999994</v>
          </cell>
          <cell r="D1395">
            <v>1.5005999999999999</v>
          </cell>
          <cell r="E1395">
            <v>1189.75</v>
          </cell>
          <cell r="F1395">
            <v>13.01707</v>
          </cell>
          <cell r="G1395">
            <v>105.58</v>
          </cell>
          <cell r="I1395">
            <v>3.4131999999999998</v>
          </cell>
          <cell r="J1395">
            <v>6.8292000000000002</v>
          </cell>
          <cell r="K1395">
            <v>2.79</v>
          </cell>
          <cell r="L1395">
            <v>5.55</v>
          </cell>
          <cell r="M1395">
            <v>4.55</v>
          </cell>
          <cell r="O1395">
            <v>1.5110000000000001</v>
          </cell>
          <cell r="P1395">
            <v>0.92369999999999997</v>
          </cell>
          <cell r="Q1395">
            <v>81.790624661686707</v>
          </cell>
          <cell r="U1395">
            <v>2.3580000000000001</v>
          </cell>
          <cell r="V1395">
            <v>96.397000000000006</v>
          </cell>
          <cell r="W1395">
            <v>47.765999999999998</v>
          </cell>
        </row>
        <row r="1396">
          <cell r="B1396">
            <v>75.468000000000004</v>
          </cell>
          <cell r="D1396">
            <v>1.5007999999999999</v>
          </cell>
          <cell r="E1396">
            <v>1181.25</v>
          </cell>
          <cell r="F1396">
            <v>12.82113</v>
          </cell>
          <cell r="G1396">
            <v>104.2</v>
          </cell>
          <cell r="I1396">
            <v>3.49</v>
          </cell>
          <cell r="J1396">
            <v>6.8285</v>
          </cell>
          <cell r="K1396">
            <v>2.79</v>
          </cell>
          <cell r="L1396">
            <v>5.6</v>
          </cell>
          <cell r="M1396">
            <v>4.59</v>
          </cell>
          <cell r="O1396">
            <v>1.5133000000000001</v>
          </cell>
          <cell r="P1396">
            <v>0.92469999999999997</v>
          </cell>
          <cell r="Q1396">
            <v>81.826538336757864</v>
          </cell>
          <cell r="U1396">
            <v>2.4459</v>
          </cell>
          <cell r="V1396">
            <v>91.93</v>
          </cell>
          <cell r="W1396">
            <v>47.332999999999998</v>
          </cell>
        </row>
        <row r="1397">
          <cell r="B1397">
            <v>75.468000000000004</v>
          </cell>
          <cell r="D1397">
            <v>1.5007999999999999</v>
          </cell>
          <cell r="E1397">
            <v>1181.25</v>
          </cell>
          <cell r="F1397">
            <v>12.82113</v>
          </cell>
          <cell r="G1397">
            <v>104.2</v>
          </cell>
          <cell r="I1397">
            <v>3.49</v>
          </cell>
          <cell r="J1397">
            <v>6.8285</v>
          </cell>
          <cell r="K1397">
            <v>2.79</v>
          </cell>
          <cell r="L1397">
            <v>5.6</v>
          </cell>
          <cell r="M1397">
            <v>4.59</v>
          </cell>
          <cell r="O1397">
            <v>1.5133000000000001</v>
          </cell>
          <cell r="P1397">
            <v>0.92469999999999997</v>
          </cell>
          <cell r="Q1397">
            <v>81.826538336757864</v>
          </cell>
          <cell r="U1397">
            <v>2.4459</v>
          </cell>
          <cell r="V1397">
            <v>91.93</v>
          </cell>
          <cell r="W1397">
            <v>47.332999999999998</v>
          </cell>
        </row>
        <row r="1398">
          <cell r="B1398">
            <v>75.468000000000004</v>
          </cell>
          <cell r="D1398">
            <v>1.5007999999999999</v>
          </cell>
          <cell r="E1398">
            <v>1181.25</v>
          </cell>
          <cell r="F1398">
            <v>12.82113</v>
          </cell>
          <cell r="G1398">
            <v>104.2</v>
          </cell>
          <cell r="I1398">
            <v>3.49</v>
          </cell>
          <cell r="J1398">
            <v>6.8285</v>
          </cell>
          <cell r="K1398">
            <v>2.79</v>
          </cell>
          <cell r="L1398">
            <v>5.6</v>
          </cell>
          <cell r="M1398">
            <v>4.59</v>
          </cell>
          <cell r="O1398">
            <v>1.5133000000000001</v>
          </cell>
          <cell r="P1398">
            <v>0.92469999999999997</v>
          </cell>
          <cell r="Q1398">
            <v>81.826538336757864</v>
          </cell>
          <cell r="U1398">
            <v>2.4459</v>
          </cell>
          <cell r="V1398">
            <v>91.93</v>
          </cell>
          <cell r="W1398">
            <v>47.332999999999998</v>
          </cell>
        </row>
        <row r="1399">
          <cell r="B1399">
            <v>76.061000000000007</v>
          </cell>
          <cell r="D1399">
            <v>1.4863999999999999</v>
          </cell>
          <cell r="E1399">
            <v>1177.9000000000001</v>
          </cell>
          <cell r="F1399">
            <v>12.82094</v>
          </cell>
          <cell r="G1399">
            <v>105.08</v>
          </cell>
          <cell r="I1399">
            <v>3.5541999999999998</v>
          </cell>
          <cell r="J1399">
            <v>6.8277999999999999</v>
          </cell>
          <cell r="K1399">
            <v>2.79</v>
          </cell>
          <cell r="L1399">
            <v>5.63</v>
          </cell>
          <cell r="M1399">
            <v>4.62</v>
          </cell>
          <cell r="O1399">
            <v>1.5146999999999999</v>
          </cell>
          <cell r="P1399">
            <v>0.91949999999999998</v>
          </cell>
          <cell r="Q1399">
            <v>82.365415986949429</v>
          </cell>
          <cell r="U1399">
            <v>2.4866999999999999</v>
          </cell>
          <cell r="V1399">
            <v>92.028999999999996</v>
          </cell>
          <cell r="W1399">
            <v>47.392000000000003</v>
          </cell>
        </row>
        <row r="1400">
          <cell r="B1400">
            <v>76.135000000000005</v>
          </cell>
          <cell r="D1400">
            <v>1.4788000000000001</v>
          </cell>
          <cell r="E1400">
            <v>1184.5</v>
          </cell>
          <cell r="F1400">
            <v>12.941420000000001</v>
          </cell>
          <cell r="G1400">
            <v>105.32</v>
          </cell>
          <cell r="I1400">
            <v>3.4447999999999999</v>
          </cell>
          <cell r="J1400">
            <v>6.8296000000000001</v>
          </cell>
          <cell r="K1400">
            <v>2.79</v>
          </cell>
          <cell r="L1400">
            <v>5.54</v>
          </cell>
          <cell r="M1400">
            <v>4.54</v>
          </cell>
          <cell r="O1400">
            <v>1.5129000000000001</v>
          </cell>
          <cell r="P1400">
            <v>0.91420000000000001</v>
          </cell>
          <cell r="Q1400">
            <v>82.744476044629195</v>
          </cell>
          <cell r="U1400">
            <v>2.3714</v>
          </cell>
          <cell r="V1400">
            <v>92.95</v>
          </cell>
          <cell r="W1400">
            <v>47.414999999999999</v>
          </cell>
        </row>
        <row r="1401">
          <cell r="B1401">
            <v>76.424999999999997</v>
          </cell>
          <cell r="D1401">
            <v>1.4725999999999999</v>
          </cell>
          <cell r="E1401">
            <v>1195.3499999999999</v>
          </cell>
          <cell r="F1401">
            <v>13.22137</v>
          </cell>
          <cell r="G1401">
            <v>110.12</v>
          </cell>
          <cell r="I1401">
            <v>3.4148000000000001</v>
          </cell>
          <cell r="J1401">
            <v>6.8281999999999998</v>
          </cell>
          <cell r="K1401">
            <v>2.79</v>
          </cell>
          <cell r="L1401">
            <v>5.51</v>
          </cell>
          <cell r="M1401">
            <v>4.51</v>
          </cell>
          <cell r="O1401">
            <v>1.5114999999999998</v>
          </cell>
          <cell r="P1401">
            <v>0.89939999999999998</v>
          </cell>
          <cell r="Q1401">
            <v>84.028241049588601</v>
          </cell>
          <cell r="U1401">
            <v>2.3342000000000001</v>
          </cell>
          <cell r="V1401">
            <v>98.841999999999999</v>
          </cell>
          <cell r="W1401">
            <v>47.744999999999997</v>
          </cell>
        </row>
        <row r="1402">
          <cell r="B1402">
            <v>75.917000000000002</v>
          </cell>
          <cell r="D1402">
            <v>1.4833000000000001</v>
          </cell>
          <cell r="E1402">
            <v>1195.9000000000001</v>
          </cell>
          <cell r="F1402">
            <v>12.96109</v>
          </cell>
          <cell r="G1402">
            <v>110.16</v>
          </cell>
          <cell r="I1402">
            <v>3.4973999999999998</v>
          </cell>
          <cell r="J1402">
            <v>6.8280000000000003</v>
          </cell>
          <cell r="K1402">
            <v>2.79</v>
          </cell>
          <cell r="L1402">
            <v>5.44</v>
          </cell>
          <cell r="M1402">
            <v>4.45</v>
          </cell>
          <cell r="O1402">
            <v>1.5108999999999999</v>
          </cell>
          <cell r="P1402">
            <v>0.91710000000000003</v>
          </cell>
          <cell r="Q1402">
            <v>82.373786937084276</v>
          </cell>
          <cell r="U1402">
            <v>2.4350999999999998</v>
          </cell>
          <cell r="V1402">
            <v>100.90300000000001</v>
          </cell>
          <cell r="W1402">
            <v>49.21</v>
          </cell>
        </row>
        <row r="1403">
          <cell r="B1403">
            <v>76.3</v>
          </cell>
          <cell r="D1403">
            <v>1.4719</v>
          </cell>
          <cell r="E1403">
            <v>1182.05</v>
          </cell>
          <cell r="F1403">
            <v>13.20729</v>
          </cell>
          <cell r="G1403">
            <v>109.92</v>
          </cell>
          <cell r="I1403">
            <v>3.3828</v>
          </cell>
          <cell r="J1403">
            <v>6.8274999999999997</v>
          </cell>
          <cell r="K1403">
            <v>2.79</v>
          </cell>
          <cell r="L1403">
            <v>5.42</v>
          </cell>
          <cell r="M1403">
            <v>4.4400000000000004</v>
          </cell>
          <cell r="O1403">
            <v>1.5099</v>
          </cell>
          <cell r="P1403">
            <v>0.89900000000000002</v>
          </cell>
          <cell r="Q1403">
            <v>83.976640711902121</v>
          </cell>
          <cell r="U1403">
            <v>2.3083999999999998</v>
          </cell>
          <cell r="V1403">
            <v>95.253</v>
          </cell>
          <cell r="W1403">
            <v>48.728000000000002</v>
          </cell>
        </row>
        <row r="1404">
          <cell r="B1404">
            <v>76.3</v>
          </cell>
          <cell r="D1404">
            <v>1.4719</v>
          </cell>
          <cell r="E1404">
            <v>1182.05</v>
          </cell>
          <cell r="F1404">
            <v>13.20729</v>
          </cell>
          <cell r="G1404">
            <v>109.92</v>
          </cell>
          <cell r="I1404">
            <v>3.3828</v>
          </cell>
          <cell r="J1404">
            <v>6.8274999999999997</v>
          </cell>
          <cell r="K1404">
            <v>2.79</v>
          </cell>
          <cell r="L1404">
            <v>5.42</v>
          </cell>
          <cell r="M1404">
            <v>4.4400000000000004</v>
          </cell>
          <cell r="O1404">
            <v>1.5099</v>
          </cell>
          <cell r="P1404">
            <v>0.89900000000000002</v>
          </cell>
          <cell r="Q1404">
            <v>83.976640711902121</v>
          </cell>
          <cell r="U1404">
            <v>2.3083999999999998</v>
          </cell>
          <cell r="V1404">
            <v>95.253</v>
          </cell>
          <cell r="W1404">
            <v>48.728000000000002</v>
          </cell>
        </row>
        <row r="1405">
          <cell r="B1405">
            <v>76.3</v>
          </cell>
          <cell r="D1405">
            <v>1.4719</v>
          </cell>
          <cell r="E1405">
            <v>1182.05</v>
          </cell>
          <cell r="F1405">
            <v>13.20729</v>
          </cell>
          <cell r="G1405">
            <v>109.92</v>
          </cell>
          <cell r="I1405">
            <v>3.3828</v>
          </cell>
          <cell r="J1405">
            <v>6.8274999999999997</v>
          </cell>
          <cell r="K1405">
            <v>2.79</v>
          </cell>
          <cell r="L1405">
            <v>5.42</v>
          </cell>
          <cell r="M1405">
            <v>4.4400000000000004</v>
          </cell>
          <cell r="O1405">
            <v>1.5099</v>
          </cell>
          <cell r="P1405">
            <v>0.89900000000000002</v>
          </cell>
          <cell r="Q1405">
            <v>83.976640711902121</v>
          </cell>
          <cell r="U1405">
            <v>2.3083999999999998</v>
          </cell>
          <cell r="V1405">
            <v>95.253</v>
          </cell>
          <cell r="W1405">
            <v>48.728000000000002</v>
          </cell>
        </row>
        <row r="1406">
          <cell r="B1406">
            <v>76.290000000000006</v>
          </cell>
          <cell r="D1406">
            <v>1.4762</v>
          </cell>
          <cell r="E1406">
            <v>1182.5</v>
          </cell>
          <cell r="F1406">
            <v>13.123749999999999</v>
          </cell>
          <cell r="G1406">
            <v>108.65</v>
          </cell>
          <cell r="I1406">
            <v>3.4144999999999999</v>
          </cell>
          <cell r="J1406">
            <v>6.8278999999999996</v>
          </cell>
          <cell r="K1406">
            <v>2.79</v>
          </cell>
          <cell r="L1406">
            <v>5.4</v>
          </cell>
          <cell r="M1406">
            <v>4.43</v>
          </cell>
          <cell r="O1406">
            <v>1.5096000000000001</v>
          </cell>
          <cell r="P1406">
            <v>0.90029999999999999</v>
          </cell>
          <cell r="Q1406">
            <v>83.838720426524489</v>
          </cell>
          <cell r="U1406">
            <v>2.3283</v>
          </cell>
          <cell r="V1406">
            <v>97.331999999999994</v>
          </cell>
          <cell r="W1406">
            <v>49.247999999999998</v>
          </cell>
        </row>
        <row r="1407">
          <cell r="B1407">
            <v>76.385999999999996</v>
          </cell>
          <cell r="D1407">
            <v>1.4685999999999999</v>
          </cell>
          <cell r="E1407">
            <v>1182.05</v>
          </cell>
          <cell r="F1407">
            <v>13.168089999999999</v>
          </cell>
          <cell r="G1407">
            <v>120.18</v>
          </cell>
          <cell r="I1407">
            <v>3.4651999999999998</v>
          </cell>
          <cell r="J1407">
            <v>6.8280000000000003</v>
          </cell>
          <cell r="K1407">
            <v>2.79</v>
          </cell>
          <cell r="L1407">
            <v>5.4</v>
          </cell>
          <cell r="M1407">
            <v>4.43</v>
          </cell>
          <cell r="O1407">
            <v>1.5108000000000001</v>
          </cell>
          <cell r="P1407">
            <v>0.90100000000000002</v>
          </cell>
          <cell r="Q1407">
            <v>83.840177580466161</v>
          </cell>
          <cell r="U1407">
            <v>2.3515999999999999</v>
          </cell>
          <cell r="V1407">
            <v>100.812</v>
          </cell>
          <cell r="W1407">
            <v>50.25</v>
          </cell>
        </row>
        <row r="1408">
          <cell r="B1408">
            <v>75.643000000000001</v>
          </cell>
          <cell r="D1408">
            <v>1.4841</v>
          </cell>
          <cell r="E1408">
            <v>1178.4000000000001</v>
          </cell>
          <cell r="F1408">
            <v>12.90287</v>
          </cell>
          <cell r="G1408">
            <v>120.33</v>
          </cell>
          <cell r="I1408">
            <v>3.5236999999999998</v>
          </cell>
          <cell r="J1408">
            <v>6.827</v>
          </cell>
          <cell r="K1408">
            <v>2.79</v>
          </cell>
          <cell r="L1408">
            <v>5.44</v>
          </cell>
          <cell r="M1408">
            <v>4.47</v>
          </cell>
          <cell r="O1408">
            <v>1.5102</v>
          </cell>
          <cell r="P1408">
            <v>0.90939999999999999</v>
          </cell>
          <cell r="Q1408">
            <v>83.032768858588085</v>
          </cell>
          <cell r="U1408">
            <v>2.375</v>
          </cell>
          <cell r="V1408">
            <v>106.02500000000001</v>
          </cell>
          <cell r="W1408">
            <v>50.01</v>
          </cell>
        </row>
        <row r="1409">
          <cell r="B1409">
            <v>75.741</v>
          </cell>
          <cell r="D1409">
            <v>1.4861</v>
          </cell>
          <cell r="E1409">
            <v>1179.72</v>
          </cell>
          <cell r="F1409">
            <v>12.997400000000001</v>
          </cell>
          <cell r="G1409">
            <v>120.54</v>
          </cell>
          <cell r="I1409">
            <v>3.5236000000000001</v>
          </cell>
          <cell r="J1409">
            <v>6.8276000000000003</v>
          </cell>
          <cell r="K1409">
            <v>2.79</v>
          </cell>
          <cell r="L1409">
            <v>5.43</v>
          </cell>
          <cell r="M1409">
            <v>4.46</v>
          </cell>
          <cell r="O1409">
            <v>1.512</v>
          </cell>
          <cell r="P1409">
            <v>0.90990000000000004</v>
          </cell>
          <cell r="Q1409">
            <v>83.086053412462903</v>
          </cell>
          <cell r="U1409">
            <v>2.3349000000000002</v>
          </cell>
          <cell r="V1409">
            <v>106.803</v>
          </cell>
          <cell r="W1409">
            <v>50.042999999999999</v>
          </cell>
        </row>
        <row r="1410">
          <cell r="B1410">
            <v>75.819000000000003</v>
          </cell>
          <cell r="D1410">
            <v>1.4847000000000001</v>
          </cell>
          <cell r="E1410">
            <v>1167.45</v>
          </cell>
          <cell r="F1410">
            <v>13.000819999999999</v>
          </cell>
          <cell r="G1410">
            <v>120.29</v>
          </cell>
          <cell r="I1410">
            <v>3.4971000000000001</v>
          </cell>
          <cell r="J1410">
            <v>6.8273000000000001</v>
          </cell>
          <cell r="K1410">
            <v>2.79</v>
          </cell>
          <cell r="L1410">
            <v>5.47</v>
          </cell>
          <cell r="M1410">
            <v>4.46</v>
          </cell>
          <cell r="O1410">
            <v>1.5102</v>
          </cell>
          <cell r="P1410">
            <v>0.91659999999999997</v>
          </cell>
          <cell r="Q1410">
            <v>82.380536766310271</v>
          </cell>
          <cell r="U1410">
            <v>2.2947000000000002</v>
          </cell>
          <cell r="V1410">
            <v>105.453</v>
          </cell>
          <cell r="W1410">
            <v>50.78</v>
          </cell>
        </row>
        <row r="1411">
          <cell r="B1411">
            <v>75.819000000000003</v>
          </cell>
          <cell r="D1411">
            <v>1.4847000000000001</v>
          </cell>
          <cell r="E1411">
            <v>1167.45</v>
          </cell>
          <cell r="F1411">
            <v>13.000819999999999</v>
          </cell>
          <cell r="G1411">
            <v>120.29</v>
          </cell>
          <cell r="I1411">
            <v>3.4971000000000001</v>
          </cell>
          <cell r="J1411">
            <v>6.8273000000000001</v>
          </cell>
          <cell r="K1411">
            <v>2.79</v>
          </cell>
          <cell r="L1411">
            <v>5.47</v>
          </cell>
          <cell r="M1411">
            <v>4.46</v>
          </cell>
          <cell r="O1411">
            <v>1.5102</v>
          </cell>
          <cell r="P1411">
            <v>0.91659999999999997</v>
          </cell>
          <cell r="Q1411">
            <v>82.380536766310271</v>
          </cell>
          <cell r="U1411">
            <v>2.2947000000000002</v>
          </cell>
          <cell r="V1411">
            <v>105.453</v>
          </cell>
          <cell r="W1411">
            <v>50.78</v>
          </cell>
        </row>
        <row r="1412">
          <cell r="B1412">
            <v>75.819000000000003</v>
          </cell>
          <cell r="D1412">
            <v>1.4847000000000001</v>
          </cell>
          <cell r="E1412">
            <v>1167.45</v>
          </cell>
          <cell r="F1412">
            <v>13.000819999999999</v>
          </cell>
          <cell r="G1412">
            <v>120.29</v>
          </cell>
          <cell r="I1412">
            <v>3.4971000000000001</v>
          </cell>
          <cell r="J1412">
            <v>6.8273000000000001</v>
          </cell>
          <cell r="K1412">
            <v>2.79</v>
          </cell>
          <cell r="L1412">
            <v>5.47</v>
          </cell>
          <cell r="M1412">
            <v>4.46</v>
          </cell>
          <cell r="O1412">
            <v>1.5102</v>
          </cell>
          <cell r="P1412">
            <v>0.91659999999999997</v>
          </cell>
          <cell r="Q1412">
            <v>82.380536766310271</v>
          </cell>
          <cell r="U1412">
            <v>2.2947000000000002</v>
          </cell>
          <cell r="V1412">
            <v>105.453</v>
          </cell>
          <cell r="W1412">
            <v>50.78</v>
          </cell>
        </row>
        <row r="1413">
          <cell r="B1413">
            <v>75.025999999999996</v>
          </cell>
          <cell r="D1413">
            <v>1.5005999999999999</v>
          </cell>
          <cell r="E1413">
            <v>1160.8</v>
          </cell>
          <cell r="F1413">
            <v>12.822939999999999</v>
          </cell>
          <cell r="G1413">
            <v>120.33</v>
          </cell>
          <cell r="I1413">
            <v>3.4857</v>
          </cell>
          <cell r="J1413">
            <v>6.8272000000000004</v>
          </cell>
          <cell r="K1413">
            <v>2.79</v>
          </cell>
          <cell r="L1413">
            <v>5.5</v>
          </cell>
          <cell r="M1413">
            <v>4.49</v>
          </cell>
          <cell r="O1413">
            <v>1.5118</v>
          </cell>
          <cell r="P1413">
            <v>0.92979999999999996</v>
          </cell>
          <cell r="Q1413">
            <v>81.297053129705318</v>
          </cell>
          <cell r="U1413">
            <v>2.2947000000000002</v>
          </cell>
          <cell r="V1413">
            <v>100.672</v>
          </cell>
          <cell r="W1413">
            <v>50.5</v>
          </cell>
        </row>
        <row r="1414">
          <cell r="B1414">
            <v>75.021000000000001</v>
          </cell>
          <cell r="D1414">
            <v>1.4964</v>
          </cell>
          <cell r="E1414">
            <v>1162</v>
          </cell>
          <cell r="F1414">
            <v>12.94787</v>
          </cell>
          <cell r="G1414">
            <v>112.56</v>
          </cell>
          <cell r="I1414">
            <v>3.4723999999999999</v>
          </cell>
          <cell r="J1414">
            <v>6.8268000000000004</v>
          </cell>
          <cell r="K1414">
            <v>2.79</v>
          </cell>
          <cell r="L1414">
            <v>5.5</v>
          </cell>
          <cell r="M1414">
            <v>4.47</v>
          </cell>
          <cell r="O1414">
            <v>1.5101</v>
          </cell>
          <cell r="P1414">
            <v>0.92749999999999999</v>
          </cell>
          <cell r="Q1414">
            <v>81.40700808625337</v>
          </cell>
          <cell r="U1414">
            <v>2.2913000000000001</v>
          </cell>
          <cell r="V1414">
            <v>100</v>
          </cell>
          <cell r="W1414">
            <v>50.473999999999997</v>
          </cell>
        </row>
        <row r="1415">
          <cell r="B1415">
            <v>75.162000000000006</v>
          </cell>
          <cell r="D1415">
            <v>1.4964</v>
          </cell>
          <cell r="E1415">
            <v>1157.95</v>
          </cell>
          <cell r="F1415">
            <v>12.85806</v>
          </cell>
          <cell r="G1415">
            <v>111.09</v>
          </cell>
          <cell r="I1415">
            <v>3.4830999999999999</v>
          </cell>
          <cell r="J1415">
            <v>6.8258999999999999</v>
          </cell>
          <cell r="K1415">
            <v>2.79</v>
          </cell>
          <cell r="L1415">
            <v>5.47</v>
          </cell>
          <cell r="M1415">
            <v>4.42</v>
          </cell>
          <cell r="O1415">
            <v>1.5104</v>
          </cell>
          <cell r="P1415">
            <v>0.92900000000000005</v>
          </cell>
          <cell r="Q1415">
            <v>81.29171151776103</v>
          </cell>
          <cell r="U1415">
            <v>2.2879</v>
          </cell>
          <cell r="V1415">
            <v>97.872</v>
          </cell>
          <cell r="W1415">
            <v>50.408999999999999</v>
          </cell>
        </row>
        <row r="1416">
          <cell r="B1416">
            <v>75.596000000000004</v>
          </cell>
          <cell r="D1416">
            <v>1.4870000000000001</v>
          </cell>
          <cell r="E1416">
            <v>1157.5</v>
          </cell>
          <cell r="F1416">
            <v>12.84836</v>
          </cell>
          <cell r="G1416">
            <v>112.22</v>
          </cell>
          <cell r="I1416">
            <v>3.4438</v>
          </cell>
          <cell r="J1416">
            <v>6.8266</v>
          </cell>
          <cell r="K1416">
            <v>2.79</v>
          </cell>
          <cell r="L1416">
            <v>5.38</v>
          </cell>
          <cell r="M1416">
            <v>4.34</v>
          </cell>
          <cell r="O1416">
            <v>1.5105</v>
          </cell>
          <cell r="P1416">
            <v>0.92459999999999998</v>
          </cell>
          <cell r="Q1416">
            <v>81.68397144711227</v>
          </cell>
          <cell r="U1416">
            <v>2.2545000000000002</v>
          </cell>
          <cell r="V1416">
            <v>106.97199999999999</v>
          </cell>
          <cell r="W1416">
            <v>50.595999999999997</v>
          </cell>
        </row>
        <row r="1417">
          <cell r="B1417">
            <v>75.334000000000003</v>
          </cell>
          <cell r="D1417">
            <v>1.4903</v>
          </cell>
          <cell r="E1417">
            <v>1160.32</v>
          </cell>
          <cell r="F1417">
            <v>12.91225</v>
          </cell>
          <cell r="G1417">
            <v>110.33</v>
          </cell>
          <cell r="I1417">
            <v>3.4177</v>
          </cell>
          <cell r="J1417">
            <v>6.8262999999999998</v>
          </cell>
          <cell r="K1417">
            <v>2.79</v>
          </cell>
          <cell r="L1417">
            <v>5.38</v>
          </cell>
          <cell r="M1417">
            <v>4.2699999999999996</v>
          </cell>
          <cell r="O1417">
            <v>1.5093000000000001</v>
          </cell>
          <cell r="P1417">
            <v>0.93310000000000004</v>
          </cell>
          <cell r="Q1417">
            <v>80.875576036866363</v>
          </cell>
          <cell r="U1417">
            <v>2.2543000000000002</v>
          </cell>
          <cell r="V1417">
            <v>102.49299999999999</v>
          </cell>
          <cell r="W1417">
            <v>54.076000000000001</v>
          </cell>
        </row>
        <row r="1418">
          <cell r="B1418">
            <v>75.334000000000003</v>
          </cell>
          <cell r="D1418">
            <v>1.4903</v>
          </cell>
          <cell r="E1418">
            <v>1160.32</v>
          </cell>
          <cell r="F1418">
            <v>12.91225</v>
          </cell>
          <cell r="G1418">
            <v>113.03</v>
          </cell>
          <cell r="I1418">
            <v>3.4177</v>
          </cell>
          <cell r="J1418">
            <v>6.8262999999999998</v>
          </cell>
          <cell r="K1418">
            <v>2.79</v>
          </cell>
          <cell r="L1418">
            <v>5.38</v>
          </cell>
          <cell r="M1418">
            <v>4.2699999999999996</v>
          </cell>
          <cell r="O1418">
            <v>1.5093000000000001</v>
          </cell>
          <cell r="P1418">
            <v>0.93310000000000004</v>
          </cell>
          <cell r="Q1418">
            <v>80.875576036866363</v>
          </cell>
          <cell r="U1418">
            <v>2.2543000000000002</v>
          </cell>
          <cell r="V1418">
            <v>102.49299999999999</v>
          </cell>
          <cell r="W1418">
            <v>54.076000000000001</v>
          </cell>
        </row>
        <row r="1419">
          <cell r="B1419">
            <v>75.334000000000003</v>
          </cell>
          <cell r="D1419">
            <v>1.4903</v>
          </cell>
          <cell r="E1419">
            <v>1160.32</v>
          </cell>
          <cell r="F1419">
            <v>12.91225</v>
          </cell>
          <cell r="G1419">
            <v>113.03</v>
          </cell>
          <cell r="I1419">
            <v>3.4177</v>
          </cell>
          <cell r="J1419">
            <v>6.8262999999999998</v>
          </cell>
          <cell r="K1419">
            <v>2.79</v>
          </cell>
          <cell r="L1419">
            <v>5.38</v>
          </cell>
          <cell r="M1419">
            <v>4.2699999999999996</v>
          </cell>
          <cell r="O1419">
            <v>1.5093000000000001</v>
          </cell>
          <cell r="P1419">
            <v>0.93310000000000004</v>
          </cell>
          <cell r="Q1419">
            <v>80.875576036866363</v>
          </cell>
          <cell r="U1419">
            <v>2.2543000000000002</v>
          </cell>
          <cell r="V1419">
            <v>102.49299999999999</v>
          </cell>
          <cell r="W1419">
            <v>54.076000000000001</v>
          </cell>
        </row>
        <row r="1420">
          <cell r="B1420">
            <v>74.894000000000005</v>
          </cell>
          <cell r="D1420">
            <v>1.4957</v>
          </cell>
          <cell r="E1420">
            <v>1154.92</v>
          </cell>
          <cell r="F1420">
            <v>12.93319</v>
          </cell>
          <cell r="G1420">
            <v>110.17</v>
          </cell>
          <cell r="I1420">
            <v>3.3342999999999998</v>
          </cell>
          <cell r="J1420">
            <v>6.827</v>
          </cell>
          <cell r="K1420">
            <v>2.79</v>
          </cell>
          <cell r="L1420">
            <v>5.46</v>
          </cell>
          <cell r="M1420">
            <v>4.29</v>
          </cell>
          <cell r="O1420">
            <v>1.5091000000000001</v>
          </cell>
          <cell r="P1420">
            <v>0.93659999999999999</v>
          </cell>
          <cell r="Q1420">
            <v>80.562673499893236</v>
          </cell>
          <cell r="U1420">
            <v>2.1842000000000001</v>
          </cell>
          <cell r="V1420">
            <v>98.927999999999997</v>
          </cell>
          <cell r="W1420">
            <v>55.267000000000003</v>
          </cell>
        </row>
        <row r="1421">
          <cell r="B1421">
            <v>75.369</v>
          </cell>
          <cell r="D1421">
            <v>1.4845999999999999</v>
          </cell>
          <cell r="E1421">
            <v>1154.3</v>
          </cell>
          <cell r="F1421">
            <v>12.94999</v>
          </cell>
          <cell r="G1421">
            <v>110.28</v>
          </cell>
          <cell r="I1421">
            <v>3.3231999999999999</v>
          </cell>
          <cell r="J1421">
            <v>6.8265000000000002</v>
          </cell>
          <cell r="K1421">
            <v>2.79</v>
          </cell>
          <cell r="L1421">
            <v>5.4</v>
          </cell>
          <cell r="M1421">
            <v>4.24</v>
          </cell>
          <cell r="O1421">
            <v>1.5117</v>
          </cell>
          <cell r="P1421">
            <v>0.92749999999999999</v>
          </cell>
          <cell r="Q1421">
            <v>81.493261455525612</v>
          </cell>
          <cell r="U1421">
            <v>2.1640999999999999</v>
          </cell>
          <cell r="V1421">
            <v>98.332999999999998</v>
          </cell>
          <cell r="W1421">
            <v>55.267000000000003</v>
          </cell>
        </row>
        <row r="1422">
          <cell r="B1422">
            <v>75.185000000000002</v>
          </cell>
          <cell r="D1422">
            <v>1.4954000000000001</v>
          </cell>
          <cell r="E1422">
            <v>1153.1300000000001</v>
          </cell>
          <cell r="F1422">
            <v>12.901730000000001</v>
          </cell>
          <cell r="G1422">
            <v>110.32</v>
          </cell>
          <cell r="I1422">
            <v>3.3637999999999999</v>
          </cell>
          <cell r="J1422">
            <v>6.827</v>
          </cell>
          <cell r="K1422">
            <v>2.79</v>
          </cell>
          <cell r="L1422">
            <v>5.41</v>
          </cell>
          <cell r="M1422">
            <v>4.2699999999999996</v>
          </cell>
          <cell r="O1422">
            <v>1.5112000000000001</v>
          </cell>
          <cell r="P1422">
            <v>0.92779999999999996</v>
          </cell>
          <cell r="Q1422">
            <v>81.439965509808161</v>
          </cell>
          <cell r="U1422">
            <v>2.1905999999999999</v>
          </cell>
          <cell r="V1422">
            <v>92.634</v>
          </cell>
          <cell r="W1422">
            <v>57.167000000000002</v>
          </cell>
        </row>
        <row r="1423">
          <cell r="B1423">
            <v>75.293000000000006</v>
          </cell>
          <cell r="D1423">
            <v>1.4908000000000001</v>
          </cell>
          <cell r="E1423">
            <v>1157.1500000000001</v>
          </cell>
          <cell r="F1423">
            <v>13.09226</v>
          </cell>
          <cell r="G1423">
            <v>110.29</v>
          </cell>
          <cell r="I1423">
            <v>3.3361000000000001</v>
          </cell>
          <cell r="J1423">
            <v>6.8284000000000002</v>
          </cell>
          <cell r="K1423">
            <v>2.79</v>
          </cell>
          <cell r="L1423">
            <v>5.35</v>
          </cell>
          <cell r="M1423">
            <v>4.24</v>
          </cell>
          <cell r="O1423">
            <v>1.5118</v>
          </cell>
          <cell r="P1423">
            <v>0.9173</v>
          </cell>
          <cell r="Q1423">
            <v>82.404883898397472</v>
          </cell>
          <cell r="U1423">
            <v>2.1471999999999998</v>
          </cell>
          <cell r="V1423">
            <v>98.355999999999995</v>
          </cell>
          <cell r="W1423">
            <v>62.563000000000002</v>
          </cell>
        </row>
        <row r="1424">
          <cell r="B1424">
            <v>75.656000000000006</v>
          </cell>
          <cell r="D1424">
            <v>1.4862</v>
          </cell>
          <cell r="E1424">
            <v>1159.05</v>
          </cell>
          <cell r="F1424">
            <v>13.07573</v>
          </cell>
          <cell r="G1424">
            <v>105.54</v>
          </cell>
          <cell r="I1424">
            <v>3.3656000000000001</v>
          </cell>
          <cell r="J1424">
            <v>6.8277999999999999</v>
          </cell>
          <cell r="K1424">
            <v>2.79</v>
          </cell>
          <cell r="L1424">
            <v>5.34</v>
          </cell>
          <cell r="M1424">
            <v>4.26</v>
          </cell>
          <cell r="O1424">
            <v>1.5129000000000001</v>
          </cell>
          <cell r="P1424">
            <v>0.91369999999999996</v>
          </cell>
          <cell r="Q1424">
            <v>82.789755937397402</v>
          </cell>
          <cell r="U1424">
            <v>2.1768999999999998</v>
          </cell>
          <cell r="V1424">
            <v>99.741</v>
          </cell>
          <cell r="W1424">
            <v>61.618000000000002</v>
          </cell>
        </row>
        <row r="1425">
          <cell r="B1425">
            <v>75.656000000000006</v>
          </cell>
          <cell r="D1425">
            <v>1.4862</v>
          </cell>
          <cell r="E1425">
            <v>1159.05</v>
          </cell>
          <cell r="F1425">
            <v>13.07573</v>
          </cell>
          <cell r="G1425">
            <v>105.54</v>
          </cell>
          <cell r="I1425">
            <v>3.3656000000000001</v>
          </cell>
          <cell r="J1425">
            <v>6.8277999999999999</v>
          </cell>
          <cell r="K1425">
            <v>2.79</v>
          </cell>
          <cell r="L1425">
            <v>5.34</v>
          </cell>
          <cell r="M1425">
            <v>4.26</v>
          </cell>
          <cell r="O1425">
            <v>1.5129000000000001</v>
          </cell>
          <cell r="P1425">
            <v>0.91369999999999996</v>
          </cell>
          <cell r="Q1425">
            <v>82.789755937397402</v>
          </cell>
          <cell r="U1425">
            <v>2.1768999999999998</v>
          </cell>
          <cell r="V1425">
            <v>99.741</v>
          </cell>
          <cell r="W1425">
            <v>61.618000000000002</v>
          </cell>
        </row>
        <row r="1426">
          <cell r="B1426">
            <v>75.656000000000006</v>
          </cell>
          <cell r="D1426">
            <v>1.4862</v>
          </cell>
          <cell r="E1426">
            <v>1159.05</v>
          </cell>
          <cell r="F1426">
            <v>13.07573</v>
          </cell>
          <cell r="G1426">
            <v>105.54</v>
          </cell>
          <cell r="I1426">
            <v>3.3656000000000001</v>
          </cell>
          <cell r="J1426">
            <v>6.8277999999999999</v>
          </cell>
          <cell r="K1426">
            <v>2.79</v>
          </cell>
          <cell r="L1426">
            <v>5.34</v>
          </cell>
          <cell r="M1426">
            <v>4.26</v>
          </cell>
          <cell r="O1426">
            <v>1.5129000000000001</v>
          </cell>
          <cell r="P1426">
            <v>0.91369999999999996</v>
          </cell>
          <cell r="Q1426">
            <v>82.789755937397402</v>
          </cell>
          <cell r="U1426">
            <v>2.1768999999999998</v>
          </cell>
          <cell r="V1426">
            <v>99.741</v>
          </cell>
          <cell r="W1426">
            <v>61.618000000000002</v>
          </cell>
        </row>
        <row r="1427">
          <cell r="B1427">
            <v>75.084999999999994</v>
          </cell>
          <cell r="D1427">
            <v>1.4979</v>
          </cell>
          <cell r="E1427">
            <v>1155.77</v>
          </cell>
          <cell r="F1427">
            <v>12.92216</v>
          </cell>
          <cell r="G1427">
            <v>105.31</v>
          </cell>
          <cell r="I1427">
            <v>3.3489</v>
          </cell>
          <cell r="J1427">
            <v>6.8308999999999997</v>
          </cell>
          <cell r="K1427">
            <v>2.79</v>
          </cell>
          <cell r="L1427">
            <v>5.38</v>
          </cell>
          <cell r="M1427">
            <v>4.3</v>
          </cell>
          <cell r="O1427">
            <v>1.5114000000000001</v>
          </cell>
          <cell r="P1427">
            <v>0.92500000000000004</v>
          </cell>
          <cell r="Q1427">
            <v>81.697297297297297</v>
          </cell>
          <cell r="U1427">
            <v>2.1667000000000001</v>
          </cell>
          <cell r="V1427">
            <v>104.566</v>
          </cell>
          <cell r="W1427">
            <v>61.408999999999999</v>
          </cell>
        </row>
        <row r="1428">
          <cell r="B1428">
            <v>75.067999999999998</v>
          </cell>
          <cell r="D1428">
            <v>1.4948999999999999</v>
          </cell>
          <cell r="E1428">
            <v>1156.8499999999999</v>
          </cell>
          <cell r="F1428">
            <v>13.066409999999999</v>
          </cell>
          <cell r="G1428">
            <v>105.13</v>
          </cell>
          <cell r="I1428">
            <v>3.3027000000000002</v>
          </cell>
          <cell r="J1428">
            <v>6.8299000000000003</v>
          </cell>
          <cell r="K1428">
            <v>2.79</v>
          </cell>
          <cell r="L1428">
            <v>5.37</v>
          </cell>
          <cell r="M1428">
            <v>4.28</v>
          </cell>
          <cell r="O1428">
            <v>1.5106999999999999</v>
          </cell>
          <cell r="P1428">
            <v>0.91600000000000004</v>
          </cell>
          <cell r="Q1428">
            <v>82.461790393013089</v>
          </cell>
          <cell r="U1428">
            <v>2.09</v>
          </cell>
          <cell r="V1428">
            <v>93.676000000000002</v>
          </cell>
          <cell r="W1428">
            <v>62.688000000000002</v>
          </cell>
        </row>
        <row r="1429">
          <cell r="B1429">
            <v>74.269000000000005</v>
          </cell>
          <cell r="D1429">
            <v>1.508</v>
          </cell>
          <cell r="E1429">
            <v>1153.4000000000001</v>
          </cell>
          <cell r="F1429">
            <v>13.15218</v>
          </cell>
          <cell r="G1429">
            <v>105.35</v>
          </cell>
          <cell r="I1429">
            <v>3.2694999999999999</v>
          </cell>
          <cell r="J1429">
            <v>6.8272000000000004</v>
          </cell>
          <cell r="K1429">
            <v>2.79</v>
          </cell>
          <cell r="L1429">
            <v>5.34</v>
          </cell>
          <cell r="M1429">
            <v>4.25</v>
          </cell>
          <cell r="O1429">
            <v>1.5091000000000001</v>
          </cell>
          <cell r="P1429">
            <v>0.92769999999999997</v>
          </cell>
          <cell r="Q1429">
            <v>81.335561064999467</v>
          </cell>
          <cell r="U1429">
            <v>2.1051000000000002</v>
          </cell>
          <cell r="V1429">
            <v>96.168000000000006</v>
          </cell>
          <cell r="W1429">
            <v>63.652999999999999</v>
          </cell>
        </row>
        <row r="1430">
          <cell r="B1430">
            <v>74.825999999999993</v>
          </cell>
          <cell r="D1430">
            <v>1.5011000000000001</v>
          </cell>
          <cell r="E1430">
            <v>1155.3499999999999</v>
          </cell>
          <cell r="F1430">
            <v>13.430149999999999</v>
          </cell>
          <cell r="G1430">
            <v>105.16</v>
          </cell>
          <cell r="I1430">
            <v>3.2694000000000001</v>
          </cell>
          <cell r="J1430">
            <v>6.8265000000000002</v>
          </cell>
          <cell r="K1430">
            <v>2.79</v>
          </cell>
          <cell r="L1430">
            <v>5.31</v>
          </cell>
          <cell r="M1430">
            <v>4.2</v>
          </cell>
          <cell r="O1430">
            <v>1.5059</v>
          </cell>
          <cell r="P1430">
            <v>0.91269999999999996</v>
          </cell>
          <cell r="Q1430">
            <v>82.496986961761806</v>
          </cell>
          <cell r="U1430">
            <v>2.1084999999999998</v>
          </cell>
          <cell r="V1430">
            <v>105.048</v>
          </cell>
          <cell r="W1430">
            <v>64.126999999999995</v>
          </cell>
        </row>
        <row r="1431">
          <cell r="B1431">
            <v>74.995999999999995</v>
          </cell>
          <cell r="D1431">
            <v>1.4988000000000001</v>
          </cell>
          <cell r="E1431">
            <v>1175.3499999999999</v>
          </cell>
          <cell r="F1431">
            <v>13.48352</v>
          </cell>
          <cell r="G1431">
            <v>105.09</v>
          </cell>
          <cell r="I1431">
            <v>3.2050999999999998</v>
          </cell>
          <cell r="J1431">
            <v>6.8284000000000002</v>
          </cell>
          <cell r="K1431">
            <v>2.79</v>
          </cell>
          <cell r="L1431">
            <v>5.24</v>
          </cell>
          <cell r="M1431">
            <v>4.05</v>
          </cell>
          <cell r="O1431">
            <v>1.5061</v>
          </cell>
          <cell r="P1431">
            <v>0.90639999999999998</v>
          </cell>
          <cell r="Q1431">
            <v>83.081421006178289</v>
          </cell>
          <cell r="U1431">
            <v>2.0390999999999999</v>
          </cell>
          <cell r="V1431">
            <v>112.492</v>
          </cell>
          <cell r="W1431">
            <v>66.001999999999995</v>
          </cell>
        </row>
        <row r="1432">
          <cell r="B1432">
            <v>74.995999999999995</v>
          </cell>
          <cell r="D1432">
            <v>1.4988000000000001</v>
          </cell>
          <cell r="E1432">
            <v>1175.3499999999999</v>
          </cell>
          <cell r="F1432">
            <v>13.48352</v>
          </cell>
          <cell r="G1432">
            <v>104.49</v>
          </cell>
          <cell r="I1432">
            <v>3.2050999999999998</v>
          </cell>
          <cell r="J1432">
            <v>6.8284000000000002</v>
          </cell>
          <cell r="K1432">
            <v>2.79</v>
          </cell>
          <cell r="L1432">
            <v>5.24</v>
          </cell>
          <cell r="M1432">
            <v>4.05</v>
          </cell>
          <cell r="O1432">
            <v>1.5061</v>
          </cell>
          <cell r="P1432">
            <v>0.90639999999999998</v>
          </cell>
          <cell r="Q1432">
            <v>83.081421006178289</v>
          </cell>
          <cell r="U1432">
            <v>2.0390999999999999</v>
          </cell>
          <cell r="V1432">
            <v>112.492</v>
          </cell>
          <cell r="W1432">
            <v>66.001999999999995</v>
          </cell>
        </row>
        <row r="1433">
          <cell r="B1433">
            <v>74.995999999999995</v>
          </cell>
          <cell r="D1433">
            <v>1.4988000000000001</v>
          </cell>
          <cell r="E1433">
            <v>1175.3499999999999</v>
          </cell>
          <cell r="F1433">
            <v>13.48352</v>
          </cell>
          <cell r="G1433">
            <v>104.49</v>
          </cell>
          <cell r="I1433">
            <v>3.2050999999999998</v>
          </cell>
          <cell r="J1433">
            <v>6.8284000000000002</v>
          </cell>
          <cell r="K1433">
            <v>2.79</v>
          </cell>
          <cell r="L1433">
            <v>5.24</v>
          </cell>
          <cell r="M1433">
            <v>4.05</v>
          </cell>
          <cell r="O1433">
            <v>1.5061</v>
          </cell>
          <cell r="P1433">
            <v>0.90639999999999998</v>
          </cell>
          <cell r="Q1433">
            <v>83.081421006178289</v>
          </cell>
          <cell r="U1433">
            <v>2.0390999999999999</v>
          </cell>
          <cell r="V1433">
            <v>112.492</v>
          </cell>
          <cell r="W1433">
            <v>66.001999999999995</v>
          </cell>
        </row>
        <row r="1434">
          <cell r="B1434">
            <v>74.879000000000005</v>
          </cell>
          <cell r="D1434">
            <v>1.4976</v>
          </cell>
          <cell r="E1434">
            <v>1162.8499999999999</v>
          </cell>
          <cell r="F1434">
            <v>13.50831</v>
          </cell>
          <cell r="G1434">
            <v>110.12</v>
          </cell>
          <cell r="I1434">
            <v>3.1978</v>
          </cell>
          <cell r="J1434">
            <v>6.8270999999999997</v>
          </cell>
          <cell r="K1434">
            <v>2.79</v>
          </cell>
          <cell r="L1434">
            <v>5.25</v>
          </cell>
          <cell r="M1434">
            <v>4.0999999999999996</v>
          </cell>
          <cell r="O1434">
            <v>1.5070999999999999</v>
          </cell>
          <cell r="P1434">
            <v>0.9123</v>
          </cell>
          <cell r="Q1434">
            <v>82.598925791954386</v>
          </cell>
          <cell r="U1434">
            <v>1.9996</v>
          </cell>
          <cell r="V1434">
            <v>106.23699999999999</v>
          </cell>
          <cell r="W1434">
            <v>65.459000000000003</v>
          </cell>
        </row>
        <row r="1435">
          <cell r="B1435">
            <v>74.364999999999995</v>
          </cell>
          <cell r="D1435">
            <v>1.5093999999999999</v>
          </cell>
          <cell r="E1435">
            <v>1161.1300000000001</v>
          </cell>
          <cell r="F1435">
            <v>13.35392</v>
          </cell>
          <cell r="G1435">
            <v>110.18</v>
          </cell>
          <cell r="I1435">
            <v>3.2822</v>
          </cell>
          <cell r="J1435">
            <v>6.8266</v>
          </cell>
          <cell r="K1435">
            <v>2.79</v>
          </cell>
          <cell r="L1435">
            <v>5.22</v>
          </cell>
          <cell r="M1435">
            <v>4.05</v>
          </cell>
          <cell r="O1435">
            <v>1.5077</v>
          </cell>
          <cell r="P1435">
            <v>0.92390000000000005</v>
          </cell>
          <cell r="Q1435">
            <v>81.594328390518456</v>
          </cell>
          <cell r="U1435">
            <v>2.0356999999999998</v>
          </cell>
          <cell r="V1435">
            <v>103.46599999999999</v>
          </cell>
          <cell r="W1435">
            <v>62.24</v>
          </cell>
        </row>
        <row r="1436">
          <cell r="B1436">
            <v>74.668999999999997</v>
          </cell>
          <cell r="D1436">
            <v>1.5043</v>
          </cell>
          <cell r="E1436">
            <v>1153.93</v>
          </cell>
          <cell r="F1436">
            <v>13.20956</v>
          </cell>
          <cell r="G1436">
            <v>110.11</v>
          </cell>
          <cell r="I1436">
            <v>3.3098999999999998</v>
          </cell>
          <cell r="J1436">
            <v>6.8262999999999998</v>
          </cell>
          <cell r="K1436">
            <v>2.79</v>
          </cell>
          <cell r="L1436">
            <v>5.3</v>
          </cell>
          <cell r="M1436">
            <v>4.13</v>
          </cell>
          <cell r="O1436">
            <v>1.5072999999999999</v>
          </cell>
          <cell r="P1436">
            <v>0.92490000000000006</v>
          </cell>
          <cell r="Q1436">
            <v>81.484484809168549</v>
          </cell>
          <cell r="U1436">
            <v>2.0884999999999998</v>
          </cell>
          <cell r="V1436">
            <v>100.44199999999999</v>
          </cell>
          <cell r="W1436">
            <v>60.619</v>
          </cell>
        </row>
        <row r="1437">
          <cell r="B1437">
            <v>74.631</v>
          </cell>
          <cell r="D1437">
            <v>1.5084</v>
          </cell>
          <cell r="E1437">
            <v>1155.2</v>
          </cell>
          <cell r="F1437">
            <v>13.043380000000001</v>
          </cell>
          <cell r="G1437">
            <v>109.58</v>
          </cell>
          <cell r="I1437">
            <v>3.3841999999999999</v>
          </cell>
          <cell r="J1437">
            <v>6.827</v>
          </cell>
          <cell r="K1437">
            <v>2.79</v>
          </cell>
          <cell r="L1437">
            <v>5.28</v>
          </cell>
          <cell r="M1437">
            <v>4.12</v>
          </cell>
          <cell r="O1437">
            <v>1.5068999999999999</v>
          </cell>
          <cell r="P1437">
            <v>0.92710000000000004</v>
          </cell>
          <cell r="Q1437">
            <v>81.269550210333279</v>
          </cell>
          <cell r="U1437">
            <v>2.1183000000000001</v>
          </cell>
          <cell r="V1437">
            <v>97.08</v>
          </cell>
          <cell r="W1437">
            <v>60.295999999999999</v>
          </cell>
        </row>
        <row r="1438">
          <cell r="B1438">
            <v>75.911000000000001</v>
          </cell>
          <cell r="D1438">
            <v>1.4858</v>
          </cell>
          <cell r="E1438">
            <v>1152.93</v>
          </cell>
          <cell r="F1438">
            <v>12.84421</v>
          </cell>
          <cell r="G1438">
            <v>110.58</v>
          </cell>
          <cell r="I1438">
            <v>3.4722</v>
          </cell>
          <cell r="J1438">
            <v>6.827</v>
          </cell>
          <cell r="K1438">
            <v>2.79</v>
          </cell>
          <cell r="L1438">
            <v>5.27</v>
          </cell>
          <cell r="M1438">
            <v>4.16</v>
          </cell>
          <cell r="O1438">
            <v>1.5097</v>
          </cell>
          <cell r="P1438">
            <v>0.91549999999999998</v>
          </cell>
          <cell r="Q1438">
            <v>82.452211906062274</v>
          </cell>
          <cell r="U1438">
            <v>2.2416</v>
          </cell>
          <cell r="V1438">
            <v>92.789000000000001</v>
          </cell>
          <cell r="W1438">
            <v>57.591000000000001</v>
          </cell>
        </row>
        <row r="1439">
          <cell r="B1439">
            <v>75.911000000000001</v>
          </cell>
          <cell r="D1439">
            <v>1.4858</v>
          </cell>
          <cell r="E1439">
            <v>1152.93</v>
          </cell>
          <cell r="F1439">
            <v>12.84421</v>
          </cell>
          <cell r="G1439">
            <v>110.78</v>
          </cell>
          <cell r="I1439">
            <v>3.4722</v>
          </cell>
          <cell r="J1439">
            <v>6.827</v>
          </cell>
          <cell r="K1439">
            <v>2.79</v>
          </cell>
          <cell r="L1439">
            <v>5.27</v>
          </cell>
          <cell r="M1439">
            <v>4.16</v>
          </cell>
          <cell r="O1439">
            <v>1.5097</v>
          </cell>
          <cell r="P1439">
            <v>0.91549999999999998</v>
          </cell>
          <cell r="Q1439">
            <v>82.452211906062274</v>
          </cell>
          <cell r="U1439">
            <v>2.2416</v>
          </cell>
          <cell r="V1439">
            <v>92.789000000000001</v>
          </cell>
          <cell r="W1439">
            <v>57.591000000000001</v>
          </cell>
        </row>
        <row r="1440">
          <cell r="B1440">
            <v>75.911000000000001</v>
          </cell>
          <cell r="D1440">
            <v>1.4858</v>
          </cell>
          <cell r="E1440">
            <v>1152.93</v>
          </cell>
          <cell r="F1440">
            <v>12.84421</v>
          </cell>
          <cell r="G1440">
            <v>110.78</v>
          </cell>
          <cell r="I1440">
            <v>3.4722</v>
          </cell>
          <cell r="J1440">
            <v>6.827</v>
          </cell>
          <cell r="K1440">
            <v>2.79</v>
          </cell>
          <cell r="L1440">
            <v>5.27</v>
          </cell>
          <cell r="M1440">
            <v>4.16</v>
          </cell>
          <cell r="O1440">
            <v>1.5097</v>
          </cell>
          <cell r="P1440">
            <v>0.91549999999999998</v>
          </cell>
          <cell r="Q1440">
            <v>82.452211906062274</v>
          </cell>
          <cell r="U1440">
            <v>2.2416</v>
          </cell>
          <cell r="V1440">
            <v>92.789000000000001</v>
          </cell>
          <cell r="W1440">
            <v>57.591000000000001</v>
          </cell>
        </row>
        <row r="1441">
          <cell r="B1441">
            <v>75.766999999999996</v>
          </cell>
          <cell r="D1441">
            <v>1.4847999999999999</v>
          </cell>
          <cell r="E1441">
            <v>1153.3800000000001</v>
          </cell>
          <cell r="F1441">
            <v>12.94078</v>
          </cell>
          <cell r="G1441">
            <v>110.2</v>
          </cell>
          <cell r="I1441">
            <v>3.4289999999999998</v>
          </cell>
          <cell r="J1441">
            <v>6.8291000000000004</v>
          </cell>
          <cell r="K1441">
            <v>2.79</v>
          </cell>
          <cell r="L1441">
            <v>5.32</v>
          </cell>
          <cell r="M1441">
            <v>4.24</v>
          </cell>
          <cell r="O1441">
            <v>1.5119</v>
          </cell>
          <cell r="P1441">
            <v>0.91579999999999995</v>
          </cell>
          <cell r="Q1441">
            <v>82.545315571085396</v>
          </cell>
          <cell r="U1441">
            <v>2.1715</v>
          </cell>
          <cell r="V1441">
            <v>90.536000000000001</v>
          </cell>
          <cell r="W1441">
            <v>57.878</v>
          </cell>
        </row>
        <row r="1442">
          <cell r="B1442">
            <v>76.31</v>
          </cell>
          <cell r="D1442">
            <v>1.4721</v>
          </cell>
          <cell r="E1442">
            <v>1155.2</v>
          </cell>
          <cell r="F1442">
            <v>13.15465</v>
          </cell>
          <cell r="G1442">
            <v>110.76</v>
          </cell>
          <cell r="I1442">
            <v>3.3803999999999998</v>
          </cell>
          <cell r="J1442">
            <v>6.8274999999999997</v>
          </cell>
          <cell r="K1442">
            <v>2.79</v>
          </cell>
          <cell r="L1442">
            <v>5.25</v>
          </cell>
          <cell r="M1442">
            <v>4.2</v>
          </cell>
          <cell r="O1442">
            <v>1.5106000000000002</v>
          </cell>
          <cell r="P1442">
            <v>0.90649999999999997</v>
          </cell>
          <cell r="Q1442">
            <v>83.320463320463332</v>
          </cell>
          <cell r="U1442">
            <v>2.105</v>
          </cell>
          <cell r="V1442">
            <v>89.171999999999997</v>
          </cell>
          <cell r="W1442">
            <v>61.764000000000003</v>
          </cell>
        </row>
        <row r="1443">
          <cell r="B1443">
            <v>76.037999999999997</v>
          </cell>
          <cell r="D1443">
            <v>1.4695</v>
          </cell>
          <cell r="E1443">
            <v>1161.7</v>
          </cell>
          <cell r="F1443">
            <v>13.22795</v>
          </cell>
          <cell r="G1443">
            <v>110.42</v>
          </cell>
          <cell r="I1443">
            <v>3.4327999999999999</v>
          </cell>
          <cell r="J1443">
            <v>6.8276000000000003</v>
          </cell>
          <cell r="K1443">
            <v>2.79</v>
          </cell>
          <cell r="L1443">
            <v>5.24</v>
          </cell>
          <cell r="M1443">
            <v>4.17</v>
          </cell>
          <cell r="O1443">
            <v>1.5112999999999999</v>
          </cell>
          <cell r="P1443">
            <v>0.90449999999999997</v>
          </cell>
          <cell r="Q1443">
            <v>83.543394140409063</v>
          </cell>
          <cell r="U1443">
            <v>2.1448999999999998</v>
          </cell>
          <cell r="V1443">
            <v>89.706999999999994</v>
          </cell>
          <cell r="W1443">
            <v>68.998999999999995</v>
          </cell>
        </row>
        <row r="1444">
          <cell r="B1444">
            <v>76.045000000000002</v>
          </cell>
          <cell r="D1444">
            <v>1.4708999999999999</v>
          </cell>
          <cell r="E1444">
            <v>1165.42</v>
          </cell>
          <cell r="F1444">
            <v>13.17445</v>
          </cell>
          <cell r="G1444">
            <v>110.33</v>
          </cell>
          <cell r="I1444">
            <v>3.4967000000000001</v>
          </cell>
          <cell r="J1444">
            <v>6.8266</v>
          </cell>
          <cell r="K1444">
            <v>2.79</v>
          </cell>
          <cell r="L1444">
            <v>5.32</v>
          </cell>
          <cell r="M1444">
            <v>4.26</v>
          </cell>
          <cell r="O1444">
            <v>1.5108000000000001</v>
          </cell>
          <cell r="P1444">
            <v>0.9153</v>
          </cell>
          <cell r="Q1444">
            <v>82.53031792854803</v>
          </cell>
          <cell r="U1444">
            <v>2.1882999999999999</v>
          </cell>
          <cell r="V1444">
            <v>89.501000000000005</v>
          </cell>
          <cell r="W1444">
            <v>66.366</v>
          </cell>
        </row>
        <row r="1445">
          <cell r="B1445">
            <v>76.572999999999993</v>
          </cell>
          <cell r="D1445">
            <v>1.4615</v>
          </cell>
          <cell r="E1445">
            <v>1164.05</v>
          </cell>
          <cell r="F1445">
            <v>13.058479999999999</v>
          </cell>
          <cell r="G1445">
            <v>90.12</v>
          </cell>
          <cell r="I1445">
            <v>3.5497999999999998</v>
          </cell>
          <cell r="J1445">
            <v>6.8276000000000003</v>
          </cell>
          <cell r="K1445">
            <v>2.79</v>
          </cell>
          <cell r="L1445">
            <v>5.3</v>
          </cell>
          <cell r="M1445">
            <v>4.22</v>
          </cell>
          <cell r="O1445">
            <v>1.5121</v>
          </cell>
          <cell r="P1445">
            <v>0.91200000000000003</v>
          </cell>
          <cell r="Q1445">
            <v>82.900219298245617</v>
          </cell>
          <cell r="U1445">
            <v>2.2486999999999999</v>
          </cell>
          <cell r="V1445">
            <v>89.927999999999997</v>
          </cell>
          <cell r="W1445">
            <v>64.073999999999998</v>
          </cell>
        </row>
        <row r="1446">
          <cell r="B1446">
            <v>76.572999999999993</v>
          </cell>
          <cell r="D1446">
            <v>1.4615</v>
          </cell>
          <cell r="E1446">
            <v>1164.05</v>
          </cell>
          <cell r="F1446">
            <v>13.058479999999999</v>
          </cell>
          <cell r="G1446">
            <v>90.12</v>
          </cell>
          <cell r="I1446">
            <v>3.5497999999999998</v>
          </cell>
          <cell r="J1446">
            <v>6.8276000000000003</v>
          </cell>
          <cell r="K1446">
            <v>2.79</v>
          </cell>
          <cell r="L1446">
            <v>5.3</v>
          </cell>
          <cell r="M1446">
            <v>4.22</v>
          </cell>
          <cell r="O1446">
            <v>1.5121</v>
          </cell>
          <cell r="P1446">
            <v>0.91200000000000003</v>
          </cell>
          <cell r="Q1446">
            <v>82.900219298245617</v>
          </cell>
          <cell r="U1446">
            <v>2.2486999999999999</v>
          </cell>
          <cell r="V1446">
            <v>89.927999999999997</v>
          </cell>
          <cell r="W1446">
            <v>64.073999999999998</v>
          </cell>
        </row>
        <row r="1447">
          <cell r="B1447">
            <v>76.572999999999993</v>
          </cell>
          <cell r="D1447">
            <v>1.4615</v>
          </cell>
          <cell r="E1447">
            <v>1164.05</v>
          </cell>
          <cell r="F1447">
            <v>13.058479999999999</v>
          </cell>
          <cell r="G1447">
            <v>90.12</v>
          </cell>
          <cell r="I1447">
            <v>3.5497999999999998</v>
          </cell>
          <cell r="J1447">
            <v>6.8276000000000003</v>
          </cell>
          <cell r="K1447">
            <v>2.79</v>
          </cell>
          <cell r="L1447">
            <v>5.3</v>
          </cell>
          <cell r="M1447">
            <v>4.22</v>
          </cell>
          <cell r="O1447">
            <v>1.5121</v>
          </cell>
          <cell r="P1447">
            <v>0.91200000000000003</v>
          </cell>
          <cell r="Q1447">
            <v>82.900219298245617</v>
          </cell>
          <cell r="U1447">
            <v>2.2486999999999999</v>
          </cell>
          <cell r="V1447">
            <v>89.927999999999997</v>
          </cell>
          <cell r="W1447">
            <v>64.073999999999998</v>
          </cell>
        </row>
        <row r="1448">
          <cell r="B1448">
            <v>76.352000000000004</v>
          </cell>
          <cell r="D1448">
            <v>1.4658</v>
          </cell>
          <cell r="E1448">
            <v>1157.1300000000001</v>
          </cell>
          <cell r="F1448">
            <v>13.11904</v>
          </cell>
          <cell r="G1448">
            <v>87.5</v>
          </cell>
          <cell r="I1448">
            <v>3.548</v>
          </cell>
          <cell r="J1448">
            <v>6.8281999999999998</v>
          </cell>
          <cell r="K1448">
            <v>2.79</v>
          </cell>
          <cell r="L1448">
            <v>5.3</v>
          </cell>
          <cell r="M1448">
            <v>4.25</v>
          </cell>
          <cell r="O1448">
            <v>1.5122</v>
          </cell>
          <cell r="P1448">
            <v>0.91690000000000005</v>
          </cell>
          <cell r="Q1448">
            <v>82.462645871959865</v>
          </cell>
          <cell r="U1448">
            <v>2.2856999999999998</v>
          </cell>
          <cell r="V1448">
            <v>86.995999999999995</v>
          </cell>
          <cell r="W1448">
            <v>64.350999999999999</v>
          </cell>
        </row>
        <row r="1449">
          <cell r="B1449">
            <v>76.960999999999999</v>
          </cell>
          <cell r="D1449">
            <v>1.452</v>
          </cell>
          <cell r="E1449">
            <v>1161.55</v>
          </cell>
          <cell r="F1449">
            <v>12.979050000000001</v>
          </cell>
          <cell r="G1449">
            <v>82.29</v>
          </cell>
          <cell r="I1449">
            <v>3.5861000000000001</v>
          </cell>
          <cell r="J1449">
            <v>6.8280000000000003</v>
          </cell>
          <cell r="K1449">
            <v>2.79</v>
          </cell>
          <cell r="L1449">
            <v>5.25</v>
          </cell>
          <cell r="M1449">
            <v>4.18</v>
          </cell>
          <cell r="O1449">
            <v>1.5127000000000002</v>
          </cell>
          <cell r="P1449">
            <v>0.90459999999999996</v>
          </cell>
          <cell r="Q1449">
            <v>83.61154101260226</v>
          </cell>
          <cell r="U1449">
            <v>2.3262999999999998</v>
          </cell>
          <cell r="V1449">
            <v>85.852000000000004</v>
          </cell>
          <cell r="W1449">
            <v>66.540999999999997</v>
          </cell>
        </row>
        <row r="1450">
          <cell r="B1450">
            <v>76.995000000000005</v>
          </cell>
          <cell r="D1450">
            <v>1.4538</v>
          </cell>
          <cell r="E1450">
            <v>1165</v>
          </cell>
          <cell r="F1450">
            <v>12.988860000000001</v>
          </cell>
          <cell r="G1450">
            <v>80.150000000000006</v>
          </cell>
          <cell r="I1450">
            <v>3.5975000000000001</v>
          </cell>
          <cell r="J1450">
            <v>6.8280000000000003</v>
          </cell>
          <cell r="K1450">
            <v>2.83</v>
          </cell>
          <cell r="L1450">
            <v>5.3</v>
          </cell>
          <cell r="M1450">
            <v>4.25</v>
          </cell>
          <cell r="O1450">
            <v>1.5087999999999999</v>
          </cell>
          <cell r="P1450">
            <v>0.89939999999999998</v>
          </cell>
          <cell r="Q1450">
            <v>83.878140982877468</v>
          </cell>
          <cell r="U1450">
            <v>2.3331</v>
          </cell>
          <cell r="V1450">
            <v>85.915999999999997</v>
          </cell>
          <cell r="W1450">
            <v>65.751000000000005</v>
          </cell>
        </row>
        <row r="1451">
          <cell r="B1451">
            <v>77.694000000000003</v>
          </cell>
          <cell r="D1451">
            <v>1.4334</v>
          </cell>
          <cell r="E1451">
            <v>1177.8499999999999</v>
          </cell>
          <cell r="F1451">
            <v>13.194509999999999</v>
          </cell>
          <cell r="G1451">
            <v>80.400000000000006</v>
          </cell>
          <cell r="I1451">
            <v>3.4779999999999998</v>
          </cell>
          <cell r="J1451">
            <v>6.8285999999999998</v>
          </cell>
          <cell r="K1451">
            <v>2.85</v>
          </cell>
          <cell r="L1451">
            <v>5.3</v>
          </cell>
          <cell r="M1451">
            <v>4.24</v>
          </cell>
          <cell r="O1451">
            <v>1.5026000000000002</v>
          </cell>
          <cell r="P1451">
            <v>0.88649999999999995</v>
          </cell>
          <cell r="Q1451">
            <v>84.749012972363232</v>
          </cell>
          <cell r="U1451">
            <v>2.2120000000000002</v>
          </cell>
          <cell r="V1451">
            <v>85.798000000000002</v>
          </cell>
          <cell r="W1451">
            <v>68.454999999999998</v>
          </cell>
        </row>
        <row r="1452">
          <cell r="B1452">
            <v>77.820999999999998</v>
          </cell>
          <cell r="D1452">
            <v>1.4338</v>
          </cell>
          <cell r="E1452">
            <v>1176</v>
          </cell>
          <cell r="F1452">
            <v>13.03678</v>
          </cell>
          <cell r="G1452">
            <v>85.12</v>
          </cell>
          <cell r="I1452">
            <v>3.5367999999999999</v>
          </cell>
          <cell r="J1452">
            <v>6.8280000000000003</v>
          </cell>
          <cell r="K1452">
            <v>2.85</v>
          </cell>
          <cell r="L1452">
            <v>5.25</v>
          </cell>
          <cell r="M1452">
            <v>4.2</v>
          </cell>
          <cell r="O1452">
            <v>1.4935</v>
          </cell>
          <cell r="P1452">
            <v>0.88819999999999999</v>
          </cell>
          <cell r="Q1452">
            <v>84.074532762891238</v>
          </cell>
          <cell r="U1452">
            <v>2.2726999999999999</v>
          </cell>
          <cell r="V1452">
            <v>88.6</v>
          </cell>
          <cell r="W1452">
            <v>69.010999999999996</v>
          </cell>
        </row>
        <row r="1453">
          <cell r="B1453">
            <v>77.820999999999998</v>
          </cell>
          <cell r="D1453">
            <v>1.4338</v>
          </cell>
          <cell r="E1453">
            <v>1176</v>
          </cell>
          <cell r="F1453">
            <v>13.03678</v>
          </cell>
          <cell r="G1453">
            <v>85.12</v>
          </cell>
          <cell r="I1453">
            <v>3.5367999999999999</v>
          </cell>
          <cell r="J1453">
            <v>6.8280000000000003</v>
          </cell>
          <cell r="K1453">
            <v>2.85</v>
          </cell>
          <cell r="L1453">
            <v>5.25</v>
          </cell>
          <cell r="M1453">
            <v>4.2</v>
          </cell>
          <cell r="O1453">
            <v>1.4935</v>
          </cell>
          <cell r="P1453">
            <v>0.88819999999999999</v>
          </cell>
          <cell r="Q1453">
            <v>84.074532762891238</v>
          </cell>
          <cell r="U1453">
            <v>2.2726999999999999</v>
          </cell>
          <cell r="V1453">
            <v>88.6</v>
          </cell>
          <cell r="W1453">
            <v>69.010999999999996</v>
          </cell>
        </row>
        <row r="1454">
          <cell r="B1454">
            <v>77.820999999999998</v>
          </cell>
          <cell r="D1454">
            <v>1.4338</v>
          </cell>
          <cell r="E1454">
            <v>1176</v>
          </cell>
          <cell r="F1454">
            <v>13.03678</v>
          </cell>
          <cell r="G1454">
            <v>85.12</v>
          </cell>
          <cell r="I1454">
            <v>3.5367999999999999</v>
          </cell>
          <cell r="J1454">
            <v>6.8280000000000003</v>
          </cell>
          <cell r="K1454">
            <v>2.85</v>
          </cell>
          <cell r="L1454">
            <v>5.25</v>
          </cell>
          <cell r="M1454">
            <v>4.2</v>
          </cell>
          <cell r="O1454">
            <v>1.4935</v>
          </cell>
          <cell r="P1454">
            <v>0.88819999999999999</v>
          </cell>
          <cell r="Q1454">
            <v>84.074532762891238</v>
          </cell>
          <cell r="U1454">
            <v>2.2726999999999999</v>
          </cell>
          <cell r="V1454">
            <v>88.6</v>
          </cell>
          <cell r="W1454">
            <v>69.010999999999996</v>
          </cell>
        </row>
        <row r="1455">
          <cell r="B1455">
            <v>78.037000000000006</v>
          </cell>
          <cell r="D1455">
            <v>1.4312</v>
          </cell>
          <cell r="E1455">
            <v>1183.6500000000001</v>
          </cell>
          <cell r="F1455">
            <v>13.008900000000001</v>
          </cell>
          <cell r="G1455">
            <v>85.15</v>
          </cell>
          <cell r="I1455">
            <v>3.6745000000000001</v>
          </cell>
          <cell r="J1455">
            <v>6.8285</v>
          </cell>
          <cell r="K1455">
            <v>2.85</v>
          </cell>
          <cell r="L1455">
            <v>5.28</v>
          </cell>
          <cell r="M1455">
            <v>4.1900000000000004</v>
          </cell>
          <cell r="O1455">
            <v>1.4936</v>
          </cell>
          <cell r="P1455">
            <v>0.8821</v>
          </cell>
          <cell r="Q1455">
            <v>84.661602992857951</v>
          </cell>
          <cell r="U1455">
            <v>2.3946999999999998</v>
          </cell>
          <cell r="V1455">
            <v>86.646000000000001</v>
          </cell>
          <cell r="W1455">
            <v>69.596000000000004</v>
          </cell>
        </row>
        <row r="1456">
          <cell r="B1456">
            <v>78.25</v>
          </cell>
          <cell r="D1456">
            <v>1.4275</v>
          </cell>
          <cell r="E1456">
            <v>1180.05</v>
          </cell>
          <cell r="F1456">
            <v>12.875019999999999</v>
          </cell>
          <cell r="G1456">
            <v>85.12</v>
          </cell>
          <cell r="I1456">
            <v>3.7538</v>
          </cell>
          <cell r="J1456">
            <v>6.8281000000000001</v>
          </cell>
          <cell r="K1456">
            <v>2.85</v>
          </cell>
          <cell r="L1456">
            <v>5.37</v>
          </cell>
          <cell r="M1456">
            <v>4.3099999999999996</v>
          </cell>
          <cell r="O1456">
            <v>1.4944999999999999</v>
          </cell>
          <cell r="P1456">
            <v>0.87919999999999998</v>
          </cell>
          <cell r="Q1456">
            <v>84.992038216560502</v>
          </cell>
          <cell r="U1456">
            <v>2.4628999999999999</v>
          </cell>
          <cell r="V1456">
            <v>88.106999999999999</v>
          </cell>
          <cell r="W1456">
            <v>70.724000000000004</v>
          </cell>
        </row>
        <row r="1457">
          <cell r="B1457">
            <v>77.897000000000006</v>
          </cell>
          <cell r="D1457">
            <v>1.4351</v>
          </cell>
          <cell r="E1457">
            <v>1183.5999999999999</v>
          </cell>
          <cell r="F1457">
            <v>12.912430000000001</v>
          </cell>
          <cell r="G1457">
            <v>85.39</v>
          </cell>
          <cell r="I1457">
            <v>3.7481</v>
          </cell>
          <cell r="J1457">
            <v>6.8284000000000002</v>
          </cell>
          <cell r="K1457">
            <v>2.85</v>
          </cell>
          <cell r="L1457">
            <v>5.34</v>
          </cell>
          <cell r="M1457">
            <v>4.28</v>
          </cell>
          <cell r="O1457">
            <v>1.4889000000000001</v>
          </cell>
          <cell r="P1457">
            <v>0.88139999999999996</v>
          </cell>
          <cell r="Q1457">
            <v>84.462219196732477</v>
          </cell>
          <cell r="U1457">
            <v>2.4802</v>
          </cell>
          <cell r="V1457">
            <v>86.183999999999997</v>
          </cell>
          <cell r="W1457">
            <v>69.388999999999996</v>
          </cell>
        </row>
        <row r="1458">
          <cell r="B1458">
            <v>77.733999999999995</v>
          </cell>
          <cell r="D1458">
            <v>1.4355</v>
          </cell>
          <cell r="E1458">
            <v>1175.05</v>
          </cell>
          <cell r="F1458">
            <v>12.81672</v>
          </cell>
          <cell r="G1458">
            <v>85.11</v>
          </cell>
          <cell r="I1458">
            <v>3.8029000000000002</v>
          </cell>
          <cell r="J1458">
            <v>6.8280000000000003</v>
          </cell>
          <cell r="K1458">
            <v>2.85</v>
          </cell>
          <cell r="L1458">
            <v>5.36</v>
          </cell>
          <cell r="M1458">
            <v>4.32</v>
          </cell>
          <cell r="O1458">
            <v>1.4913000000000001</v>
          </cell>
          <cell r="P1458">
            <v>0.8841</v>
          </cell>
          <cell r="Q1458">
            <v>84.340006786562611</v>
          </cell>
          <cell r="U1458">
            <v>2.5356999999999998</v>
          </cell>
          <cell r="V1458">
            <v>88.227999999999994</v>
          </cell>
          <cell r="W1458">
            <v>68</v>
          </cell>
        </row>
        <row r="1459">
          <cell r="B1459">
            <v>77.733999999999995</v>
          </cell>
          <cell r="D1459">
            <v>1.4411</v>
          </cell>
          <cell r="E1459">
            <v>1174.5999999999999</v>
          </cell>
          <cell r="F1459">
            <v>12.858639999999999</v>
          </cell>
          <cell r="G1459">
            <v>85.1</v>
          </cell>
          <cell r="I1459">
            <v>3.8029999999999999</v>
          </cell>
          <cell r="J1459">
            <v>6.8272000000000004</v>
          </cell>
          <cell r="K1459">
            <v>2.85</v>
          </cell>
          <cell r="L1459">
            <v>5.36</v>
          </cell>
          <cell r="M1459">
            <v>4.32</v>
          </cell>
          <cell r="O1459">
            <v>1.4915</v>
          </cell>
          <cell r="P1459">
            <v>0.88300000000000001</v>
          </cell>
          <cell r="Q1459">
            <v>84.456398640996596</v>
          </cell>
          <cell r="U1459">
            <v>2.536</v>
          </cell>
          <cell r="V1459">
            <v>86.397999999999996</v>
          </cell>
          <cell r="W1459">
            <v>68</v>
          </cell>
        </row>
        <row r="1460">
          <cell r="B1460">
            <v>77.733999999999995</v>
          </cell>
          <cell r="D1460">
            <v>1.4411</v>
          </cell>
          <cell r="E1460">
            <v>1174.5999999999999</v>
          </cell>
          <cell r="F1460">
            <v>12.858639999999999</v>
          </cell>
          <cell r="G1460">
            <v>85.1</v>
          </cell>
          <cell r="I1460">
            <v>3.8029999999999999</v>
          </cell>
          <cell r="J1460">
            <v>6.8272000000000004</v>
          </cell>
          <cell r="K1460">
            <v>2.85</v>
          </cell>
          <cell r="L1460">
            <v>5.36</v>
          </cell>
          <cell r="M1460">
            <v>4.32</v>
          </cell>
          <cell r="O1460">
            <v>1.4915</v>
          </cell>
          <cell r="P1460">
            <v>0.88300000000000001</v>
          </cell>
          <cell r="Q1460">
            <v>84.456398640996596</v>
          </cell>
          <cell r="U1460">
            <v>2.536</v>
          </cell>
          <cell r="V1460">
            <v>86.397999999999996</v>
          </cell>
          <cell r="W1460">
            <v>68</v>
          </cell>
        </row>
        <row r="1461">
          <cell r="B1461">
            <v>77.733999999999995</v>
          </cell>
          <cell r="D1461">
            <v>1.4411</v>
          </cell>
          <cell r="E1461">
            <v>1174.5999999999999</v>
          </cell>
          <cell r="F1461">
            <v>12.858639999999999</v>
          </cell>
          <cell r="G1461">
            <v>85.1</v>
          </cell>
          <cell r="I1461">
            <v>3.8029999999999999</v>
          </cell>
          <cell r="J1461">
            <v>6.8272000000000004</v>
          </cell>
          <cell r="K1461">
            <v>2.85</v>
          </cell>
          <cell r="L1461">
            <v>5.36</v>
          </cell>
          <cell r="M1461">
            <v>4.32</v>
          </cell>
          <cell r="O1461">
            <v>1.4915</v>
          </cell>
          <cell r="P1461">
            <v>0.88300000000000001</v>
          </cell>
          <cell r="Q1461">
            <v>84.456398640996596</v>
          </cell>
          <cell r="U1461">
            <v>2.536</v>
          </cell>
          <cell r="V1461">
            <v>86.397999999999996</v>
          </cell>
          <cell r="W1461">
            <v>68</v>
          </cell>
        </row>
        <row r="1462">
          <cell r="B1462">
            <v>77.632999999999996</v>
          </cell>
          <cell r="D1462">
            <v>1.4384000000000001</v>
          </cell>
          <cell r="E1462">
            <v>1170.18</v>
          </cell>
          <cell r="F1462">
            <v>12.77247</v>
          </cell>
          <cell r="G1462">
            <v>85.58</v>
          </cell>
          <cell r="I1462">
            <v>3.8401999999999998</v>
          </cell>
          <cell r="J1462">
            <v>6.8304999999999998</v>
          </cell>
          <cell r="K1462">
            <v>2.85</v>
          </cell>
          <cell r="L1462">
            <v>5.39</v>
          </cell>
          <cell r="M1462">
            <v>4.3600000000000003</v>
          </cell>
          <cell r="O1462">
            <v>1.4881</v>
          </cell>
          <cell r="P1462">
            <v>0.88719999999999999</v>
          </cell>
          <cell r="Q1462">
            <v>83.864968440036066</v>
          </cell>
          <cell r="U1462">
            <v>2.5981000000000001</v>
          </cell>
          <cell r="V1462">
            <v>87.897999999999996</v>
          </cell>
          <cell r="W1462">
            <v>68</v>
          </cell>
        </row>
        <row r="1463">
          <cell r="B1463">
            <v>77.831000000000003</v>
          </cell>
          <cell r="D1463">
            <v>1.4346000000000001</v>
          </cell>
          <cell r="E1463">
            <v>1171.25</v>
          </cell>
          <cell r="F1463">
            <v>12.675420000000001</v>
          </cell>
          <cell r="G1463">
            <v>85.18</v>
          </cell>
          <cell r="I1463">
            <v>3.7972000000000001</v>
          </cell>
          <cell r="J1463">
            <v>6.8293999999999997</v>
          </cell>
          <cell r="K1463">
            <v>2.85</v>
          </cell>
          <cell r="L1463">
            <v>5.4</v>
          </cell>
          <cell r="M1463">
            <v>4.3899999999999997</v>
          </cell>
          <cell r="O1463">
            <v>1.4887999999999999</v>
          </cell>
          <cell r="P1463">
            <v>0.89610000000000001</v>
          </cell>
          <cell r="Q1463">
            <v>83.071085816315133</v>
          </cell>
          <cell r="U1463">
            <v>2.5670999999999999</v>
          </cell>
          <cell r="V1463">
            <v>88.19</v>
          </cell>
          <cell r="W1463">
            <v>68.197999999999993</v>
          </cell>
        </row>
        <row r="1464">
          <cell r="B1464">
            <v>77.914000000000001</v>
          </cell>
          <cell r="D1464">
            <v>1.4338</v>
          </cell>
          <cell r="E1464">
            <v>1164.7</v>
          </cell>
          <cell r="F1464">
            <v>12.60605</v>
          </cell>
          <cell r="G1464">
            <v>85.34</v>
          </cell>
          <cell r="I1464">
            <v>3.7856000000000001</v>
          </cell>
          <cell r="J1464">
            <v>6.8253000000000004</v>
          </cell>
          <cell r="K1464">
            <v>2.86</v>
          </cell>
          <cell r="L1464">
            <v>5.39</v>
          </cell>
          <cell r="M1464">
            <v>4.41</v>
          </cell>
          <cell r="O1464">
            <v>1.4861</v>
          </cell>
          <cell r="P1464">
            <v>0.89480000000000004</v>
          </cell>
          <cell r="Q1464">
            <v>83.040902995082703</v>
          </cell>
          <cell r="U1464">
            <v>2.6116000000000001</v>
          </cell>
          <cell r="V1464">
            <v>87.6</v>
          </cell>
          <cell r="W1464">
            <v>68.736000000000004</v>
          </cell>
        </row>
        <row r="1465">
          <cell r="B1465">
            <v>77.86</v>
          </cell>
          <cell r="D1465">
            <v>1.4331</v>
          </cell>
          <cell r="E1465">
            <v>1164</v>
          </cell>
          <cell r="F1465">
            <v>12.43859</v>
          </cell>
          <cell r="G1465">
            <v>85.02</v>
          </cell>
          <cell r="I1465">
            <v>3.8368000000000002</v>
          </cell>
          <cell r="J1465">
            <v>6.8270999999999997</v>
          </cell>
          <cell r="K1465">
            <v>2.86</v>
          </cell>
          <cell r="L1465">
            <v>5.39</v>
          </cell>
          <cell r="M1465">
            <v>4.41</v>
          </cell>
          <cell r="O1465">
            <v>1.4830999999999999</v>
          </cell>
          <cell r="P1465">
            <v>0.89780000000000004</v>
          </cell>
          <cell r="Q1465">
            <v>82.596346625083527</v>
          </cell>
          <cell r="U1465">
            <v>2.6787999999999998</v>
          </cell>
          <cell r="V1465">
            <v>87.162000000000006</v>
          </cell>
          <cell r="W1465">
            <v>69.757000000000005</v>
          </cell>
        </row>
        <row r="1466">
          <cell r="B1466">
            <v>77.86</v>
          </cell>
          <cell r="D1466">
            <v>1.4323999999999999</v>
          </cell>
          <cell r="E1466">
            <v>1164</v>
          </cell>
          <cell r="F1466">
            <v>12.51948</v>
          </cell>
          <cell r="G1466">
            <v>85.4</v>
          </cell>
          <cell r="I1466">
            <v>3.835</v>
          </cell>
          <cell r="J1466">
            <v>6.8276000000000003</v>
          </cell>
          <cell r="K1466">
            <v>2.86</v>
          </cell>
          <cell r="L1466">
            <v>5.39</v>
          </cell>
          <cell r="M1466">
            <v>4.41</v>
          </cell>
          <cell r="O1466">
            <v>1.4839</v>
          </cell>
          <cell r="P1466">
            <v>0.89749999999999996</v>
          </cell>
          <cell r="Q1466">
            <v>82.668523676880227</v>
          </cell>
          <cell r="U1466">
            <v>2.6787999999999998</v>
          </cell>
          <cell r="V1466">
            <v>87.174999999999997</v>
          </cell>
          <cell r="W1466">
            <v>69.757000000000005</v>
          </cell>
        </row>
        <row r="1467">
          <cell r="B1467">
            <v>77.86</v>
          </cell>
          <cell r="D1467">
            <v>1.4323999999999999</v>
          </cell>
          <cell r="E1467">
            <v>1164</v>
          </cell>
          <cell r="F1467">
            <v>12.51948</v>
          </cell>
          <cell r="G1467">
            <v>85.4</v>
          </cell>
          <cell r="I1467">
            <v>3.835</v>
          </cell>
          <cell r="J1467">
            <v>6.8276000000000003</v>
          </cell>
          <cell r="K1467">
            <v>2.86</v>
          </cell>
          <cell r="L1467">
            <v>5.39</v>
          </cell>
          <cell r="M1467">
            <v>4.41</v>
          </cell>
          <cell r="O1467">
            <v>1.4839</v>
          </cell>
          <cell r="P1467">
            <v>0.89749999999999996</v>
          </cell>
          <cell r="Q1467">
            <v>82.668523676880227</v>
          </cell>
          <cell r="U1467">
            <v>2.6787999999999998</v>
          </cell>
          <cell r="V1467">
            <v>87.174999999999997</v>
          </cell>
          <cell r="W1467">
            <v>69.757000000000005</v>
          </cell>
        </row>
        <row r="1468">
          <cell r="B1468">
            <v>77.86</v>
          </cell>
          <cell r="D1468">
            <v>1.4323999999999999</v>
          </cell>
          <cell r="E1468">
            <v>1164</v>
          </cell>
          <cell r="F1468">
            <v>12.51948</v>
          </cell>
          <cell r="G1468">
            <v>85.4</v>
          </cell>
          <cell r="I1468">
            <v>3.835</v>
          </cell>
          <cell r="J1468">
            <v>6.8276000000000003</v>
          </cell>
          <cell r="K1468">
            <v>2.86</v>
          </cell>
          <cell r="L1468">
            <v>5.39</v>
          </cell>
          <cell r="M1468">
            <v>4.41</v>
          </cell>
          <cell r="O1468">
            <v>1.4839</v>
          </cell>
          <cell r="P1468">
            <v>0.89749999999999996</v>
          </cell>
          <cell r="Q1468">
            <v>82.668523676880227</v>
          </cell>
          <cell r="U1468">
            <v>2.6787999999999998</v>
          </cell>
          <cell r="V1468">
            <v>87.174999999999997</v>
          </cell>
          <cell r="W1468">
            <v>69.757000000000005</v>
          </cell>
        </row>
        <row r="1469">
          <cell r="B1469">
            <v>77.525000000000006</v>
          </cell>
          <cell r="D1469">
            <v>1.4415</v>
          </cell>
          <cell r="E1469">
            <v>1154.5999999999999</v>
          </cell>
          <cell r="F1469">
            <v>12.41422</v>
          </cell>
          <cell r="G1469">
            <v>82.949999999999946</v>
          </cell>
          <cell r="I1469">
            <v>3.8155000000000001</v>
          </cell>
          <cell r="J1469">
            <v>6.8273000000000001</v>
          </cell>
          <cell r="K1469">
            <v>2.88</v>
          </cell>
          <cell r="L1469">
            <v>5.43</v>
          </cell>
          <cell r="M1469">
            <v>4.4400000000000004</v>
          </cell>
          <cell r="O1469">
            <v>1.4837</v>
          </cell>
          <cell r="P1469">
            <v>0.91220000000000001</v>
          </cell>
          <cell r="Q1469">
            <v>81.325367244025443</v>
          </cell>
          <cell r="U1469">
            <v>2.6349999999999998</v>
          </cell>
          <cell r="V1469">
            <v>89.125</v>
          </cell>
          <cell r="W1469">
            <v>70.484999999999999</v>
          </cell>
        </row>
        <row r="1470">
          <cell r="B1470">
            <v>77.619</v>
          </cell>
          <cell r="D1470">
            <v>1.4391</v>
          </cell>
          <cell r="E1470">
            <v>1140.5</v>
          </cell>
          <cell r="F1470">
            <v>12.438359999999999</v>
          </cell>
          <cell r="G1470">
            <v>81.12</v>
          </cell>
          <cell r="I1470">
            <v>3.7608000000000001</v>
          </cell>
          <cell r="J1470">
            <v>6.8272000000000004</v>
          </cell>
          <cell r="K1470">
            <v>2.88</v>
          </cell>
          <cell r="L1470">
            <v>5.35</v>
          </cell>
          <cell r="M1470">
            <v>4.3600000000000003</v>
          </cell>
          <cell r="O1470">
            <v>1.4857</v>
          </cell>
          <cell r="P1470">
            <v>0.91259999999999997</v>
          </cell>
          <cell r="Q1470">
            <v>81.399298706991019</v>
          </cell>
          <cell r="U1470">
            <v>2.5611000000000002</v>
          </cell>
          <cell r="V1470">
            <v>86.653000000000006</v>
          </cell>
          <cell r="W1470">
            <v>66.554000000000002</v>
          </cell>
        </row>
        <row r="1471">
          <cell r="B1471">
            <v>77.492999999999995</v>
          </cell>
          <cell r="D1471">
            <v>1.4403999999999999</v>
          </cell>
          <cell r="E1471">
            <v>1136.4000000000001</v>
          </cell>
          <cell r="F1471">
            <v>12.27566</v>
          </cell>
          <cell r="G1471">
            <v>78.25</v>
          </cell>
          <cell r="I1471">
            <v>3.8214999999999999</v>
          </cell>
          <cell r="J1471">
            <v>6.8273999999999999</v>
          </cell>
          <cell r="K1471">
            <v>2.88</v>
          </cell>
          <cell r="L1471">
            <v>5.38</v>
          </cell>
          <cell r="M1471">
            <v>4.43</v>
          </cell>
          <cell r="O1471">
            <v>1.4814000000000001</v>
          </cell>
          <cell r="P1471">
            <v>0.91859999999999997</v>
          </cell>
          <cell r="Q1471">
            <v>80.633572828216856</v>
          </cell>
          <cell r="U1471">
            <v>2.5912999999999999</v>
          </cell>
          <cell r="V1471">
            <v>83.36</v>
          </cell>
          <cell r="W1471">
            <v>64.259</v>
          </cell>
        </row>
        <row r="1472">
          <cell r="B1472">
            <v>77.912999999999997</v>
          </cell>
          <cell r="D1472">
            <v>1.4323999999999999</v>
          </cell>
          <cell r="E1472">
            <v>1135.3499999999999</v>
          </cell>
          <cell r="F1472">
            <v>12.16939</v>
          </cell>
          <cell r="G1472">
            <v>48.95</v>
          </cell>
          <cell r="I1472">
            <v>3.8235000000000001</v>
          </cell>
          <cell r="J1472">
            <v>6.8277000000000001</v>
          </cell>
          <cell r="K1472">
            <v>2.88</v>
          </cell>
          <cell r="L1472">
            <v>5.29</v>
          </cell>
          <cell r="M1472">
            <v>4.32</v>
          </cell>
          <cell r="O1472">
            <v>1.4798</v>
          </cell>
          <cell r="P1472">
            <v>0.91820000000000002</v>
          </cell>
          <cell r="Q1472">
            <v>80.581572642125892</v>
          </cell>
          <cell r="U1472">
            <v>2.6114999999999999</v>
          </cell>
          <cell r="V1472">
            <v>81.89</v>
          </cell>
          <cell r="W1472">
            <v>64.353999999999999</v>
          </cell>
        </row>
        <row r="1473">
          <cell r="B1473">
            <v>77.471000000000004</v>
          </cell>
          <cell r="D1473">
            <v>1.4409000000000001</v>
          </cell>
          <cell r="E1473">
            <v>1130.75</v>
          </cell>
          <cell r="F1473">
            <v>12.15663</v>
          </cell>
          <cell r="G1473">
            <v>51.23</v>
          </cell>
          <cell r="I1473">
            <v>3.8296999999999999</v>
          </cell>
          <cell r="J1473">
            <v>6.8274999999999997</v>
          </cell>
          <cell r="K1473">
            <v>2.88</v>
          </cell>
          <cell r="L1473">
            <v>5.36</v>
          </cell>
          <cell r="M1473">
            <v>4.3600000000000003</v>
          </cell>
          <cell r="O1473">
            <v>1.4771000000000001</v>
          </cell>
          <cell r="P1473">
            <v>0.92310000000000003</v>
          </cell>
          <cell r="Q1473">
            <v>80.007583143754744</v>
          </cell>
          <cell r="U1473">
            <v>2.5911999999999997</v>
          </cell>
          <cell r="V1473">
            <v>81.721999999999994</v>
          </cell>
          <cell r="W1473">
            <v>66.747</v>
          </cell>
        </row>
        <row r="1474">
          <cell r="B1474">
            <v>77.471000000000004</v>
          </cell>
          <cell r="D1474">
            <v>1.4409000000000001</v>
          </cell>
          <cell r="E1474">
            <v>1130.75</v>
          </cell>
          <cell r="F1474">
            <v>12.15663</v>
          </cell>
          <cell r="G1474">
            <v>51.23</v>
          </cell>
          <cell r="I1474">
            <v>3.8296999999999999</v>
          </cell>
          <cell r="J1474">
            <v>6.8274999999999997</v>
          </cell>
          <cell r="K1474">
            <v>2.88</v>
          </cell>
          <cell r="L1474">
            <v>5.36</v>
          </cell>
          <cell r="M1474">
            <v>4.3600000000000003</v>
          </cell>
          <cell r="O1474">
            <v>1.4771000000000001</v>
          </cell>
          <cell r="P1474">
            <v>0.92310000000000003</v>
          </cell>
          <cell r="Q1474">
            <v>80.007583143754744</v>
          </cell>
          <cell r="U1474">
            <v>2.5911999999999997</v>
          </cell>
          <cell r="V1474">
            <v>81.721999999999994</v>
          </cell>
          <cell r="W1474">
            <v>66.747</v>
          </cell>
        </row>
        <row r="1475">
          <cell r="B1475">
            <v>77.471000000000004</v>
          </cell>
          <cell r="D1475">
            <v>1.4409000000000001</v>
          </cell>
          <cell r="E1475">
            <v>1130.75</v>
          </cell>
          <cell r="F1475">
            <v>12.15663</v>
          </cell>
          <cell r="G1475">
            <v>51.23</v>
          </cell>
          <cell r="I1475">
            <v>3.8296999999999999</v>
          </cell>
          <cell r="J1475">
            <v>6.8274999999999997</v>
          </cell>
          <cell r="K1475">
            <v>2.88</v>
          </cell>
          <cell r="L1475">
            <v>5.36</v>
          </cell>
          <cell r="M1475">
            <v>4.3600000000000003</v>
          </cell>
          <cell r="O1475">
            <v>1.4771000000000001</v>
          </cell>
          <cell r="P1475">
            <v>0.92310000000000003</v>
          </cell>
          <cell r="Q1475">
            <v>80.007583143754744</v>
          </cell>
          <cell r="U1475">
            <v>2.5911999999999997</v>
          </cell>
          <cell r="V1475">
            <v>81.721999999999994</v>
          </cell>
          <cell r="W1475">
            <v>66.747</v>
          </cell>
        </row>
        <row r="1476">
          <cell r="B1476">
            <v>77.004999999999995</v>
          </cell>
          <cell r="D1476">
            <v>1.4509000000000001</v>
          </cell>
          <cell r="E1476">
            <v>1119.95</v>
          </cell>
          <cell r="F1476">
            <v>12.170030000000001</v>
          </cell>
          <cell r="G1476">
            <v>47.1</v>
          </cell>
          <cell r="I1476">
            <v>3.8180000000000001</v>
          </cell>
          <cell r="J1476">
            <v>6.8263999999999996</v>
          </cell>
          <cell r="K1476">
            <v>2.88</v>
          </cell>
          <cell r="L1476">
            <v>5.38</v>
          </cell>
          <cell r="M1476">
            <v>4.2699999999999996</v>
          </cell>
          <cell r="O1476">
            <v>1.4752000000000001</v>
          </cell>
          <cell r="P1476">
            <v>0.92859999999999998</v>
          </cell>
          <cell r="Q1476">
            <v>79.431402110704298</v>
          </cell>
          <cell r="U1476">
            <v>2.5575000000000001</v>
          </cell>
          <cell r="V1476">
            <v>77.144000000000005</v>
          </cell>
          <cell r="W1476">
            <v>68.516999999999996</v>
          </cell>
        </row>
        <row r="1477">
          <cell r="B1477">
            <v>76.953999999999994</v>
          </cell>
          <cell r="D1477">
            <v>1.4506999999999999</v>
          </cell>
          <cell r="E1477">
            <v>1123.75</v>
          </cell>
          <cell r="F1477">
            <v>12.370049999999999</v>
          </cell>
          <cell r="G1477">
            <v>54.62</v>
          </cell>
          <cell r="I1477">
            <v>3.7107999999999999</v>
          </cell>
          <cell r="J1477">
            <v>6.827</v>
          </cell>
          <cell r="K1477">
            <v>2.88</v>
          </cell>
          <cell r="L1477">
            <v>5.37</v>
          </cell>
          <cell r="M1477">
            <v>4.25</v>
          </cell>
          <cell r="O1477">
            <v>1.4756</v>
          </cell>
          <cell r="P1477">
            <v>0.92020000000000002</v>
          </cell>
          <cell r="Q1477">
            <v>80.17822212562487</v>
          </cell>
          <cell r="U1477">
            <v>2.4735</v>
          </cell>
          <cell r="V1477">
            <v>78.534000000000006</v>
          </cell>
          <cell r="W1477">
            <v>70.197000000000003</v>
          </cell>
        </row>
        <row r="1478">
          <cell r="B1478">
            <v>76.846000000000004</v>
          </cell>
          <cell r="D1478">
            <v>1.4504000000000001</v>
          </cell>
          <cell r="E1478">
            <v>1125.45</v>
          </cell>
          <cell r="F1478">
            <v>12.28121</v>
          </cell>
          <cell r="G1478">
            <v>49.92</v>
          </cell>
          <cell r="I1478">
            <v>3.7907999999999999</v>
          </cell>
          <cell r="J1478">
            <v>6.827</v>
          </cell>
          <cell r="K1478">
            <v>2.88</v>
          </cell>
          <cell r="L1478">
            <v>5.36</v>
          </cell>
          <cell r="M1478">
            <v>4.26</v>
          </cell>
          <cell r="O1478">
            <v>1.4771000000000001</v>
          </cell>
          <cell r="P1478">
            <v>0.92300000000000004</v>
          </cell>
          <cell r="Q1478">
            <v>80.016251354279518</v>
          </cell>
          <cell r="U1478">
            <v>2.5371999999999999</v>
          </cell>
          <cell r="V1478">
            <v>80.981999999999999</v>
          </cell>
          <cell r="W1478">
            <v>70.986999999999995</v>
          </cell>
        </row>
        <row r="1479">
          <cell r="B1479">
            <v>76.731999999999999</v>
          </cell>
          <cell r="D1479">
            <v>1.4493</v>
          </cell>
          <cell r="E1479">
            <v>1120.75</v>
          </cell>
          <cell r="F1479">
            <v>12.3367</v>
          </cell>
          <cell r="G1479">
            <v>44.28</v>
          </cell>
          <cell r="I1479">
            <v>3.7382</v>
          </cell>
          <cell r="J1479">
            <v>6.8273000000000001</v>
          </cell>
          <cell r="K1479">
            <v>2.88</v>
          </cell>
          <cell r="L1479">
            <v>5.34</v>
          </cell>
          <cell r="M1479">
            <v>4.2300000000000004</v>
          </cell>
          <cell r="O1479">
            <v>1.4765999999999999</v>
          </cell>
          <cell r="P1479">
            <v>0.93059999999999998</v>
          </cell>
          <cell r="Q1479">
            <v>79.335912314635721</v>
          </cell>
          <cell r="U1479">
            <v>2.4935</v>
          </cell>
          <cell r="V1479">
            <v>82.9</v>
          </cell>
          <cell r="W1479">
            <v>76.986999999999995</v>
          </cell>
        </row>
        <row r="1480">
          <cell r="B1480">
            <v>77.322999999999993</v>
          </cell>
          <cell r="D1480">
            <v>1.4386999999999999</v>
          </cell>
          <cell r="E1480">
            <v>1123.07</v>
          </cell>
          <cell r="F1480">
            <v>12.41122</v>
          </cell>
          <cell r="G1480">
            <v>44.86</v>
          </cell>
          <cell r="I1480">
            <v>3.6743999999999999</v>
          </cell>
          <cell r="J1480">
            <v>6.8269000000000002</v>
          </cell>
          <cell r="K1480">
            <v>2.88</v>
          </cell>
          <cell r="L1480">
            <v>5.36</v>
          </cell>
          <cell r="M1480">
            <v>4.24</v>
          </cell>
          <cell r="O1480">
            <v>1.4752000000000001</v>
          </cell>
          <cell r="P1480">
            <v>0.92290000000000005</v>
          </cell>
          <cell r="Q1480">
            <v>79.921985047134029</v>
          </cell>
          <cell r="U1480">
            <v>2.4159000000000002</v>
          </cell>
          <cell r="V1480">
            <v>83.445999999999998</v>
          </cell>
          <cell r="W1480">
            <v>79.009</v>
          </cell>
        </row>
        <row r="1481">
          <cell r="B1481">
            <v>77.322999999999993</v>
          </cell>
          <cell r="D1481">
            <v>1.4386999999999999</v>
          </cell>
          <cell r="E1481">
            <v>1123.07</v>
          </cell>
          <cell r="F1481">
            <v>12.41122</v>
          </cell>
          <cell r="G1481">
            <v>44.86</v>
          </cell>
          <cell r="I1481">
            <v>3.6743999999999999</v>
          </cell>
          <cell r="J1481">
            <v>6.8269000000000002</v>
          </cell>
          <cell r="K1481">
            <v>2.88</v>
          </cell>
          <cell r="L1481">
            <v>5.36</v>
          </cell>
          <cell r="M1481">
            <v>4.24</v>
          </cell>
          <cell r="O1481">
            <v>1.4752000000000001</v>
          </cell>
          <cell r="P1481">
            <v>0.92290000000000005</v>
          </cell>
          <cell r="Q1481">
            <v>79.921985047134029</v>
          </cell>
          <cell r="U1481">
            <v>2.4159000000000002</v>
          </cell>
          <cell r="V1481">
            <v>83.445999999999998</v>
          </cell>
          <cell r="W1481">
            <v>79.009</v>
          </cell>
        </row>
        <row r="1482">
          <cell r="B1482">
            <v>77.322999999999993</v>
          </cell>
          <cell r="D1482">
            <v>1.4386999999999999</v>
          </cell>
          <cell r="E1482">
            <v>1123.07</v>
          </cell>
          <cell r="F1482">
            <v>12.41122</v>
          </cell>
          <cell r="G1482">
            <v>44.86</v>
          </cell>
          <cell r="I1482">
            <v>3.6743999999999999</v>
          </cell>
          <cell r="J1482">
            <v>6.8269000000000002</v>
          </cell>
          <cell r="K1482">
            <v>2.88</v>
          </cell>
          <cell r="L1482">
            <v>5.36</v>
          </cell>
          <cell r="M1482">
            <v>4.24</v>
          </cell>
          <cell r="O1482">
            <v>1.4752000000000001</v>
          </cell>
          <cell r="P1482">
            <v>0.92290000000000005</v>
          </cell>
          <cell r="Q1482">
            <v>79.921985047134029</v>
          </cell>
          <cell r="U1482">
            <v>2.4159000000000002</v>
          </cell>
          <cell r="V1482">
            <v>83.445999999999998</v>
          </cell>
          <cell r="W1482">
            <v>79.009</v>
          </cell>
        </row>
        <row r="1483">
          <cell r="B1483">
            <v>77.063999999999993</v>
          </cell>
          <cell r="D1483">
            <v>1.4396</v>
          </cell>
          <cell r="E1483">
            <v>1124.5999999999999</v>
          </cell>
          <cell r="F1483">
            <v>12.395020000000001</v>
          </cell>
          <cell r="G1483">
            <v>49.75</v>
          </cell>
          <cell r="I1483">
            <v>3.6745000000000001</v>
          </cell>
          <cell r="J1483">
            <v>6.8268000000000004</v>
          </cell>
          <cell r="K1483">
            <v>2.88</v>
          </cell>
          <cell r="L1483">
            <v>5.39</v>
          </cell>
          <cell r="M1483">
            <v>4.28</v>
          </cell>
          <cell r="O1483">
            <v>1.4737</v>
          </cell>
          <cell r="P1483">
            <v>0.92679999999999996</v>
          </cell>
          <cell r="Q1483">
            <v>79.504747518342683</v>
          </cell>
          <cell r="U1483">
            <v>2.4157999999999999</v>
          </cell>
          <cell r="V1483">
            <v>88.613</v>
          </cell>
          <cell r="W1483">
            <v>76.53</v>
          </cell>
        </row>
        <row r="1484">
          <cell r="B1484">
            <v>77.5</v>
          </cell>
          <cell r="D1484">
            <v>1.4294</v>
          </cell>
          <cell r="E1484">
            <v>1127.3</v>
          </cell>
          <cell r="F1484">
            <v>12.37674</v>
          </cell>
          <cell r="G1484">
            <v>50.31</v>
          </cell>
          <cell r="I1484">
            <v>3.6919</v>
          </cell>
          <cell r="J1484">
            <v>6.8273999999999999</v>
          </cell>
          <cell r="K1484">
            <v>2.88</v>
          </cell>
          <cell r="L1484">
            <v>5.34</v>
          </cell>
          <cell r="M1484">
            <v>4.24</v>
          </cell>
          <cell r="O1484">
            <v>1.4754</v>
          </cell>
          <cell r="P1484">
            <v>0.92510000000000003</v>
          </cell>
          <cell r="Q1484">
            <v>79.742730515619925</v>
          </cell>
          <cell r="U1484">
            <v>2.4460000000000002</v>
          </cell>
          <cell r="V1484">
            <v>89.823999999999998</v>
          </cell>
          <cell r="W1484">
            <v>78.5</v>
          </cell>
        </row>
        <row r="1485">
          <cell r="B1485">
            <v>78.337999999999994</v>
          </cell>
          <cell r="D1485">
            <v>1.4116</v>
          </cell>
          <cell r="E1485">
            <v>1138.05</v>
          </cell>
          <cell r="F1485">
            <v>12.548109999999999</v>
          </cell>
          <cell r="G1485">
            <v>51.86</v>
          </cell>
          <cell r="I1485">
            <v>3.6474000000000002</v>
          </cell>
          <cell r="J1485">
            <v>6.8270999999999997</v>
          </cell>
          <cell r="K1485">
            <v>2.88</v>
          </cell>
          <cell r="L1485">
            <v>5.34</v>
          </cell>
          <cell r="M1485">
            <v>4.24</v>
          </cell>
          <cell r="O1485">
            <v>1.4731000000000001</v>
          </cell>
          <cell r="P1485">
            <v>0.90959999999999996</v>
          </cell>
          <cell r="Q1485">
            <v>80.975153913808271</v>
          </cell>
          <cell r="U1485">
            <v>2.4123000000000001</v>
          </cell>
          <cell r="V1485">
            <v>89.379000000000005</v>
          </cell>
          <cell r="W1485">
            <v>81.605000000000004</v>
          </cell>
        </row>
        <row r="1486">
          <cell r="B1486">
            <v>78.319999999999993</v>
          </cell>
          <cell r="D1486">
            <v>1.4100999999999999</v>
          </cell>
          <cell r="E1486">
            <v>1137.3</v>
          </cell>
          <cell r="F1486">
            <v>12.65954</v>
          </cell>
          <cell r="G1486">
            <v>51.22</v>
          </cell>
          <cell r="I1486">
            <v>3.5857999999999999</v>
          </cell>
          <cell r="J1486">
            <v>6.8268000000000004</v>
          </cell>
          <cell r="K1486">
            <v>2.88</v>
          </cell>
          <cell r="L1486">
            <v>5.34</v>
          </cell>
          <cell r="M1486">
            <v>4.26</v>
          </cell>
          <cell r="O1486">
            <v>1.4711000000000001</v>
          </cell>
          <cell r="P1486">
            <v>0.90459999999999996</v>
          </cell>
          <cell r="Q1486">
            <v>81.312182179969057</v>
          </cell>
          <cell r="U1486">
            <v>2.3418999999999999</v>
          </cell>
          <cell r="V1486">
            <v>95.263000000000005</v>
          </cell>
          <cell r="W1486">
            <v>82.192999999999998</v>
          </cell>
        </row>
        <row r="1487">
          <cell r="B1487">
            <v>78.277000000000001</v>
          </cell>
          <cell r="D1487">
            <v>1.4138999999999999</v>
          </cell>
          <cell r="E1487">
            <v>1150.8499999999999</v>
          </cell>
          <cell r="F1487">
            <v>12.808070000000001</v>
          </cell>
          <cell r="G1487">
            <v>48.69</v>
          </cell>
          <cell r="I1487">
            <v>3.6071</v>
          </cell>
          <cell r="J1487">
            <v>6.8269000000000002</v>
          </cell>
          <cell r="K1487">
            <v>2.88</v>
          </cell>
          <cell r="L1487">
            <v>5.33</v>
          </cell>
          <cell r="M1487">
            <v>4.24</v>
          </cell>
          <cell r="O1487">
            <v>1.4718</v>
          </cell>
          <cell r="P1487">
            <v>0.90469999999999995</v>
          </cell>
          <cell r="Q1487">
            <v>81.341881286614353</v>
          </cell>
          <cell r="U1487">
            <v>2.3414000000000001</v>
          </cell>
          <cell r="V1487">
            <v>105.364</v>
          </cell>
          <cell r="W1487">
            <v>84.83</v>
          </cell>
        </row>
        <row r="1488">
          <cell r="B1488">
            <v>78.277000000000001</v>
          </cell>
          <cell r="D1488">
            <v>1.4138999999999999</v>
          </cell>
          <cell r="E1488">
            <v>1150.8499999999999</v>
          </cell>
          <cell r="F1488">
            <v>12.808070000000001</v>
          </cell>
          <cell r="G1488">
            <v>48.79</v>
          </cell>
          <cell r="I1488">
            <v>3.6071</v>
          </cell>
          <cell r="J1488">
            <v>6.8269000000000002</v>
          </cell>
          <cell r="K1488">
            <v>2.88</v>
          </cell>
          <cell r="L1488">
            <v>5.33</v>
          </cell>
          <cell r="M1488">
            <v>4.24</v>
          </cell>
          <cell r="O1488">
            <v>1.4718</v>
          </cell>
          <cell r="P1488">
            <v>0.90469999999999995</v>
          </cell>
          <cell r="Q1488">
            <v>81.341881286614353</v>
          </cell>
          <cell r="U1488">
            <v>2.3414000000000001</v>
          </cell>
          <cell r="V1488">
            <v>105.364</v>
          </cell>
          <cell r="W1488">
            <v>84.83</v>
          </cell>
        </row>
        <row r="1489">
          <cell r="B1489">
            <v>78.277000000000001</v>
          </cell>
          <cell r="D1489">
            <v>1.4138999999999999</v>
          </cell>
          <cell r="E1489">
            <v>1150.8499999999999</v>
          </cell>
          <cell r="F1489">
            <v>12.808070000000001</v>
          </cell>
          <cell r="G1489">
            <v>48.79</v>
          </cell>
          <cell r="I1489">
            <v>3.6071</v>
          </cell>
          <cell r="J1489">
            <v>6.8269000000000002</v>
          </cell>
          <cell r="K1489">
            <v>2.88</v>
          </cell>
          <cell r="L1489">
            <v>5.33</v>
          </cell>
          <cell r="M1489">
            <v>4.24</v>
          </cell>
          <cell r="O1489">
            <v>1.4718</v>
          </cell>
          <cell r="P1489">
            <v>0.90469999999999995</v>
          </cell>
          <cell r="Q1489">
            <v>81.341881286614353</v>
          </cell>
          <cell r="U1489">
            <v>2.3414000000000001</v>
          </cell>
          <cell r="V1489">
            <v>105.364</v>
          </cell>
          <cell r="W1489">
            <v>84.83</v>
          </cell>
        </row>
        <row r="1490">
          <cell r="B1490">
            <v>78.19</v>
          </cell>
          <cell r="D1490">
            <v>1.415</v>
          </cell>
          <cell r="E1490">
            <v>1150.1500000000001</v>
          </cell>
          <cell r="F1490">
            <v>12.70571</v>
          </cell>
          <cell r="G1490">
            <v>68.849999999999994</v>
          </cell>
          <cell r="I1490">
            <v>3.6265000000000001</v>
          </cell>
          <cell r="J1490">
            <v>6.8269000000000002</v>
          </cell>
          <cell r="K1490">
            <v>2.88</v>
          </cell>
          <cell r="L1490">
            <v>5.35</v>
          </cell>
          <cell r="M1490">
            <v>4.26</v>
          </cell>
          <cell r="O1490">
            <v>1.4711000000000001</v>
          </cell>
          <cell r="P1490">
            <v>0.90400000000000003</v>
          </cell>
          <cell r="Q1490">
            <v>81.366150442477874</v>
          </cell>
          <cell r="U1490">
            <v>2.3614000000000002</v>
          </cell>
          <cell r="V1490">
            <v>104.239</v>
          </cell>
          <cell r="W1490">
            <v>83.894999999999996</v>
          </cell>
        </row>
        <row r="1491">
          <cell r="B1491">
            <v>78.432000000000002</v>
          </cell>
          <cell r="D1491">
            <v>1.4102000000000001</v>
          </cell>
          <cell r="E1491">
            <v>1163.25</v>
          </cell>
          <cell r="F1491">
            <v>12.88049</v>
          </cell>
          <cell r="G1491">
            <v>82.52</v>
          </cell>
          <cell r="I1491">
            <v>3.6188000000000002</v>
          </cell>
          <cell r="J1491">
            <v>6.8269000000000002</v>
          </cell>
          <cell r="K1491">
            <v>2.88</v>
          </cell>
          <cell r="L1491">
            <v>5.31</v>
          </cell>
          <cell r="M1491">
            <v>4.21</v>
          </cell>
          <cell r="O1491">
            <v>1.4717</v>
          </cell>
          <cell r="P1491">
            <v>0.90149999999999997</v>
          </cell>
          <cell r="Q1491">
            <v>81.625069328896288</v>
          </cell>
          <cell r="U1491">
            <v>2.3411</v>
          </cell>
          <cell r="V1491">
            <v>105.64100000000001</v>
          </cell>
          <cell r="W1491">
            <v>78.739000000000004</v>
          </cell>
        </row>
        <row r="1492">
          <cell r="B1492">
            <v>78.674999999999997</v>
          </cell>
          <cell r="D1492">
            <v>1.4041000000000001</v>
          </cell>
          <cell r="E1492">
            <v>1159.9000000000001</v>
          </cell>
          <cell r="F1492">
            <v>13.007350000000001</v>
          </cell>
          <cell r="G1492">
            <v>84.510000000000048</v>
          </cell>
          <cell r="I1492">
            <v>3.6478999999999999</v>
          </cell>
          <cell r="J1492">
            <v>6.8268000000000004</v>
          </cell>
          <cell r="K1492">
            <v>2.88</v>
          </cell>
          <cell r="L1492">
            <v>5.33</v>
          </cell>
          <cell r="M1492">
            <v>4.2300000000000004</v>
          </cell>
          <cell r="O1492">
            <v>1.4718</v>
          </cell>
          <cell r="P1492">
            <v>0.89549999999999996</v>
          </cell>
          <cell r="Q1492">
            <v>82.17755443886098</v>
          </cell>
          <cell r="U1492">
            <v>2.3913000000000002</v>
          </cell>
          <cell r="V1492">
            <v>105.874</v>
          </cell>
          <cell r="W1492">
            <v>87.367999999999995</v>
          </cell>
        </row>
        <row r="1493">
          <cell r="B1493">
            <v>78.903999999999996</v>
          </cell>
          <cell r="D1493">
            <v>1.3972</v>
          </cell>
          <cell r="E1493">
            <v>1151.5</v>
          </cell>
          <cell r="F1493">
            <v>12.84558</v>
          </cell>
          <cell r="G1493">
            <v>71.260000000000005</v>
          </cell>
          <cell r="I1493">
            <v>3.6343999999999999</v>
          </cell>
          <cell r="J1493">
            <v>6.8269000000000002</v>
          </cell>
          <cell r="K1493">
            <v>2.88</v>
          </cell>
          <cell r="L1493">
            <v>5.38</v>
          </cell>
          <cell r="M1493">
            <v>4.3099999999999996</v>
          </cell>
          <cell r="O1493">
            <v>1.4699</v>
          </cell>
          <cell r="P1493">
            <v>0.8952</v>
          </cell>
          <cell r="Q1493">
            <v>82.098972296693475</v>
          </cell>
          <cell r="U1493">
            <v>2.3866999999999998</v>
          </cell>
          <cell r="V1493">
            <v>104.242</v>
          </cell>
          <cell r="W1493">
            <v>90.685000000000002</v>
          </cell>
        </row>
        <row r="1494">
          <cell r="B1494">
            <v>79.462000000000003</v>
          </cell>
          <cell r="D1494">
            <v>1.3862999999999999</v>
          </cell>
          <cell r="E1494">
            <v>1161.6500000000001</v>
          </cell>
          <cell r="F1494">
            <v>12.81494</v>
          </cell>
          <cell r="G1494">
            <v>70.06</v>
          </cell>
          <cell r="I1494">
            <v>3.5844</v>
          </cell>
          <cell r="J1494">
            <v>6.8268000000000004</v>
          </cell>
          <cell r="K1494">
            <v>2.88</v>
          </cell>
          <cell r="L1494">
            <v>5.34</v>
          </cell>
          <cell r="M1494">
            <v>4.2699999999999996</v>
          </cell>
          <cell r="O1494">
            <v>1.4727999999999999</v>
          </cell>
          <cell r="P1494">
            <v>0.88859999999999995</v>
          </cell>
          <cell r="Q1494">
            <v>82.871933378347961</v>
          </cell>
          <cell r="U1494">
            <v>2.3231999999999999</v>
          </cell>
          <cell r="V1494">
            <v>105.614</v>
          </cell>
          <cell r="W1494">
            <v>88.375</v>
          </cell>
        </row>
        <row r="1495">
          <cell r="B1495">
            <v>79.462000000000003</v>
          </cell>
          <cell r="D1495">
            <v>1.3862999999999999</v>
          </cell>
          <cell r="E1495">
            <v>1161.6500000000001</v>
          </cell>
          <cell r="F1495">
            <v>12.81494</v>
          </cell>
          <cell r="G1495">
            <v>69.959999999999994</v>
          </cell>
          <cell r="I1495">
            <v>3.5844</v>
          </cell>
          <cell r="J1495">
            <v>6.8268000000000004</v>
          </cell>
          <cell r="K1495">
            <v>2.88</v>
          </cell>
          <cell r="L1495">
            <v>5.34</v>
          </cell>
          <cell r="M1495">
            <v>4.2699999999999996</v>
          </cell>
          <cell r="O1495">
            <v>1.4727999999999999</v>
          </cell>
          <cell r="P1495">
            <v>0.88859999999999995</v>
          </cell>
          <cell r="Q1495">
            <v>82.871933378347961</v>
          </cell>
          <cell r="U1495">
            <v>2.3231999999999999</v>
          </cell>
          <cell r="V1495">
            <v>105.614</v>
          </cell>
          <cell r="W1495">
            <v>88.375</v>
          </cell>
        </row>
        <row r="1496">
          <cell r="B1496">
            <v>79.462000000000003</v>
          </cell>
          <cell r="D1496">
            <v>1.3862999999999999</v>
          </cell>
          <cell r="E1496">
            <v>1161.6500000000001</v>
          </cell>
          <cell r="F1496">
            <v>12.81494</v>
          </cell>
          <cell r="G1496">
            <v>69.959999999999994</v>
          </cell>
          <cell r="I1496">
            <v>3.5844</v>
          </cell>
          <cell r="J1496">
            <v>6.8268000000000004</v>
          </cell>
          <cell r="K1496">
            <v>2.88</v>
          </cell>
          <cell r="L1496">
            <v>5.34</v>
          </cell>
          <cell r="M1496">
            <v>4.2699999999999996</v>
          </cell>
          <cell r="O1496">
            <v>1.4727999999999999</v>
          </cell>
          <cell r="P1496">
            <v>0.88859999999999995</v>
          </cell>
          <cell r="Q1496">
            <v>82.871933378347961</v>
          </cell>
          <cell r="U1496">
            <v>2.3231999999999999</v>
          </cell>
          <cell r="V1496">
            <v>105.614</v>
          </cell>
          <cell r="W1496">
            <v>88.375</v>
          </cell>
        </row>
        <row r="1497">
          <cell r="B1497">
            <v>79.242000000000004</v>
          </cell>
          <cell r="D1497">
            <v>1.3915</v>
          </cell>
          <cell r="E1497">
            <v>1169.45</v>
          </cell>
          <cell r="F1497">
            <v>12.83178</v>
          </cell>
          <cell r="G1497">
            <v>72.290000000000006</v>
          </cell>
          <cell r="I1497">
            <v>3.6501000000000001</v>
          </cell>
          <cell r="J1497">
            <v>6.8273999999999999</v>
          </cell>
          <cell r="K1497">
            <v>2.88</v>
          </cell>
          <cell r="L1497">
            <v>5.36</v>
          </cell>
          <cell r="M1497">
            <v>4.3</v>
          </cell>
          <cell r="O1497">
            <v>1.4719</v>
          </cell>
          <cell r="P1497">
            <v>0.88959999999999995</v>
          </cell>
          <cell r="Q1497">
            <v>82.728192446043167</v>
          </cell>
          <cell r="U1497">
            <v>2.3734000000000002</v>
          </cell>
          <cell r="V1497">
            <v>110.348</v>
          </cell>
          <cell r="W1497">
            <v>86.997</v>
          </cell>
        </row>
        <row r="1498">
          <cell r="B1498">
            <v>79.013999999999996</v>
          </cell>
          <cell r="D1498">
            <v>1.3957999999999999</v>
          </cell>
          <cell r="E1498">
            <v>1159.82</v>
          </cell>
          <cell r="F1498">
            <v>12.784050000000001</v>
          </cell>
          <cell r="G1498">
            <v>72.05</v>
          </cell>
          <cell r="I1498">
            <v>3.6404999999999998</v>
          </cell>
          <cell r="J1498">
            <v>6.8269000000000002</v>
          </cell>
          <cell r="K1498">
            <v>2.88</v>
          </cell>
          <cell r="L1498">
            <v>5.34</v>
          </cell>
          <cell r="M1498">
            <v>4.2699999999999996</v>
          </cell>
          <cell r="O1498">
            <v>1.4729000000000001</v>
          </cell>
          <cell r="P1498">
            <v>0.88490000000000002</v>
          </cell>
          <cell r="Q1498">
            <v>83.224093117866431</v>
          </cell>
          <cell r="U1498">
            <v>2.3601000000000001</v>
          </cell>
          <cell r="V1498">
            <v>109.331</v>
          </cell>
          <cell r="W1498">
            <v>87.917000000000002</v>
          </cell>
        </row>
        <row r="1499">
          <cell r="B1499">
            <v>79.372</v>
          </cell>
          <cell r="D1499">
            <v>1.3911</v>
          </cell>
          <cell r="E1499">
            <v>1149.25</v>
          </cell>
          <cell r="F1499">
            <v>12.66873</v>
          </cell>
          <cell r="G1499">
            <v>65.33</v>
          </cell>
          <cell r="I1499">
            <v>3.7046999999999999</v>
          </cell>
          <cell r="J1499">
            <v>6.827</v>
          </cell>
          <cell r="K1499">
            <v>2.88</v>
          </cell>
          <cell r="L1499">
            <v>5.35</v>
          </cell>
          <cell r="M1499">
            <v>4.2699999999999996</v>
          </cell>
          <cell r="O1499">
            <v>1.4722</v>
          </cell>
          <cell r="P1499">
            <v>0.88270000000000004</v>
          </cell>
          <cell r="Q1499">
            <v>83.391865866092658</v>
          </cell>
          <cell r="U1499">
            <v>2.4037000000000002</v>
          </cell>
          <cell r="V1499">
            <v>107.904</v>
          </cell>
          <cell r="W1499">
            <v>92.733999999999995</v>
          </cell>
        </row>
        <row r="1500">
          <cell r="B1500">
            <v>79.915999999999997</v>
          </cell>
          <cell r="D1500">
            <v>1.3756999999999999</v>
          </cell>
          <cell r="E1500">
            <v>1150.9000000000001</v>
          </cell>
          <cell r="F1500">
            <v>13.19206</v>
          </cell>
          <cell r="G1500">
            <v>64.72</v>
          </cell>
          <cell r="I1500">
            <v>3.6057999999999999</v>
          </cell>
          <cell r="J1500">
            <v>6.827</v>
          </cell>
          <cell r="K1500">
            <v>2.88</v>
          </cell>
          <cell r="L1500">
            <v>5.36</v>
          </cell>
          <cell r="M1500">
            <v>4.26</v>
          </cell>
          <cell r="O1500">
            <v>1.4655</v>
          </cell>
          <cell r="P1500">
            <v>0.8659</v>
          </cell>
          <cell r="Q1500">
            <v>84.622935673865342</v>
          </cell>
          <cell r="U1500">
            <v>2.2999999999999998</v>
          </cell>
          <cell r="V1500">
            <v>112.68899999999999</v>
          </cell>
          <cell r="W1500">
            <v>105.91200000000001</v>
          </cell>
        </row>
        <row r="1501">
          <cell r="B1501">
            <v>80.441000000000003</v>
          </cell>
          <cell r="D1501">
            <v>1.3677999999999999</v>
          </cell>
          <cell r="E1501">
            <v>1169.45</v>
          </cell>
          <cell r="F1501">
            <v>13.21494</v>
          </cell>
          <cell r="G1501">
            <v>77.360000000000056</v>
          </cell>
          <cell r="I1501">
            <v>3.5653999999999999</v>
          </cell>
          <cell r="J1501">
            <v>6.8270999999999997</v>
          </cell>
          <cell r="K1501">
            <v>2.88</v>
          </cell>
          <cell r="L1501">
            <v>5.32</v>
          </cell>
          <cell r="M1501">
            <v>4.22</v>
          </cell>
          <cell r="O1501">
            <v>1.4674</v>
          </cell>
          <cell r="P1501">
            <v>0.8629</v>
          </cell>
          <cell r="Q1501">
            <v>85.027233746668216</v>
          </cell>
          <cell r="U1501">
            <v>2.2332999999999998</v>
          </cell>
          <cell r="V1501">
            <v>122.72799999999999</v>
          </cell>
          <cell r="W1501">
            <v>106.152</v>
          </cell>
        </row>
        <row r="1502">
          <cell r="B1502">
            <v>80.441000000000003</v>
          </cell>
          <cell r="D1502">
            <v>1.3677999999999999</v>
          </cell>
          <cell r="E1502">
            <v>1169.45</v>
          </cell>
          <cell r="F1502">
            <v>13.21494</v>
          </cell>
          <cell r="G1502">
            <v>77.360000000000056</v>
          </cell>
          <cell r="I1502">
            <v>3.5653999999999999</v>
          </cell>
          <cell r="J1502">
            <v>6.8270999999999997</v>
          </cell>
          <cell r="K1502">
            <v>2.88</v>
          </cell>
          <cell r="L1502">
            <v>5.32</v>
          </cell>
          <cell r="M1502">
            <v>4.22</v>
          </cell>
          <cell r="O1502">
            <v>1.4674</v>
          </cell>
          <cell r="P1502">
            <v>0.8629</v>
          </cell>
          <cell r="Q1502">
            <v>85.027233746668216</v>
          </cell>
          <cell r="U1502">
            <v>2.2332999999999998</v>
          </cell>
          <cell r="V1502">
            <v>122.72799999999999</v>
          </cell>
          <cell r="W1502">
            <v>106.152</v>
          </cell>
        </row>
        <row r="1503">
          <cell r="B1503">
            <v>80.441000000000003</v>
          </cell>
          <cell r="D1503">
            <v>1.3677999999999999</v>
          </cell>
          <cell r="E1503">
            <v>1169.45</v>
          </cell>
          <cell r="F1503">
            <v>13.21494</v>
          </cell>
          <cell r="G1503">
            <v>77.360000000000056</v>
          </cell>
          <cell r="I1503">
            <v>3.5653999999999999</v>
          </cell>
          <cell r="J1503">
            <v>6.8270999999999997</v>
          </cell>
          <cell r="K1503">
            <v>2.88</v>
          </cell>
          <cell r="L1503">
            <v>5.32</v>
          </cell>
          <cell r="M1503">
            <v>4.22</v>
          </cell>
          <cell r="O1503">
            <v>1.4674</v>
          </cell>
          <cell r="P1503">
            <v>0.8629</v>
          </cell>
          <cell r="Q1503">
            <v>85.027233746668216</v>
          </cell>
          <cell r="U1503">
            <v>2.2332999999999998</v>
          </cell>
          <cell r="V1503">
            <v>122.72799999999999</v>
          </cell>
          <cell r="W1503">
            <v>106.152</v>
          </cell>
        </row>
        <row r="1504">
          <cell r="B1504">
            <v>80.302000000000007</v>
          </cell>
          <cell r="D1504">
            <v>1.3694999999999999</v>
          </cell>
          <cell r="E1504">
            <v>1171.8800000000001</v>
          </cell>
          <cell r="F1504">
            <v>13.10061</v>
          </cell>
          <cell r="G1504">
            <v>76.83</v>
          </cell>
          <cell r="I1504">
            <v>3.5596999999999999</v>
          </cell>
          <cell r="J1504">
            <v>6.8266999999999998</v>
          </cell>
          <cell r="K1504">
            <v>2.88</v>
          </cell>
          <cell r="L1504">
            <v>5.35</v>
          </cell>
          <cell r="M1504">
            <v>4.26</v>
          </cell>
          <cell r="O1504">
            <v>1.4652000000000001</v>
          </cell>
          <cell r="P1504">
            <v>0.86870000000000003</v>
          </cell>
          <cell r="Q1504">
            <v>84.332911246690458</v>
          </cell>
          <cell r="U1504">
            <v>2.2265999999999999</v>
          </cell>
          <cell r="V1504">
            <v>121.673</v>
          </cell>
          <cell r="W1504">
            <v>111.002</v>
          </cell>
        </row>
        <row r="1505">
          <cell r="B1505">
            <v>79.863</v>
          </cell>
          <cell r="D1505">
            <v>1.3786</v>
          </cell>
          <cell r="E1505">
            <v>1163.75</v>
          </cell>
          <cell r="F1505">
            <v>12.96218</v>
          </cell>
          <cell r="G1505">
            <v>81.819999999999993</v>
          </cell>
          <cell r="I1505">
            <v>3.6448</v>
          </cell>
          <cell r="J1505">
            <v>6.8266999999999998</v>
          </cell>
          <cell r="K1505">
            <v>2.88</v>
          </cell>
          <cell r="L1505">
            <v>5.36</v>
          </cell>
          <cell r="M1505">
            <v>4.2699999999999996</v>
          </cell>
          <cell r="O1505">
            <v>1.4668999999999999</v>
          </cell>
          <cell r="P1505">
            <v>0.87690000000000001</v>
          </cell>
          <cell r="Q1505">
            <v>83.641236172881733</v>
          </cell>
          <cell r="U1505">
            <v>2.3134999999999999</v>
          </cell>
          <cell r="V1505">
            <v>118.31</v>
          </cell>
          <cell r="W1505">
            <v>99.36</v>
          </cell>
        </row>
        <row r="1506">
          <cell r="B1506">
            <v>80.028000000000006</v>
          </cell>
          <cell r="D1506">
            <v>1.3740000000000001</v>
          </cell>
          <cell r="E1506">
            <v>1160.2</v>
          </cell>
          <cell r="F1506">
            <v>12.90484</v>
          </cell>
          <cell r="G1506">
            <v>82.529999999999944</v>
          </cell>
          <cell r="I1506">
            <v>3.6897000000000002</v>
          </cell>
          <cell r="J1506">
            <v>6.827</v>
          </cell>
          <cell r="K1506">
            <v>2.88</v>
          </cell>
          <cell r="L1506">
            <v>5.36</v>
          </cell>
          <cell r="M1506">
            <v>4.2699999999999996</v>
          </cell>
          <cell r="O1506">
            <v>1.4670000000000001</v>
          </cell>
          <cell r="P1506">
            <v>0.87570000000000003</v>
          </cell>
          <cell r="Q1506">
            <v>83.76156217882837</v>
          </cell>
          <cell r="U1506">
            <v>2.3639000000000001</v>
          </cell>
          <cell r="V1506">
            <v>114.85299999999999</v>
          </cell>
          <cell r="W1506">
            <v>95.808000000000007</v>
          </cell>
        </row>
        <row r="1507">
          <cell r="B1507">
            <v>79.994</v>
          </cell>
          <cell r="D1507">
            <v>1.3677999999999999</v>
          </cell>
          <cell r="E1507">
            <v>1156.8499999999999</v>
          </cell>
          <cell r="F1507">
            <v>12.877000000000001</v>
          </cell>
          <cell r="G1507">
            <v>79.95</v>
          </cell>
          <cell r="I1507">
            <v>3.7155</v>
          </cell>
          <cell r="J1507">
            <v>6.8346</v>
          </cell>
          <cell r="K1507">
            <v>2.88</v>
          </cell>
          <cell r="L1507">
            <v>5.31</v>
          </cell>
          <cell r="M1507">
            <v>4.18</v>
          </cell>
          <cell r="O1507">
            <v>1.4661999999999999</v>
          </cell>
          <cell r="P1507">
            <v>0.88939999999999997</v>
          </cell>
          <cell r="Q1507">
            <v>82.426354845963573</v>
          </cell>
          <cell r="U1507">
            <v>2.3639000000000001</v>
          </cell>
          <cell r="V1507">
            <v>110.637</v>
          </cell>
          <cell r="W1507">
            <v>93.725999999999999</v>
          </cell>
        </row>
        <row r="1508">
          <cell r="B1508">
            <v>80.218000000000004</v>
          </cell>
          <cell r="D1508">
            <v>1.3632</v>
          </cell>
          <cell r="E1508">
            <v>1151.4000000000001</v>
          </cell>
          <cell r="F1508">
            <v>12.88612</v>
          </cell>
          <cell r="G1508">
            <v>79.22</v>
          </cell>
          <cell r="I1508">
            <v>3.6928000000000001</v>
          </cell>
          <cell r="J1508">
            <v>6.8330000000000002</v>
          </cell>
          <cell r="K1508">
            <v>2.88</v>
          </cell>
          <cell r="L1508">
            <v>5.29</v>
          </cell>
          <cell r="M1508">
            <v>4.12</v>
          </cell>
          <cell r="O1508">
            <v>1.4673</v>
          </cell>
          <cell r="P1508">
            <v>0.8861</v>
          </cell>
          <cell r="Q1508">
            <v>82.79539555354927</v>
          </cell>
          <cell r="U1508">
            <v>2.3304</v>
          </cell>
          <cell r="V1508">
            <v>110.965</v>
          </cell>
          <cell r="W1508">
            <v>94.253</v>
          </cell>
        </row>
        <row r="1509">
          <cell r="B1509">
            <v>80.218000000000004</v>
          </cell>
          <cell r="D1509">
            <v>1.3632</v>
          </cell>
          <cell r="E1509">
            <v>1151.4000000000001</v>
          </cell>
          <cell r="F1509">
            <v>12.88612</v>
          </cell>
          <cell r="G1509">
            <v>79.22</v>
          </cell>
          <cell r="I1509">
            <v>3.6928000000000001</v>
          </cell>
          <cell r="J1509">
            <v>6.8330000000000002</v>
          </cell>
          <cell r="K1509">
            <v>2.88</v>
          </cell>
          <cell r="L1509">
            <v>5.29</v>
          </cell>
          <cell r="M1509">
            <v>4.12</v>
          </cell>
          <cell r="O1509">
            <v>1.4673</v>
          </cell>
          <cell r="P1509">
            <v>0.8861</v>
          </cell>
          <cell r="Q1509">
            <v>82.79539555354927</v>
          </cell>
          <cell r="U1509">
            <v>2.3304</v>
          </cell>
          <cell r="V1509">
            <v>110.965</v>
          </cell>
          <cell r="W1509">
            <v>94.253</v>
          </cell>
        </row>
        <row r="1510">
          <cell r="B1510">
            <v>80.218000000000004</v>
          </cell>
          <cell r="D1510">
            <v>1.3632</v>
          </cell>
          <cell r="E1510">
            <v>1151.4000000000001</v>
          </cell>
          <cell r="F1510">
            <v>12.88612</v>
          </cell>
          <cell r="G1510">
            <v>79.22</v>
          </cell>
          <cell r="I1510">
            <v>3.6928000000000001</v>
          </cell>
          <cell r="J1510">
            <v>6.8330000000000002</v>
          </cell>
          <cell r="K1510">
            <v>2.88</v>
          </cell>
          <cell r="L1510">
            <v>5.29</v>
          </cell>
          <cell r="M1510">
            <v>4.12</v>
          </cell>
          <cell r="O1510">
            <v>1.4673</v>
          </cell>
          <cell r="P1510">
            <v>0.8861</v>
          </cell>
          <cell r="Q1510">
            <v>82.79539555354927</v>
          </cell>
          <cell r="U1510">
            <v>2.3304</v>
          </cell>
          <cell r="V1510">
            <v>110.965</v>
          </cell>
          <cell r="W1510">
            <v>94.253</v>
          </cell>
        </row>
        <row r="1511">
          <cell r="B1511">
            <v>80.331999999999994</v>
          </cell>
          <cell r="D1511">
            <v>1.3607</v>
          </cell>
          <cell r="E1511">
            <v>1156</v>
          </cell>
          <cell r="F1511">
            <v>12.84205</v>
          </cell>
          <cell r="G1511">
            <v>79.41</v>
          </cell>
          <cell r="I1511">
            <v>3.6909000000000001</v>
          </cell>
          <cell r="J1511">
            <v>6.827</v>
          </cell>
          <cell r="K1511">
            <v>2.88</v>
          </cell>
          <cell r="L1511">
            <v>5.29</v>
          </cell>
          <cell r="M1511">
            <v>4.12</v>
          </cell>
          <cell r="O1511">
            <v>1.4658</v>
          </cell>
          <cell r="P1511">
            <v>0.88949999999999996</v>
          </cell>
          <cell r="Q1511">
            <v>82.394603709949408</v>
          </cell>
          <cell r="U1511">
            <v>2.3304999999999998</v>
          </cell>
          <cell r="V1511">
            <v>110.952</v>
          </cell>
          <cell r="W1511">
            <v>95.168000000000006</v>
          </cell>
        </row>
        <row r="1512">
          <cell r="B1512">
            <v>79.7</v>
          </cell>
          <cell r="D1512">
            <v>1.3754999999999999</v>
          </cell>
          <cell r="E1512">
            <v>1151.55</v>
          </cell>
          <cell r="F1512">
            <v>12.715210000000001</v>
          </cell>
          <cell r="G1512">
            <v>79.81</v>
          </cell>
          <cell r="I1512">
            <v>3.6569000000000003</v>
          </cell>
          <cell r="J1512">
            <v>6.8301999999999996</v>
          </cell>
          <cell r="K1512">
            <v>2.88</v>
          </cell>
          <cell r="L1512">
            <v>5.3</v>
          </cell>
          <cell r="M1512">
            <v>4.12</v>
          </cell>
          <cell r="O1512">
            <v>1.4674</v>
          </cell>
          <cell r="P1512">
            <v>0.9012</v>
          </cell>
          <cell r="Q1512">
            <v>81.413670661340433</v>
          </cell>
          <cell r="U1512">
            <v>2.3002000000000002</v>
          </cell>
          <cell r="V1512">
            <v>113.673</v>
          </cell>
          <cell r="W1512">
            <v>96.352999999999994</v>
          </cell>
        </row>
        <row r="1513">
          <cell r="B1513">
            <v>80.376000000000005</v>
          </cell>
          <cell r="D1513">
            <v>1.3615999999999999</v>
          </cell>
          <cell r="E1513">
            <v>1142.2</v>
          </cell>
          <cell r="F1513">
            <v>12.584910000000001</v>
          </cell>
          <cell r="G1513">
            <v>80.83</v>
          </cell>
          <cell r="I1513">
            <v>3.7307000000000001</v>
          </cell>
          <cell r="J1513">
            <v>6.8330000000000002</v>
          </cell>
          <cell r="K1513">
            <v>2.88</v>
          </cell>
          <cell r="L1513">
            <v>5.3</v>
          </cell>
          <cell r="M1513">
            <v>4.0999999999999996</v>
          </cell>
          <cell r="O1513">
            <v>1.4678</v>
          </cell>
          <cell r="P1513">
            <v>0.89970000000000006</v>
          </cell>
          <cell r="Q1513">
            <v>81.571634989440923</v>
          </cell>
          <cell r="U1513">
            <v>2.3845000000000001</v>
          </cell>
          <cell r="V1513">
            <v>110.577</v>
          </cell>
          <cell r="W1513">
            <v>93.228999999999999</v>
          </cell>
        </row>
        <row r="1514">
          <cell r="B1514">
            <v>80.397999999999996</v>
          </cell>
          <cell r="D1514">
            <v>1.3593999999999999</v>
          </cell>
          <cell r="E1514">
            <v>1150.47</v>
          </cell>
          <cell r="F1514">
            <v>12.56169</v>
          </cell>
          <cell r="G1514">
            <v>82.28</v>
          </cell>
          <cell r="I1514">
            <v>3.8012000000000001</v>
          </cell>
          <cell r="J1514">
            <v>6.827</v>
          </cell>
          <cell r="K1514">
            <v>2.88</v>
          </cell>
          <cell r="L1514">
            <v>5.29</v>
          </cell>
          <cell r="M1514">
            <v>4.0999999999999996</v>
          </cell>
          <cell r="O1514">
            <v>1.4666000000000001</v>
          </cell>
          <cell r="P1514">
            <v>0.89839999999999998</v>
          </cell>
          <cell r="Q1514">
            <v>81.622885129118444</v>
          </cell>
          <cell r="U1514">
            <v>2.4725999999999999</v>
          </cell>
          <cell r="V1514">
            <v>108.982</v>
          </cell>
          <cell r="W1514">
            <v>92.834999999999994</v>
          </cell>
        </row>
        <row r="1515">
          <cell r="B1515">
            <v>80.643000000000001</v>
          </cell>
          <cell r="D1515">
            <v>1.3613</v>
          </cell>
          <cell r="E1515">
            <v>1160.5</v>
          </cell>
          <cell r="F1515">
            <v>12.554740000000001</v>
          </cell>
          <cell r="G1515">
            <v>77.84</v>
          </cell>
          <cell r="I1515">
            <v>3.7725999999999997</v>
          </cell>
          <cell r="J1515">
            <v>6.8330000000000002</v>
          </cell>
          <cell r="K1515">
            <v>2.88</v>
          </cell>
          <cell r="L1515">
            <v>5.31</v>
          </cell>
          <cell r="M1515">
            <v>4.18</v>
          </cell>
          <cell r="O1515">
            <v>1.4645000000000001</v>
          </cell>
          <cell r="P1515">
            <v>0.89700000000000002</v>
          </cell>
          <cell r="Q1515">
            <v>81.633221850613154</v>
          </cell>
          <cell r="U1515">
            <v>2.4491000000000001</v>
          </cell>
          <cell r="V1515">
            <v>107.726</v>
          </cell>
          <cell r="W1515">
            <v>88.662999999999997</v>
          </cell>
        </row>
        <row r="1516">
          <cell r="B1516">
            <v>80.643000000000001</v>
          </cell>
          <cell r="D1516">
            <v>1.3613</v>
          </cell>
          <cell r="E1516">
            <v>1160.5</v>
          </cell>
          <cell r="F1516">
            <v>12.554740000000001</v>
          </cell>
          <cell r="G1516">
            <v>78.040000000000006</v>
          </cell>
          <cell r="I1516">
            <v>3.7725999999999997</v>
          </cell>
          <cell r="J1516">
            <v>6.8330000000000002</v>
          </cell>
          <cell r="K1516">
            <v>2.88</v>
          </cell>
          <cell r="L1516">
            <v>5.31</v>
          </cell>
          <cell r="M1516">
            <v>4.18</v>
          </cell>
          <cell r="O1516">
            <v>1.4645000000000001</v>
          </cell>
          <cell r="P1516">
            <v>0.89700000000000002</v>
          </cell>
          <cell r="Q1516">
            <v>81.633221850613154</v>
          </cell>
          <cell r="U1516">
            <v>2.4491000000000001</v>
          </cell>
          <cell r="V1516">
            <v>107.726</v>
          </cell>
          <cell r="W1516">
            <v>88.662999999999997</v>
          </cell>
        </row>
        <row r="1517">
          <cell r="B1517">
            <v>80.643000000000001</v>
          </cell>
          <cell r="D1517">
            <v>1.3613</v>
          </cell>
          <cell r="E1517">
            <v>1160.5</v>
          </cell>
          <cell r="F1517">
            <v>12.554740000000001</v>
          </cell>
          <cell r="G1517">
            <v>78.040000000000006</v>
          </cell>
          <cell r="I1517">
            <v>3.7725999999999997</v>
          </cell>
          <cell r="J1517">
            <v>6.8330000000000002</v>
          </cell>
          <cell r="K1517">
            <v>2.88</v>
          </cell>
          <cell r="L1517">
            <v>5.31</v>
          </cell>
          <cell r="M1517">
            <v>4.18</v>
          </cell>
          <cell r="O1517">
            <v>1.4645000000000001</v>
          </cell>
          <cell r="P1517">
            <v>0.89700000000000002</v>
          </cell>
          <cell r="Q1517">
            <v>81.633221850613154</v>
          </cell>
          <cell r="U1517">
            <v>2.4491000000000001</v>
          </cell>
          <cell r="V1517">
            <v>107.726</v>
          </cell>
          <cell r="W1517">
            <v>88.662999999999997</v>
          </cell>
        </row>
        <row r="1518">
          <cell r="B1518">
            <v>80.507000000000005</v>
          </cell>
          <cell r="D1518">
            <v>1.3593</v>
          </cell>
          <cell r="E1518">
            <v>1147.4000000000001</v>
          </cell>
          <cell r="F1518">
            <v>12.617929999999999</v>
          </cell>
          <cell r="G1518">
            <v>69.849999999999994</v>
          </cell>
          <cell r="I1518">
            <v>3.7955000000000001</v>
          </cell>
          <cell r="J1518">
            <v>6.8263999999999996</v>
          </cell>
          <cell r="K1518">
            <v>2.88</v>
          </cell>
          <cell r="L1518">
            <v>5.3</v>
          </cell>
          <cell r="M1518">
            <v>4.2</v>
          </cell>
          <cell r="O1518">
            <v>1.4642999999999999</v>
          </cell>
          <cell r="P1518">
            <v>0.90029999999999999</v>
          </cell>
          <cell r="Q1518">
            <v>81.322892369210265</v>
          </cell>
          <cell r="U1518">
            <v>2.4424000000000001</v>
          </cell>
          <cell r="V1518">
            <v>104.282</v>
          </cell>
          <cell r="W1518">
            <v>87.816999999999993</v>
          </cell>
        </row>
        <row r="1519">
          <cell r="B1519">
            <v>80.849999999999994</v>
          </cell>
          <cell r="D1519">
            <v>1.3521000000000001</v>
          </cell>
          <cell r="E1519">
            <v>1148.3</v>
          </cell>
          <cell r="F1519">
            <v>12.825900000000001</v>
          </cell>
          <cell r="G1519">
            <v>71.260000000000005</v>
          </cell>
          <cell r="I1519">
            <v>3.6833999999999998</v>
          </cell>
          <cell r="J1519">
            <v>6.8277000000000001</v>
          </cell>
          <cell r="K1519">
            <v>2.88</v>
          </cell>
          <cell r="L1519">
            <v>5.27</v>
          </cell>
          <cell r="M1519">
            <v>4.16</v>
          </cell>
          <cell r="O1519">
            <v>1.4647000000000001</v>
          </cell>
          <cell r="P1519">
            <v>0.88949999999999996</v>
          </cell>
          <cell r="Q1519">
            <v>82.332771219786409</v>
          </cell>
          <cell r="U1519">
            <v>2.3409</v>
          </cell>
          <cell r="V1519">
            <v>104.883</v>
          </cell>
          <cell r="W1519">
            <v>92.207999999999998</v>
          </cell>
        </row>
        <row r="1520">
          <cell r="B1520">
            <v>80.849000000000004</v>
          </cell>
          <cell r="D1520">
            <v>1.3547</v>
          </cell>
          <cell r="E1520">
            <v>1153.25</v>
          </cell>
          <cell r="F1520">
            <v>12.788600000000001</v>
          </cell>
          <cell r="G1520">
            <v>76.510000000000005</v>
          </cell>
          <cell r="I1520">
            <v>3.6909000000000001</v>
          </cell>
          <cell r="J1520">
            <v>6.827</v>
          </cell>
          <cell r="K1520">
            <v>2.88</v>
          </cell>
          <cell r="L1520">
            <v>5.22</v>
          </cell>
          <cell r="M1520">
            <v>4.1399999999999997</v>
          </cell>
          <cell r="O1520">
            <v>1.4639</v>
          </cell>
          <cell r="P1520">
            <v>0.89290000000000003</v>
          </cell>
          <cell r="Q1520">
            <v>81.974465225669164</v>
          </cell>
          <cell r="U1520">
            <v>2.3511000000000002</v>
          </cell>
          <cell r="V1520">
            <v>105.02800000000001</v>
          </cell>
          <cell r="W1520">
            <v>95.326999999999998</v>
          </cell>
        </row>
        <row r="1521">
          <cell r="B1521">
            <v>80.787000000000006</v>
          </cell>
          <cell r="D1521">
            <v>1.3524</v>
          </cell>
          <cell r="E1521">
            <v>1163.25</v>
          </cell>
          <cell r="F1521">
            <v>13.12954</v>
          </cell>
          <cell r="G1521">
            <v>75.36</v>
          </cell>
          <cell r="I1521">
            <v>3.6324000000000001</v>
          </cell>
          <cell r="J1521">
            <v>6.8268000000000004</v>
          </cell>
          <cell r="K1521">
            <v>2.88</v>
          </cell>
          <cell r="L1521">
            <v>5.13</v>
          </cell>
          <cell r="M1521">
            <v>4.09</v>
          </cell>
          <cell r="O1521">
            <v>1.4642999999999999</v>
          </cell>
          <cell r="P1521">
            <v>0.88400000000000001</v>
          </cell>
          <cell r="Q1521">
            <v>82.822398190045249</v>
          </cell>
          <cell r="U1521">
            <v>2.3216999999999999</v>
          </cell>
          <cell r="V1521">
            <v>108.81399999999999</v>
          </cell>
          <cell r="W1521">
            <v>96.995000000000005</v>
          </cell>
        </row>
        <row r="1522">
          <cell r="B1522">
            <v>80.361999999999995</v>
          </cell>
          <cell r="D1522">
            <v>1.3631</v>
          </cell>
          <cell r="E1522">
            <v>1159.8499999999999</v>
          </cell>
          <cell r="F1522">
            <v>12.999560000000001</v>
          </cell>
          <cell r="G1522">
            <v>75.13</v>
          </cell>
          <cell r="I1522">
            <v>3.6116999999999999</v>
          </cell>
          <cell r="J1522">
            <v>6.8259999999999996</v>
          </cell>
          <cell r="K1522">
            <v>2.88</v>
          </cell>
          <cell r="L1522">
            <v>5.14</v>
          </cell>
          <cell r="M1522">
            <v>4.0999999999999996</v>
          </cell>
          <cell r="O1522">
            <v>1.4630000000000001</v>
          </cell>
          <cell r="P1522">
            <v>0.89390000000000003</v>
          </cell>
          <cell r="Q1522">
            <v>81.832419733750982</v>
          </cell>
          <cell r="U1522">
            <v>2.3018000000000001</v>
          </cell>
          <cell r="V1522">
            <v>107.227</v>
          </cell>
          <cell r="W1522">
            <v>90.67</v>
          </cell>
        </row>
        <row r="1523">
          <cell r="B1523">
            <v>80.361999999999995</v>
          </cell>
          <cell r="D1523">
            <v>1.3631</v>
          </cell>
          <cell r="E1523">
            <v>1159.8499999999999</v>
          </cell>
          <cell r="F1523">
            <v>12.999560000000001</v>
          </cell>
          <cell r="G1523">
            <v>75.23</v>
          </cell>
          <cell r="I1523">
            <v>3.6116999999999999</v>
          </cell>
          <cell r="J1523">
            <v>6.8259999999999996</v>
          </cell>
          <cell r="K1523">
            <v>2.88</v>
          </cell>
          <cell r="L1523">
            <v>5.14</v>
          </cell>
          <cell r="M1523">
            <v>4.0999999999999996</v>
          </cell>
          <cell r="O1523">
            <v>1.4630000000000001</v>
          </cell>
          <cell r="P1523">
            <v>0.89390000000000003</v>
          </cell>
          <cell r="Q1523">
            <v>81.832419733750982</v>
          </cell>
          <cell r="U1523">
            <v>2.3018000000000001</v>
          </cell>
          <cell r="V1523">
            <v>107.227</v>
          </cell>
          <cell r="W1523">
            <v>90.67</v>
          </cell>
        </row>
        <row r="1524">
          <cell r="B1524">
            <v>80.361999999999995</v>
          </cell>
          <cell r="D1524">
            <v>1.3631</v>
          </cell>
          <cell r="E1524">
            <v>1159.8499999999999</v>
          </cell>
          <cell r="F1524">
            <v>12.999560000000001</v>
          </cell>
          <cell r="G1524">
            <v>75.23</v>
          </cell>
          <cell r="I1524">
            <v>3.6116999999999999</v>
          </cell>
          <cell r="J1524">
            <v>6.8259999999999996</v>
          </cell>
          <cell r="K1524">
            <v>2.88</v>
          </cell>
          <cell r="L1524">
            <v>5.14</v>
          </cell>
          <cell r="M1524">
            <v>4.0999999999999996</v>
          </cell>
          <cell r="O1524">
            <v>1.4630000000000001</v>
          </cell>
          <cell r="P1524">
            <v>0.89390000000000003</v>
          </cell>
          <cell r="Q1524">
            <v>81.832419733750982</v>
          </cell>
          <cell r="U1524">
            <v>2.3018000000000001</v>
          </cell>
          <cell r="V1524">
            <v>107.227</v>
          </cell>
          <cell r="W1524">
            <v>90.67</v>
          </cell>
        </row>
        <row r="1525">
          <cell r="B1525">
            <v>80.658000000000001</v>
          </cell>
          <cell r="D1525">
            <v>1.3536999999999999</v>
          </cell>
          <cell r="E1525">
            <v>1154.1500000000001</v>
          </cell>
          <cell r="F1525">
            <v>12.9344</v>
          </cell>
          <cell r="G1525">
            <v>67.709999999999994</v>
          </cell>
          <cell r="I1525">
            <v>3.6078999999999999</v>
          </cell>
          <cell r="J1525">
            <v>6.8262999999999998</v>
          </cell>
          <cell r="K1525">
            <v>2.88</v>
          </cell>
          <cell r="L1525">
            <v>5.14</v>
          </cell>
          <cell r="M1525">
            <v>4.0999999999999996</v>
          </cell>
          <cell r="O1525">
            <v>1.4635</v>
          </cell>
          <cell r="P1525">
            <v>0.90069999999999995</v>
          </cell>
          <cell r="Q1525">
            <v>81.242367047851687</v>
          </cell>
          <cell r="U1525">
            <v>2.2818000000000001</v>
          </cell>
          <cell r="V1525">
            <v>103.047</v>
          </cell>
          <cell r="W1525">
            <v>84.325000000000003</v>
          </cell>
        </row>
        <row r="1526">
          <cell r="B1526">
            <v>80.521000000000001</v>
          </cell>
          <cell r="D1526">
            <v>1.3593</v>
          </cell>
          <cell r="E1526">
            <v>1152.6500000000001</v>
          </cell>
          <cell r="F1526">
            <v>12.87768</v>
          </cell>
          <cell r="G1526">
            <v>66.09</v>
          </cell>
          <cell r="I1526">
            <v>3.6040999999999999</v>
          </cell>
          <cell r="J1526">
            <v>6.8265000000000002</v>
          </cell>
          <cell r="K1526">
            <v>2.88</v>
          </cell>
          <cell r="L1526">
            <v>5.14</v>
          </cell>
          <cell r="M1526">
            <v>4.1100000000000003</v>
          </cell>
          <cell r="O1526">
            <v>1.4639</v>
          </cell>
          <cell r="P1526">
            <v>0.90469999999999995</v>
          </cell>
          <cell r="Q1526">
            <v>80.905272466010842</v>
          </cell>
          <cell r="U1526">
            <v>2.2652000000000001</v>
          </cell>
          <cell r="V1526">
            <v>101.90300000000001</v>
          </cell>
          <cell r="W1526">
            <v>78.855999999999995</v>
          </cell>
        </row>
        <row r="1527">
          <cell r="B1527">
            <v>79.977000000000004</v>
          </cell>
          <cell r="D1527">
            <v>1.3714999999999999</v>
          </cell>
          <cell r="E1527">
            <v>1146.4000000000001</v>
          </cell>
          <cell r="F1527">
            <v>12.918530000000001</v>
          </cell>
          <cell r="G1527">
            <v>59.969999999999942</v>
          </cell>
          <cell r="I1527">
            <v>3.6173000000000002</v>
          </cell>
          <cell r="J1527">
            <v>6.8258000000000001</v>
          </cell>
          <cell r="K1527">
            <v>2.88</v>
          </cell>
          <cell r="L1527">
            <v>5.1100000000000003</v>
          </cell>
          <cell r="M1527">
            <v>4.09</v>
          </cell>
          <cell r="O1527">
            <v>1.4628000000000001</v>
          </cell>
          <cell r="P1527">
            <v>0.90700000000000003</v>
          </cell>
          <cell r="Q1527">
            <v>80.639470782800444</v>
          </cell>
          <cell r="U1527">
            <v>2.2650999999999999</v>
          </cell>
          <cell r="V1527">
            <v>97.46</v>
          </cell>
          <cell r="W1527">
            <v>76.75</v>
          </cell>
        </row>
        <row r="1528">
          <cell r="B1528">
            <v>80.561000000000007</v>
          </cell>
          <cell r="D1528">
            <v>1.3584000000000001</v>
          </cell>
          <cell r="E1528">
            <v>1145.3499999999999</v>
          </cell>
          <cell r="F1528">
            <v>12.86065</v>
          </cell>
          <cell r="G1528">
            <v>62.18</v>
          </cell>
          <cell r="I1528">
            <v>3.6021999999999998</v>
          </cell>
          <cell r="J1528">
            <v>6.8263999999999996</v>
          </cell>
          <cell r="K1528">
            <v>2.88</v>
          </cell>
          <cell r="L1528">
            <v>5.0599999999999996</v>
          </cell>
          <cell r="M1528">
            <v>4.08</v>
          </cell>
          <cell r="O1528">
            <v>1.4628999999999999</v>
          </cell>
          <cell r="P1528">
            <v>0.90090000000000003</v>
          </cell>
          <cell r="Q1528">
            <v>81.191031191031186</v>
          </cell>
          <cell r="U1528">
            <v>2.2717000000000001</v>
          </cell>
          <cell r="V1528">
            <v>96.478999999999999</v>
          </cell>
          <cell r="W1528">
            <v>76.53</v>
          </cell>
        </row>
        <row r="1529">
          <cell r="B1529">
            <v>80.432000000000002</v>
          </cell>
          <cell r="D1529">
            <v>1.3626</v>
          </cell>
          <cell r="E1529">
            <v>1140.3</v>
          </cell>
          <cell r="F1529">
            <v>12.543139999999999</v>
          </cell>
          <cell r="G1529">
            <v>61.04</v>
          </cell>
          <cell r="I1529">
            <v>3.6795999999999998</v>
          </cell>
          <cell r="J1529">
            <v>6.8265000000000002</v>
          </cell>
          <cell r="K1529">
            <v>2.86</v>
          </cell>
          <cell r="L1529">
            <v>5.04</v>
          </cell>
          <cell r="M1529">
            <v>4.0999999999999996</v>
          </cell>
          <cell r="O1529">
            <v>1.4630000000000001</v>
          </cell>
          <cell r="P1529">
            <v>0.9073</v>
          </cell>
          <cell r="Q1529">
            <v>80.623828943017756</v>
          </cell>
          <cell r="U1529">
            <v>2.3382000000000001</v>
          </cell>
          <cell r="V1529">
            <v>86.025999999999996</v>
          </cell>
          <cell r="W1529">
            <v>73.73</v>
          </cell>
        </row>
        <row r="1530">
          <cell r="B1530">
            <v>80.432000000000002</v>
          </cell>
          <cell r="D1530">
            <v>1.3626</v>
          </cell>
          <cell r="E1530">
            <v>1140.3</v>
          </cell>
          <cell r="F1530">
            <v>12.543139999999999</v>
          </cell>
          <cell r="G1530">
            <v>61.04</v>
          </cell>
          <cell r="I1530">
            <v>3.6795999999999998</v>
          </cell>
          <cell r="J1530">
            <v>6.8265000000000002</v>
          </cell>
          <cell r="K1530">
            <v>2.86</v>
          </cell>
          <cell r="L1530">
            <v>5.04</v>
          </cell>
          <cell r="M1530">
            <v>4.0999999999999996</v>
          </cell>
          <cell r="O1530">
            <v>1.4630000000000001</v>
          </cell>
          <cell r="P1530">
            <v>0.9073</v>
          </cell>
          <cell r="Q1530">
            <v>80.623828943017756</v>
          </cell>
          <cell r="U1530">
            <v>2.3382000000000001</v>
          </cell>
          <cell r="V1530">
            <v>86.025999999999996</v>
          </cell>
          <cell r="W1530">
            <v>73.73</v>
          </cell>
        </row>
        <row r="1531">
          <cell r="B1531">
            <v>80.432000000000002</v>
          </cell>
          <cell r="D1531">
            <v>1.3626</v>
          </cell>
          <cell r="E1531">
            <v>1140.3</v>
          </cell>
          <cell r="F1531">
            <v>12.543139999999999</v>
          </cell>
          <cell r="G1531">
            <v>61.04</v>
          </cell>
          <cell r="I1531">
            <v>3.6795999999999998</v>
          </cell>
          <cell r="J1531">
            <v>6.8265000000000002</v>
          </cell>
          <cell r="K1531">
            <v>2.86</v>
          </cell>
          <cell r="L1531">
            <v>5.04</v>
          </cell>
          <cell r="M1531">
            <v>4.0999999999999996</v>
          </cell>
          <cell r="O1531">
            <v>1.4630000000000001</v>
          </cell>
          <cell r="P1531">
            <v>0.9073</v>
          </cell>
          <cell r="Q1531">
            <v>80.623828943017756</v>
          </cell>
          <cell r="U1531">
            <v>2.3382000000000001</v>
          </cell>
          <cell r="V1531">
            <v>86.025999999999996</v>
          </cell>
          <cell r="W1531">
            <v>73.73</v>
          </cell>
        </row>
        <row r="1532">
          <cell r="B1532">
            <v>80.432000000000002</v>
          </cell>
          <cell r="D1532">
            <v>1.3639000000000001</v>
          </cell>
          <cell r="E1532">
            <v>1132.53</v>
          </cell>
          <cell r="F1532">
            <v>12.54101</v>
          </cell>
          <cell r="G1532">
            <v>55.43</v>
          </cell>
          <cell r="I1532">
            <v>3.7157</v>
          </cell>
          <cell r="J1532">
            <v>6.8263999999999996</v>
          </cell>
          <cell r="K1532">
            <v>2.86</v>
          </cell>
          <cell r="L1532">
            <v>5.04</v>
          </cell>
          <cell r="M1532">
            <v>4.12</v>
          </cell>
          <cell r="O1532">
            <v>1.4632000000000001</v>
          </cell>
          <cell r="P1532">
            <v>0.91049999999999998</v>
          </cell>
          <cell r="Q1532">
            <v>80.351455244371223</v>
          </cell>
          <cell r="U1532">
            <v>2.3681999999999999</v>
          </cell>
          <cell r="V1532">
            <v>80.495999999999995</v>
          </cell>
          <cell r="W1532">
            <v>68.587999999999994</v>
          </cell>
        </row>
        <row r="1533">
          <cell r="B1533">
            <v>80.591999999999999</v>
          </cell>
          <cell r="D1533">
            <v>1.3604000000000001</v>
          </cell>
          <cell r="E1533">
            <v>1134.68</v>
          </cell>
          <cell r="F1533">
            <v>12.62078</v>
          </cell>
          <cell r="G1533">
            <v>53.55</v>
          </cell>
          <cell r="I1533">
            <v>3.7004999999999999</v>
          </cell>
          <cell r="J1533">
            <v>6.8262999999999998</v>
          </cell>
          <cell r="K1533">
            <v>2.86</v>
          </cell>
          <cell r="L1533">
            <v>5.03</v>
          </cell>
          <cell r="M1533">
            <v>4.0999999999999996</v>
          </cell>
          <cell r="O1533">
            <v>1.4626999999999999</v>
          </cell>
          <cell r="P1533">
            <v>0.91459999999999997</v>
          </cell>
          <cell r="Q1533">
            <v>79.963918652963045</v>
          </cell>
          <cell r="U1533">
            <v>2.3348</v>
          </cell>
          <cell r="V1533">
            <v>82.478999999999999</v>
          </cell>
          <cell r="W1533">
            <v>69.834999999999994</v>
          </cell>
        </row>
        <row r="1534">
          <cell r="B1534">
            <v>80.444999999999993</v>
          </cell>
          <cell r="D1534">
            <v>1.3649</v>
          </cell>
          <cell r="E1534">
            <v>1130.93</v>
          </cell>
          <cell r="F1534">
            <v>12.460380000000001</v>
          </cell>
          <cell r="G1534">
            <v>55.95</v>
          </cell>
          <cell r="I1534">
            <v>3.7214999999999998</v>
          </cell>
          <cell r="J1534">
            <v>6.8258999999999999</v>
          </cell>
          <cell r="K1534">
            <v>2.86</v>
          </cell>
          <cell r="L1534">
            <v>5.01</v>
          </cell>
          <cell r="M1534">
            <v>4.08</v>
          </cell>
          <cell r="O1534">
            <v>1.4618</v>
          </cell>
          <cell r="P1534">
            <v>0.91479999999999995</v>
          </cell>
          <cell r="Q1534">
            <v>79.897245299519028</v>
          </cell>
          <cell r="U1534">
            <v>2.3782999999999999</v>
          </cell>
          <cell r="V1534">
            <v>76.986999999999995</v>
          </cell>
          <cell r="W1534">
            <v>67.004999999999995</v>
          </cell>
        </row>
        <row r="1535">
          <cell r="B1535">
            <v>80.322999999999993</v>
          </cell>
          <cell r="D1535">
            <v>1.367</v>
          </cell>
          <cell r="E1535">
            <v>1133.43</v>
          </cell>
          <cell r="F1535">
            <v>12.51967</v>
          </cell>
          <cell r="G1535">
            <v>58.88</v>
          </cell>
          <cell r="I1535">
            <v>3.7271999999999998</v>
          </cell>
          <cell r="J1535">
            <v>6.8266</v>
          </cell>
          <cell r="K1535">
            <v>2.84</v>
          </cell>
          <cell r="L1535">
            <v>4.8899999999999997</v>
          </cell>
          <cell r="M1535">
            <v>3.97</v>
          </cell>
          <cell r="O1535">
            <v>1.462</v>
          </cell>
          <cell r="P1535">
            <v>0.91390000000000005</v>
          </cell>
          <cell r="Q1535">
            <v>79.986869460553663</v>
          </cell>
          <cell r="U1535">
            <v>2.4152</v>
          </cell>
          <cell r="V1535">
            <v>77.299000000000007</v>
          </cell>
          <cell r="W1535">
            <v>67.665000000000006</v>
          </cell>
        </row>
        <row r="1536">
          <cell r="B1536">
            <v>79.832999999999998</v>
          </cell>
          <cell r="D1536">
            <v>1.3769</v>
          </cell>
          <cell r="E1536">
            <v>1128.2</v>
          </cell>
          <cell r="F1536">
            <v>12.44749</v>
          </cell>
          <cell r="G1536">
            <v>60.74</v>
          </cell>
          <cell r="I1536">
            <v>3.7006000000000001</v>
          </cell>
          <cell r="J1536">
            <v>6.8254999999999999</v>
          </cell>
          <cell r="K1536">
            <v>2.83</v>
          </cell>
          <cell r="L1536">
            <v>4.84</v>
          </cell>
          <cell r="M1536">
            <v>3.93</v>
          </cell>
          <cell r="O1536">
            <v>1.4577</v>
          </cell>
          <cell r="P1536">
            <v>0.91579999999999995</v>
          </cell>
          <cell r="Q1536">
            <v>79.586154182135843</v>
          </cell>
          <cell r="U1536">
            <v>2.4051</v>
          </cell>
          <cell r="V1536">
            <v>75.328000000000003</v>
          </cell>
          <cell r="W1536">
            <v>65.635000000000005</v>
          </cell>
        </row>
        <row r="1537">
          <cell r="B1537">
            <v>79.832999999999998</v>
          </cell>
          <cell r="D1537">
            <v>1.3769</v>
          </cell>
          <cell r="E1537">
            <v>1128.2</v>
          </cell>
          <cell r="F1537">
            <v>12.44749</v>
          </cell>
          <cell r="G1537">
            <v>60.84</v>
          </cell>
          <cell r="I1537">
            <v>3.7006000000000001</v>
          </cell>
          <cell r="J1537">
            <v>6.8254999999999999</v>
          </cell>
          <cell r="K1537">
            <v>2.83</v>
          </cell>
          <cell r="L1537">
            <v>4.84</v>
          </cell>
          <cell r="M1537">
            <v>3.93</v>
          </cell>
          <cell r="O1537">
            <v>1.4577</v>
          </cell>
          <cell r="P1537">
            <v>0.91579999999999995</v>
          </cell>
          <cell r="Q1537">
            <v>79.586154182135843</v>
          </cell>
          <cell r="U1537">
            <v>2.4051</v>
          </cell>
          <cell r="V1537">
            <v>75.328000000000003</v>
          </cell>
          <cell r="W1537">
            <v>65.635000000000005</v>
          </cell>
        </row>
        <row r="1538">
          <cell r="B1538">
            <v>79.832999999999998</v>
          </cell>
          <cell r="D1538">
            <v>1.3769</v>
          </cell>
          <cell r="E1538">
            <v>1128.2</v>
          </cell>
          <cell r="F1538">
            <v>12.44749</v>
          </cell>
          <cell r="G1538">
            <v>60.84</v>
          </cell>
          <cell r="I1538">
            <v>3.7006000000000001</v>
          </cell>
          <cell r="J1538">
            <v>6.8254999999999999</v>
          </cell>
          <cell r="K1538">
            <v>2.83</v>
          </cell>
          <cell r="L1538">
            <v>4.84</v>
          </cell>
          <cell r="M1538">
            <v>3.93</v>
          </cell>
          <cell r="O1538">
            <v>1.4577</v>
          </cell>
          <cell r="P1538">
            <v>0.91579999999999995</v>
          </cell>
          <cell r="Q1538">
            <v>79.586154182135843</v>
          </cell>
          <cell r="U1538">
            <v>2.4051</v>
          </cell>
          <cell r="V1538">
            <v>75.328000000000003</v>
          </cell>
          <cell r="W1538">
            <v>65.635000000000005</v>
          </cell>
        </row>
        <row r="1539">
          <cell r="B1539">
            <v>80.251000000000005</v>
          </cell>
          <cell r="D1539">
            <v>1.3671</v>
          </cell>
          <cell r="E1539">
            <v>1134.75</v>
          </cell>
          <cell r="F1539">
            <v>12.55752</v>
          </cell>
          <cell r="G1539">
            <v>60.31</v>
          </cell>
          <cell r="I1539">
            <v>3.6949000000000001</v>
          </cell>
          <cell r="J1539">
            <v>6.8259999999999996</v>
          </cell>
          <cell r="K1539">
            <v>2.83</v>
          </cell>
          <cell r="L1539">
            <v>4.8499999999999996</v>
          </cell>
          <cell r="M1539">
            <v>3.93</v>
          </cell>
          <cell r="O1539">
            <v>1.4529000000000001</v>
          </cell>
          <cell r="P1539">
            <v>0.91249999999999998</v>
          </cell>
          <cell r="Q1539">
            <v>79.610958904109594</v>
          </cell>
          <cell r="U1539">
            <v>2.3951000000000002</v>
          </cell>
          <cell r="V1539">
            <v>76.685000000000002</v>
          </cell>
          <cell r="W1539">
            <v>67.332999999999998</v>
          </cell>
        </row>
        <row r="1540">
          <cell r="B1540">
            <v>79.753</v>
          </cell>
          <cell r="D1540">
            <v>1.3728</v>
          </cell>
          <cell r="E1540">
            <v>1132.6500000000001</v>
          </cell>
          <cell r="F1540">
            <v>12.51967</v>
          </cell>
          <cell r="G1540">
            <v>55.169999999999945</v>
          </cell>
          <cell r="I1540">
            <v>3.6493000000000002</v>
          </cell>
          <cell r="J1540">
            <v>6.8258999999999999</v>
          </cell>
          <cell r="K1540">
            <v>2.82</v>
          </cell>
          <cell r="L1540">
            <v>4.83</v>
          </cell>
          <cell r="M1540">
            <v>3.84</v>
          </cell>
          <cell r="O1540">
            <v>1.4527999999999999</v>
          </cell>
          <cell r="P1540">
            <v>0.91420000000000001</v>
          </cell>
          <cell r="Q1540">
            <v>79.457449135856479</v>
          </cell>
          <cell r="U1540">
            <v>2.3479999999999999</v>
          </cell>
          <cell r="V1540">
            <v>75.337000000000003</v>
          </cell>
          <cell r="W1540">
            <v>67.584000000000003</v>
          </cell>
        </row>
        <row r="1541">
          <cell r="B1541">
            <v>79.638000000000005</v>
          </cell>
          <cell r="D1541">
            <v>1.3775999999999999</v>
          </cell>
          <cell r="E1541">
            <v>1128.4000000000001</v>
          </cell>
          <cell r="F1541">
            <v>12.50154</v>
          </cell>
          <cell r="G1541">
            <v>57.79</v>
          </cell>
          <cell r="I1541">
            <v>3.6360999999999999</v>
          </cell>
          <cell r="J1541">
            <v>6.8259999999999996</v>
          </cell>
          <cell r="K1541">
            <v>2.82</v>
          </cell>
          <cell r="L1541">
            <v>4.79</v>
          </cell>
          <cell r="M1541">
            <v>3.8</v>
          </cell>
          <cell r="O1541">
            <v>1.4479</v>
          </cell>
          <cell r="P1541">
            <v>0.92469999999999997</v>
          </cell>
          <cell r="Q1541">
            <v>78.290256299340328</v>
          </cell>
          <cell r="U1541">
            <v>2.3614000000000002</v>
          </cell>
          <cell r="V1541">
            <v>74.117000000000004</v>
          </cell>
          <cell r="W1541">
            <v>67.721000000000004</v>
          </cell>
        </row>
        <row r="1542">
          <cell r="B1542">
            <v>80.224999999999994</v>
          </cell>
          <cell r="D1542">
            <v>1.3633</v>
          </cell>
          <cell r="E1542">
            <v>1133.8499999999999</v>
          </cell>
          <cell r="F1542">
            <v>12.562390000000001</v>
          </cell>
          <cell r="G1542">
            <v>58.91</v>
          </cell>
          <cell r="I1542">
            <v>3.6758999999999999</v>
          </cell>
          <cell r="J1542">
            <v>6.8261000000000003</v>
          </cell>
          <cell r="K1542">
            <v>2.82</v>
          </cell>
          <cell r="L1542">
            <v>4.74</v>
          </cell>
          <cell r="M1542">
            <v>3.76</v>
          </cell>
          <cell r="O1542">
            <v>1.4361999999999999</v>
          </cell>
          <cell r="P1542">
            <v>0.92210000000000003</v>
          </cell>
          <cell r="Q1542">
            <v>77.876586053573362</v>
          </cell>
          <cell r="U1542">
            <v>2.4153000000000002</v>
          </cell>
          <cell r="V1542">
            <v>75.001999999999995</v>
          </cell>
          <cell r="W1542">
            <v>73.305999999999997</v>
          </cell>
        </row>
        <row r="1543">
          <cell r="B1543">
            <v>80.724000000000004</v>
          </cell>
          <cell r="D1543">
            <v>1.353</v>
          </cell>
          <cell r="E1543">
            <v>1132.8</v>
          </cell>
          <cell r="F1543">
            <v>12.560040000000001</v>
          </cell>
          <cell r="G1543">
            <v>61.88</v>
          </cell>
          <cell r="I1543">
            <v>3.6892</v>
          </cell>
          <cell r="J1543">
            <v>6.8265000000000002</v>
          </cell>
          <cell r="K1543">
            <v>2.82</v>
          </cell>
          <cell r="L1543">
            <v>4.72</v>
          </cell>
          <cell r="M1543">
            <v>3.79</v>
          </cell>
          <cell r="O1543">
            <v>1.4367000000000001</v>
          </cell>
          <cell r="P1543">
            <v>0.91610000000000003</v>
          </cell>
          <cell r="Q1543">
            <v>78.413928610413706</v>
          </cell>
          <cell r="U1543">
            <v>2.4559000000000002</v>
          </cell>
          <cell r="V1543">
            <v>75.95</v>
          </cell>
          <cell r="W1543">
            <v>78.637</v>
          </cell>
        </row>
        <row r="1544">
          <cell r="B1544">
            <v>80.724000000000004</v>
          </cell>
          <cell r="D1544">
            <v>1.353</v>
          </cell>
          <cell r="E1544">
            <v>1132.8</v>
          </cell>
          <cell r="F1544">
            <v>12.560040000000001</v>
          </cell>
          <cell r="G1544">
            <v>61.88</v>
          </cell>
          <cell r="I1544">
            <v>3.6892</v>
          </cell>
          <cell r="J1544">
            <v>6.8265000000000002</v>
          </cell>
          <cell r="K1544">
            <v>2.82</v>
          </cell>
          <cell r="L1544">
            <v>4.72</v>
          </cell>
          <cell r="M1544">
            <v>3.79</v>
          </cell>
          <cell r="O1544">
            <v>1.4367000000000001</v>
          </cell>
          <cell r="P1544">
            <v>0.91610000000000003</v>
          </cell>
          <cell r="Q1544">
            <v>78.413928610413706</v>
          </cell>
          <cell r="U1544">
            <v>2.4559000000000002</v>
          </cell>
          <cell r="V1544">
            <v>75.95</v>
          </cell>
          <cell r="W1544">
            <v>78.637</v>
          </cell>
        </row>
        <row r="1545">
          <cell r="B1545">
            <v>80.724000000000004</v>
          </cell>
          <cell r="D1545">
            <v>1.353</v>
          </cell>
          <cell r="E1545">
            <v>1132.8</v>
          </cell>
          <cell r="F1545">
            <v>12.560040000000001</v>
          </cell>
          <cell r="G1545">
            <v>61.88</v>
          </cell>
          <cell r="I1545">
            <v>3.6892</v>
          </cell>
          <cell r="J1545">
            <v>6.8265000000000002</v>
          </cell>
          <cell r="K1545">
            <v>2.82</v>
          </cell>
          <cell r="L1545">
            <v>4.72</v>
          </cell>
          <cell r="M1545">
            <v>3.79</v>
          </cell>
          <cell r="O1545">
            <v>1.4367000000000001</v>
          </cell>
          <cell r="P1545">
            <v>0.91610000000000003</v>
          </cell>
          <cell r="Q1545">
            <v>78.413928610413706</v>
          </cell>
          <cell r="U1545">
            <v>2.4559000000000002</v>
          </cell>
          <cell r="V1545">
            <v>75.95</v>
          </cell>
          <cell r="W1545">
            <v>78.637</v>
          </cell>
        </row>
        <row r="1546">
          <cell r="B1546">
            <v>80.650999999999996</v>
          </cell>
          <cell r="D1546">
            <v>1.3559000000000001</v>
          </cell>
          <cell r="E1546">
            <v>1135.5999999999999</v>
          </cell>
          <cell r="F1546">
            <v>12.63762</v>
          </cell>
          <cell r="G1546">
            <v>63.12</v>
          </cell>
          <cell r="I1546">
            <v>3.6588000000000003</v>
          </cell>
          <cell r="J1546">
            <v>6.8266</v>
          </cell>
          <cell r="K1546">
            <v>2.81</v>
          </cell>
          <cell r="L1546">
            <v>4.68</v>
          </cell>
          <cell r="M1546">
            <v>3.77</v>
          </cell>
          <cell r="O1546">
            <v>1.4340999999999999</v>
          </cell>
          <cell r="P1546">
            <v>0.91720000000000002</v>
          </cell>
          <cell r="Q1546">
            <v>78.178150894025293</v>
          </cell>
          <cell r="U1546">
            <v>2.4051999999999998</v>
          </cell>
          <cell r="V1546">
            <v>83.415000000000006</v>
          </cell>
          <cell r="W1546">
            <v>83.697000000000003</v>
          </cell>
        </row>
        <row r="1547">
          <cell r="B1547">
            <v>80.896000000000001</v>
          </cell>
          <cell r="D1547">
            <v>1.3496000000000001</v>
          </cell>
          <cell r="E1547">
            <v>1136.9000000000001</v>
          </cell>
          <cell r="F1547">
            <v>12.557740000000001</v>
          </cell>
          <cell r="G1547">
            <v>61.66</v>
          </cell>
          <cell r="I1547">
            <v>3.6854</v>
          </cell>
          <cell r="J1547">
            <v>6.8262999999999998</v>
          </cell>
          <cell r="K1547">
            <v>2.81</v>
          </cell>
          <cell r="L1547">
            <v>4.8099999999999996</v>
          </cell>
          <cell r="M1547">
            <v>3.9</v>
          </cell>
          <cell r="O1547">
            <v>1.4264999999999999</v>
          </cell>
          <cell r="P1547">
            <v>0.91649999999999998</v>
          </cell>
          <cell r="Q1547">
            <v>77.823240589198022</v>
          </cell>
          <cell r="U1547">
            <v>2.4154</v>
          </cell>
          <cell r="V1547">
            <v>77.665999999999997</v>
          </cell>
          <cell r="W1547">
            <v>77.668000000000006</v>
          </cell>
        </row>
        <row r="1548">
          <cell r="B1548">
            <v>81.837999999999994</v>
          </cell>
          <cell r="D1548">
            <v>1.3345</v>
          </cell>
          <cell r="E1548">
            <v>1137.8</v>
          </cell>
          <cell r="F1548">
            <v>12.393090000000001</v>
          </cell>
          <cell r="G1548">
            <v>61.459999999999937</v>
          </cell>
          <cell r="I1548">
            <v>3.8524000000000003</v>
          </cell>
          <cell r="J1548">
            <v>6.8266999999999998</v>
          </cell>
          <cell r="K1548">
            <v>2.81</v>
          </cell>
          <cell r="L1548">
            <v>4.9400000000000004</v>
          </cell>
          <cell r="M1548">
            <v>3.94</v>
          </cell>
          <cell r="O1548">
            <v>1.4289000000000001</v>
          </cell>
          <cell r="P1548">
            <v>0.9093</v>
          </cell>
          <cell r="Q1548">
            <v>78.571428571428569</v>
          </cell>
          <cell r="U1548">
            <v>2.5887000000000002</v>
          </cell>
          <cell r="V1548">
            <v>77.825999999999993</v>
          </cell>
          <cell r="W1548">
            <v>79.260000000000005</v>
          </cell>
        </row>
        <row r="1549">
          <cell r="B1549">
            <v>82.12</v>
          </cell>
          <cell r="D1549">
            <v>1.3305</v>
          </cell>
          <cell r="E1549">
            <v>1142.45</v>
          </cell>
          <cell r="F1549">
            <v>12.29609</v>
          </cell>
          <cell r="G1549">
            <v>46.73</v>
          </cell>
          <cell r="I1549">
            <v>3.8776999999999999</v>
          </cell>
          <cell r="J1549">
            <v>6.8274999999999997</v>
          </cell>
          <cell r="K1549">
            <v>2.81</v>
          </cell>
          <cell r="L1549">
            <v>4.8600000000000003</v>
          </cell>
          <cell r="M1549">
            <v>3.82</v>
          </cell>
          <cell r="O1549">
            <v>1.4276</v>
          </cell>
          <cell r="P1549">
            <v>0.90959999999999996</v>
          </cell>
          <cell r="Q1549">
            <v>78.474054529463501</v>
          </cell>
          <cell r="U1549">
            <v>2.6309</v>
          </cell>
          <cell r="V1549">
            <v>78.046999999999997</v>
          </cell>
          <cell r="W1549">
            <v>77.715999999999994</v>
          </cell>
        </row>
        <row r="1550">
          <cell r="B1550">
            <v>81.676000000000002</v>
          </cell>
          <cell r="D1550">
            <v>1.341</v>
          </cell>
          <cell r="E1550">
            <v>1138.8</v>
          </cell>
          <cell r="F1550">
            <v>12.343629999999999</v>
          </cell>
          <cell r="G1550">
            <v>45.22</v>
          </cell>
          <cell r="I1550">
            <v>3.8468</v>
          </cell>
          <cell r="J1550">
            <v>6.827</v>
          </cell>
          <cell r="K1550">
            <v>2.78</v>
          </cell>
          <cell r="L1550">
            <v>4.91</v>
          </cell>
          <cell r="M1550">
            <v>3.84</v>
          </cell>
          <cell r="O1550">
            <v>1.4278999999999999</v>
          </cell>
          <cell r="P1550">
            <v>0.90029999999999999</v>
          </cell>
          <cell r="Q1550">
            <v>79.301343996445624</v>
          </cell>
          <cell r="U1550">
            <v>2.5871</v>
          </cell>
          <cell r="V1550">
            <v>82.262</v>
          </cell>
          <cell r="W1550">
            <v>77.340999999999994</v>
          </cell>
        </row>
        <row r="1551">
          <cell r="B1551">
            <v>81.676000000000002</v>
          </cell>
          <cell r="D1551">
            <v>1.341</v>
          </cell>
          <cell r="E1551">
            <v>1138.8</v>
          </cell>
          <cell r="F1551">
            <v>12.343629999999999</v>
          </cell>
          <cell r="G1551">
            <v>45.52</v>
          </cell>
          <cell r="I1551">
            <v>3.8468</v>
          </cell>
          <cell r="J1551">
            <v>6.827</v>
          </cell>
          <cell r="K1551">
            <v>2.78</v>
          </cell>
          <cell r="L1551">
            <v>4.91</v>
          </cell>
          <cell r="M1551">
            <v>3.84</v>
          </cell>
          <cell r="O1551">
            <v>1.4278999999999999</v>
          </cell>
          <cell r="P1551">
            <v>0.90029999999999999</v>
          </cell>
          <cell r="Q1551">
            <v>79.301343996445624</v>
          </cell>
          <cell r="U1551">
            <v>2.5871</v>
          </cell>
          <cell r="V1551">
            <v>82.262</v>
          </cell>
          <cell r="W1551">
            <v>77.340999999999994</v>
          </cell>
        </row>
        <row r="1552">
          <cell r="B1552">
            <v>81.676000000000002</v>
          </cell>
          <cell r="D1552">
            <v>1.341</v>
          </cell>
          <cell r="E1552">
            <v>1138.8</v>
          </cell>
          <cell r="F1552">
            <v>12.343629999999999</v>
          </cell>
          <cell r="G1552">
            <v>45.52</v>
          </cell>
          <cell r="I1552">
            <v>3.8468</v>
          </cell>
          <cell r="J1552">
            <v>6.827</v>
          </cell>
          <cell r="K1552">
            <v>2.78</v>
          </cell>
          <cell r="L1552">
            <v>4.91</v>
          </cell>
          <cell r="M1552">
            <v>3.84</v>
          </cell>
          <cell r="O1552">
            <v>1.4278999999999999</v>
          </cell>
          <cell r="P1552">
            <v>0.90029999999999999</v>
          </cell>
          <cell r="Q1552">
            <v>79.301343996445624</v>
          </cell>
          <cell r="U1552">
            <v>2.5871</v>
          </cell>
          <cell r="V1552">
            <v>82.262</v>
          </cell>
          <cell r="W1552">
            <v>77.340999999999994</v>
          </cell>
        </row>
        <row r="1553">
          <cell r="B1553">
            <v>81.358000000000004</v>
          </cell>
          <cell r="D1553">
            <v>1.3439999999999999</v>
          </cell>
          <cell r="E1553">
            <v>1135.3800000000001</v>
          </cell>
          <cell r="F1553">
            <v>12.218859999999999</v>
          </cell>
          <cell r="G1553">
            <v>44.67</v>
          </cell>
          <cell r="I1553">
            <v>3.8643000000000001</v>
          </cell>
          <cell r="J1553">
            <v>6.8263999999999996</v>
          </cell>
          <cell r="K1553">
            <v>2.78</v>
          </cell>
          <cell r="L1553">
            <v>4.9800000000000004</v>
          </cell>
          <cell r="M1553">
            <v>3.92</v>
          </cell>
          <cell r="O1553">
            <v>1.4321999999999999</v>
          </cell>
          <cell r="P1553">
            <v>0.91479999999999995</v>
          </cell>
          <cell r="Q1553">
            <v>78.279405334499344</v>
          </cell>
          <cell r="U1553">
            <v>2.5972</v>
          </cell>
          <cell r="V1553">
            <v>84.332999999999998</v>
          </cell>
          <cell r="W1553">
            <v>78.983999999999995</v>
          </cell>
        </row>
        <row r="1554">
          <cell r="B1554">
            <v>81.47</v>
          </cell>
          <cell r="D1554">
            <v>1.3422000000000001</v>
          </cell>
          <cell r="E1554">
            <v>1130.0999999999999</v>
          </cell>
          <cell r="F1554">
            <v>12.192869999999999</v>
          </cell>
          <cell r="G1554">
            <v>45.74</v>
          </cell>
          <cell r="I1554">
            <v>3.8566000000000003</v>
          </cell>
          <cell r="J1554">
            <v>6.8258000000000001</v>
          </cell>
          <cell r="K1554">
            <v>2.78</v>
          </cell>
          <cell r="L1554">
            <v>4.99</v>
          </cell>
          <cell r="M1554">
            <v>3.9</v>
          </cell>
          <cell r="O1554">
            <v>1.431</v>
          </cell>
          <cell r="P1554">
            <v>0.91900000000000004</v>
          </cell>
          <cell r="Q1554">
            <v>77.85636561479869</v>
          </cell>
          <cell r="U1554">
            <v>2.6006</v>
          </cell>
          <cell r="V1554">
            <v>79.194000000000003</v>
          </cell>
          <cell r="W1554">
            <v>81.352000000000004</v>
          </cell>
        </row>
        <row r="1555">
          <cell r="B1555">
            <v>81.072999999999993</v>
          </cell>
          <cell r="D1555">
            <v>1.3532999999999999</v>
          </cell>
          <cell r="E1555">
            <v>1131.3</v>
          </cell>
          <cell r="F1555">
            <v>12.101710000000001</v>
          </cell>
          <cell r="G1555">
            <v>45.13</v>
          </cell>
          <cell r="I1555">
            <v>3.8256999999999999</v>
          </cell>
          <cell r="J1555">
            <v>6.8265000000000002</v>
          </cell>
          <cell r="K1555">
            <v>2.78</v>
          </cell>
          <cell r="L1555">
            <v>4.95</v>
          </cell>
          <cell r="M1555">
            <v>3.89</v>
          </cell>
          <cell r="O1555">
            <v>1.4225000000000001</v>
          </cell>
          <cell r="P1555">
            <v>0.91790000000000005</v>
          </cell>
          <cell r="Q1555">
            <v>77.486654319642668</v>
          </cell>
          <cell r="U1555">
            <v>2.5434999999999999</v>
          </cell>
          <cell r="V1555">
            <v>79.893000000000001</v>
          </cell>
          <cell r="W1555">
            <v>82.945999999999998</v>
          </cell>
        </row>
        <row r="1556">
          <cell r="B1556">
            <v>80.775999999999996</v>
          </cell>
          <cell r="D1556">
            <v>1.3564000000000001</v>
          </cell>
          <cell r="E1556">
            <v>1126.25</v>
          </cell>
          <cell r="F1556">
            <v>11.976419999999999</v>
          </cell>
          <cell r="G1556">
            <v>45.95</v>
          </cell>
          <cell r="I1556">
            <v>3.8685</v>
          </cell>
          <cell r="J1556">
            <v>6.8262999999999998</v>
          </cell>
          <cell r="K1556">
            <v>2.78</v>
          </cell>
          <cell r="L1556">
            <v>4.91</v>
          </cell>
          <cell r="M1556">
            <v>3.84</v>
          </cell>
          <cell r="O1556">
            <v>1.4319999999999999</v>
          </cell>
          <cell r="P1556">
            <v>0.9204</v>
          </cell>
          <cell r="Q1556">
            <v>77.792264232942202</v>
          </cell>
          <cell r="U1556">
            <v>2.5872999999999999</v>
          </cell>
          <cell r="V1556">
            <v>79.385999999999996</v>
          </cell>
          <cell r="W1556">
            <v>81.516999999999996</v>
          </cell>
        </row>
        <row r="1557">
          <cell r="B1557">
            <v>81.173000000000002</v>
          </cell>
          <cell r="D1557">
            <v>1.3504</v>
          </cell>
          <cell r="E1557">
            <v>1125.8499999999999</v>
          </cell>
          <cell r="F1557">
            <v>11.89649</v>
          </cell>
          <cell r="G1557">
            <v>44.84</v>
          </cell>
          <cell r="I1557">
            <v>3.9445999999999999</v>
          </cell>
          <cell r="J1557">
            <v>6.8255999999999997</v>
          </cell>
          <cell r="K1557">
            <v>2.78</v>
          </cell>
          <cell r="L1557">
            <v>4.93</v>
          </cell>
          <cell r="M1557">
            <v>3.84</v>
          </cell>
          <cell r="O1557">
            <v>1.4334</v>
          </cell>
          <cell r="P1557">
            <v>0.91900000000000004</v>
          </cell>
          <cell r="Q1557">
            <v>77.986942328618056</v>
          </cell>
          <cell r="U1557">
            <v>2.6684000000000001</v>
          </cell>
          <cell r="V1557">
            <v>83.070999999999998</v>
          </cell>
          <cell r="W1557">
            <v>81.024000000000001</v>
          </cell>
        </row>
        <row r="1558">
          <cell r="B1558">
            <v>81.173000000000002</v>
          </cell>
          <cell r="D1558">
            <v>1.3504</v>
          </cell>
          <cell r="E1558">
            <v>1125.8499999999999</v>
          </cell>
          <cell r="F1558">
            <v>11.89649</v>
          </cell>
          <cell r="G1558">
            <v>44.84</v>
          </cell>
          <cell r="I1558">
            <v>3.9445999999999999</v>
          </cell>
          <cell r="J1558">
            <v>6.8255999999999997</v>
          </cell>
          <cell r="K1558">
            <v>2.78</v>
          </cell>
          <cell r="L1558">
            <v>4.93</v>
          </cell>
          <cell r="M1558">
            <v>3.84</v>
          </cell>
          <cell r="O1558">
            <v>1.4334</v>
          </cell>
          <cell r="P1558">
            <v>0.91900000000000004</v>
          </cell>
          <cell r="Q1558">
            <v>77.986942328618056</v>
          </cell>
          <cell r="U1558">
            <v>2.6684000000000001</v>
          </cell>
          <cell r="V1558">
            <v>83.070999999999998</v>
          </cell>
          <cell r="W1558">
            <v>81.024000000000001</v>
          </cell>
        </row>
        <row r="1559">
          <cell r="B1559">
            <v>81.173000000000002</v>
          </cell>
          <cell r="D1559">
            <v>1.3504</v>
          </cell>
          <cell r="E1559">
            <v>1125.8499999999999</v>
          </cell>
          <cell r="F1559">
            <v>11.89649</v>
          </cell>
          <cell r="G1559">
            <v>44.84</v>
          </cell>
          <cell r="I1559">
            <v>3.9445999999999999</v>
          </cell>
          <cell r="J1559">
            <v>6.8255999999999997</v>
          </cell>
          <cell r="K1559">
            <v>2.78</v>
          </cell>
          <cell r="L1559">
            <v>4.93</v>
          </cell>
          <cell r="M1559">
            <v>3.84</v>
          </cell>
          <cell r="O1559">
            <v>1.4334</v>
          </cell>
          <cell r="P1559">
            <v>0.91900000000000004</v>
          </cell>
          <cell r="Q1559">
            <v>77.986942328618056</v>
          </cell>
          <cell r="U1559">
            <v>2.6684000000000001</v>
          </cell>
          <cell r="V1559">
            <v>83.070999999999998</v>
          </cell>
          <cell r="W1559">
            <v>81.024000000000001</v>
          </cell>
        </row>
        <row r="1560">
          <cell r="B1560">
            <v>81.093999999999994</v>
          </cell>
          <cell r="D1560">
            <v>1.3509</v>
          </cell>
          <cell r="E1560">
            <v>1123.05</v>
          </cell>
          <cell r="F1560">
            <v>11.910220000000001</v>
          </cell>
          <cell r="G1560">
            <v>48.11</v>
          </cell>
          <cell r="I1560">
            <v>3.9859</v>
          </cell>
          <cell r="J1560">
            <v>6.8259999999999996</v>
          </cell>
          <cell r="K1560">
            <v>2.72</v>
          </cell>
          <cell r="L1560">
            <v>4.96</v>
          </cell>
          <cell r="M1560">
            <v>3.85</v>
          </cell>
          <cell r="O1560">
            <v>1.4323999999999999</v>
          </cell>
          <cell r="P1560">
            <v>0.9214</v>
          </cell>
          <cell r="Q1560">
            <v>77.729542001302363</v>
          </cell>
          <cell r="U1560">
            <v>2.7363</v>
          </cell>
          <cell r="V1560">
            <v>78.819000000000003</v>
          </cell>
          <cell r="W1560">
            <v>81.332999999999998</v>
          </cell>
        </row>
        <row r="1561">
          <cell r="B1561">
            <v>81.387</v>
          </cell>
          <cell r="D1561">
            <v>1.3376000000000001</v>
          </cell>
          <cell r="E1561">
            <v>1123.0999999999999</v>
          </cell>
          <cell r="F1561">
            <v>11.95542</v>
          </cell>
          <cell r="G1561">
            <v>44.45</v>
          </cell>
          <cell r="I1561">
            <v>3.9504999999999999</v>
          </cell>
          <cell r="J1561">
            <v>6.8258000000000001</v>
          </cell>
          <cell r="K1561">
            <v>2.63</v>
          </cell>
          <cell r="L1561">
            <v>4.9400000000000004</v>
          </cell>
          <cell r="M1561">
            <v>3.84</v>
          </cell>
          <cell r="O1561">
            <v>1.4320999999999999</v>
          </cell>
          <cell r="P1561">
            <v>0.92469999999999997</v>
          </cell>
          <cell r="Q1561">
            <v>77.435925164918345</v>
          </cell>
          <cell r="U1561">
            <v>2.6955999999999998</v>
          </cell>
          <cell r="V1561">
            <v>78.052000000000007</v>
          </cell>
          <cell r="W1561">
            <v>85.531999999999996</v>
          </cell>
        </row>
        <row r="1562">
          <cell r="B1562">
            <v>81.442999999999998</v>
          </cell>
          <cell r="D1562">
            <v>1.3357000000000001</v>
          </cell>
          <cell r="E1562">
            <v>1120.5999999999999</v>
          </cell>
          <cell r="F1562">
            <v>11.99776</v>
          </cell>
          <cell r="G1562">
            <v>34.89</v>
          </cell>
          <cell r="I1562">
            <v>3.8531</v>
          </cell>
          <cell r="J1562">
            <v>6.8259999999999996</v>
          </cell>
          <cell r="K1562">
            <v>2.63</v>
          </cell>
          <cell r="L1562">
            <v>4.88</v>
          </cell>
          <cell r="M1562">
            <v>3.82</v>
          </cell>
          <cell r="O1562">
            <v>1.4331</v>
          </cell>
          <cell r="P1562">
            <v>0.9284</v>
          </cell>
          <cell r="Q1562">
            <v>77.181171908660062</v>
          </cell>
          <cell r="U1562">
            <v>2.5975999999999999</v>
          </cell>
          <cell r="V1562">
            <v>78.468000000000004</v>
          </cell>
          <cell r="W1562">
            <v>92.944000000000003</v>
          </cell>
        </row>
        <row r="1563">
          <cell r="B1563">
            <v>81.534000000000006</v>
          </cell>
          <cell r="D1563">
            <v>1.335</v>
          </cell>
          <cell r="E1563">
            <v>1123.25</v>
          </cell>
          <cell r="F1563">
            <v>12.04269</v>
          </cell>
          <cell r="G1563">
            <v>34.89</v>
          </cell>
          <cell r="I1563">
            <v>3.8900999999999999</v>
          </cell>
          <cell r="J1563">
            <v>6.8259999999999996</v>
          </cell>
          <cell r="K1563">
            <v>2.5299999999999998</v>
          </cell>
          <cell r="L1563">
            <v>4.8099999999999996</v>
          </cell>
          <cell r="M1563">
            <v>3.74</v>
          </cell>
          <cell r="O1563">
            <v>1.4330000000000001</v>
          </cell>
          <cell r="P1563">
            <v>0.92800000000000005</v>
          </cell>
          <cell r="Q1563">
            <v>77.209051724137936</v>
          </cell>
          <cell r="U1563">
            <v>2.6348000000000003</v>
          </cell>
          <cell r="V1563">
            <v>81.472999999999999</v>
          </cell>
          <cell r="W1563">
            <v>94.799000000000007</v>
          </cell>
        </row>
        <row r="1564">
          <cell r="B1564">
            <v>81.093000000000004</v>
          </cell>
          <cell r="D1564">
            <v>1.35</v>
          </cell>
          <cell r="E1564">
            <v>1118.1500000000001</v>
          </cell>
          <cell r="F1564">
            <v>11.939260000000001</v>
          </cell>
          <cell r="G1564">
            <v>34.549999999999997</v>
          </cell>
          <cell r="I1564">
            <v>3.8824999999999998</v>
          </cell>
          <cell r="J1564">
            <v>6.8259999999999996</v>
          </cell>
          <cell r="K1564">
            <v>2.46</v>
          </cell>
          <cell r="L1564">
            <v>4.83</v>
          </cell>
          <cell r="M1564">
            <v>3.77</v>
          </cell>
          <cell r="O1564">
            <v>1.4365999999999999</v>
          </cell>
          <cell r="P1564">
            <v>0.93289999999999995</v>
          </cell>
          <cell r="Q1564">
            <v>76.996462643370137</v>
          </cell>
          <cell r="U1564">
            <v>2.6248</v>
          </cell>
          <cell r="V1564">
            <v>81.548000000000002</v>
          </cell>
          <cell r="W1564">
            <v>86.088999999999999</v>
          </cell>
        </row>
        <row r="1565">
          <cell r="B1565">
            <v>81.093000000000004</v>
          </cell>
          <cell r="D1565">
            <v>1.35</v>
          </cell>
          <cell r="E1565">
            <v>1118.1500000000001</v>
          </cell>
          <cell r="F1565">
            <v>11.939260000000001</v>
          </cell>
          <cell r="G1565">
            <v>34.549999999999997</v>
          </cell>
          <cell r="I1565">
            <v>3.8824999999999998</v>
          </cell>
          <cell r="J1565">
            <v>6.8259999999999996</v>
          </cell>
          <cell r="K1565">
            <v>2.46</v>
          </cell>
          <cell r="L1565">
            <v>4.83</v>
          </cell>
          <cell r="M1565">
            <v>3.77</v>
          </cell>
          <cell r="O1565">
            <v>1.4365999999999999</v>
          </cell>
          <cell r="P1565">
            <v>0.93289999999999995</v>
          </cell>
          <cell r="Q1565">
            <v>76.996462643370137</v>
          </cell>
          <cell r="U1565">
            <v>2.6248</v>
          </cell>
          <cell r="V1565">
            <v>81.548000000000002</v>
          </cell>
          <cell r="W1565">
            <v>86.088999999999999</v>
          </cell>
        </row>
        <row r="1566">
          <cell r="B1566">
            <v>81.093000000000004</v>
          </cell>
          <cell r="D1566">
            <v>1.35</v>
          </cell>
          <cell r="E1566">
            <v>1118.1500000000001</v>
          </cell>
          <cell r="F1566">
            <v>11.939260000000001</v>
          </cell>
          <cell r="G1566">
            <v>34.549999999999997</v>
          </cell>
          <cell r="I1566">
            <v>3.8824999999999998</v>
          </cell>
          <cell r="J1566">
            <v>6.8259999999999996</v>
          </cell>
          <cell r="K1566">
            <v>2.46</v>
          </cell>
          <cell r="L1566">
            <v>4.83</v>
          </cell>
          <cell r="M1566">
            <v>3.77</v>
          </cell>
          <cell r="O1566">
            <v>1.4365999999999999</v>
          </cell>
          <cell r="P1566">
            <v>0.93289999999999995</v>
          </cell>
          <cell r="Q1566">
            <v>76.996462643370137</v>
          </cell>
          <cell r="U1566">
            <v>2.6248</v>
          </cell>
          <cell r="V1566">
            <v>81.548000000000002</v>
          </cell>
          <cell r="W1566">
            <v>86.088999999999999</v>
          </cell>
        </row>
        <row r="1567">
          <cell r="B1567">
            <v>80.561999999999998</v>
          </cell>
          <cell r="D1567">
            <v>1.3575999999999999</v>
          </cell>
          <cell r="E1567">
            <v>1114.1300000000001</v>
          </cell>
          <cell r="F1567">
            <v>11.95322</v>
          </cell>
          <cell r="G1567">
            <v>25.03</v>
          </cell>
          <cell r="I1567">
            <v>3.8416999999999999</v>
          </cell>
          <cell r="J1567">
            <v>6.8257000000000003</v>
          </cell>
          <cell r="K1567">
            <v>2.4500000000000002</v>
          </cell>
          <cell r="L1567">
            <v>4.9400000000000004</v>
          </cell>
          <cell r="M1567">
            <v>3.85</v>
          </cell>
          <cell r="O1567">
            <v>1.4407000000000001</v>
          </cell>
          <cell r="P1567">
            <v>0.92769999999999997</v>
          </cell>
          <cell r="Q1567">
            <v>77.64902446911718</v>
          </cell>
          <cell r="U1567">
            <v>2.5876000000000001</v>
          </cell>
          <cell r="V1567">
            <v>80.245999999999995</v>
          </cell>
          <cell r="W1567">
            <v>83.123999999999995</v>
          </cell>
        </row>
        <row r="1568">
          <cell r="B1568">
            <v>80.507000000000005</v>
          </cell>
          <cell r="D1568">
            <v>1.3583000000000001</v>
          </cell>
          <cell r="E1568">
            <v>1123.9000000000001</v>
          </cell>
          <cell r="F1568">
            <v>12.0349</v>
          </cell>
          <cell r="G1568">
            <v>25.26</v>
          </cell>
          <cell r="I1568">
            <v>3.8204000000000002</v>
          </cell>
          <cell r="J1568">
            <v>6.8259999999999996</v>
          </cell>
          <cell r="K1568">
            <v>2.4500000000000002</v>
          </cell>
          <cell r="L1568">
            <v>4.95</v>
          </cell>
          <cell r="M1568">
            <v>3.83</v>
          </cell>
          <cell r="O1568">
            <v>1.4339</v>
          </cell>
          <cell r="P1568">
            <v>0.92669999999999997</v>
          </cell>
          <cell r="Q1568">
            <v>77.365922089133491</v>
          </cell>
          <cell r="U1568">
            <v>2.5741000000000001</v>
          </cell>
          <cell r="V1568">
            <v>79.561999999999998</v>
          </cell>
          <cell r="W1568">
            <v>83.33</v>
          </cell>
        </row>
        <row r="1569">
          <cell r="B1569">
            <v>80.19</v>
          </cell>
          <cell r="D1569">
            <v>1.3663000000000001</v>
          </cell>
          <cell r="E1569">
            <v>1112.1500000000001</v>
          </cell>
          <cell r="F1569">
            <v>11.94101</v>
          </cell>
          <cell r="G1569">
            <v>18.97</v>
          </cell>
          <cell r="I1569">
            <v>3.8593000000000002</v>
          </cell>
          <cell r="J1569">
            <v>6.8259999999999996</v>
          </cell>
          <cell r="K1569">
            <v>2.4500000000000002</v>
          </cell>
          <cell r="L1569">
            <v>4.9800000000000004</v>
          </cell>
          <cell r="M1569">
            <v>3.87</v>
          </cell>
          <cell r="O1569">
            <v>1.4365000000000001</v>
          </cell>
          <cell r="P1569">
            <v>0.93500000000000005</v>
          </cell>
          <cell r="Q1569">
            <v>76.818181818181813</v>
          </cell>
          <cell r="U1569">
            <v>2.5977999999999999</v>
          </cell>
          <cell r="V1569">
            <v>75.119</v>
          </cell>
          <cell r="W1569">
            <v>89.578000000000003</v>
          </cell>
        </row>
        <row r="1570">
          <cell r="B1570">
            <v>80.481999999999999</v>
          </cell>
          <cell r="D1570">
            <v>1.3569</v>
          </cell>
          <cell r="E1570">
            <v>1107.55</v>
          </cell>
          <cell r="F1570">
            <v>11.93605</v>
          </cell>
          <cell r="G1570">
            <v>16.690000000000001</v>
          </cell>
          <cell r="I1570">
            <v>3.8321000000000001</v>
          </cell>
          <cell r="J1570">
            <v>6.8259999999999996</v>
          </cell>
          <cell r="K1570">
            <v>2.4500000000000002</v>
          </cell>
          <cell r="L1570">
            <v>4.97</v>
          </cell>
          <cell r="M1570">
            <v>3.85</v>
          </cell>
          <cell r="O1570">
            <v>1.4339999999999999</v>
          </cell>
          <cell r="P1570">
            <v>0.93330000000000002</v>
          </cell>
          <cell r="Q1570">
            <v>76.824172291867569</v>
          </cell>
          <cell r="U1570">
            <v>2.5436999999999999</v>
          </cell>
          <cell r="V1570">
            <v>74.260999999999996</v>
          </cell>
          <cell r="W1570">
            <v>89</v>
          </cell>
        </row>
        <row r="1571">
          <cell r="B1571">
            <v>80.823999999999998</v>
          </cell>
          <cell r="D1571">
            <v>1.3503000000000001</v>
          </cell>
          <cell r="E1571">
            <v>1110.23</v>
          </cell>
          <cell r="F1571">
            <v>12.106540000000001</v>
          </cell>
          <cell r="G1571">
            <v>15.04</v>
          </cell>
          <cell r="I1571">
            <v>3.7625999999999999</v>
          </cell>
          <cell r="J1571">
            <v>6.8261000000000003</v>
          </cell>
          <cell r="K1571">
            <v>2.4500000000000002</v>
          </cell>
          <cell r="L1571">
            <v>4.93</v>
          </cell>
          <cell r="M1571">
            <v>3.8</v>
          </cell>
          <cell r="O1571">
            <v>1.4327000000000001</v>
          </cell>
          <cell r="P1571">
            <v>0.92459999999999998</v>
          </cell>
          <cell r="Q1571">
            <v>77.476746701276227</v>
          </cell>
          <cell r="U1571">
            <v>2.4661</v>
          </cell>
          <cell r="V1571">
            <v>75.613</v>
          </cell>
          <cell r="W1571">
            <v>93.728999999999999</v>
          </cell>
        </row>
        <row r="1572">
          <cell r="B1572">
            <v>80.823999999999998</v>
          </cell>
          <cell r="D1572">
            <v>1.3503000000000001</v>
          </cell>
          <cell r="E1572">
            <v>1110.23</v>
          </cell>
          <cell r="F1572">
            <v>12.106540000000001</v>
          </cell>
          <cell r="G1572">
            <v>15.04</v>
          </cell>
          <cell r="I1572">
            <v>3.7625999999999999</v>
          </cell>
          <cell r="J1572">
            <v>6.8261000000000003</v>
          </cell>
          <cell r="K1572">
            <v>2.4500000000000002</v>
          </cell>
          <cell r="L1572">
            <v>4.93</v>
          </cell>
          <cell r="M1572">
            <v>3.8</v>
          </cell>
          <cell r="O1572">
            <v>1.4327000000000001</v>
          </cell>
          <cell r="P1572">
            <v>0.92459999999999998</v>
          </cell>
          <cell r="Q1572">
            <v>77.476746701276227</v>
          </cell>
          <cell r="U1572">
            <v>2.4661</v>
          </cell>
          <cell r="V1572">
            <v>75.613</v>
          </cell>
          <cell r="W1572">
            <v>93.728999999999999</v>
          </cell>
        </row>
        <row r="1573">
          <cell r="B1573">
            <v>80.823999999999998</v>
          </cell>
          <cell r="D1573">
            <v>1.3503000000000001</v>
          </cell>
          <cell r="E1573">
            <v>1110.23</v>
          </cell>
          <cell r="F1573">
            <v>12.106540000000001</v>
          </cell>
          <cell r="G1573">
            <v>15.04</v>
          </cell>
          <cell r="I1573">
            <v>3.7625999999999999</v>
          </cell>
          <cell r="J1573">
            <v>6.8261000000000003</v>
          </cell>
          <cell r="K1573">
            <v>2.4500000000000002</v>
          </cell>
          <cell r="L1573">
            <v>4.93</v>
          </cell>
          <cell r="M1573">
            <v>3.8</v>
          </cell>
          <cell r="O1573">
            <v>1.4327000000000001</v>
          </cell>
          <cell r="P1573">
            <v>0.92459999999999998</v>
          </cell>
          <cell r="Q1573">
            <v>77.476746701276227</v>
          </cell>
          <cell r="U1573">
            <v>2.4661</v>
          </cell>
          <cell r="V1573">
            <v>75.613</v>
          </cell>
          <cell r="W1573">
            <v>93.728999999999999</v>
          </cell>
        </row>
        <row r="1574">
          <cell r="B1574">
            <v>81</v>
          </cell>
          <cell r="D1574">
            <v>1.347</v>
          </cell>
          <cell r="E1574">
            <v>1118</v>
          </cell>
          <cell r="F1574">
            <v>12.140599999999999</v>
          </cell>
          <cell r="G1574">
            <v>21.66</v>
          </cell>
          <cell r="I1574">
            <v>3.7974000000000001</v>
          </cell>
          <cell r="J1574">
            <v>6.8259999999999996</v>
          </cell>
          <cell r="K1574">
            <v>2.4500000000000002</v>
          </cell>
          <cell r="L1574">
            <v>4.9400000000000004</v>
          </cell>
          <cell r="M1574">
            <v>3.78</v>
          </cell>
          <cell r="O1574">
            <v>1.4332</v>
          </cell>
          <cell r="P1574">
            <v>0.91990000000000005</v>
          </cell>
          <cell r="Q1574">
            <v>77.89977171431677</v>
          </cell>
          <cell r="U1574">
            <v>2.5167000000000002</v>
          </cell>
          <cell r="V1574">
            <v>79.385000000000005</v>
          </cell>
          <cell r="W1574">
            <v>96.283000000000001</v>
          </cell>
        </row>
        <row r="1575">
          <cell r="B1575">
            <v>81.049000000000007</v>
          </cell>
          <cell r="D1575">
            <v>1.3433999999999999</v>
          </cell>
          <cell r="E1575">
            <v>1117.8499999999999</v>
          </cell>
          <cell r="F1575">
            <v>11.952830000000001</v>
          </cell>
          <cell r="G1575">
            <v>22.47</v>
          </cell>
          <cell r="I1575">
            <v>3.7993000000000001</v>
          </cell>
          <cell r="J1575">
            <v>6.8259999999999996</v>
          </cell>
          <cell r="K1575">
            <v>2.4500000000000002</v>
          </cell>
          <cell r="L1575">
            <v>4.9400000000000004</v>
          </cell>
          <cell r="M1575">
            <v>3.76</v>
          </cell>
          <cell r="O1575">
            <v>1.4356</v>
          </cell>
          <cell r="P1575">
            <v>0.93079999999999996</v>
          </cell>
          <cell r="Q1575">
            <v>77.116458960034379</v>
          </cell>
          <cell r="U1575">
            <v>2.5438000000000001</v>
          </cell>
          <cell r="V1575">
            <v>76.962000000000003</v>
          </cell>
          <cell r="W1575">
            <v>93.332999999999998</v>
          </cell>
        </row>
        <row r="1576">
          <cell r="B1576">
            <v>81.161000000000001</v>
          </cell>
          <cell r="D1576">
            <v>1.3406</v>
          </cell>
          <cell r="E1576">
            <v>1107.6500000000001</v>
          </cell>
          <cell r="F1576">
            <v>11.903790000000001</v>
          </cell>
          <cell r="G1576">
            <v>21.74</v>
          </cell>
          <cell r="I1576">
            <v>3.7355999999999998</v>
          </cell>
          <cell r="J1576">
            <v>6.827</v>
          </cell>
          <cell r="K1576">
            <v>2.4500000000000002</v>
          </cell>
          <cell r="L1576">
            <v>4.97</v>
          </cell>
          <cell r="M1576">
            <v>3.8</v>
          </cell>
          <cell r="O1576">
            <v>1.4337</v>
          </cell>
          <cell r="P1576">
            <v>0.92900000000000005</v>
          </cell>
          <cell r="Q1576">
            <v>77.163616792249726</v>
          </cell>
          <cell r="U1576">
            <v>2.4931000000000001</v>
          </cell>
          <cell r="V1576">
            <v>77.694999999999993</v>
          </cell>
          <cell r="W1576">
            <v>100.191</v>
          </cell>
        </row>
        <row r="1577">
          <cell r="B1577">
            <v>81.566999999999993</v>
          </cell>
          <cell r="D1577">
            <v>1.3306</v>
          </cell>
          <cell r="E1577">
            <v>1108.1500000000001</v>
          </cell>
          <cell r="F1577">
            <v>11.93234</v>
          </cell>
          <cell r="G1577">
            <v>22.67</v>
          </cell>
          <cell r="I1577">
            <v>3.7723</v>
          </cell>
          <cell r="J1577">
            <v>6.8259999999999996</v>
          </cell>
          <cell r="K1577">
            <v>2.4500000000000002</v>
          </cell>
          <cell r="L1577">
            <v>4.9400000000000004</v>
          </cell>
          <cell r="M1577">
            <v>3.77</v>
          </cell>
          <cell r="O1577">
            <v>1.4333</v>
          </cell>
          <cell r="P1577">
            <v>0.92620000000000002</v>
          </cell>
          <cell r="Q1577">
            <v>77.37529691211401</v>
          </cell>
          <cell r="U1577">
            <v>2.5371000000000001</v>
          </cell>
          <cell r="V1577">
            <v>78.483999999999995</v>
          </cell>
          <cell r="W1577">
            <v>111.83499999999999</v>
          </cell>
        </row>
        <row r="1578">
          <cell r="B1578">
            <v>81.352000000000004</v>
          </cell>
          <cell r="D1578">
            <v>1.3384</v>
          </cell>
          <cell r="E1578">
            <v>1108.8499999999999</v>
          </cell>
          <cell r="F1578">
            <v>11.76125</v>
          </cell>
          <cell r="G1578">
            <v>25.98</v>
          </cell>
          <cell r="I1578">
            <v>3.8092000000000001</v>
          </cell>
          <cell r="J1578">
            <v>6.8259999999999996</v>
          </cell>
          <cell r="K1578">
            <v>2.4500000000000002</v>
          </cell>
          <cell r="L1578">
            <v>4.91</v>
          </cell>
          <cell r="M1578">
            <v>3.76</v>
          </cell>
          <cell r="O1578">
            <v>1.4358</v>
          </cell>
          <cell r="P1578">
            <v>0.92469999999999997</v>
          </cell>
          <cell r="Q1578">
            <v>77.635990050827303</v>
          </cell>
          <cell r="U1578">
            <v>2.5880999999999998</v>
          </cell>
          <cell r="V1578">
            <v>82.299000000000007</v>
          </cell>
          <cell r="W1578">
            <v>112.58199999999999</v>
          </cell>
        </row>
        <row r="1579">
          <cell r="B1579">
            <v>81.352000000000004</v>
          </cell>
          <cell r="D1579">
            <v>1.3384</v>
          </cell>
          <cell r="E1579">
            <v>1108.8499999999999</v>
          </cell>
          <cell r="F1579">
            <v>11.76125</v>
          </cell>
          <cell r="G1579">
            <v>25.58</v>
          </cell>
          <cell r="I1579">
            <v>3.8092000000000001</v>
          </cell>
          <cell r="J1579">
            <v>6.8259999999999996</v>
          </cell>
          <cell r="K1579">
            <v>2.4500000000000002</v>
          </cell>
          <cell r="L1579">
            <v>4.91</v>
          </cell>
          <cell r="M1579">
            <v>3.76</v>
          </cell>
          <cell r="O1579">
            <v>1.4358</v>
          </cell>
          <cell r="P1579">
            <v>0.92469999999999997</v>
          </cell>
          <cell r="Q1579">
            <v>77.635990050827303</v>
          </cell>
          <cell r="U1579">
            <v>2.5880999999999998</v>
          </cell>
          <cell r="V1579">
            <v>82.299000000000007</v>
          </cell>
          <cell r="W1579">
            <v>112.58199999999999</v>
          </cell>
        </row>
        <row r="1580">
          <cell r="B1580">
            <v>81.352000000000004</v>
          </cell>
          <cell r="D1580">
            <v>1.3384</v>
          </cell>
          <cell r="E1580">
            <v>1108.8499999999999</v>
          </cell>
          <cell r="F1580">
            <v>11.76125</v>
          </cell>
          <cell r="G1580">
            <v>25.58</v>
          </cell>
          <cell r="I1580">
            <v>3.8092000000000001</v>
          </cell>
          <cell r="J1580">
            <v>6.8259999999999996</v>
          </cell>
          <cell r="K1580">
            <v>2.4500000000000002</v>
          </cell>
          <cell r="L1580">
            <v>4.91</v>
          </cell>
          <cell r="M1580">
            <v>3.76</v>
          </cell>
          <cell r="O1580">
            <v>1.4358</v>
          </cell>
          <cell r="P1580">
            <v>0.92469999999999997</v>
          </cell>
          <cell r="Q1580">
            <v>77.635990050827303</v>
          </cell>
          <cell r="U1580">
            <v>2.5880999999999998</v>
          </cell>
          <cell r="V1580">
            <v>82.299000000000007</v>
          </cell>
          <cell r="W1580">
            <v>112.58199999999999</v>
          </cell>
        </row>
        <row r="1581">
          <cell r="B1581">
            <v>81.480999999999995</v>
          </cell>
          <cell r="D1581">
            <v>1.3340000000000001</v>
          </cell>
          <cell r="E1581">
            <v>1103.8</v>
          </cell>
          <cell r="F1581">
            <v>11.72134</v>
          </cell>
          <cell r="G1581">
            <v>23.85999999999995</v>
          </cell>
          <cell r="I1581">
            <v>3.8054000000000001</v>
          </cell>
          <cell r="J1581">
            <v>6.8266</v>
          </cell>
          <cell r="K1581">
            <v>2.4500000000000002</v>
          </cell>
          <cell r="L1581">
            <v>4.9000000000000004</v>
          </cell>
          <cell r="M1581">
            <v>3.75</v>
          </cell>
          <cell r="O1581">
            <v>1.4349000000000001</v>
          </cell>
          <cell r="P1581">
            <v>0.9274</v>
          </cell>
          <cell r="Q1581">
            <v>77.361440586586156</v>
          </cell>
          <cell r="U1581">
            <v>2.5643000000000002</v>
          </cell>
          <cell r="V1581">
            <v>83.355000000000004</v>
          </cell>
          <cell r="W1581">
            <v>115.99</v>
          </cell>
        </row>
        <row r="1582">
          <cell r="B1582">
            <v>82.146000000000001</v>
          </cell>
          <cell r="D1582">
            <v>1.3246</v>
          </cell>
          <cell r="E1582">
            <v>1110.1500000000001</v>
          </cell>
          <cell r="F1582">
            <v>12.00006</v>
          </cell>
          <cell r="G1582">
            <v>28.43</v>
          </cell>
          <cell r="I1582">
            <v>3.6877</v>
          </cell>
          <cell r="J1582">
            <v>6.8258000000000001</v>
          </cell>
          <cell r="K1582">
            <v>2.4500000000000002</v>
          </cell>
          <cell r="L1582">
            <v>4.84</v>
          </cell>
          <cell r="M1582">
            <v>3.66</v>
          </cell>
          <cell r="O1582">
            <v>1.4339999999999999</v>
          </cell>
          <cell r="P1582">
            <v>0.91859999999999997</v>
          </cell>
          <cell r="Q1582">
            <v>78.053559764859571</v>
          </cell>
          <cell r="U1582">
            <v>2.4218999999999999</v>
          </cell>
          <cell r="V1582">
            <v>88.998999999999995</v>
          </cell>
          <cell r="W1582">
            <v>126.777</v>
          </cell>
        </row>
        <row r="1583">
          <cell r="B1583">
            <v>82.381</v>
          </cell>
          <cell r="D1583">
            <v>1.3161</v>
          </cell>
          <cell r="E1583">
            <v>1118.75</v>
          </cell>
          <cell r="F1583">
            <v>11.89021</v>
          </cell>
          <cell r="G1583">
            <v>39.22</v>
          </cell>
          <cell r="I1583">
            <v>3.7627999999999999</v>
          </cell>
          <cell r="J1583">
            <v>6.8253000000000004</v>
          </cell>
          <cell r="K1583">
            <v>2.4500000000000002</v>
          </cell>
          <cell r="L1583">
            <v>4.83</v>
          </cell>
          <cell r="M1583">
            <v>3.62</v>
          </cell>
          <cell r="O1583">
            <v>1.4327000000000001</v>
          </cell>
          <cell r="P1583">
            <v>0.92349999999999999</v>
          </cell>
          <cell r="Q1583">
            <v>77.569030860855449</v>
          </cell>
          <cell r="U1583">
            <v>2.4998</v>
          </cell>
          <cell r="V1583">
            <v>92.162999999999997</v>
          </cell>
          <cell r="W1583">
            <v>128.97200000000001</v>
          </cell>
        </row>
        <row r="1584">
          <cell r="B1584">
            <v>82.003</v>
          </cell>
          <cell r="D1584">
            <v>1.3243</v>
          </cell>
          <cell r="E1584">
            <v>1114.8499999999999</v>
          </cell>
          <cell r="F1584">
            <v>11.787739999999999</v>
          </cell>
          <cell r="G1584">
            <v>32.869999999999997</v>
          </cell>
          <cell r="I1584">
            <v>3.7242999999999999</v>
          </cell>
          <cell r="J1584">
            <v>6.8258999999999999</v>
          </cell>
          <cell r="K1584">
            <v>2.4500000000000002</v>
          </cell>
          <cell r="L1584">
            <v>4.8099999999999996</v>
          </cell>
          <cell r="M1584">
            <v>3.58</v>
          </cell>
          <cell r="O1584">
            <v>1.4340999999999999</v>
          </cell>
          <cell r="P1584">
            <v>0.92769999999999997</v>
          </cell>
          <cell r="Q1584">
            <v>77.293306025654843</v>
          </cell>
          <cell r="U1584">
            <v>2.4765999999999999</v>
          </cell>
          <cell r="V1584">
            <v>86.804000000000002</v>
          </cell>
          <cell r="W1584">
            <v>118.24299999999999</v>
          </cell>
        </row>
        <row r="1585">
          <cell r="B1585">
            <v>81.866</v>
          </cell>
          <cell r="D1585">
            <v>1.3294000000000001</v>
          </cell>
          <cell r="E1585">
            <v>1108.3</v>
          </cell>
          <cell r="F1585">
            <v>11.81212</v>
          </cell>
          <cell r="G1585">
            <v>30.98</v>
          </cell>
          <cell r="I1585">
            <v>3.6532</v>
          </cell>
          <cell r="J1585">
            <v>6.8251999999999997</v>
          </cell>
          <cell r="K1585">
            <v>2.4500000000000002</v>
          </cell>
          <cell r="L1585">
            <v>4.82</v>
          </cell>
          <cell r="M1585">
            <v>3.61</v>
          </cell>
          <cell r="O1585">
            <v>1.4328000000000001</v>
          </cell>
          <cell r="P1585">
            <v>0.92659999999999998</v>
          </cell>
          <cell r="Q1585">
            <v>77.314914742067771</v>
          </cell>
          <cell r="U1585">
            <v>2.4163999999999999</v>
          </cell>
          <cell r="V1585">
            <v>88.292000000000002</v>
          </cell>
          <cell r="W1585">
            <v>115.03100000000001</v>
          </cell>
        </row>
        <row r="1586">
          <cell r="B1586">
            <v>81.866</v>
          </cell>
          <cell r="D1586">
            <v>1.3294000000000001</v>
          </cell>
          <cell r="E1586">
            <v>1108.3</v>
          </cell>
          <cell r="F1586">
            <v>11.81212</v>
          </cell>
          <cell r="G1586">
            <v>30.98</v>
          </cell>
          <cell r="I1586">
            <v>3.6532</v>
          </cell>
          <cell r="J1586">
            <v>6.8251999999999997</v>
          </cell>
          <cell r="K1586">
            <v>2.4500000000000002</v>
          </cell>
          <cell r="L1586">
            <v>4.82</v>
          </cell>
          <cell r="M1586">
            <v>3.61</v>
          </cell>
          <cell r="O1586">
            <v>1.4328000000000001</v>
          </cell>
          <cell r="P1586">
            <v>0.92659999999999998</v>
          </cell>
          <cell r="Q1586">
            <v>77.314914742067771</v>
          </cell>
          <cell r="U1586">
            <v>2.4163999999999999</v>
          </cell>
          <cell r="V1586">
            <v>88.292000000000002</v>
          </cell>
          <cell r="W1586">
            <v>115.03100000000001</v>
          </cell>
        </row>
        <row r="1587">
          <cell r="B1587">
            <v>81.866</v>
          </cell>
          <cell r="D1587">
            <v>1.3294000000000001</v>
          </cell>
          <cell r="E1587">
            <v>1108.3</v>
          </cell>
          <cell r="F1587">
            <v>11.81212</v>
          </cell>
          <cell r="G1587">
            <v>30.98</v>
          </cell>
          <cell r="I1587">
            <v>3.6532</v>
          </cell>
          <cell r="J1587">
            <v>6.8251999999999997</v>
          </cell>
          <cell r="K1587">
            <v>2.4500000000000002</v>
          </cell>
          <cell r="L1587">
            <v>4.82</v>
          </cell>
          <cell r="M1587">
            <v>3.61</v>
          </cell>
          <cell r="O1587">
            <v>1.4328000000000001</v>
          </cell>
          <cell r="P1587">
            <v>0.92659999999999998</v>
          </cell>
          <cell r="Q1587">
            <v>77.314914742067771</v>
          </cell>
          <cell r="U1587">
            <v>2.4163999999999999</v>
          </cell>
          <cell r="V1587">
            <v>88.292000000000002</v>
          </cell>
          <cell r="W1587">
            <v>115.03100000000001</v>
          </cell>
        </row>
        <row r="1588">
          <cell r="B1588">
            <v>82.272000000000006</v>
          </cell>
          <cell r="D1588">
            <v>1.3199000000000001</v>
          </cell>
          <cell r="E1588">
            <v>1118.4000000000001</v>
          </cell>
          <cell r="F1588">
            <v>11.76915</v>
          </cell>
          <cell r="G1588">
            <v>32.6</v>
          </cell>
          <cell r="I1588">
            <v>3.6819999999999999</v>
          </cell>
          <cell r="J1588">
            <v>6.8251999999999997</v>
          </cell>
          <cell r="K1588">
            <v>2.4500000000000002</v>
          </cell>
          <cell r="L1588">
            <v>4.8600000000000003</v>
          </cell>
          <cell r="M1588">
            <v>3.7</v>
          </cell>
          <cell r="O1588">
            <v>1.4327000000000001</v>
          </cell>
          <cell r="P1588">
            <v>0.92700000000000005</v>
          </cell>
          <cell r="Q1588">
            <v>77.276159654800438</v>
          </cell>
          <cell r="U1588">
            <v>2.4565000000000001</v>
          </cell>
          <cell r="V1588">
            <v>90.52</v>
          </cell>
          <cell r="W1588">
            <v>112.69</v>
          </cell>
        </row>
        <row r="1589">
          <cell r="B1589">
            <v>83.299000000000007</v>
          </cell>
          <cell r="D1589">
            <v>1.304</v>
          </cell>
          <cell r="E1589">
            <v>1115.3499999999999</v>
          </cell>
          <cell r="F1589">
            <v>11.90841</v>
          </cell>
          <cell r="G1589">
            <v>38.380000000000003</v>
          </cell>
          <cell r="I1589">
            <v>3.5901999999999998</v>
          </cell>
          <cell r="J1589">
            <v>6.8259999999999996</v>
          </cell>
          <cell r="K1589">
            <v>2.4500000000000002</v>
          </cell>
          <cell r="L1589">
            <v>4.8600000000000003</v>
          </cell>
          <cell r="M1589">
            <v>3.71</v>
          </cell>
          <cell r="O1589">
            <v>1.4325999999999999</v>
          </cell>
          <cell r="P1589">
            <v>0.91190000000000004</v>
          </cell>
          <cell r="Q1589">
            <v>78.55027963592498</v>
          </cell>
          <cell r="U1589">
            <v>2.3763000000000001</v>
          </cell>
          <cell r="V1589">
            <v>94.474999999999994</v>
          </cell>
          <cell r="W1589">
            <v>130.13800000000001</v>
          </cell>
        </row>
        <row r="1590">
          <cell r="B1590">
            <v>84.078999999999994</v>
          </cell>
          <cell r="D1590">
            <v>1.2889999999999999</v>
          </cell>
          <cell r="E1590">
            <v>1132.5</v>
          </cell>
          <cell r="F1590">
            <v>12.0875</v>
          </cell>
          <cell r="G1590">
            <v>44.12</v>
          </cell>
          <cell r="I1590">
            <v>3.5388000000000002</v>
          </cell>
          <cell r="J1590">
            <v>6.827</v>
          </cell>
          <cell r="K1590">
            <v>2.4500000000000002</v>
          </cell>
          <cell r="L1590">
            <v>4.8600000000000003</v>
          </cell>
          <cell r="M1590">
            <v>3.71</v>
          </cell>
          <cell r="O1590">
            <v>1.4325999999999999</v>
          </cell>
          <cell r="P1590">
            <v>0.90880000000000005</v>
          </cell>
          <cell r="Q1590">
            <v>78.818221830985905</v>
          </cell>
          <cell r="U1590">
            <v>2.2898000000000001</v>
          </cell>
          <cell r="V1590">
            <v>100.721</v>
          </cell>
          <cell r="W1590">
            <v>146.93700000000001</v>
          </cell>
        </row>
        <row r="1591">
          <cell r="B1591">
            <v>84.894000000000005</v>
          </cell>
          <cell r="D1591">
            <v>1.2732999999999999</v>
          </cell>
          <cell r="E1591">
            <v>1141.4000000000001</v>
          </cell>
          <cell r="F1591">
            <v>12.51633</v>
          </cell>
          <cell r="G1591">
            <v>56.52</v>
          </cell>
          <cell r="I1591">
            <v>3.3938000000000001</v>
          </cell>
          <cell r="J1591">
            <v>6.8266</v>
          </cell>
          <cell r="K1591">
            <v>2.4500000000000002</v>
          </cell>
          <cell r="L1591">
            <v>4.93</v>
          </cell>
          <cell r="M1591">
            <v>3.79</v>
          </cell>
          <cell r="O1591">
            <v>1.4107000000000001</v>
          </cell>
          <cell r="P1591">
            <v>0.89359999999999995</v>
          </cell>
          <cell r="Q1591">
            <v>78.933527305282013</v>
          </cell>
          <cell r="U1591">
            <v>2.1541000000000001</v>
          </cell>
          <cell r="V1591">
            <v>110.639</v>
          </cell>
          <cell r="W1591">
            <v>159.01300000000001</v>
          </cell>
        </row>
        <row r="1592">
          <cell r="B1592">
            <v>84.45</v>
          </cell>
          <cell r="D1592">
            <v>1.2755000000000001</v>
          </cell>
          <cell r="E1592">
            <v>1155.45</v>
          </cell>
          <cell r="F1592">
            <v>12.57699</v>
          </cell>
          <cell r="G1592">
            <v>84.65</v>
          </cell>
          <cell r="I1592">
            <v>3.4255</v>
          </cell>
          <cell r="J1592">
            <v>6.8257000000000003</v>
          </cell>
          <cell r="K1592">
            <v>2.4500000000000002</v>
          </cell>
          <cell r="L1592">
            <v>4.8899999999999997</v>
          </cell>
          <cell r="M1592">
            <v>3.69</v>
          </cell>
          <cell r="O1592">
            <v>1.4118999999999999</v>
          </cell>
          <cell r="P1592">
            <v>0.88739999999999997</v>
          </cell>
          <cell r="Q1592">
            <v>79.552625647960326</v>
          </cell>
          <cell r="U1592">
            <v>2.1635</v>
          </cell>
          <cell r="V1592">
            <v>127.26900000000001</v>
          </cell>
          <cell r="W1592">
            <v>163.102</v>
          </cell>
        </row>
        <row r="1593">
          <cell r="B1593">
            <v>84.45</v>
          </cell>
          <cell r="D1593">
            <v>1.2755000000000001</v>
          </cell>
          <cell r="E1593">
            <v>1155.45</v>
          </cell>
          <cell r="F1593">
            <v>12.57699</v>
          </cell>
          <cell r="G1593">
            <v>84.55</v>
          </cell>
          <cell r="I1593">
            <v>3.4255</v>
          </cell>
          <cell r="J1593">
            <v>6.8257000000000003</v>
          </cell>
          <cell r="K1593">
            <v>2.4500000000000002</v>
          </cell>
          <cell r="L1593">
            <v>4.8899999999999997</v>
          </cell>
          <cell r="M1593">
            <v>3.69</v>
          </cell>
          <cell r="O1593">
            <v>1.4118999999999999</v>
          </cell>
          <cell r="P1593">
            <v>0.88739999999999997</v>
          </cell>
          <cell r="Q1593">
            <v>79.552625647960326</v>
          </cell>
          <cell r="U1593">
            <v>2.1635</v>
          </cell>
          <cell r="V1593">
            <v>127.26900000000001</v>
          </cell>
          <cell r="W1593">
            <v>163.102</v>
          </cell>
        </row>
        <row r="1594">
          <cell r="B1594">
            <v>84.45</v>
          </cell>
          <cell r="D1594">
            <v>1.2755000000000001</v>
          </cell>
          <cell r="E1594">
            <v>1155.45</v>
          </cell>
          <cell r="F1594">
            <v>12.57699</v>
          </cell>
          <cell r="G1594">
            <v>84.55</v>
          </cell>
          <cell r="I1594">
            <v>3.4255</v>
          </cell>
          <cell r="J1594">
            <v>6.8257000000000003</v>
          </cell>
          <cell r="K1594">
            <v>2.4500000000000002</v>
          </cell>
          <cell r="L1594">
            <v>4.8899999999999997</v>
          </cell>
          <cell r="M1594">
            <v>3.69</v>
          </cell>
          <cell r="O1594">
            <v>1.4118999999999999</v>
          </cell>
          <cell r="P1594">
            <v>0.88739999999999997</v>
          </cell>
          <cell r="Q1594">
            <v>79.552625647960326</v>
          </cell>
          <cell r="U1594">
            <v>2.1635</v>
          </cell>
          <cell r="V1594">
            <v>127.26900000000001</v>
          </cell>
          <cell r="W1594">
            <v>163.102</v>
          </cell>
        </row>
        <row r="1595">
          <cell r="B1595">
            <v>84.156000000000006</v>
          </cell>
          <cell r="D1595">
            <v>1.2810000000000001</v>
          </cell>
          <cell r="E1595">
            <v>1132.08</v>
          </cell>
          <cell r="F1595">
            <v>12.08625</v>
          </cell>
          <cell r="G1595">
            <v>52.14</v>
          </cell>
          <cell r="I1595">
            <v>3.5406</v>
          </cell>
          <cell r="J1595">
            <v>6.8265000000000002</v>
          </cell>
          <cell r="K1595">
            <v>2.4500000000000002</v>
          </cell>
          <cell r="L1595">
            <v>4.96</v>
          </cell>
          <cell r="M1595">
            <v>3.71</v>
          </cell>
          <cell r="O1595">
            <v>1.4207000000000001</v>
          </cell>
          <cell r="P1595">
            <v>0.90029999999999999</v>
          </cell>
          <cell r="Q1595">
            <v>78.90147728534933</v>
          </cell>
          <cell r="U1595">
            <v>2.2627000000000002</v>
          </cell>
          <cell r="V1595">
            <v>97.245000000000005</v>
          </cell>
          <cell r="W1595">
            <v>119.922</v>
          </cell>
        </row>
        <row r="1596">
          <cell r="B1596">
            <v>84.466999999999999</v>
          </cell>
          <cell r="D1596">
            <v>1.2743</v>
          </cell>
          <cell r="E1596">
            <v>1135.78</v>
          </cell>
          <cell r="F1596">
            <v>12.15376</v>
          </cell>
          <cell r="G1596">
            <v>45.75</v>
          </cell>
          <cell r="I1596">
            <v>3.5234999999999999</v>
          </cell>
          <cell r="J1596">
            <v>6.8280000000000003</v>
          </cell>
          <cell r="K1596">
            <v>2.4500000000000002</v>
          </cell>
          <cell r="L1596">
            <v>4.9000000000000004</v>
          </cell>
          <cell r="M1596">
            <v>3.64</v>
          </cell>
          <cell r="O1596">
            <v>1.4096</v>
          </cell>
          <cell r="P1596">
            <v>0.9012</v>
          </cell>
          <cell r="Q1596">
            <v>78.206835330670216</v>
          </cell>
          <cell r="U1596">
            <v>2.2326999999999999</v>
          </cell>
          <cell r="V1596">
            <v>99.843000000000004</v>
          </cell>
          <cell r="W1596">
            <v>118.248</v>
          </cell>
        </row>
        <row r="1597">
          <cell r="B1597">
            <v>84.828000000000003</v>
          </cell>
          <cell r="D1597">
            <v>1.2656000000000001</v>
          </cell>
          <cell r="E1597">
            <v>1143.7</v>
          </cell>
          <cell r="F1597">
            <v>12.20975</v>
          </cell>
          <cell r="G1597">
            <v>50.5</v>
          </cell>
          <cell r="I1597">
            <v>3.5709999999999997</v>
          </cell>
          <cell r="J1597">
            <v>6.8273000000000001</v>
          </cell>
          <cell r="K1597">
            <v>2.4500000000000002</v>
          </cell>
          <cell r="L1597">
            <v>4.97</v>
          </cell>
          <cell r="M1597">
            <v>3.77</v>
          </cell>
          <cell r="O1597">
            <v>1.4041000000000001</v>
          </cell>
          <cell r="P1597">
            <v>0.89359999999999995</v>
          </cell>
          <cell r="Q1597">
            <v>78.564234556848717</v>
          </cell>
          <cell r="U1597">
            <v>2.2789999999999999</v>
          </cell>
          <cell r="V1597">
            <v>96.903999999999996</v>
          </cell>
          <cell r="W1597">
            <v>110.931</v>
          </cell>
        </row>
        <row r="1598">
          <cell r="B1598">
            <v>85.206999999999994</v>
          </cell>
          <cell r="D1598">
            <v>1.258</v>
          </cell>
          <cell r="E1598">
            <v>1128.0999999999999</v>
          </cell>
          <cell r="F1598">
            <v>12.18619</v>
          </cell>
          <cell r="G1598">
            <v>46.69</v>
          </cell>
          <cell r="I1598">
            <v>3.5261</v>
          </cell>
          <cell r="J1598">
            <v>6.8277999999999999</v>
          </cell>
          <cell r="K1598">
            <v>2.4500000000000002</v>
          </cell>
          <cell r="L1598">
            <v>4.9800000000000004</v>
          </cell>
          <cell r="M1598">
            <v>3.79</v>
          </cell>
          <cell r="O1598">
            <v>1.4011</v>
          </cell>
          <cell r="P1598">
            <v>0.89929999999999999</v>
          </cell>
          <cell r="Q1598">
            <v>77.899477371288782</v>
          </cell>
          <cell r="U1598">
            <v>2.2423000000000002</v>
          </cell>
          <cell r="V1598">
            <v>93.998000000000005</v>
          </cell>
          <cell r="W1598">
            <v>108.602</v>
          </cell>
        </row>
        <row r="1599">
          <cell r="B1599">
            <v>86.094999999999999</v>
          </cell>
          <cell r="D1599">
            <v>1.2358</v>
          </cell>
          <cell r="E1599">
            <v>1130.93</v>
          </cell>
          <cell r="F1599">
            <v>12.41966</v>
          </cell>
          <cell r="G1599">
            <v>45.76</v>
          </cell>
          <cell r="I1599">
            <v>3.4534000000000002</v>
          </cell>
          <cell r="J1599">
            <v>6.8268000000000004</v>
          </cell>
          <cell r="K1599">
            <v>2.4500000000000002</v>
          </cell>
          <cell r="L1599">
            <v>4.99</v>
          </cell>
          <cell r="M1599">
            <v>3.78</v>
          </cell>
          <cell r="O1599">
            <v>1.4009</v>
          </cell>
          <cell r="P1599">
            <v>0.88800000000000001</v>
          </cell>
          <cell r="Q1599">
            <v>78.87950450450451</v>
          </cell>
          <cell r="U1599">
            <v>2.1556000000000002</v>
          </cell>
          <cell r="V1599">
            <v>102.40900000000001</v>
          </cell>
          <cell r="W1599">
            <v>121.43899999999999</v>
          </cell>
        </row>
        <row r="1600">
          <cell r="B1600">
            <v>86.094999999999999</v>
          </cell>
          <cell r="D1600">
            <v>1.2358</v>
          </cell>
          <cell r="E1600">
            <v>1130.93</v>
          </cell>
          <cell r="F1600">
            <v>12.41966</v>
          </cell>
          <cell r="G1600">
            <v>45.86</v>
          </cell>
          <cell r="I1600">
            <v>3.4534000000000002</v>
          </cell>
          <cell r="J1600">
            <v>6.8268000000000004</v>
          </cell>
          <cell r="K1600">
            <v>2.4500000000000002</v>
          </cell>
          <cell r="L1600">
            <v>4.99</v>
          </cell>
          <cell r="M1600">
            <v>3.78</v>
          </cell>
          <cell r="O1600">
            <v>1.4009</v>
          </cell>
          <cell r="P1600">
            <v>0.88800000000000001</v>
          </cell>
          <cell r="Q1600">
            <v>78.87950450450451</v>
          </cell>
          <cell r="U1600">
            <v>2.1556000000000002</v>
          </cell>
          <cell r="V1600">
            <v>102.40900000000001</v>
          </cell>
          <cell r="W1600">
            <v>121.43899999999999</v>
          </cell>
        </row>
        <row r="1601">
          <cell r="B1601">
            <v>86.094999999999999</v>
          </cell>
          <cell r="D1601">
            <v>1.2358</v>
          </cell>
          <cell r="E1601">
            <v>1130.93</v>
          </cell>
          <cell r="F1601">
            <v>12.41966</v>
          </cell>
          <cell r="G1601">
            <v>45.86</v>
          </cell>
          <cell r="I1601">
            <v>3.4534000000000002</v>
          </cell>
          <cell r="J1601">
            <v>6.8268000000000004</v>
          </cell>
          <cell r="K1601">
            <v>2.4500000000000002</v>
          </cell>
          <cell r="L1601">
            <v>4.99</v>
          </cell>
          <cell r="M1601">
            <v>3.78</v>
          </cell>
          <cell r="O1601">
            <v>1.4009</v>
          </cell>
          <cell r="P1601">
            <v>0.88800000000000001</v>
          </cell>
          <cell r="Q1601">
            <v>78.87950450450451</v>
          </cell>
          <cell r="U1601">
            <v>2.1556000000000002</v>
          </cell>
          <cell r="V1601">
            <v>102.40900000000001</v>
          </cell>
          <cell r="W1601">
            <v>121.43899999999999</v>
          </cell>
        </row>
        <row r="1602">
          <cell r="B1602">
            <v>86.204999999999998</v>
          </cell>
          <cell r="D1602">
            <v>1.2321</v>
          </cell>
          <cell r="E1602">
            <v>1153.8</v>
          </cell>
          <cell r="F1602">
            <v>12.54194</v>
          </cell>
          <cell r="G1602">
            <v>56.11</v>
          </cell>
          <cell r="I1602">
            <v>3.4868999999999999</v>
          </cell>
          <cell r="J1602">
            <v>6.8277000000000001</v>
          </cell>
          <cell r="K1602">
            <v>2.4500000000000002</v>
          </cell>
          <cell r="L1602">
            <v>5.04</v>
          </cell>
          <cell r="M1602">
            <v>3.78</v>
          </cell>
          <cell r="O1602">
            <v>1.4006000000000001</v>
          </cell>
          <cell r="P1602">
            <v>0.86950000000000005</v>
          </cell>
          <cell r="Q1602">
            <v>80.540540540540533</v>
          </cell>
          <cell r="U1602">
            <v>2.1985000000000001</v>
          </cell>
          <cell r="V1602">
            <v>113.718</v>
          </cell>
          <cell r="W1602">
            <v>124.124</v>
          </cell>
        </row>
        <row r="1603">
          <cell r="B1603">
            <v>87.162000000000006</v>
          </cell>
          <cell r="D1603">
            <v>1.2335</v>
          </cell>
          <cell r="E1603">
            <v>1146.57</v>
          </cell>
          <cell r="F1603">
            <v>12.41098</v>
          </cell>
          <cell r="G1603">
            <v>56.28</v>
          </cell>
          <cell r="I1603">
            <v>3.3462000000000001</v>
          </cell>
          <cell r="J1603">
            <v>6.8273999999999999</v>
          </cell>
          <cell r="K1603">
            <v>2.4500000000000002</v>
          </cell>
          <cell r="L1603">
            <v>5.04</v>
          </cell>
          <cell r="M1603">
            <v>3.77</v>
          </cell>
          <cell r="O1603">
            <v>1.4016</v>
          </cell>
          <cell r="P1603">
            <v>0.87229999999999996</v>
          </cell>
          <cell r="Q1603">
            <v>80.33933279834919</v>
          </cell>
          <cell r="U1603">
            <v>2.0626000000000002</v>
          </cell>
          <cell r="V1603">
            <v>108.79</v>
          </cell>
          <cell r="W1603">
            <v>121.854</v>
          </cell>
        </row>
        <row r="1604">
          <cell r="B1604">
            <v>86.391999999999996</v>
          </cell>
          <cell r="D1604">
            <v>1.2341</v>
          </cell>
          <cell r="E1604">
            <v>1165.08</v>
          </cell>
          <cell r="F1604">
            <v>12.89141</v>
          </cell>
          <cell r="G1604">
            <v>75.48</v>
          </cell>
          <cell r="I1604">
            <v>3.3681999999999999</v>
          </cell>
          <cell r="J1604">
            <v>6.8273999999999999</v>
          </cell>
          <cell r="K1604">
            <v>2.4500000000000002</v>
          </cell>
          <cell r="L1604">
            <v>5.03</v>
          </cell>
          <cell r="M1604">
            <v>3.76</v>
          </cell>
          <cell r="O1604">
            <v>1.4255</v>
          </cell>
          <cell r="P1604">
            <v>0.84330000000000005</v>
          </cell>
          <cell r="Q1604">
            <v>84.519150954583182</v>
          </cell>
          <cell r="U1604">
            <v>2.1219000000000001</v>
          </cell>
          <cell r="V1604">
            <v>119.86</v>
          </cell>
          <cell r="W1604">
            <v>124.31</v>
          </cell>
        </row>
        <row r="1605">
          <cell r="B1605">
            <v>85.564999999999998</v>
          </cell>
          <cell r="D1605">
            <v>1.2343999999999999</v>
          </cell>
          <cell r="E1605">
            <v>1194.8</v>
          </cell>
          <cell r="F1605">
            <v>13.74315</v>
          </cell>
          <cell r="G1605">
            <v>77.14</v>
          </cell>
          <cell r="I1605">
            <v>3.2126000000000001</v>
          </cell>
          <cell r="J1605">
            <v>6.8278999999999996</v>
          </cell>
          <cell r="K1605">
            <v>2.4500000000000002</v>
          </cell>
          <cell r="L1605">
            <v>5</v>
          </cell>
          <cell r="M1605">
            <v>3.74</v>
          </cell>
          <cell r="O1605">
            <v>1.4243000000000001</v>
          </cell>
          <cell r="P1605">
            <v>0.81630000000000003</v>
          </cell>
          <cell r="Q1605">
            <v>87.241210339336021</v>
          </cell>
          <cell r="U1605">
            <v>1.9830999999999999</v>
          </cell>
          <cell r="V1605">
            <v>133.321</v>
          </cell>
          <cell r="W1605">
            <v>137.87799999999999</v>
          </cell>
        </row>
        <row r="1606">
          <cell r="B1606">
            <v>85.370999999999995</v>
          </cell>
          <cell r="D1606">
            <v>1.2570000000000001</v>
          </cell>
          <cell r="E1606">
            <v>1228.5</v>
          </cell>
          <cell r="F1606">
            <v>13.47414</v>
          </cell>
          <cell r="G1606">
            <v>89.41</v>
          </cell>
          <cell r="I1606">
            <v>3.2378999999999998</v>
          </cell>
          <cell r="J1606">
            <v>6.8273000000000001</v>
          </cell>
          <cell r="K1606">
            <v>2.4500000000000002</v>
          </cell>
          <cell r="L1606">
            <v>5</v>
          </cell>
          <cell r="M1606">
            <v>3.74</v>
          </cell>
          <cell r="O1606">
            <v>1.4414</v>
          </cell>
          <cell r="P1606">
            <v>0.82679999999999998</v>
          </cell>
          <cell r="Q1606">
            <v>87.167392356071602</v>
          </cell>
          <cell r="U1606">
            <v>2.0217999999999998</v>
          </cell>
          <cell r="V1606">
            <v>135.37299999999999</v>
          </cell>
          <cell r="W1606">
            <v>137.625</v>
          </cell>
        </row>
        <row r="1607">
          <cell r="B1607">
            <v>85.370999999999995</v>
          </cell>
          <cell r="D1607">
            <v>1.2570000000000001</v>
          </cell>
          <cell r="E1607">
            <v>1228.5</v>
          </cell>
          <cell r="F1607">
            <v>13.47414</v>
          </cell>
          <cell r="G1607">
            <v>89.41</v>
          </cell>
          <cell r="I1607">
            <v>3.2378999999999998</v>
          </cell>
          <cell r="J1607">
            <v>6.8273000000000001</v>
          </cell>
          <cell r="K1607">
            <v>2.4500000000000002</v>
          </cell>
          <cell r="L1607">
            <v>5</v>
          </cell>
          <cell r="M1607">
            <v>3.74</v>
          </cell>
          <cell r="O1607">
            <v>1.4414</v>
          </cell>
          <cell r="P1607">
            <v>0.82679999999999998</v>
          </cell>
          <cell r="Q1607">
            <v>87.167392356071602</v>
          </cell>
          <cell r="U1607">
            <v>2.0217999999999998</v>
          </cell>
          <cell r="V1607">
            <v>135.37299999999999</v>
          </cell>
          <cell r="W1607">
            <v>137.625</v>
          </cell>
        </row>
        <row r="1608">
          <cell r="B1608">
            <v>85.370999999999995</v>
          </cell>
          <cell r="D1608">
            <v>1.2570000000000001</v>
          </cell>
          <cell r="E1608">
            <v>1228.5</v>
          </cell>
          <cell r="F1608">
            <v>13.47414</v>
          </cell>
          <cell r="G1608">
            <v>89.41</v>
          </cell>
          <cell r="I1608">
            <v>3.2378999999999998</v>
          </cell>
          <cell r="J1608">
            <v>6.8273000000000001</v>
          </cell>
          <cell r="K1608">
            <v>2.4500000000000002</v>
          </cell>
          <cell r="L1608">
            <v>5</v>
          </cell>
          <cell r="M1608">
            <v>3.74</v>
          </cell>
          <cell r="O1608">
            <v>1.4414</v>
          </cell>
          <cell r="P1608">
            <v>0.82679999999999998</v>
          </cell>
          <cell r="Q1608">
            <v>87.167392356071602</v>
          </cell>
          <cell r="U1608">
            <v>2.0217999999999998</v>
          </cell>
          <cell r="V1608">
            <v>135.37299999999999</v>
          </cell>
          <cell r="W1608">
            <v>137.625</v>
          </cell>
        </row>
        <row r="1609">
          <cell r="B1609">
            <v>86.206000000000003</v>
          </cell>
          <cell r="D1609">
            <v>1.2413000000000001</v>
          </cell>
          <cell r="E1609">
            <v>1214.25</v>
          </cell>
          <cell r="F1609">
            <v>13.446249999999999</v>
          </cell>
          <cell r="G1609">
            <v>89.88</v>
          </cell>
          <cell r="I1609">
            <v>3.1941999999999999</v>
          </cell>
          <cell r="J1609">
            <v>6.8285</v>
          </cell>
          <cell r="K1609">
            <v>2.4500000000000002</v>
          </cell>
          <cell r="L1609">
            <v>4.9400000000000004</v>
          </cell>
          <cell r="M1609">
            <v>3.64</v>
          </cell>
          <cell r="O1609">
            <v>1.4341999999999999</v>
          </cell>
          <cell r="P1609">
            <v>0.83309999999999995</v>
          </cell>
          <cell r="Q1609">
            <v>86.076101308366333</v>
          </cell>
          <cell r="U1609">
            <v>1.9885999999999999</v>
          </cell>
          <cell r="V1609">
            <v>141.97399999999999</v>
          </cell>
          <cell r="W1609">
            <v>135.98500000000001</v>
          </cell>
        </row>
        <row r="1610">
          <cell r="B1610">
            <v>86.778999999999996</v>
          </cell>
          <cell r="D1610">
            <v>1.2286999999999999</v>
          </cell>
          <cell r="E1610">
            <v>1251.0999999999999</v>
          </cell>
          <cell r="F1610">
            <v>14.0501</v>
          </cell>
          <cell r="G1610">
            <v>113.32</v>
          </cell>
          <cell r="I1610">
            <v>3.1577999999999999</v>
          </cell>
          <cell r="J1610">
            <v>6.8309999999999995</v>
          </cell>
          <cell r="K1610">
            <v>2.4500000000000002</v>
          </cell>
          <cell r="L1610">
            <v>4.92</v>
          </cell>
          <cell r="M1610">
            <v>3.59</v>
          </cell>
          <cell r="O1610">
            <v>1.4258999999999999</v>
          </cell>
          <cell r="P1610">
            <v>0.81579999999999997</v>
          </cell>
          <cell r="Q1610">
            <v>87.392743319441038</v>
          </cell>
          <cell r="U1610">
            <v>1.9718</v>
          </cell>
          <cell r="V1610">
            <v>166.85</v>
          </cell>
          <cell r="W1610">
            <v>148.155</v>
          </cell>
        </row>
        <row r="1611">
          <cell r="B1611">
            <v>87.120999999999995</v>
          </cell>
          <cell r="D1611">
            <v>1.2231000000000001</v>
          </cell>
          <cell r="E1611">
            <v>1252.28</v>
          </cell>
          <cell r="F1611">
            <v>13.6472</v>
          </cell>
          <cell r="G1611">
            <v>93.34</v>
          </cell>
          <cell r="I1611">
            <v>3.1886000000000001</v>
          </cell>
          <cell r="J1611">
            <v>6.8280000000000003</v>
          </cell>
          <cell r="K1611">
            <v>2.4500000000000002</v>
          </cell>
          <cell r="L1611">
            <v>4.96</v>
          </cell>
          <cell r="M1611">
            <v>3.61</v>
          </cell>
          <cell r="O1611">
            <v>1.4169</v>
          </cell>
          <cell r="P1611">
            <v>0.82920000000000005</v>
          </cell>
          <cell r="Q1611">
            <v>85.437771345875547</v>
          </cell>
          <cell r="U1611">
            <v>2.0177999999999998</v>
          </cell>
          <cell r="V1611">
            <v>153.04400000000001</v>
          </cell>
          <cell r="W1611">
            <v>144.28899999999999</v>
          </cell>
        </row>
        <row r="1612">
          <cell r="B1612">
            <v>86.185000000000002</v>
          </cell>
          <cell r="D1612">
            <v>1.2350000000000001</v>
          </cell>
          <cell r="E1612">
            <v>1224.0999999999999</v>
          </cell>
          <cell r="F1612">
            <v>13.290469999999999</v>
          </cell>
          <cell r="G1612">
            <v>90.35</v>
          </cell>
          <cell r="I1612">
            <v>3.3605</v>
          </cell>
          <cell r="J1612">
            <v>6.8297999999999996</v>
          </cell>
          <cell r="K1612">
            <v>2.4500000000000002</v>
          </cell>
          <cell r="L1612">
            <v>4.93</v>
          </cell>
          <cell r="M1612">
            <v>3.6</v>
          </cell>
          <cell r="O1612">
            <v>1.4241999999999999</v>
          </cell>
          <cell r="P1612">
            <v>0.84709999999999996</v>
          </cell>
          <cell r="Q1612">
            <v>84.0632747019242</v>
          </cell>
          <cell r="U1612">
            <v>2.1913999999999998</v>
          </cell>
          <cell r="V1612">
            <v>132.14500000000001</v>
          </cell>
          <cell r="W1612">
            <v>142.333</v>
          </cell>
        </row>
        <row r="1613">
          <cell r="B1613">
            <v>86.48</v>
          </cell>
          <cell r="D1613">
            <v>1.2273000000000001</v>
          </cell>
          <cell r="E1613">
            <v>1194.5999999999999</v>
          </cell>
          <cell r="F1613">
            <v>13.4283</v>
          </cell>
          <cell r="G1613">
            <v>81.98</v>
          </cell>
          <cell r="I1613">
            <v>3.2922000000000002</v>
          </cell>
          <cell r="J1613">
            <v>6.8312999999999997</v>
          </cell>
          <cell r="K1613">
            <v>2.4500000000000002</v>
          </cell>
          <cell r="L1613">
            <v>4.9400000000000004</v>
          </cell>
          <cell r="M1613">
            <v>3.61</v>
          </cell>
          <cell r="O1613">
            <v>1.4253</v>
          </cell>
          <cell r="P1613">
            <v>0.84609999999999996</v>
          </cell>
          <cell r="Q1613">
            <v>84.227632667533385</v>
          </cell>
          <cell r="U1613">
            <v>2.0918999999999999</v>
          </cell>
          <cell r="V1613">
            <v>137.79300000000001</v>
          </cell>
          <cell r="W1613">
            <v>133.07400000000001</v>
          </cell>
        </row>
        <row r="1614">
          <cell r="B1614">
            <v>86.48</v>
          </cell>
          <cell r="D1614">
            <v>1.2273000000000001</v>
          </cell>
          <cell r="E1614">
            <v>1194.5999999999999</v>
          </cell>
          <cell r="F1614">
            <v>13.4283</v>
          </cell>
          <cell r="G1614">
            <v>81.98</v>
          </cell>
          <cell r="I1614">
            <v>3.2922000000000002</v>
          </cell>
          <cell r="J1614">
            <v>6.8312999999999997</v>
          </cell>
          <cell r="K1614">
            <v>2.4500000000000002</v>
          </cell>
          <cell r="L1614">
            <v>4.9400000000000004</v>
          </cell>
          <cell r="M1614">
            <v>3.61</v>
          </cell>
          <cell r="O1614">
            <v>1.4253</v>
          </cell>
          <cell r="P1614">
            <v>0.84609999999999996</v>
          </cell>
          <cell r="Q1614">
            <v>84.227632667533385</v>
          </cell>
          <cell r="U1614">
            <v>2.0918999999999999</v>
          </cell>
          <cell r="V1614">
            <v>137.79300000000001</v>
          </cell>
          <cell r="W1614">
            <v>133.07400000000001</v>
          </cell>
        </row>
        <row r="1615">
          <cell r="B1615">
            <v>86.48</v>
          </cell>
          <cell r="D1615">
            <v>1.2273000000000001</v>
          </cell>
          <cell r="E1615">
            <v>1194.5999999999999</v>
          </cell>
          <cell r="F1615">
            <v>13.4283</v>
          </cell>
          <cell r="G1615">
            <v>81.98</v>
          </cell>
          <cell r="I1615">
            <v>3.2922000000000002</v>
          </cell>
          <cell r="J1615">
            <v>6.8312999999999997</v>
          </cell>
          <cell r="K1615">
            <v>2.4500000000000002</v>
          </cell>
          <cell r="L1615">
            <v>4.9400000000000004</v>
          </cell>
          <cell r="M1615">
            <v>3.61</v>
          </cell>
          <cell r="O1615">
            <v>1.4253</v>
          </cell>
          <cell r="P1615">
            <v>0.84609999999999996</v>
          </cell>
          <cell r="Q1615">
            <v>84.227632667533385</v>
          </cell>
          <cell r="U1615">
            <v>2.0918999999999999</v>
          </cell>
          <cell r="V1615">
            <v>137.79300000000001</v>
          </cell>
          <cell r="W1615">
            <v>133.07400000000001</v>
          </cell>
        </row>
        <row r="1616">
          <cell r="B1616">
            <v>86.587999999999994</v>
          </cell>
          <cell r="D1616">
            <v>1.2295</v>
          </cell>
          <cell r="E1616">
            <v>1202.24</v>
          </cell>
          <cell r="F1616">
            <v>13.21757</v>
          </cell>
          <cell r="G1616">
            <v>86.019999999999939</v>
          </cell>
          <cell r="I1616">
            <v>3.2848000000000002</v>
          </cell>
          <cell r="J1616">
            <v>6.8280000000000003</v>
          </cell>
          <cell r="K1616">
            <v>2.4500000000000002</v>
          </cell>
          <cell r="L1616">
            <v>4.93</v>
          </cell>
          <cell r="M1616">
            <v>3.58</v>
          </cell>
          <cell r="O1616">
            <v>1.4209000000000001</v>
          </cell>
          <cell r="P1616">
            <v>0.84309999999999996</v>
          </cell>
          <cell r="Q1616">
            <v>84.266397817577996</v>
          </cell>
          <cell r="U1616">
            <v>2.0918999999999999</v>
          </cell>
          <cell r="V1616">
            <v>134.709</v>
          </cell>
          <cell r="W1616">
            <v>133.251</v>
          </cell>
        </row>
        <row r="1617">
          <cell r="B1617">
            <v>86.643000000000001</v>
          </cell>
          <cell r="D1617">
            <v>1.2276</v>
          </cell>
          <cell r="E1617">
            <v>1216.18</v>
          </cell>
          <cell r="F1617">
            <v>13.43641</v>
          </cell>
          <cell r="G1617">
            <v>90.39</v>
          </cell>
          <cell r="I1617">
            <v>3.2591000000000001</v>
          </cell>
          <cell r="J1617">
            <v>6.8301999999999996</v>
          </cell>
          <cell r="K1617">
            <v>2.4500000000000002</v>
          </cell>
          <cell r="L1617">
            <v>4.8899999999999997</v>
          </cell>
          <cell r="M1617">
            <v>3.57</v>
          </cell>
          <cell r="O1617">
            <v>1.4166000000000001</v>
          </cell>
          <cell r="P1617">
            <v>0.8397</v>
          </cell>
          <cell r="Q1617">
            <v>84.351554126473744</v>
          </cell>
          <cell r="U1617">
            <v>2.0554999999999999</v>
          </cell>
          <cell r="V1617">
            <v>147.554</v>
          </cell>
          <cell r="W1617">
            <v>147.46199999999999</v>
          </cell>
        </row>
        <row r="1618">
          <cell r="B1618">
            <v>86.793000000000006</v>
          </cell>
          <cell r="D1618">
            <v>1.2257</v>
          </cell>
          <cell r="E1618">
            <v>1234.5</v>
          </cell>
          <cell r="F1618">
            <v>13.145899999999999</v>
          </cell>
          <cell r="G1618">
            <v>89.2</v>
          </cell>
          <cell r="I1618">
            <v>3.34</v>
          </cell>
          <cell r="J1618">
            <v>6.8289999999999997</v>
          </cell>
          <cell r="K1618">
            <v>2.4500000000000002</v>
          </cell>
          <cell r="L1618">
            <v>4.8899999999999997</v>
          </cell>
          <cell r="M1618">
            <v>3.57</v>
          </cell>
          <cell r="O1618">
            <v>1.4147000000000001</v>
          </cell>
          <cell r="P1618">
            <v>0.8367</v>
          </cell>
          <cell r="Q1618">
            <v>84.540456555515718</v>
          </cell>
          <cell r="U1618">
            <v>2.1316000000000002</v>
          </cell>
          <cell r="V1618">
            <v>142.024</v>
          </cell>
          <cell r="W1618">
            <v>150.47999999999999</v>
          </cell>
        </row>
        <row r="1619">
          <cell r="B1619">
            <v>87.135999999999996</v>
          </cell>
          <cell r="D1619">
            <v>1.2176</v>
          </cell>
          <cell r="E1619">
            <v>1197.6500000000001</v>
          </cell>
          <cell r="F1619">
            <v>13.157</v>
          </cell>
          <cell r="G1619">
            <v>89.21</v>
          </cell>
          <cell r="I1619">
            <v>3.3639000000000001</v>
          </cell>
          <cell r="J1619">
            <v>6.8280000000000003</v>
          </cell>
          <cell r="K1619">
            <v>2.4500000000000002</v>
          </cell>
          <cell r="L1619">
            <v>4.9000000000000004</v>
          </cell>
          <cell r="M1619">
            <v>3.63</v>
          </cell>
          <cell r="O1619">
            <v>1.4077</v>
          </cell>
          <cell r="P1619">
            <v>0.83899999999999997</v>
          </cell>
          <cell r="Q1619">
            <v>83.891537544696064</v>
          </cell>
          <cell r="U1619">
            <v>2.1482000000000001</v>
          </cell>
          <cell r="V1619">
            <v>134.971</v>
          </cell>
          <cell r="W1619">
            <v>153.10900000000001</v>
          </cell>
        </row>
        <row r="1620">
          <cell r="B1620">
            <v>88.233000000000004</v>
          </cell>
          <cell r="D1620">
            <v>1.1967000000000001</v>
          </cell>
          <cell r="E1620">
            <v>1201.8</v>
          </cell>
          <cell r="F1620">
            <v>13.33264</v>
          </cell>
          <cell r="G1620">
            <v>93.37</v>
          </cell>
          <cell r="I1620">
            <v>3.2023000000000001</v>
          </cell>
          <cell r="J1620">
            <v>6.8288000000000002</v>
          </cell>
          <cell r="K1620">
            <v>2.4500000000000002</v>
          </cell>
          <cell r="L1620">
            <v>4.91</v>
          </cell>
          <cell r="M1620">
            <v>3.68</v>
          </cell>
          <cell r="O1620">
            <v>1.3947000000000001</v>
          </cell>
          <cell r="P1620">
            <v>0.8266</v>
          </cell>
          <cell r="Q1620">
            <v>84.363658359545127</v>
          </cell>
          <cell r="U1620">
            <v>1.9826000000000001</v>
          </cell>
          <cell r="V1620">
            <v>134.494</v>
          </cell>
          <cell r="W1620">
            <v>161.375</v>
          </cell>
        </row>
        <row r="1621">
          <cell r="B1621">
            <v>88.233000000000004</v>
          </cell>
          <cell r="D1621">
            <v>1.1967000000000001</v>
          </cell>
          <cell r="E1621">
            <v>1201.8</v>
          </cell>
          <cell r="F1621">
            <v>13.33264</v>
          </cell>
          <cell r="G1621">
            <v>93.37</v>
          </cell>
          <cell r="I1621">
            <v>3.2023000000000001</v>
          </cell>
          <cell r="J1621">
            <v>6.8288000000000002</v>
          </cell>
          <cell r="K1621">
            <v>2.4500000000000002</v>
          </cell>
          <cell r="L1621">
            <v>4.91</v>
          </cell>
          <cell r="M1621">
            <v>3.68</v>
          </cell>
          <cell r="O1621">
            <v>1.3947000000000001</v>
          </cell>
          <cell r="P1621">
            <v>0.8266</v>
          </cell>
          <cell r="Q1621">
            <v>84.363658359545127</v>
          </cell>
          <cell r="U1621">
            <v>1.9826000000000001</v>
          </cell>
          <cell r="V1621">
            <v>134.494</v>
          </cell>
          <cell r="W1621">
            <v>161.375</v>
          </cell>
        </row>
        <row r="1622">
          <cell r="B1622">
            <v>88.233000000000004</v>
          </cell>
          <cell r="D1622">
            <v>1.1967000000000001</v>
          </cell>
          <cell r="E1622">
            <v>1201.8</v>
          </cell>
          <cell r="F1622">
            <v>13.33264</v>
          </cell>
          <cell r="G1622">
            <v>93.37</v>
          </cell>
          <cell r="I1622">
            <v>3.2023000000000001</v>
          </cell>
          <cell r="J1622">
            <v>6.8288000000000002</v>
          </cell>
          <cell r="K1622">
            <v>2.4500000000000002</v>
          </cell>
          <cell r="L1622">
            <v>4.91</v>
          </cell>
          <cell r="M1622">
            <v>3.68</v>
          </cell>
          <cell r="O1622">
            <v>1.3947000000000001</v>
          </cell>
          <cell r="P1622">
            <v>0.8266</v>
          </cell>
          <cell r="Q1622">
            <v>84.363658359545127</v>
          </cell>
          <cell r="U1622">
            <v>1.9826000000000001</v>
          </cell>
          <cell r="V1622">
            <v>134.494</v>
          </cell>
          <cell r="W1622">
            <v>161.375</v>
          </cell>
        </row>
        <row r="1623">
          <cell r="B1623">
            <v>88.405000000000001</v>
          </cell>
          <cell r="D1623">
            <v>1.1953</v>
          </cell>
          <cell r="E1623">
            <v>1235.3499999999999</v>
          </cell>
          <cell r="F1623">
            <v>13.394629999999999</v>
          </cell>
          <cell r="G1623">
            <v>103.58</v>
          </cell>
          <cell r="I1623">
            <v>3.1421999999999999</v>
          </cell>
          <cell r="J1623">
            <v>6.8306000000000004</v>
          </cell>
          <cell r="K1623">
            <v>2.4500000000000002</v>
          </cell>
          <cell r="L1623">
            <v>4.88</v>
          </cell>
          <cell r="M1623">
            <v>3.6</v>
          </cell>
          <cell r="O1623">
            <v>1.389</v>
          </cell>
          <cell r="P1623">
            <v>0.81920000000000004</v>
          </cell>
          <cell r="Q1623">
            <v>84.77783203125</v>
          </cell>
          <cell r="U1623">
            <v>1.9298</v>
          </cell>
          <cell r="V1623">
            <v>144.82599999999999</v>
          </cell>
          <cell r="W1623">
            <v>164.03899999999999</v>
          </cell>
        </row>
        <row r="1624">
          <cell r="B1624">
            <v>88.394000000000005</v>
          </cell>
          <cell r="D1624">
            <v>1.1972</v>
          </cell>
          <cell r="E1624">
            <v>1233.48</v>
          </cell>
          <cell r="F1624">
            <v>13.54269</v>
          </cell>
          <cell r="G1624">
            <v>104.63</v>
          </cell>
          <cell r="I1624">
            <v>3.1857000000000002</v>
          </cell>
          <cell r="J1624">
            <v>6.83</v>
          </cell>
          <cell r="K1624">
            <v>2.4500000000000002</v>
          </cell>
          <cell r="L1624">
            <v>4.9000000000000004</v>
          </cell>
          <cell r="M1624">
            <v>3.63</v>
          </cell>
          <cell r="O1624">
            <v>1.3764000000000001</v>
          </cell>
          <cell r="P1624">
            <v>0.82520000000000004</v>
          </cell>
          <cell r="Q1624">
            <v>83.397964129907905</v>
          </cell>
          <cell r="U1624">
            <v>1.9792000000000001</v>
          </cell>
          <cell r="V1624">
            <v>144.00700000000001</v>
          </cell>
          <cell r="W1624">
            <v>162.89500000000001</v>
          </cell>
        </row>
        <row r="1625">
          <cell r="B1625">
            <v>87.897000000000006</v>
          </cell>
          <cell r="D1625">
            <v>1.2031000000000001</v>
          </cell>
          <cell r="E1625">
            <v>1248.82</v>
          </cell>
          <cell r="F1625">
            <v>13.632239999999999</v>
          </cell>
          <cell r="G1625">
            <v>109.41</v>
          </cell>
          <cell r="I1625">
            <v>3.1728999999999998</v>
          </cell>
          <cell r="J1625">
            <v>6.8281000000000001</v>
          </cell>
          <cell r="K1625">
            <v>2.4500000000000002</v>
          </cell>
          <cell r="L1625">
            <v>4.8899999999999997</v>
          </cell>
          <cell r="M1625">
            <v>3.61</v>
          </cell>
          <cell r="O1625">
            <v>1.3784000000000001</v>
          </cell>
          <cell r="P1625">
            <v>0.83320000000000005</v>
          </cell>
          <cell r="Q1625">
            <v>82.717234757561215</v>
          </cell>
          <cell r="U1625">
            <v>1.9691999999999998</v>
          </cell>
          <cell r="V1625">
            <v>144.78700000000001</v>
          </cell>
          <cell r="W1625">
            <v>151.71899999999999</v>
          </cell>
        </row>
        <row r="1626">
          <cell r="B1626">
            <v>87.168999999999997</v>
          </cell>
          <cell r="D1626">
            <v>1.2082999999999999</v>
          </cell>
          <cell r="E1626">
            <v>1251.05</v>
          </cell>
          <cell r="F1626">
            <v>13.672800000000001</v>
          </cell>
          <cell r="G1626">
            <v>114.17</v>
          </cell>
          <cell r="I1626">
            <v>3.3193000000000001</v>
          </cell>
          <cell r="J1626">
            <v>6.8308</v>
          </cell>
          <cell r="K1626">
            <v>2.4500000000000002</v>
          </cell>
          <cell r="L1626">
            <v>4.92</v>
          </cell>
          <cell r="M1626">
            <v>3.64</v>
          </cell>
          <cell r="O1626">
            <v>1.3839000000000001</v>
          </cell>
          <cell r="P1626">
            <v>0.84660000000000002</v>
          </cell>
          <cell r="Q1626">
            <v>81.732813607370673</v>
          </cell>
          <cell r="U1626">
            <v>2.1116000000000001</v>
          </cell>
          <cell r="V1626">
            <v>142.99</v>
          </cell>
          <cell r="W1626">
            <v>139.30500000000001</v>
          </cell>
        </row>
        <row r="1627">
          <cell r="B1627">
            <v>87.507000000000005</v>
          </cell>
          <cell r="D1627">
            <v>1.2112000000000001</v>
          </cell>
          <cell r="E1627">
            <v>1246.0999999999999</v>
          </cell>
          <cell r="F1627">
            <v>13.6219</v>
          </cell>
          <cell r="G1627">
            <v>109.14</v>
          </cell>
          <cell r="I1627">
            <v>3.2345999999999999</v>
          </cell>
          <cell r="J1627">
            <v>6.8330000000000002</v>
          </cell>
          <cell r="K1627">
            <v>2.4500000000000002</v>
          </cell>
          <cell r="L1627">
            <v>4.9400000000000004</v>
          </cell>
          <cell r="M1627">
            <v>3.68</v>
          </cell>
          <cell r="O1627">
            <v>1.3900999999999999</v>
          </cell>
          <cell r="P1627">
            <v>0.84770000000000001</v>
          </cell>
          <cell r="Q1627">
            <v>81.992450159254446</v>
          </cell>
          <cell r="U1627">
            <v>2.0285000000000002</v>
          </cell>
          <cell r="V1627">
            <v>140.63</v>
          </cell>
          <cell r="W1627">
            <v>136.93799999999999</v>
          </cell>
        </row>
        <row r="1628">
          <cell r="B1628">
            <v>87.507000000000005</v>
          </cell>
          <cell r="D1628">
            <v>1.2112000000000001</v>
          </cell>
          <cell r="E1628">
            <v>1246.0999999999999</v>
          </cell>
          <cell r="F1628">
            <v>13.6219</v>
          </cell>
          <cell r="G1628">
            <v>109.24</v>
          </cell>
          <cell r="I1628">
            <v>3.2345999999999999</v>
          </cell>
          <cell r="J1628">
            <v>6.8330000000000002</v>
          </cell>
          <cell r="K1628">
            <v>2.4500000000000002</v>
          </cell>
          <cell r="L1628">
            <v>4.9400000000000004</v>
          </cell>
          <cell r="M1628">
            <v>3.68</v>
          </cell>
          <cell r="O1628">
            <v>1.3900999999999999</v>
          </cell>
          <cell r="P1628">
            <v>0.84770000000000001</v>
          </cell>
          <cell r="Q1628">
            <v>81.992450159254446</v>
          </cell>
          <cell r="U1628">
            <v>2.0285000000000002</v>
          </cell>
          <cell r="V1628">
            <v>140.63</v>
          </cell>
          <cell r="W1628">
            <v>136.93799999999999</v>
          </cell>
        </row>
        <row r="1629">
          <cell r="B1629">
            <v>87.507000000000005</v>
          </cell>
          <cell r="D1629">
            <v>1.2112000000000001</v>
          </cell>
          <cell r="E1629">
            <v>1246.0999999999999</v>
          </cell>
          <cell r="F1629">
            <v>13.6219</v>
          </cell>
          <cell r="G1629">
            <v>109.24</v>
          </cell>
          <cell r="I1629">
            <v>3.2345999999999999</v>
          </cell>
          <cell r="J1629">
            <v>6.8330000000000002</v>
          </cell>
          <cell r="K1629">
            <v>2.4500000000000002</v>
          </cell>
          <cell r="L1629">
            <v>4.9400000000000004</v>
          </cell>
          <cell r="M1629">
            <v>3.68</v>
          </cell>
          <cell r="O1629">
            <v>1.3900999999999999</v>
          </cell>
          <cell r="P1629">
            <v>0.84770000000000001</v>
          </cell>
          <cell r="Q1629">
            <v>81.992450159254446</v>
          </cell>
          <cell r="U1629">
            <v>2.0285000000000002</v>
          </cell>
          <cell r="V1629">
            <v>140.63</v>
          </cell>
          <cell r="W1629">
            <v>136.93799999999999</v>
          </cell>
        </row>
        <row r="1630">
          <cell r="B1630">
            <v>86.510999999999996</v>
          </cell>
          <cell r="D1630">
            <v>1.2252000000000001</v>
          </cell>
          <cell r="E1630">
            <v>1222.1500000000001</v>
          </cell>
          <cell r="F1630">
            <v>13.25304</v>
          </cell>
          <cell r="G1630">
            <v>103.11</v>
          </cell>
          <cell r="I1630">
            <v>3.2528999999999999</v>
          </cell>
          <cell r="J1630">
            <v>6.8280000000000003</v>
          </cell>
          <cell r="K1630">
            <v>2.4500000000000002</v>
          </cell>
          <cell r="L1630">
            <v>4.9400000000000004</v>
          </cell>
          <cell r="M1630">
            <v>3.71</v>
          </cell>
          <cell r="O1630">
            <v>1.3972</v>
          </cell>
          <cell r="P1630">
            <v>0.86099999999999999</v>
          </cell>
          <cell r="Q1630">
            <v>81.138211382113823</v>
          </cell>
          <cell r="U1630">
            <v>2.0316999999999998</v>
          </cell>
          <cell r="V1630">
            <v>133.071</v>
          </cell>
          <cell r="W1630">
            <v>138.285</v>
          </cell>
        </row>
        <row r="1631">
          <cell r="B1631">
            <v>85.980999999999995</v>
          </cell>
          <cell r="D1631">
            <v>1.2332000000000001</v>
          </cell>
          <cell r="E1631">
            <v>1227.5999999999999</v>
          </cell>
          <cell r="F1631">
            <v>13.30944</v>
          </cell>
          <cell r="G1631">
            <v>102.65</v>
          </cell>
          <cell r="I1631">
            <v>3.3025000000000002</v>
          </cell>
          <cell r="J1631">
            <v>6.8280000000000003</v>
          </cell>
          <cell r="K1631">
            <v>2.4500000000000002</v>
          </cell>
          <cell r="L1631">
            <v>4.92</v>
          </cell>
          <cell r="M1631">
            <v>3.73</v>
          </cell>
          <cell r="O1631">
            <v>1.3933</v>
          </cell>
          <cell r="P1631">
            <v>0.86160000000000003</v>
          </cell>
          <cell r="Q1631">
            <v>80.85538532961931</v>
          </cell>
          <cell r="U1631">
            <v>2.0749</v>
          </cell>
          <cell r="V1631">
            <v>129.01300000000001</v>
          </cell>
          <cell r="W1631">
            <v>144.976</v>
          </cell>
        </row>
        <row r="1632">
          <cell r="B1632">
            <v>86.082999999999998</v>
          </cell>
          <cell r="D1632">
            <v>1.2314000000000001</v>
          </cell>
          <cell r="E1632">
            <v>1210.75</v>
          </cell>
          <cell r="F1632">
            <v>13.24981</v>
          </cell>
          <cell r="G1632">
            <v>98.99</v>
          </cell>
          <cell r="I1632">
            <v>3.2601</v>
          </cell>
          <cell r="J1632">
            <v>6.8323</v>
          </cell>
          <cell r="K1632">
            <v>2.4500000000000002</v>
          </cell>
          <cell r="L1632">
            <v>4.9000000000000004</v>
          </cell>
          <cell r="M1632">
            <v>3.72</v>
          </cell>
          <cell r="O1632">
            <v>1.387</v>
          </cell>
          <cell r="P1632">
            <v>0.86429999999999996</v>
          </cell>
          <cell r="Q1632">
            <v>80.238343167881538</v>
          </cell>
          <cell r="U1632">
            <v>2.0449000000000002</v>
          </cell>
          <cell r="V1632">
            <v>124.099</v>
          </cell>
          <cell r="W1632">
            <v>145.511</v>
          </cell>
        </row>
        <row r="1633">
          <cell r="B1633">
            <v>85.688000000000002</v>
          </cell>
          <cell r="D1633">
            <v>1.2351000000000001</v>
          </cell>
          <cell r="E1633">
            <v>1213.4000000000001</v>
          </cell>
          <cell r="F1633">
            <v>13.34868</v>
          </cell>
          <cell r="G1633">
            <v>99.73</v>
          </cell>
          <cell r="I1633">
            <v>3.1886999999999999</v>
          </cell>
          <cell r="J1633">
            <v>6.8291000000000004</v>
          </cell>
          <cell r="K1633">
            <v>2.4500000000000002</v>
          </cell>
          <cell r="L1633">
            <v>4.9000000000000004</v>
          </cell>
          <cell r="M1633">
            <v>3.7</v>
          </cell>
          <cell r="O1633">
            <v>1.3756999999999999</v>
          </cell>
          <cell r="P1633">
            <v>0.86429999999999996</v>
          </cell>
          <cell r="Q1633">
            <v>79.584634964711327</v>
          </cell>
          <cell r="U1633">
            <v>1.9818</v>
          </cell>
          <cell r="V1633">
            <v>121.613</v>
          </cell>
          <cell r="W1633">
            <v>140.18799999999999</v>
          </cell>
        </row>
        <row r="1634">
          <cell r="B1634">
            <v>85.698999999999998</v>
          </cell>
          <cell r="D1634">
            <v>1.2387999999999999</v>
          </cell>
          <cell r="E1634">
            <v>1202.6500000000001</v>
          </cell>
          <cell r="F1634">
            <v>13.26088</v>
          </cell>
          <cell r="G1634">
            <v>99.25</v>
          </cell>
          <cell r="I1634">
            <v>3.2195</v>
          </cell>
          <cell r="J1634">
            <v>6.8274999999999997</v>
          </cell>
          <cell r="K1634">
            <v>2.4500000000000002</v>
          </cell>
          <cell r="L1634">
            <v>4.91</v>
          </cell>
          <cell r="M1634">
            <v>3.72</v>
          </cell>
          <cell r="O1634">
            <v>1.3725000000000001</v>
          </cell>
          <cell r="P1634">
            <v>0.86929999999999996</v>
          </cell>
          <cell r="Q1634">
            <v>78.942827562406535</v>
          </cell>
          <cell r="U1634">
            <v>2.0114000000000001</v>
          </cell>
          <cell r="V1634">
            <v>118.017</v>
          </cell>
          <cell r="W1634">
            <v>136.053</v>
          </cell>
        </row>
        <row r="1635">
          <cell r="B1635">
            <v>85.698999999999998</v>
          </cell>
          <cell r="D1635">
            <v>1.2387999999999999</v>
          </cell>
          <cell r="E1635">
            <v>1202.6500000000001</v>
          </cell>
          <cell r="F1635">
            <v>13.26088</v>
          </cell>
          <cell r="G1635">
            <v>99.25</v>
          </cell>
          <cell r="I1635">
            <v>3.2195</v>
          </cell>
          <cell r="J1635">
            <v>6.8274999999999997</v>
          </cell>
          <cell r="K1635">
            <v>2.4500000000000002</v>
          </cell>
          <cell r="L1635">
            <v>4.91</v>
          </cell>
          <cell r="M1635">
            <v>3.72</v>
          </cell>
          <cell r="O1635">
            <v>1.3725000000000001</v>
          </cell>
          <cell r="P1635">
            <v>0.86929999999999996</v>
          </cell>
          <cell r="Q1635">
            <v>78.942827562406535</v>
          </cell>
          <cell r="U1635">
            <v>2.0114000000000001</v>
          </cell>
          <cell r="V1635">
            <v>118.017</v>
          </cell>
          <cell r="W1635">
            <v>136.053</v>
          </cell>
        </row>
        <row r="1636">
          <cell r="B1636">
            <v>85.698999999999998</v>
          </cell>
          <cell r="D1636">
            <v>1.2387999999999999</v>
          </cell>
          <cell r="E1636">
            <v>1202.6500000000001</v>
          </cell>
          <cell r="F1636">
            <v>13.26088</v>
          </cell>
          <cell r="G1636">
            <v>99.25</v>
          </cell>
          <cell r="I1636">
            <v>3.2195</v>
          </cell>
          <cell r="J1636">
            <v>6.8274999999999997</v>
          </cell>
          <cell r="K1636">
            <v>2.4500000000000002</v>
          </cell>
          <cell r="L1636">
            <v>4.91</v>
          </cell>
          <cell r="M1636">
            <v>3.72</v>
          </cell>
          <cell r="O1636">
            <v>1.3725000000000001</v>
          </cell>
          <cell r="P1636">
            <v>0.86929999999999996</v>
          </cell>
          <cell r="Q1636">
            <v>78.942827562406535</v>
          </cell>
          <cell r="U1636">
            <v>2.0114000000000001</v>
          </cell>
          <cell r="V1636">
            <v>118.017</v>
          </cell>
          <cell r="W1636">
            <v>136.053</v>
          </cell>
        </row>
        <row r="1637">
          <cell r="B1637">
            <v>85.932000000000002</v>
          </cell>
          <cell r="D1637">
            <v>1.2345999999999999</v>
          </cell>
          <cell r="E1637">
            <v>1171.95</v>
          </cell>
          <cell r="F1637">
            <v>12.89461</v>
          </cell>
          <cell r="G1637">
            <v>78.66</v>
          </cell>
          <cell r="I1637">
            <v>3.2414000000000001</v>
          </cell>
          <cell r="J1637">
            <v>6.7976000000000001</v>
          </cell>
          <cell r="K1637">
            <v>2.4500000000000002</v>
          </cell>
          <cell r="L1637">
            <v>4.9800000000000004</v>
          </cell>
          <cell r="M1637">
            <v>3.88</v>
          </cell>
          <cell r="O1637">
            <v>1.3702000000000001</v>
          </cell>
          <cell r="P1637">
            <v>0.87980000000000003</v>
          </cell>
          <cell r="Q1637">
            <v>77.869970447829047</v>
          </cell>
          <cell r="U1637">
            <v>2.0247000000000002</v>
          </cell>
          <cell r="V1637">
            <v>109.254</v>
          </cell>
          <cell r="W1637">
            <v>136.41200000000001</v>
          </cell>
        </row>
        <row r="1638">
          <cell r="B1638">
            <v>86.105999999999995</v>
          </cell>
          <cell r="D1638">
            <v>1.2306999999999999</v>
          </cell>
          <cell r="E1638">
            <v>1182</v>
          </cell>
          <cell r="F1638">
            <v>13.06916</v>
          </cell>
          <cell r="G1638">
            <v>94.36</v>
          </cell>
          <cell r="I1638">
            <v>3.1663999999999999</v>
          </cell>
          <cell r="J1638">
            <v>6.8128000000000002</v>
          </cell>
          <cell r="K1638">
            <v>2.4500000000000002</v>
          </cell>
          <cell r="L1638">
            <v>4.99</v>
          </cell>
          <cell r="M1638">
            <v>3.9</v>
          </cell>
          <cell r="O1638">
            <v>1.3597999999999999</v>
          </cell>
          <cell r="P1638">
            <v>0.87890000000000001</v>
          </cell>
          <cell r="Q1638">
            <v>77.358061212879718</v>
          </cell>
          <cell r="U1638">
            <v>1.9647000000000001</v>
          </cell>
          <cell r="V1638">
            <v>111.69</v>
          </cell>
          <cell r="W1638">
            <v>139.26599999999999</v>
          </cell>
        </row>
        <row r="1639">
          <cell r="B1639">
            <v>85.741</v>
          </cell>
          <cell r="D1639">
            <v>1.2257</v>
          </cell>
          <cell r="E1639">
            <v>1187.5</v>
          </cell>
          <cell r="F1639">
            <v>13.254099999999999</v>
          </cell>
          <cell r="G1639">
            <v>90.600000000000051</v>
          </cell>
          <cell r="I1639">
            <v>3.1189999999999998</v>
          </cell>
          <cell r="J1639">
            <v>6.8124000000000002</v>
          </cell>
          <cell r="K1639">
            <v>2.4500000000000002</v>
          </cell>
          <cell r="L1639">
            <v>4.99</v>
          </cell>
          <cell r="M1639">
            <v>3.93</v>
          </cell>
          <cell r="O1639">
            <v>1.3586</v>
          </cell>
          <cell r="P1639">
            <v>0.87160000000000004</v>
          </cell>
          <cell r="Q1639">
            <v>77.937127122533269</v>
          </cell>
          <cell r="U1639">
            <v>1.9182000000000001</v>
          </cell>
          <cell r="V1639">
            <v>115.851</v>
          </cell>
          <cell r="W1639">
            <v>146.53100000000001</v>
          </cell>
        </row>
        <row r="1640">
          <cell r="B1640">
            <v>85.733000000000004</v>
          </cell>
          <cell r="D1640">
            <v>1.2357</v>
          </cell>
          <cell r="E1640">
            <v>1189.45</v>
          </cell>
          <cell r="F1640">
            <v>13.410489999999999</v>
          </cell>
          <cell r="G1640">
            <v>87.69</v>
          </cell>
          <cell r="I1640">
            <v>3.1371000000000002</v>
          </cell>
          <cell r="J1640">
            <v>6.7996999999999996</v>
          </cell>
          <cell r="K1640">
            <v>2.46</v>
          </cell>
          <cell r="L1640">
            <v>4.9800000000000004</v>
          </cell>
          <cell r="M1640">
            <v>3.9</v>
          </cell>
          <cell r="O1640">
            <v>1.36</v>
          </cell>
          <cell r="P1640">
            <v>0.86860000000000004</v>
          </cell>
          <cell r="Q1640">
            <v>78.286898457287592</v>
          </cell>
          <cell r="U1640">
            <v>1.9475</v>
          </cell>
          <cell r="V1640">
            <v>119.14700000000001</v>
          </cell>
          <cell r="W1640">
            <v>150.625</v>
          </cell>
        </row>
        <row r="1641">
          <cell r="B1641">
            <v>85.313000000000002</v>
          </cell>
          <cell r="D1641">
            <v>1.2368999999999999</v>
          </cell>
          <cell r="E1641">
            <v>1215.19</v>
          </cell>
          <cell r="F1641">
            <v>13.53697</v>
          </cell>
          <cell r="G1641">
            <v>86.32</v>
          </cell>
          <cell r="I1641">
            <v>3.1078000000000001</v>
          </cell>
          <cell r="J1641">
            <v>6.7930000000000001</v>
          </cell>
          <cell r="K1641">
            <v>2.46</v>
          </cell>
          <cell r="L1641">
            <v>4.99</v>
          </cell>
          <cell r="M1641">
            <v>3.9</v>
          </cell>
          <cell r="O1641">
            <v>1.3514999999999999</v>
          </cell>
          <cell r="P1641">
            <v>0.87050000000000005</v>
          </cell>
          <cell r="Q1641">
            <v>77.627800114876493</v>
          </cell>
          <cell r="U1641">
            <v>1.9013</v>
          </cell>
          <cell r="V1641">
            <v>127.134</v>
          </cell>
          <cell r="W1641">
            <v>155.90199999999999</v>
          </cell>
        </row>
        <row r="1642">
          <cell r="B1642">
            <v>85.313000000000002</v>
          </cell>
          <cell r="D1642">
            <v>1.2368999999999999</v>
          </cell>
          <cell r="E1642">
            <v>1215.19</v>
          </cell>
          <cell r="F1642">
            <v>13.53697</v>
          </cell>
          <cell r="G1642">
            <v>86.32</v>
          </cell>
          <cell r="I1642">
            <v>3.1078000000000001</v>
          </cell>
          <cell r="J1642">
            <v>6.7930000000000001</v>
          </cell>
          <cell r="K1642">
            <v>2.46</v>
          </cell>
          <cell r="L1642">
            <v>4.99</v>
          </cell>
          <cell r="M1642">
            <v>3.9</v>
          </cell>
          <cell r="O1642">
            <v>1.3514999999999999</v>
          </cell>
          <cell r="P1642">
            <v>0.87050000000000005</v>
          </cell>
          <cell r="Q1642">
            <v>77.627800114876493</v>
          </cell>
          <cell r="U1642">
            <v>1.9013</v>
          </cell>
          <cell r="V1642">
            <v>127.134</v>
          </cell>
          <cell r="W1642">
            <v>155.90199999999999</v>
          </cell>
        </row>
        <row r="1643">
          <cell r="B1643">
            <v>85.313000000000002</v>
          </cell>
          <cell r="D1643">
            <v>1.2368999999999999</v>
          </cell>
          <cell r="E1643">
            <v>1215.19</v>
          </cell>
          <cell r="F1643">
            <v>13.53697</v>
          </cell>
          <cell r="G1643">
            <v>86.32</v>
          </cell>
          <cell r="I1643">
            <v>3.1078000000000001</v>
          </cell>
          <cell r="J1643">
            <v>6.7930000000000001</v>
          </cell>
          <cell r="K1643">
            <v>2.46</v>
          </cell>
          <cell r="L1643">
            <v>4.99</v>
          </cell>
          <cell r="M1643">
            <v>3.9</v>
          </cell>
          <cell r="O1643">
            <v>1.3514999999999999</v>
          </cell>
          <cell r="P1643">
            <v>0.87050000000000005</v>
          </cell>
          <cell r="Q1643">
            <v>77.627800114876493</v>
          </cell>
          <cell r="U1643">
            <v>1.9013</v>
          </cell>
          <cell r="V1643">
            <v>127.134</v>
          </cell>
          <cell r="W1643">
            <v>155.90199999999999</v>
          </cell>
        </row>
        <row r="1644">
          <cell r="B1644">
            <v>85.652000000000001</v>
          </cell>
          <cell r="D1644">
            <v>1.2299</v>
          </cell>
          <cell r="E1644">
            <v>1201.8900000000001</v>
          </cell>
          <cell r="F1644">
            <v>13.451510000000001</v>
          </cell>
          <cell r="G1644">
            <v>87.1</v>
          </cell>
          <cell r="I1644">
            <v>3.0209999999999999</v>
          </cell>
          <cell r="J1644">
            <v>6.7930000000000001</v>
          </cell>
          <cell r="K1644">
            <v>2.46</v>
          </cell>
          <cell r="L1644">
            <v>4.99</v>
          </cell>
          <cell r="M1644">
            <v>3.95</v>
          </cell>
          <cell r="O1644">
            <v>1.3382000000000001</v>
          </cell>
          <cell r="P1644">
            <v>0.87280000000000002</v>
          </cell>
          <cell r="Q1644">
            <v>76.661319890009167</v>
          </cell>
          <cell r="U1644">
            <v>1.8256999999999999</v>
          </cell>
          <cell r="V1644">
            <v>117.672</v>
          </cell>
          <cell r="W1644">
            <v>157.375</v>
          </cell>
        </row>
        <row r="1645">
          <cell r="B1645">
            <v>86.025000000000006</v>
          </cell>
          <cell r="D1645">
            <v>1.2209000000000001</v>
          </cell>
          <cell r="E1645">
            <v>1216.76</v>
          </cell>
          <cell r="F1645">
            <v>13.839029999999999</v>
          </cell>
          <cell r="G1645">
            <v>97.29</v>
          </cell>
          <cell r="I1645">
            <v>2.9491000000000001</v>
          </cell>
          <cell r="J1645">
            <v>6.7976999999999999</v>
          </cell>
          <cell r="K1645">
            <v>2.46</v>
          </cell>
          <cell r="L1645">
            <v>4.96</v>
          </cell>
          <cell r="M1645">
            <v>3.89</v>
          </cell>
          <cell r="O1645">
            <v>1.3203</v>
          </cell>
          <cell r="P1645">
            <v>0.85409999999999997</v>
          </cell>
          <cell r="Q1645">
            <v>77.291886195995787</v>
          </cell>
          <cell r="U1645">
            <v>1.7667999999999999</v>
          </cell>
          <cell r="V1645">
            <v>132.255</v>
          </cell>
          <cell r="W1645">
            <v>161.69900000000001</v>
          </cell>
        </row>
        <row r="1646">
          <cell r="B1646">
            <v>86.019000000000005</v>
          </cell>
          <cell r="D1646">
            <v>1.2257</v>
          </cell>
          <cell r="E1646">
            <v>1221.8</v>
          </cell>
          <cell r="F1646">
            <v>13.778700000000001</v>
          </cell>
          <cell r="G1646">
            <v>99.89</v>
          </cell>
          <cell r="I1646">
            <v>2.9310999999999998</v>
          </cell>
          <cell r="J1646">
            <v>6.7813999999999997</v>
          </cell>
          <cell r="K1646">
            <v>2.46</v>
          </cell>
          <cell r="L1646">
            <v>4.95</v>
          </cell>
          <cell r="M1646">
            <v>3.86</v>
          </cell>
          <cell r="O1646">
            <v>1.3210999999999999</v>
          </cell>
          <cell r="P1646">
            <v>0.84670000000000001</v>
          </cell>
          <cell r="Q1646">
            <v>78.014645092712883</v>
          </cell>
          <cell r="U1646">
            <v>1.7732999999999999</v>
          </cell>
          <cell r="V1646">
            <v>131.68</v>
          </cell>
          <cell r="W1646">
            <v>159.126</v>
          </cell>
        </row>
        <row r="1647">
          <cell r="B1647">
            <v>84.715999999999994</v>
          </cell>
          <cell r="D1647">
            <v>1.2439</v>
          </cell>
          <cell r="E1647">
            <v>1228.6500000000001</v>
          </cell>
          <cell r="F1647">
            <v>14.015359999999999</v>
          </cell>
          <cell r="G1647">
            <v>101.1</v>
          </cell>
          <cell r="I1647">
            <v>2.9470000000000001</v>
          </cell>
          <cell r="J1647">
            <v>6.782</v>
          </cell>
          <cell r="K1647">
            <v>2.46</v>
          </cell>
          <cell r="L1647">
            <v>4.92</v>
          </cell>
          <cell r="M1647">
            <v>3.8</v>
          </cell>
          <cell r="O1647">
            <v>1.3281000000000001</v>
          </cell>
          <cell r="P1647">
            <v>0.83960000000000001</v>
          </cell>
          <cell r="Q1647">
            <v>79.091233920914732</v>
          </cell>
          <cell r="U1647">
            <v>1.8027</v>
          </cell>
          <cell r="V1647">
            <v>130.42500000000001</v>
          </cell>
          <cell r="W1647">
            <v>154.40799999999999</v>
          </cell>
        </row>
        <row r="1648">
          <cell r="B1648">
            <v>84.427000000000007</v>
          </cell>
          <cell r="D1648">
            <v>1.2565999999999999</v>
          </cell>
          <cell r="E1648">
            <v>1228.75</v>
          </cell>
          <cell r="F1648">
            <v>14.068960000000001</v>
          </cell>
          <cell r="G1648">
            <v>98.9</v>
          </cell>
          <cell r="I1648">
            <v>2.9769999999999999</v>
          </cell>
          <cell r="J1648">
            <v>6.7714999999999996</v>
          </cell>
          <cell r="K1648">
            <v>2.46</v>
          </cell>
          <cell r="L1648">
            <v>4.91</v>
          </cell>
          <cell r="M1648">
            <v>3.82</v>
          </cell>
          <cell r="O1648">
            <v>1.3364</v>
          </cell>
          <cell r="P1648">
            <v>0.84179999999999999</v>
          </cell>
          <cell r="Q1648">
            <v>79.377524352577808</v>
          </cell>
          <cell r="U1648">
            <v>1.8157000000000001</v>
          </cell>
          <cell r="V1648">
            <v>129.31200000000001</v>
          </cell>
          <cell r="W1648">
            <v>151.44</v>
          </cell>
        </row>
        <row r="1649">
          <cell r="B1649">
            <v>84.427000000000007</v>
          </cell>
          <cell r="D1649">
            <v>1.2565999999999999</v>
          </cell>
          <cell r="E1649">
            <v>1228.75</v>
          </cell>
          <cell r="F1649">
            <v>14.068960000000001</v>
          </cell>
          <cell r="G1649">
            <v>98.9</v>
          </cell>
          <cell r="I1649">
            <v>2.9769999999999999</v>
          </cell>
          <cell r="J1649">
            <v>6.7714999999999996</v>
          </cell>
          <cell r="K1649">
            <v>2.46</v>
          </cell>
          <cell r="L1649">
            <v>4.91</v>
          </cell>
          <cell r="M1649">
            <v>3.82</v>
          </cell>
          <cell r="O1649">
            <v>1.3364</v>
          </cell>
          <cell r="P1649">
            <v>0.84179999999999999</v>
          </cell>
          <cell r="Q1649">
            <v>79.377524352577808</v>
          </cell>
          <cell r="U1649">
            <v>1.8157000000000001</v>
          </cell>
          <cell r="V1649">
            <v>129.31200000000001</v>
          </cell>
          <cell r="W1649">
            <v>151.44</v>
          </cell>
        </row>
        <row r="1650">
          <cell r="B1650">
            <v>84.427000000000007</v>
          </cell>
          <cell r="D1650">
            <v>1.2565999999999999</v>
          </cell>
          <cell r="E1650">
            <v>1228.75</v>
          </cell>
          <cell r="F1650">
            <v>14.068960000000001</v>
          </cell>
          <cell r="G1650">
            <v>98.9</v>
          </cell>
          <cell r="I1650">
            <v>2.9769999999999999</v>
          </cell>
          <cell r="J1650">
            <v>6.7714999999999996</v>
          </cell>
          <cell r="K1650">
            <v>2.46</v>
          </cell>
          <cell r="L1650">
            <v>4.91</v>
          </cell>
          <cell r="M1650">
            <v>3.82</v>
          </cell>
          <cell r="O1650">
            <v>1.3364</v>
          </cell>
          <cell r="P1650">
            <v>0.84179999999999999</v>
          </cell>
          <cell r="Q1650">
            <v>79.377524352577808</v>
          </cell>
          <cell r="U1650">
            <v>1.8157000000000001</v>
          </cell>
          <cell r="V1650">
            <v>129.31200000000001</v>
          </cell>
          <cell r="W1650">
            <v>151.44</v>
          </cell>
        </row>
        <row r="1651">
          <cell r="B1651">
            <v>84.608000000000004</v>
          </cell>
          <cell r="D1651">
            <v>1.2528999999999999</v>
          </cell>
          <cell r="E1651">
            <v>1223.03</v>
          </cell>
          <cell r="F1651">
            <v>13.960699999999999</v>
          </cell>
          <cell r="G1651">
            <v>99.27</v>
          </cell>
          <cell r="I1651">
            <v>2.9733000000000001</v>
          </cell>
          <cell r="J1651">
            <v>6.7758000000000003</v>
          </cell>
          <cell r="K1651">
            <v>2.46</v>
          </cell>
          <cell r="L1651">
            <v>4.92</v>
          </cell>
          <cell r="M1651">
            <v>3.85</v>
          </cell>
          <cell r="O1651">
            <v>1.3347</v>
          </cell>
          <cell r="P1651">
            <v>0.83830000000000005</v>
          </cell>
          <cell r="Q1651">
            <v>79.607539067159721</v>
          </cell>
          <cell r="U1651">
            <v>1.8157000000000001</v>
          </cell>
          <cell r="V1651">
            <v>123.982</v>
          </cell>
          <cell r="W1651">
            <v>150.886</v>
          </cell>
        </row>
        <row r="1652">
          <cell r="B1652">
            <v>84.082999999999998</v>
          </cell>
          <cell r="D1652">
            <v>1.2638</v>
          </cell>
          <cell r="E1652">
            <v>1222.5</v>
          </cell>
          <cell r="F1652">
            <v>13.87974</v>
          </cell>
          <cell r="G1652">
            <v>97.68</v>
          </cell>
          <cell r="I1652">
            <v>2.9302000000000001</v>
          </cell>
          <cell r="J1652">
            <v>6.7770999999999999</v>
          </cell>
          <cell r="K1652">
            <v>2.46</v>
          </cell>
          <cell r="L1652">
            <v>4.91</v>
          </cell>
          <cell r="M1652">
            <v>3.84</v>
          </cell>
          <cell r="O1652">
            <v>1.3376000000000001</v>
          </cell>
          <cell r="P1652">
            <v>0.85199999999999998</v>
          </cell>
          <cell r="Q1652">
            <v>78.497652582159645</v>
          </cell>
          <cell r="U1652">
            <v>1.7565</v>
          </cell>
          <cell r="V1652">
            <v>124.955</v>
          </cell>
          <cell r="W1652">
            <v>147.40799999999999</v>
          </cell>
        </row>
        <row r="1653">
          <cell r="B1653">
            <v>83.822000000000003</v>
          </cell>
          <cell r="D1653">
            <v>1.2607999999999999</v>
          </cell>
          <cell r="E1653">
            <v>1222.98</v>
          </cell>
          <cell r="F1653">
            <v>13.9544</v>
          </cell>
          <cell r="G1653">
            <v>95.07</v>
          </cell>
          <cell r="I1653">
            <v>2.9802999999999997</v>
          </cell>
          <cell r="J1653">
            <v>6.7789999999999999</v>
          </cell>
          <cell r="K1653">
            <v>2.46</v>
          </cell>
          <cell r="L1653">
            <v>4.93</v>
          </cell>
          <cell r="M1653">
            <v>3.9</v>
          </cell>
          <cell r="O1653">
            <v>1.3274999999999999</v>
          </cell>
          <cell r="P1653">
            <v>0.85899999999999999</v>
          </cell>
          <cell r="Q1653">
            <v>77.270081490104772</v>
          </cell>
          <cell r="U1653">
            <v>1.7793999999999999</v>
          </cell>
          <cell r="V1653">
            <v>127.054</v>
          </cell>
          <cell r="W1653">
            <v>146.708</v>
          </cell>
        </row>
        <row r="1654">
          <cell r="B1654">
            <v>83.823999999999998</v>
          </cell>
          <cell r="D1654">
            <v>1.2654000000000001</v>
          </cell>
          <cell r="E1654">
            <v>1209.4000000000001</v>
          </cell>
          <cell r="F1654">
            <v>13.67531</v>
          </cell>
          <cell r="G1654">
            <v>87.54</v>
          </cell>
          <cell r="I1654">
            <v>3.0306000000000002</v>
          </cell>
          <cell r="J1654">
            <v>6.7763</v>
          </cell>
          <cell r="K1654">
            <v>2.46</v>
          </cell>
          <cell r="L1654">
            <v>4.96</v>
          </cell>
          <cell r="M1654">
            <v>3.94</v>
          </cell>
          <cell r="O1654">
            <v>1.3309</v>
          </cell>
          <cell r="P1654">
            <v>0.87129999999999996</v>
          </cell>
          <cell r="Q1654">
            <v>76.374383105704126</v>
          </cell>
          <cell r="U1654">
            <v>1.8123</v>
          </cell>
          <cell r="V1654">
            <v>119.77200000000001</v>
          </cell>
          <cell r="W1654">
            <v>140.768</v>
          </cell>
        </row>
        <row r="1655">
          <cell r="B1655">
            <v>83.947000000000003</v>
          </cell>
          <cell r="D1655">
            <v>1.2641</v>
          </cell>
          <cell r="E1655">
            <v>1195.8499999999999</v>
          </cell>
          <cell r="F1655">
            <v>13.53989</v>
          </cell>
          <cell r="G1655">
            <v>84.6</v>
          </cell>
          <cell r="I1655">
            <v>3.052</v>
          </cell>
          <cell r="J1655">
            <v>6.774</v>
          </cell>
          <cell r="K1655">
            <v>2.63</v>
          </cell>
          <cell r="L1655">
            <v>4.9400000000000004</v>
          </cell>
          <cell r="M1655">
            <v>3.94</v>
          </cell>
          <cell r="O1655">
            <v>1.3385</v>
          </cell>
          <cell r="P1655">
            <v>0.87570000000000003</v>
          </cell>
          <cell r="Q1655">
            <v>76.424574626013481</v>
          </cell>
          <cell r="U1655">
            <v>1.8353000000000002</v>
          </cell>
          <cell r="V1655">
            <v>115.812</v>
          </cell>
          <cell r="W1655">
            <v>133.69999999999999</v>
          </cell>
        </row>
        <row r="1656">
          <cell r="B1656">
            <v>83.947000000000003</v>
          </cell>
          <cell r="D1656">
            <v>1.2641</v>
          </cell>
          <cell r="E1656">
            <v>1195.8499999999999</v>
          </cell>
          <cell r="F1656">
            <v>13.53989</v>
          </cell>
          <cell r="G1656">
            <v>84.6</v>
          </cell>
          <cell r="I1656">
            <v>3.052</v>
          </cell>
          <cell r="J1656">
            <v>6.774</v>
          </cell>
          <cell r="K1656">
            <v>2.63</v>
          </cell>
          <cell r="L1656">
            <v>4.9400000000000004</v>
          </cell>
          <cell r="M1656">
            <v>3.94</v>
          </cell>
          <cell r="O1656">
            <v>1.3385</v>
          </cell>
          <cell r="P1656">
            <v>0.87570000000000003</v>
          </cell>
          <cell r="Q1656">
            <v>76.424574626013481</v>
          </cell>
          <cell r="U1656">
            <v>1.8353000000000002</v>
          </cell>
          <cell r="V1656">
            <v>115.812</v>
          </cell>
          <cell r="W1656">
            <v>133.69999999999999</v>
          </cell>
        </row>
        <row r="1657">
          <cell r="B1657">
            <v>83.947000000000003</v>
          </cell>
          <cell r="D1657">
            <v>1.2641</v>
          </cell>
          <cell r="E1657">
            <v>1195.8499999999999</v>
          </cell>
          <cell r="F1657">
            <v>13.53989</v>
          </cell>
          <cell r="G1657">
            <v>84.6</v>
          </cell>
          <cell r="I1657">
            <v>3.052</v>
          </cell>
          <cell r="J1657">
            <v>6.774</v>
          </cell>
          <cell r="K1657">
            <v>2.63</v>
          </cell>
          <cell r="L1657">
            <v>4.9400000000000004</v>
          </cell>
          <cell r="M1657">
            <v>3.94</v>
          </cell>
          <cell r="O1657">
            <v>1.3385</v>
          </cell>
          <cell r="P1657">
            <v>0.87570000000000003</v>
          </cell>
          <cell r="Q1657">
            <v>76.424574626013481</v>
          </cell>
          <cell r="U1657">
            <v>1.8353000000000002</v>
          </cell>
          <cell r="V1657">
            <v>115.812</v>
          </cell>
          <cell r="W1657">
            <v>133.69999999999999</v>
          </cell>
        </row>
        <row r="1658">
          <cell r="B1658">
            <v>84.203000000000003</v>
          </cell>
          <cell r="D1658">
            <v>1.2589000000000001</v>
          </cell>
          <cell r="E1658">
            <v>1201.8599999999999</v>
          </cell>
          <cell r="F1658">
            <v>13.60643</v>
          </cell>
          <cell r="G1658">
            <v>83.82</v>
          </cell>
          <cell r="I1658">
            <v>3.0628000000000002</v>
          </cell>
          <cell r="J1658">
            <v>6.7710999999999997</v>
          </cell>
          <cell r="K1658">
            <v>2.63</v>
          </cell>
          <cell r="L1658">
            <v>4.95</v>
          </cell>
          <cell r="M1658">
            <v>3.96</v>
          </cell>
          <cell r="O1658">
            <v>1.3357000000000001</v>
          </cell>
          <cell r="P1658">
            <v>0.87370000000000003</v>
          </cell>
          <cell r="Q1658">
            <v>76.439281217809324</v>
          </cell>
          <cell r="U1658">
            <v>1.8452</v>
          </cell>
          <cell r="V1658">
            <v>116.95099999999999</v>
          </cell>
          <cell r="W1658">
            <v>135.97399999999999</v>
          </cell>
        </row>
        <row r="1659">
          <cell r="B1659">
            <v>83.643000000000001</v>
          </cell>
          <cell r="D1659">
            <v>1.2706999999999999</v>
          </cell>
          <cell r="E1659">
            <v>1212.3</v>
          </cell>
          <cell r="F1659">
            <v>13.599819999999999</v>
          </cell>
          <cell r="G1659">
            <v>83.62</v>
          </cell>
          <cell r="I1659">
            <v>3.1208</v>
          </cell>
          <cell r="J1659">
            <v>6.7729999999999997</v>
          </cell>
          <cell r="K1659">
            <v>2.63</v>
          </cell>
          <cell r="L1659">
            <v>4.9400000000000004</v>
          </cell>
          <cell r="M1659">
            <v>3.96</v>
          </cell>
          <cell r="O1659">
            <v>1.3395999999999999</v>
          </cell>
          <cell r="P1659">
            <v>0.88039999999999996</v>
          </cell>
          <cell r="Q1659">
            <v>76.079054975011346</v>
          </cell>
          <cell r="U1659">
            <v>1.8948</v>
          </cell>
          <cell r="V1659">
            <v>114.48</v>
          </cell>
          <cell r="W1659">
            <v>132.595</v>
          </cell>
        </row>
        <row r="1660">
          <cell r="B1660">
            <v>83.426000000000002</v>
          </cell>
          <cell r="D1660">
            <v>1.2756000000000001</v>
          </cell>
          <cell r="E1660">
            <v>1202.33</v>
          </cell>
          <cell r="F1660">
            <v>13.532920000000001</v>
          </cell>
          <cell r="G1660">
            <v>70.94</v>
          </cell>
          <cell r="I1660">
            <v>3.0426000000000002</v>
          </cell>
          <cell r="J1660">
            <v>6.7744999999999997</v>
          </cell>
          <cell r="K1660">
            <v>2.63</v>
          </cell>
          <cell r="L1660">
            <v>4.9400000000000004</v>
          </cell>
          <cell r="M1660">
            <v>3.98</v>
          </cell>
          <cell r="O1660">
            <v>1.3449</v>
          </cell>
          <cell r="P1660">
            <v>0.88329999999999997</v>
          </cell>
          <cell r="Q1660">
            <v>76.129287897656511</v>
          </cell>
          <cell r="U1660">
            <v>1.8054999999999999</v>
          </cell>
          <cell r="V1660">
            <v>110.27200000000001</v>
          </cell>
          <cell r="W1660">
            <v>133.13499999999999</v>
          </cell>
        </row>
        <row r="1661">
          <cell r="B1661">
            <v>82.376999999999995</v>
          </cell>
          <cell r="D1661">
            <v>1.2878000000000001</v>
          </cell>
          <cell r="E1661">
            <v>1202.6500000000001</v>
          </cell>
          <cell r="F1661">
            <v>13.739039999999999</v>
          </cell>
          <cell r="G1661">
            <v>66.430000000000007</v>
          </cell>
          <cell r="I1661">
            <v>2.9937</v>
          </cell>
          <cell r="J1661">
            <v>6.7785000000000002</v>
          </cell>
          <cell r="K1661">
            <v>2.63</v>
          </cell>
          <cell r="L1661">
            <v>4.91</v>
          </cell>
          <cell r="M1661">
            <v>3.94</v>
          </cell>
          <cell r="O1661">
            <v>1.3435000000000001</v>
          </cell>
          <cell r="P1661">
            <v>0.87790000000000001</v>
          </cell>
          <cell r="Q1661">
            <v>76.517826631734835</v>
          </cell>
          <cell r="U1661">
            <v>1.7559</v>
          </cell>
          <cell r="V1661">
            <v>111.807</v>
          </cell>
          <cell r="W1661">
            <v>133.63</v>
          </cell>
        </row>
        <row r="1662">
          <cell r="B1662">
            <v>82.426000000000002</v>
          </cell>
          <cell r="D1662">
            <v>1.2921</v>
          </cell>
          <cell r="E1662">
            <v>1200.6300000000001</v>
          </cell>
          <cell r="F1662">
            <v>13.762129999999999</v>
          </cell>
          <cell r="G1662">
            <v>68.2</v>
          </cell>
          <cell r="I1662">
            <v>2.988</v>
          </cell>
          <cell r="J1662">
            <v>6.7733999999999996</v>
          </cell>
          <cell r="K1662">
            <v>2.63</v>
          </cell>
          <cell r="L1662">
            <v>4.91</v>
          </cell>
          <cell r="M1662">
            <v>3.94</v>
          </cell>
          <cell r="O1662">
            <v>1.3471</v>
          </cell>
          <cell r="P1662">
            <v>0.87829999999999997</v>
          </cell>
          <cell r="Q1662">
            <v>76.68791984515542</v>
          </cell>
          <cell r="U1662">
            <v>1.7490999999999999</v>
          </cell>
          <cell r="V1662">
            <v>111.807</v>
          </cell>
          <cell r="W1662">
            <v>133.63</v>
          </cell>
        </row>
        <row r="1663">
          <cell r="G1663" t="str">
            <v/>
          </cell>
          <cell r="Q1663" t="str">
            <v/>
          </cell>
        </row>
        <row r="1664">
          <cell r="G1664" t="str">
            <v/>
          </cell>
          <cell r="Q1664" t="str">
            <v/>
          </cell>
        </row>
        <row r="1665">
          <cell r="G1665" t="str">
            <v/>
          </cell>
          <cell r="Q1665" t="str">
            <v/>
          </cell>
        </row>
        <row r="1666">
          <cell r="G1666" t="str">
            <v/>
          </cell>
          <cell r="Q1666" t="str">
            <v/>
          </cell>
        </row>
        <row r="1667">
          <cell r="G1667" t="str">
            <v/>
          </cell>
          <cell r="Q1667" t="str">
            <v/>
          </cell>
        </row>
        <row r="1668">
          <cell r="G1668" t="str">
            <v/>
          </cell>
          <cell r="Q1668" t="str">
            <v/>
          </cell>
        </row>
        <row r="1669">
          <cell r="G1669" t="str">
            <v/>
          </cell>
          <cell r="Q1669" t="str">
            <v/>
          </cell>
        </row>
        <row r="1670">
          <cell r="G1670" t="str">
            <v/>
          </cell>
          <cell r="Q1670" t="str">
            <v/>
          </cell>
        </row>
        <row r="1671">
          <cell r="G1671" t="str">
            <v/>
          </cell>
          <cell r="Q1671" t="str">
            <v/>
          </cell>
        </row>
        <row r="1672">
          <cell r="G1672" t="str">
            <v/>
          </cell>
          <cell r="Q1672" t="str">
            <v/>
          </cell>
        </row>
        <row r="1673">
          <cell r="G1673" t="str">
            <v/>
          </cell>
          <cell r="Q1673" t="str">
            <v/>
          </cell>
        </row>
        <row r="1674">
          <cell r="G1674" t="str">
            <v/>
          </cell>
          <cell r="Q1674" t="str">
            <v/>
          </cell>
        </row>
        <row r="1675">
          <cell r="G1675" t="str">
            <v/>
          </cell>
          <cell r="Q1675" t="str">
            <v/>
          </cell>
        </row>
        <row r="1676">
          <cell r="G1676" t="str">
            <v/>
          </cell>
          <cell r="Q1676" t="str">
            <v/>
          </cell>
        </row>
        <row r="1677">
          <cell r="G1677" t="str">
            <v/>
          </cell>
          <cell r="Q1677" t="str">
            <v/>
          </cell>
        </row>
        <row r="1678">
          <cell r="G1678" t="str">
            <v/>
          </cell>
          <cell r="Q1678" t="str">
            <v/>
          </cell>
        </row>
        <row r="1679">
          <cell r="G1679" t="str">
            <v/>
          </cell>
          <cell r="Q1679" t="str">
            <v/>
          </cell>
        </row>
        <row r="1680">
          <cell r="G1680" t="str">
            <v/>
          </cell>
          <cell r="Q1680" t="str">
            <v/>
          </cell>
        </row>
        <row r="1681">
          <cell r="G1681" t="str">
            <v/>
          </cell>
          <cell r="Q1681" t="str">
            <v/>
          </cell>
        </row>
        <row r="1682">
          <cell r="G1682" t="str">
            <v/>
          </cell>
          <cell r="Q1682" t="str">
            <v/>
          </cell>
        </row>
        <row r="1683">
          <cell r="G1683" t="str">
            <v/>
          </cell>
          <cell r="Q1683" t="str">
            <v/>
          </cell>
        </row>
        <row r="1684">
          <cell r="G1684" t="str">
            <v/>
          </cell>
          <cell r="Q1684" t="str">
            <v/>
          </cell>
        </row>
        <row r="1685">
          <cell r="G1685" t="str">
            <v/>
          </cell>
          <cell r="Q1685" t="str">
            <v/>
          </cell>
        </row>
        <row r="1686">
          <cell r="G1686" t="str">
            <v/>
          </cell>
          <cell r="Q1686" t="str">
            <v/>
          </cell>
        </row>
        <row r="1687">
          <cell r="G1687" t="str">
            <v/>
          </cell>
          <cell r="Q1687" t="str">
            <v/>
          </cell>
        </row>
        <row r="1688">
          <cell r="G1688" t="str">
            <v/>
          </cell>
          <cell r="Q1688" t="str">
            <v/>
          </cell>
        </row>
        <row r="1689">
          <cell r="G1689" t="str">
            <v/>
          </cell>
          <cell r="Q1689" t="str">
            <v/>
          </cell>
        </row>
        <row r="1690">
          <cell r="G1690" t="str">
            <v/>
          </cell>
          <cell r="Q1690" t="str">
            <v/>
          </cell>
        </row>
        <row r="1691">
          <cell r="G1691" t="str">
            <v/>
          </cell>
          <cell r="Q1691" t="str">
            <v/>
          </cell>
        </row>
        <row r="1692">
          <cell r="G1692" t="str">
            <v/>
          </cell>
          <cell r="Q1692" t="str">
            <v/>
          </cell>
        </row>
        <row r="1693">
          <cell r="G1693" t="str">
            <v/>
          </cell>
          <cell r="Q1693" t="str">
            <v/>
          </cell>
        </row>
        <row r="1694">
          <cell r="G1694" t="str">
            <v/>
          </cell>
          <cell r="Q1694" t="str">
            <v/>
          </cell>
        </row>
        <row r="1695">
          <cell r="G1695" t="str">
            <v/>
          </cell>
          <cell r="Q1695" t="str">
            <v/>
          </cell>
        </row>
        <row r="1696">
          <cell r="G1696" t="str">
            <v/>
          </cell>
          <cell r="Q1696" t="str">
            <v/>
          </cell>
        </row>
        <row r="1697">
          <cell r="G1697" t="str">
            <v/>
          </cell>
          <cell r="Q1697" t="str">
            <v/>
          </cell>
        </row>
        <row r="1698">
          <cell r="G1698" t="str">
            <v/>
          </cell>
          <cell r="Q1698" t="str">
            <v/>
          </cell>
        </row>
        <row r="1699">
          <cell r="G1699" t="str">
            <v/>
          </cell>
          <cell r="Q1699" t="str">
            <v/>
          </cell>
        </row>
        <row r="1700">
          <cell r="G1700" t="str">
            <v/>
          </cell>
          <cell r="Q1700" t="str">
            <v/>
          </cell>
        </row>
        <row r="1701">
          <cell r="G1701" t="str">
            <v/>
          </cell>
          <cell r="Q1701" t="str">
            <v/>
          </cell>
        </row>
        <row r="1702">
          <cell r="G1702" t="str">
            <v/>
          </cell>
          <cell r="Q1702" t="str">
            <v/>
          </cell>
        </row>
        <row r="1703">
          <cell r="G1703" t="str">
            <v/>
          </cell>
          <cell r="Q1703" t="str">
            <v/>
          </cell>
        </row>
        <row r="1704">
          <cell r="G1704" t="str">
            <v/>
          </cell>
          <cell r="Q1704" t="str">
            <v/>
          </cell>
        </row>
        <row r="1705">
          <cell r="G1705" t="str">
            <v/>
          </cell>
          <cell r="Q1705" t="str">
            <v/>
          </cell>
        </row>
        <row r="1706">
          <cell r="G1706" t="str">
            <v/>
          </cell>
          <cell r="Q1706" t="str">
            <v/>
          </cell>
        </row>
        <row r="1707">
          <cell r="G1707" t="str">
            <v/>
          </cell>
          <cell r="Q1707" t="str">
            <v/>
          </cell>
        </row>
        <row r="1708">
          <cell r="G1708" t="str">
            <v/>
          </cell>
          <cell r="Q1708" t="str">
            <v/>
          </cell>
        </row>
        <row r="1709">
          <cell r="G1709" t="str">
            <v/>
          </cell>
          <cell r="Q1709" t="str">
            <v/>
          </cell>
        </row>
        <row r="1710">
          <cell r="G1710" t="str">
            <v/>
          </cell>
          <cell r="Q1710" t="str">
            <v/>
          </cell>
        </row>
        <row r="1711">
          <cell r="G1711" t="str">
            <v/>
          </cell>
          <cell r="Q1711" t="str">
            <v/>
          </cell>
        </row>
        <row r="1712">
          <cell r="G1712" t="str">
            <v/>
          </cell>
          <cell r="Q1712" t="str">
            <v/>
          </cell>
        </row>
        <row r="1713">
          <cell r="G1713" t="str">
            <v/>
          </cell>
          <cell r="Q1713" t="str">
            <v/>
          </cell>
        </row>
        <row r="1714">
          <cell r="G1714" t="str">
            <v/>
          </cell>
          <cell r="Q1714" t="str">
            <v/>
          </cell>
        </row>
        <row r="1715">
          <cell r="G1715" t="str">
            <v/>
          </cell>
          <cell r="Q1715" t="str">
            <v/>
          </cell>
        </row>
        <row r="1716">
          <cell r="G1716" t="str">
            <v/>
          </cell>
          <cell r="Q1716" t="str">
            <v/>
          </cell>
        </row>
        <row r="1717">
          <cell r="G1717" t="str">
            <v/>
          </cell>
          <cell r="Q1717" t="str">
            <v/>
          </cell>
        </row>
        <row r="1718">
          <cell r="G1718" t="str">
            <v/>
          </cell>
          <cell r="Q1718" t="str">
            <v/>
          </cell>
        </row>
        <row r="1719">
          <cell r="G1719" t="str">
            <v/>
          </cell>
          <cell r="Q1719" t="str">
            <v/>
          </cell>
        </row>
        <row r="1720">
          <cell r="G1720" t="str">
            <v/>
          </cell>
          <cell r="Q1720" t="str">
            <v/>
          </cell>
        </row>
        <row r="1721">
          <cell r="G1721" t="str">
            <v/>
          </cell>
          <cell r="Q1721" t="str">
            <v/>
          </cell>
        </row>
        <row r="1722">
          <cell r="G1722" t="str">
            <v/>
          </cell>
          <cell r="Q1722" t="str">
            <v/>
          </cell>
        </row>
        <row r="1723">
          <cell r="G1723" t="str">
            <v/>
          </cell>
          <cell r="Q1723" t="str">
            <v/>
          </cell>
        </row>
        <row r="1724">
          <cell r="G1724" t="str">
            <v/>
          </cell>
          <cell r="Q1724" t="str">
            <v/>
          </cell>
        </row>
        <row r="1725">
          <cell r="G1725" t="str">
            <v/>
          </cell>
          <cell r="Q1725" t="str">
            <v/>
          </cell>
        </row>
        <row r="1726">
          <cell r="G1726" t="str">
            <v/>
          </cell>
          <cell r="Q1726" t="str">
            <v/>
          </cell>
        </row>
        <row r="1727">
          <cell r="G1727" t="str">
            <v/>
          </cell>
          <cell r="Q1727" t="str">
            <v/>
          </cell>
        </row>
        <row r="1728">
          <cell r="G1728" t="str">
            <v/>
          </cell>
          <cell r="Q1728" t="str">
            <v/>
          </cell>
        </row>
        <row r="1729">
          <cell r="G1729" t="str">
            <v/>
          </cell>
          <cell r="Q1729" t="str">
            <v/>
          </cell>
        </row>
        <row r="1730">
          <cell r="G1730" t="str">
            <v/>
          </cell>
          <cell r="Q1730" t="str">
            <v/>
          </cell>
        </row>
        <row r="1731">
          <cell r="G1731" t="str">
            <v/>
          </cell>
          <cell r="Q1731" t="str">
            <v/>
          </cell>
        </row>
        <row r="1732">
          <cell r="G1732" t="str">
            <v/>
          </cell>
        </row>
        <row r="1733">
          <cell r="G1733" t="str">
            <v/>
          </cell>
        </row>
        <row r="1734">
          <cell r="G1734" t="str">
            <v/>
          </cell>
        </row>
        <row r="1735">
          <cell r="G1735" t="str">
            <v/>
          </cell>
        </row>
        <row r="1736">
          <cell r="G1736" t="str">
            <v/>
          </cell>
        </row>
        <row r="1737">
          <cell r="G1737" t="str">
            <v/>
          </cell>
        </row>
        <row r="1738">
          <cell r="G1738" t="str">
            <v/>
          </cell>
        </row>
        <row r="1739">
          <cell r="G1739" t="str">
            <v/>
          </cell>
        </row>
        <row r="1740">
          <cell r="G1740" t="str">
            <v/>
          </cell>
        </row>
        <row r="1741">
          <cell r="G1741" t="str">
            <v/>
          </cell>
        </row>
        <row r="1742">
          <cell r="G1742" t="str">
            <v/>
          </cell>
        </row>
        <row r="1743">
          <cell r="G1743" t="str">
            <v/>
          </cell>
        </row>
        <row r="1744">
          <cell r="G1744" t="str">
            <v/>
          </cell>
        </row>
        <row r="1745">
          <cell r="G1745" t="str">
            <v/>
          </cell>
        </row>
        <row r="1746">
          <cell r="G1746" t="str">
            <v/>
          </cell>
        </row>
        <row r="1747">
          <cell r="G1747" t="str">
            <v/>
          </cell>
        </row>
        <row r="1748">
          <cell r="G1748" t="str">
            <v/>
          </cell>
        </row>
        <row r="1749">
          <cell r="G1749" t="str">
            <v/>
          </cell>
        </row>
        <row r="1750">
          <cell r="G1750" t="str">
            <v/>
          </cell>
        </row>
        <row r="1751">
          <cell r="G1751" t="str">
            <v/>
          </cell>
        </row>
        <row r="1752">
          <cell r="G1752" t="str">
            <v/>
          </cell>
        </row>
        <row r="1753">
          <cell r="G1753" t="str">
            <v/>
          </cell>
        </row>
        <row r="1754">
          <cell r="G1754" t="str">
            <v/>
          </cell>
        </row>
        <row r="1755">
          <cell r="G1755" t="str">
            <v/>
          </cell>
        </row>
        <row r="1756">
          <cell r="G1756" t="str">
            <v/>
          </cell>
        </row>
        <row r="1757">
          <cell r="G1757" t="str">
            <v/>
          </cell>
        </row>
        <row r="1758">
          <cell r="G1758" t="str">
            <v/>
          </cell>
        </row>
        <row r="1759">
          <cell r="G1759" t="str">
            <v/>
          </cell>
        </row>
        <row r="1760">
          <cell r="G1760" t="str">
            <v/>
          </cell>
        </row>
        <row r="1761">
          <cell r="G1761" t="str">
            <v/>
          </cell>
        </row>
        <row r="1762">
          <cell r="G1762" t="str">
            <v/>
          </cell>
        </row>
        <row r="1763">
          <cell r="G1763" t="str">
            <v/>
          </cell>
        </row>
        <row r="1764">
          <cell r="G1764" t="str">
            <v/>
          </cell>
        </row>
        <row r="1765">
          <cell r="G1765" t="str">
            <v/>
          </cell>
        </row>
        <row r="1766">
          <cell r="G1766" t="str">
            <v/>
          </cell>
        </row>
        <row r="1767">
          <cell r="G1767" t="str">
            <v/>
          </cell>
        </row>
        <row r="1768">
          <cell r="G1768" t="str">
            <v/>
          </cell>
        </row>
        <row r="1769">
          <cell r="G1769" t="str">
            <v/>
          </cell>
        </row>
        <row r="1770">
          <cell r="G1770" t="str">
            <v/>
          </cell>
        </row>
        <row r="1771">
          <cell r="G1771" t="str">
            <v/>
          </cell>
        </row>
        <row r="1772">
          <cell r="G1772" t="str">
            <v/>
          </cell>
        </row>
        <row r="1773">
          <cell r="G1773" t="str">
            <v/>
          </cell>
        </row>
        <row r="1774">
          <cell r="G1774" t="str">
            <v/>
          </cell>
        </row>
        <row r="1775">
          <cell r="G1775" t="str">
            <v/>
          </cell>
        </row>
        <row r="1776">
          <cell r="G1776" t="str">
            <v/>
          </cell>
        </row>
        <row r="1777">
          <cell r="G1777" t="str">
            <v/>
          </cell>
        </row>
        <row r="1778">
          <cell r="G1778" t="str">
            <v/>
          </cell>
        </row>
        <row r="1779">
          <cell r="G1779" t="str">
            <v/>
          </cell>
        </row>
        <row r="1780">
          <cell r="G1780" t="str">
            <v/>
          </cell>
        </row>
        <row r="1781">
          <cell r="G1781" t="str">
            <v/>
          </cell>
        </row>
        <row r="1782">
          <cell r="G1782" t="str">
            <v/>
          </cell>
        </row>
        <row r="1783">
          <cell r="G1783" t="str">
            <v/>
          </cell>
        </row>
        <row r="1784">
          <cell r="G1784" t="str">
            <v/>
          </cell>
        </row>
        <row r="1785">
          <cell r="G1785" t="str">
            <v/>
          </cell>
        </row>
        <row r="1786">
          <cell r="G1786" t="str">
            <v/>
          </cell>
        </row>
        <row r="1787">
          <cell r="G1787" t="str">
            <v/>
          </cell>
        </row>
        <row r="1788">
          <cell r="G1788" t="str">
            <v/>
          </cell>
        </row>
        <row r="1789">
          <cell r="G1789" t="str">
            <v/>
          </cell>
        </row>
        <row r="1790">
          <cell r="G1790" t="str">
            <v/>
          </cell>
        </row>
        <row r="1791">
          <cell r="G1791" t="str">
            <v/>
          </cell>
        </row>
        <row r="1792">
          <cell r="G1792" t="str">
            <v/>
          </cell>
        </row>
        <row r="1793">
          <cell r="G1793" t="str">
            <v/>
          </cell>
        </row>
        <row r="1794">
          <cell r="G1794" t="str">
            <v/>
          </cell>
        </row>
        <row r="1795">
          <cell r="G1795" t="str">
            <v/>
          </cell>
        </row>
        <row r="1796">
          <cell r="G1796" t="str">
            <v/>
          </cell>
        </row>
        <row r="1797">
          <cell r="G1797" t="str">
            <v/>
          </cell>
        </row>
        <row r="1798">
          <cell r="G1798" t="str">
            <v/>
          </cell>
        </row>
        <row r="1799">
          <cell r="G1799" t="str">
            <v/>
          </cell>
        </row>
        <row r="1800">
          <cell r="G1800" t="str">
            <v/>
          </cell>
        </row>
        <row r="1801">
          <cell r="G1801" t="str">
            <v/>
          </cell>
        </row>
        <row r="1802">
          <cell r="G1802" t="str">
            <v/>
          </cell>
        </row>
        <row r="1803">
          <cell r="G1803" t="str">
            <v/>
          </cell>
        </row>
        <row r="1804">
          <cell r="G1804" t="str">
            <v/>
          </cell>
        </row>
        <row r="1805">
          <cell r="G1805" t="str">
            <v/>
          </cell>
        </row>
        <row r="1806">
          <cell r="G1806" t="str">
            <v/>
          </cell>
        </row>
        <row r="1807">
          <cell r="G1807" t="str">
            <v/>
          </cell>
        </row>
        <row r="1808">
          <cell r="G1808" t="str">
            <v/>
          </cell>
        </row>
        <row r="1809">
          <cell r="G1809" t="str">
            <v/>
          </cell>
        </row>
        <row r="1810">
          <cell r="G1810" t="str">
            <v/>
          </cell>
        </row>
        <row r="1811">
          <cell r="G1811" t="str">
            <v/>
          </cell>
        </row>
        <row r="1812">
          <cell r="G1812" t="str">
            <v/>
          </cell>
        </row>
        <row r="1813">
          <cell r="G1813" t="str">
            <v/>
          </cell>
        </row>
        <row r="1814">
          <cell r="G1814" t="str">
            <v/>
          </cell>
        </row>
        <row r="1815">
          <cell r="G1815" t="str">
            <v/>
          </cell>
        </row>
        <row r="1816">
          <cell r="G1816" t="str">
            <v/>
          </cell>
        </row>
        <row r="1817">
          <cell r="G1817" t="str">
            <v/>
          </cell>
        </row>
        <row r="1818">
          <cell r="G1818" t="str">
            <v/>
          </cell>
        </row>
        <row r="1819">
          <cell r="G1819" t="str">
            <v/>
          </cell>
        </row>
        <row r="1820">
          <cell r="G1820" t="str">
            <v/>
          </cell>
        </row>
        <row r="1821">
          <cell r="G1821" t="str">
            <v/>
          </cell>
        </row>
        <row r="1822">
          <cell r="G1822" t="str">
            <v/>
          </cell>
        </row>
        <row r="1823">
          <cell r="G1823" t="str">
            <v/>
          </cell>
        </row>
        <row r="1824">
          <cell r="G1824" t="str">
            <v/>
          </cell>
        </row>
        <row r="1825">
          <cell r="G1825" t="str">
            <v/>
          </cell>
        </row>
        <row r="1826">
          <cell r="G1826" t="str">
            <v/>
          </cell>
        </row>
        <row r="1827">
          <cell r="G1827" t="str">
            <v/>
          </cell>
        </row>
        <row r="1828">
          <cell r="G1828" t="str">
            <v/>
          </cell>
        </row>
        <row r="1829">
          <cell r="G1829" t="str">
            <v/>
          </cell>
        </row>
        <row r="1830">
          <cell r="G1830" t="str">
            <v/>
          </cell>
        </row>
        <row r="1831">
          <cell r="G1831" t="str">
            <v/>
          </cell>
        </row>
        <row r="1832">
          <cell r="G1832" t="str">
            <v/>
          </cell>
        </row>
        <row r="1833">
          <cell r="G1833" t="str">
            <v/>
          </cell>
        </row>
        <row r="1834">
          <cell r="G1834" t="str">
            <v/>
          </cell>
        </row>
        <row r="1835">
          <cell r="G1835" t="str">
            <v/>
          </cell>
        </row>
        <row r="1836">
          <cell r="G1836" t="str">
            <v/>
          </cell>
        </row>
        <row r="1837">
          <cell r="G1837" t="str">
            <v/>
          </cell>
        </row>
        <row r="1838">
          <cell r="G1838" t="str">
            <v/>
          </cell>
        </row>
        <row r="1839">
          <cell r="G1839" t="str">
            <v/>
          </cell>
        </row>
        <row r="1840">
          <cell r="G1840" t="str">
            <v/>
          </cell>
        </row>
        <row r="1841">
          <cell r="G1841" t="str">
            <v/>
          </cell>
        </row>
        <row r="1842">
          <cell r="G1842" t="str">
            <v/>
          </cell>
        </row>
        <row r="1843">
          <cell r="G1843" t="str">
            <v/>
          </cell>
        </row>
        <row r="1844">
          <cell r="G1844" t="str">
            <v/>
          </cell>
        </row>
        <row r="1845">
          <cell r="G1845" t="str">
            <v/>
          </cell>
        </row>
        <row r="1846">
          <cell r="G1846" t="str">
            <v/>
          </cell>
        </row>
        <row r="1847">
          <cell r="G1847" t="str">
            <v/>
          </cell>
        </row>
        <row r="1848">
          <cell r="G1848" t="str">
            <v/>
          </cell>
        </row>
        <row r="1849">
          <cell r="G1849" t="str">
            <v/>
          </cell>
        </row>
        <row r="1850">
          <cell r="G1850" t="str">
            <v/>
          </cell>
        </row>
        <row r="1851">
          <cell r="G1851" t="str">
            <v/>
          </cell>
        </row>
        <row r="1852">
          <cell r="G1852" t="str">
            <v/>
          </cell>
        </row>
        <row r="1853">
          <cell r="G1853" t="str">
            <v/>
          </cell>
        </row>
        <row r="1854">
          <cell r="G1854" t="str">
            <v/>
          </cell>
        </row>
        <row r="1855">
          <cell r="G1855" t="str">
            <v/>
          </cell>
        </row>
        <row r="1856">
          <cell r="G1856" t="str">
            <v/>
          </cell>
        </row>
        <row r="1857">
          <cell r="G1857" t="str">
            <v/>
          </cell>
        </row>
        <row r="1858">
          <cell r="G1858" t="str">
            <v/>
          </cell>
        </row>
        <row r="1859">
          <cell r="G1859" t="str">
            <v/>
          </cell>
        </row>
        <row r="1860">
          <cell r="G1860" t="str">
            <v/>
          </cell>
        </row>
        <row r="1861">
          <cell r="G1861" t="str">
            <v/>
          </cell>
        </row>
        <row r="1862">
          <cell r="G1862" t="str">
            <v/>
          </cell>
        </row>
        <row r="1863">
          <cell r="G1863" t="str">
            <v/>
          </cell>
        </row>
        <row r="1864">
          <cell r="G1864" t="str">
            <v/>
          </cell>
        </row>
        <row r="1865">
          <cell r="G1865" t="str">
            <v/>
          </cell>
        </row>
        <row r="1866">
          <cell r="G1866" t="str">
            <v/>
          </cell>
        </row>
        <row r="1867">
          <cell r="G1867" t="str">
            <v/>
          </cell>
        </row>
        <row r="1868">
          <cell r="G1868" t="str">
            <v/>
          </cell>
        </row>
        <row r="1869">
          <cell r="G1869" t="str">
            <v/>
          </cell>
        </row>
        <row r="1870">
          <cell r="G1870" t="str">
            <v/>
          </cell>
        </row>
        <row r="1871">
          <cell r="G1871" t="str">
            <v/>
          </cell>
        </row>
        <row r="1872">
          <cell r="G1872" t="str">
            <v/>
          </cell>
        </row>
        <row r="1873">
          <cell r="G1873" t="str">
            <v/>
          </cell>
        </row>
        <row r="1874">
          <cell r="G1874" t="str">
            <v/>
          </cell>
        </row>
        <row r="1875">
          <cell r="G1875" t="str">
            <v/>
          </cell>
        </row>
        <row r="1876">
          <cell r="G1876" t="str">
            <v/>
          </cell>
        </row>
        <row r="1877">
          <cell r="G1877" t="str">
            <v/>
          </cell>
        </row>
        <row r="1878">
          <cell r="G1878" t="str">
            <v/>
          </cell>
        </row>
        <row r="1879">
          <cell r="G1879" t="str">
            <v/>
          </cell>
        </row>
        <row r="1880">
          <cell r="G1880" t="str">
            <v/>
          </cell>
        </row>
        <row r="1881">
          <cell r="G1881" t="str">
            <v/>
          </cell>
        </row>
        <row r="1882">
          <cell r="G1882" t="str">
            <v/>
          </cell>
        </row>
        <row r="1883">
          <cell r="G1883" t="str">
            <v/>
          </cell>
        </row>
        <row r="1884">
          <cell r="G1884" t="str">
            <v/>
          </cell>
        </row>
        <row r="1885">
          <cell r="G1885" t="str">
            <v/>
          </cell>
        </row>
        <row r="1886">
          <cell r="G1886" t="str">
            <v/>
          </cell>
        </row>
        <row r="1887">
          <cell r="G1887" t="str">
            <v/>
          </cell>
        </row>
        <row r="1888">
          <cell r="G1888" t="str">
            <v/>
          </cell>
        </row>
        <row r="1889">
          <cell r="G1889" t="str">
            <v/>
          </cell>
        </row>
        <row r="1890">
          <cell r="G1890" t="str">
            <v/>
          </cell>
        </row>
        <row r="1891">
          <cell r="G1891" t="str">
            <v/>
          </cell>
        </row>
        <row r="1892">
          <cell r="G1892" t="str">
            <v/>
          </cell>
        </row>
        <row r="1893">
          <cell r="G1893" t="str">
            <v/>
          </cell>
        </row>
        <row r="1894">
          <cell r="G1894" t="str">
            <v/>
          </cell>
        </row>
        <row r="1895">
          <cell r="G1895" t="str">
            <v/>
          </cell>
        </row>
        <row r="1896">
          <cell r="G1896" t="str">
            <v/>
          </cell>
        </row>
        <row r="1897">
          <cell r="G1897" t="str">
            <v/>
          </cell>
        </row>
        <row r="1898">
          <cell r="G1898" t="str">
            <v/>
          </cell>
        </row>
        <row r="1899">
          <cell r="G1899" t="str">
            <v/>
          </cell>
        </row>
        <row r="1900">
          <cell r="G1900" t="str">
            <v/>
          </cell>
        </row>
        <row r="1901">
          <cell r="G1901" t="str">
            <v/>
          </cell>
        </row>
        <row r="1902">
          <cell r="G1902" t="str">
            <v/>
          </cell>
        </row>
        <row r="1903">
          <cell r="G1903" t="str">
            <v/>
          </cell>
        </row>
        <row r="1904">
          <cell r="G1904" t="str">
            <v/>
          </cell>
        </row>
        <row r="1905">
          <cell r="G1905" t="str">
            <v/>
          </cell>
        </row>
        <row r="1906">
          <cell r="G1906" t="str">
            <v/>
          </cell>
        </row>
        <row r="1907">
          <cell r="G1907" t="str">
            <v/>
          </cell>
        </row>
        <row r="1908">
          <cell r="G1908" t="str">
            <v/>
          </cell>
        </row>
        <row r="1909">
          <cell r="G1909" t="str">
            <v/>
          </cell>
        </row>
        <row r="1910">
          <cell r="G1910" t="str">
            <v/>
          </cell>
        </row>
        <row r="1911">
          <cell r="G1911" t="str">
            <v/>
          </cell>
        </row>
        <row r="1912">
          <cell r="G1912" t="str">
            <v/>
          </cell>
        </row>
        <row r="1913">
          <cell r="G1913" t="str">
            <v/>
          </cell>
        </row>
        <row r="1914">
          <cell r="G1914" t="str">
            <v/>
          </cell>
        </row>
        <row r="1915">
          <cell r="G1915" t="str">
            <v/>
          </cell>
        </row>
        <row r="1916">
          <cell r="G1916" t="str">
            <v/>
          </cell>
        </row>
        <row r="1917">
          <cell r="G1917" t="str">
            <v/>
          </cell>
        </row>
        <row r="1918">
          <cell r="G1918" t="str">
            <v/>
          </cell>
        </row>
        <row r="1919">
          <cell r="G1919" t="str">
            <v/>
          </cell>
        </row>
        <row r="1920">
          <cell r="G1920" t="str">
            <v/>
          </cell>
        </row>
        <row r="1921">
          <cell r="G1921" t="str">
            <v/>
          </cell>
        </row>
        <row r="1922">
          <cell r="G1922" t="str">
            <v/>
          </cell>
        </row>
        <row r="1923">
          <cell r="G1923" t="str">
            <v/>
          </cell>
        </row>
        <row r="1924">
          <cell r="G1924" t="str">
            <v/>
          </cell>
        </row>
        <row r="1925">
          <cell r="G1925" t="str">
            <v/>
          </cell>
        </row>
        <row r="1926">
          <cell r="G1926" t="str">
            <v/>
          </cell>
        </row>
        <row r="1927">
          <cell r="G1927" t="str">
            <v/>
          </cell>
        </row>
        <row r="1928">
          <cell r="G1928" t="str">
            <v/>
          </cell>
        </row>
        <row r="1929">
          <cell r="G1929" t="str">
            <v/>
          </cell>
        </row>
        <row r="1930">
          <cell r="G1930" t="str">
            <v/>
          </cell>
        </row>
        <row r="1931">
          <cell r="G1931" t="str">
            <v/>
          </cell>
        </row>
        <row r="1932">
          <cell r="G1932" t="str">
            <v/>
          </cell>
        </row>
        <row r="1933">
          <cell r="G1933" t="str">
            <v/>
          </cell>
        </row>
        <row r="1934">
          <cell r="G1934" t="str">
            <v/>
          </cell>
        </row>
        <row r="1935">
          <cell r="G1935" t="str">
            <v/>
          </cell>
        </row>
        <row r="1936">
          <cell r="G1936" t="str">
            <v/>
          </cell>
        </row>
        <row r="1937">
          <cell r="G1937" t="str">
            <v/>
          </cell>
        </row>
        <row r="1938">
          <cell r="G1938" t="str">
            <v/>
          </cell>
        </row>
        <row r="1939">
          <cell r="G1939" t="str">
            <v/>
          </cell>
        </row>
        <row r="1940">
          <cell r="G1940" t="str">
            <v/>
          </cell>
        </row>
        <row r="1941">
          <cell r="G1941" t="str">
            <v/>
          </cell>
        </row>
        <row r="1942">
          <cell r="G1942" t="str">
            <v/>
          </cell>
        </row>
        <row r="1943">
          <cell r="G1943" t="str">
            <v/>
          </cell>
        </row>
        <row r="1944">
          <cell r="G1944" t="str">
            <v/>
          </cell>
        </row>
        <row r="1945">
          <cell r="G1945" t="str">
            <v/>
          </cell>
        </row>
        <row r="1946">
          <cell r="G1946" t="str">
            <v/>
          </cell>
        </row>
        <row r="1947">
          <cell r="G1947" t="str">
            <v/>
          </cell>
        </row>
        <row r="1948">
          <cell r="G1948" t="str">
            <v/>
          </cell>
        </row>
        <row r="1949">
          <cell r="G1949" t="str">
            <v/>
          </cell>
        </row>
        <row r="1950">
          <cell r="G1950" t="str">
            <v/>
          </cell>
        </row>
        <row r="1951">
          <cell r="G1951" t="str">
            <v/>
          </cell>
        </row>
        <row r="1952">
          <cell r="G1952" t="str">
            <v/>
          </cell>
        </row>
        <row r="1953">
          <cell r="G1953" t="str">
            <v/>
          </cell>
        </row>
        <row r="1954">
          <cell r="G1954" t="str">
            <v/>
          </cell>
        </row>
        <row r="1955">
          <cell r="G1955" t="str">
            <v/>
          </cell>
        </row>
        <row r="1956">
          <cell r="G1956" t="str">
            <v/>
          </cell>
        </row>
        <row r="1957">
          <cell r="G1957" t="str">
            <v/>
          </cell>
        </row>
        <row r="1958">
          <cell r="G1958" t="str">
            <v/>
          </cell>
        </row>
        <row r="1959">
          <cell r="G1959" t="str">
            <v/>
          </cell>
        </row>
        <row r="1960">
          <cell r="G1960" t="str">
            <v/>
          </cell>
        </row>
        <row r="1961">
          <cell r="G1961" t="str">
            <v/>
          </cell>
        </row>
        <row r="1962">
          <cell r="G1962" t="str">
            <v/>
          </cell>
        </row>
        <row r="1963">
          <cell r="G1963" t="str">
            <v/>
          </cell>
        </row>
        <row r="1964">
          <cell r="G1964" t="str">
            <v/>
          </cell>
        </row>
        <row r="1965">
          <cell r="G1965" t="str">
            <v/>
          </cell>
        </row>
        <row r="1966">
          <cell r="G1966" t="str">
            <v/>
          </cell>
        </row>
        <row r="1967">
          <cell r="G1967" t="str">
            <v/>
          </cell>
        </row>
        <row r="1968">
          <cell r="G1968" t="str">
            <v/>
          </cell>
        </row>
        <row r="1969">
          <cell r="G1969" t="str">
            <v/>
          </cell>
        </row>
        <row r="1970">
          <cell r="G1970" t="str">
            <v/>
          </cell>
        </row>
        <row r="1971">
          <cell r="G1971" t="str">
            <v/>
          </cell>
        </row>
        <row r="1972">
          <cell r="G1972" t="str">
            <v/>
          </cell>
        </row>
        <row r="1973">
          <cell r="G1973" t="str">
            <v/>
          </cell>
        </row>
        <row r="1974">
          <cell r="G1974" t="str">
            <v/>
          </cell>
        </row>
        <row r="1975">
          <cell r="G1975" t="str">
            <v/>
          </cell>
        </row>
        <row r="1976">
          <cell r="G1976" t="str">
            <v/>
          </cell>
        </row>
        <row r="1977">
          <cell r="G1977" t="str">
            <v/>
          </cell>
        </row>
        <row r="1978">
          <cell r="G1978" t="str">
            <v/>
          </cell>
        </row>
        <row r="1979">
          <cell r="G1979" t="str">
            <v/>
          </cell>
        </row>
        <row r="1980">
          <cell r="G1980" t="str">
            <v/>
          </cell>
        </row>
        <row r="1981">
          <cell r="G1981" t="str">
            <v/>
          </cell>
        </row>
        <row r="1982">
          <cell r="G1982" t="str">
            <v/>
          </cell>
        </row>
        <row r="1983">
          <cell r="G1983" t="str">
            <v/>
          </cell>
        </row>
        <row r="1984">
          <cell r="G1984" t="str">
            <v/>
          </cell>
        </row>
        <row r="1985">
          <cell r="G1985" t="str">
            <v/>
          </cell>
        </row>
        <row r="1986">
          <cell r="G1986" t="str">
            <v/>
          </cell>
        </row>
        <row r="1987">
          <cell r="G1987" t="str">
            <v/>
          </cell>
        </row>
        <row r="1988">
          <cell r="G1988" t="str">
            <v/>
          </cell>
        </row>
        <row r="1989">
          <cell r="G1989" t="str">
            <v/>
          </cell>
        </row>
        <row r="1990">
          <cell r="G1990" t="str">
            <v/>
          </cell>
        </row>
        <row r="1991">
          <cell r="G1991" t="str">
            <v/>
          </cell>
        </row>
        <row r="1992">
          <cell r="G1992" t="str">
            <v/>
          </cell>
        </row>
        <row r="1993">
          <cell r="G1993" t="str">
            <v/>
          </cell>
        </row>
        <row r="1994">
          <cell r="G1994" t="str">
            <v/>
          </cell>
        </row>
        <row r="1995">
          <cell r="G1995" t="str">
            <v/>
          </cell>
        </row>
        <row r="1996">
          <cell r="G1996" t="str">
            <v/>
          </cell>
        </row>
        <row r="1997">
          <cell r="G1997" t="str">
            <v/>
          </cell>
        </row>
        <row r="1998">
          <cell r="G1998" t="str">
            <v/>
          </cell>
        </row>
        <row r="1999">
          <cell r="G1999" t="str">
            <v/>
          </cell>
        </row>
        <row r="2000">
          <cell r="G2000" t="str">
            <v/>
          </cell>
        </row>
        <row r="2001">
          <cell r="G2001" t="str">
            <v/>
          </cell>
        </row>
        <row r="2002">
          <cell r="G2002" t="str">
            <v/>
          </cell>
        </row>
        <row r="2003">
          <cell r="G2003" t="str">
            <v/>
          </cell>
        </row>
        <row r="2004">
          <cell r="G2004" t="str">
            <v/>
          </cell>
        </row>
        <row r="2005">
          <cell r="G2005" t="str">
            <v/>
          </cell>
        </row>
        <row r="2006">
          <cell r="G2006" t="str">
            <v/>
          </cell>
        </row>
        <row r="2007">
          <cell r="G2007" t="str">
            <v/>
          </cell>
        </row>
        <row r="2008">
          <cell r="G2008" t="str">
            <v/>
          </cell>
        </row>
        <row r="2009">
          <cell r="G2009" t="str">
            <v/>
          </cell>
        </row>
        <row r="2010">
          <cell r="G2010" t="str">
            <v/>
          </cell>
        </row>
        <row r="2011">
          <cell r="G2011" t="str">
            <v/>
          </cell>
        </row>
        <row r="2012">
          <cell r="G2012" t="str">
            <v/>
          </cell>
        </row>
        <row r="2013">
          <cell r="G2013" t="str">
            <v/>
          </cell>
        </row>
        <row r="2014">
          <cell r="G2014" t="str">
            <v/>
          </cell>
        </row>
        <row r="2015">
          <cell r="G2015" t="str">
            <v/>
          </cell>
        </row>
        <row r="2016">
          <cell r="G2016" t="str">
            <v/>
          </cell>
        </row>
        <row r="2017">
          <cell r="G2017" t="str">
            <v/>
          </cell>
        </row>
        <row r="2018">
          <cell r="G2018" t="str">
            <v/>
          </cell>
        </row>
        <row r="2019">
          <cell r="G2019" t="str">
            <v/>
          </cell>
        </row>
        <row r="2020">
          <cell r="G2020" t="str">
            <v/>
          </cell>
        </row>
        <row r="2021">
          <cell r="G2021" t="str">
            <v/>
          </cell>
        </row>
        <row r="2022">
          <cell r="G2022" t="str">
            <v/>
          </cell>
        </row>
        <row r="2023">
          <cell r="G2023" t="str">
            <v/>
          </cell>
        </row>
        <row r="2024">
          <cell r="G2024" t="str">
            <v/>
          </cell>
        </row>
        <row r="2025">
          <cell r="G2025" t="str">
            <v/>
          </cell>
        </row>
        <row r="2026">
          <cell r="G2026" t="str">
            <v/>
          </cell>
        </row>
        <row r="2027">
          <cell r="G2027" t="str">
            <v/>
          </cell>
        </row>
        <row r="2028">
          <cell r="G2028" t="str">
            <v/>
          </cell>
        </row>
        <row r="2029">
          <cell r="G2029" t="str">
            <v/>
          </cell>
        </row>
        <row r="2030">
          <cell r="G2030" t="str">
            <v/>
          </cell>
        </row>
        <row r="2031">
          <cell r="G2031" t="str">
            <v/>
          </cell>
        </row>
        <row r="2032">
          <cell r="G2032" t="str">
            <v/>
          </cell>
        </row>
        <row r="2033">
          <cell r="G2033" t="str">
            <v/>
          </cell>
        </row>
        <row r="2034">
          <cell r="G2034" t="str">
            <v/>
          </cell>
        </row>
        <row r="2035">
          <cell r="G2035" t="str">
            <v/>
          </cell>
        </row>
        <row r="2036">
          <cell r="G2036" t="str">
            <v/>
          </cell>
        </row>
        <row r="2037">
          <cell r="G2037" t="str">
            <v/>
          </cell>
        </row>
        <row r="2038">
          <cell r="G2038" t="str">
            <v/>
          </cell>
        </row>
        <row r="2039">
          <cell r="G2039" t="str">
            <v/>
          </cell>
        </row>
        <row r="2040">
          <cell r="G2040" t="str">
            <v/>
          </cell>
        </row>
        <row r="2041">
          <cell r="G2041" t="str">
            <v/>
          </cell>
        </row>
        <row r="2042">
          <cell r="G2042" t="str">
            <v/>
          </cell>
        </row>
        <row r="2043">
          <cell r="G2043" t="str">
            <v/>
          </cell>
        </row>
        <row r="2044">
          <cell r="G2044" t="str">
            <v/>
          </cell>
        </row>
        <row r="2045">
          <cell r="G2045" t="str">
            <v/>
          </cell>
        </row>
        <row r="2046">
          <cell r="G2046" t="str">
            <v/>
          </cell>
        </row>
        <row r="2047">
          <cell r="G2047" t="str">
            <v/>
          </cell>
        </row>
        <row r="2048">
          <cell r="G2048" t="str">
            <v/>
          </cell>
        </row>
        <row r="2049">
          <cell r="G2049" t="str">
            <v/>
          </cell>
        </row>
        <row r="2050">
          <cell r="G2050" t="str">
            <v/>
          </cell>
        </row>
        <row r="2051">
          <cell r="G2051" t="str">
            <v/>
          </cell>
        </row>
        <row r="2052">
          <cell r="G2052" t="str">
            <v/>
          </cell>
        </row>
        <row r="2053">
          <cell r="G2053" t="str">
            <v/>
          </cell>
        </row>
        <row r="2054">
          <cell r="G2054" t="str">
            <v/>
          </cell>
        </row>
        <row r="2055">
          <cell r="G2055" t="str">
            <v/>
          </cell>
        </row>
        <row r="2056">
          <cell r="G2056" t="str">
            <v/>
          </cell>
        </row>
        <row r="2057">
          <cell r="G2057" t="str">
            <v/>
          </cell>
        </row>
        <row r="2058">
          <cell r="G2058" t="str">
            <v/>
          </cell>
        </row>
        <row r="2059">
          <cell r="G2059" t="str">
            <v/>
          </cell>
        </row>
        <row r="2060">
          <cell r="G2060" t="str">
            <v/>
          </cell>
        </row>
        <row r="2061">
          <cell r="G2061" t="str">
            <v/>
          </cell>
        </row>
        <row r="2062">
          <cell r="G2062" t="str">
            <v/>
          </cell>
        </row>
        <row r="2063">
          <cell r="G2063" t="str">
            <v/>
          </cell>
        </row>
        <row r="2064">
          <cell r="G2064" t="str">
            <v/>
          </cell>
        </row>
        <row r="2065">
          <cell r="G2065" t="str">
            <v/>
          </cell>
        </row>
        <row r="2066">
          <cell r="G2066" t="str">
            <v/>
          </cell>
        </row>
        <row r="2067">
          <cell r="G2067" t="str">
            <v/>
          </cell>
        </row>
        <row r="2068">
          <cell r="G2068" t="str">
            <v/>
          </cell>
        </row>
        <row r="2069">
          <cell r="G2069" t="str">
            <v/>
          </cell>
        </row>
        <row r="2070">
          <cell r="G2070" t="str">
            <v/>
          </cell>
        </row>
        <row r="2071">
          <cell r="G2071" t="str">
            <v/>
          </cell>
        </row>
        <row r="2072">
          <cell r="G2072" t="str">
            <v/>
          </cell>
        </row>
        <row r="2073">
          <cell r="G2073" t="str">
            <v/>
          </cell>
        </row>
        <row r="2074">
          <cell r="G2074" t="str">
            <v/>
          </cell>
        </row>
        <row r="2075">
          <cell r="G2075" t="str">
            <v/>
          </cell>
        </row>
        <row r="2076">
          <cell r="G2076" t="str">
            <v/>
          </cell>
        </row>
        <row r="2077">
          <cell r="G2077" t="str">
            <v/>
          </cell>
        </row>
        <row r="2078">
          <cell r="G2078" t="str">
            <v/>
          </cell>
        </row>
        <row r="2079">
          <cell r="G2079" t="str">
            <v/>
          </cell>
        </row>
        <row r="2080">
          <cell r="G2080" t="str">
            <v/>
          </cell>
        </row>
        <row r="2081">
          <cell r="G2081" t="str">
            <v/>
          </cell>
        </row>
        <row r="2082">
          <cell r="G2082" t="str">
            <v/>
          </cell>
        </row>
        <row r="2083">
          <cell r="G2083" t="str">
            <v/>
          </cell>
        </row>
        <row r="2084">
          <cell r="G2084" t="str">
            <v/>
          </cell>
        </row>
        <row r="2085">
          <cell r="G2085" t="str">
            <v/>
          </cell>
        </row>
        <row r="2086">
          <cell r="G2086" t="str">
            <v/>
          </cell>
        </row>
        <row r="2087">
          <cell r="G2087" t="str">
            <v/>
          </cell>
        </row>
        <row r="2088">
          <cell r="G2088" t="str">
            <v/>
          </cell>
        </row>
        <row r="2089">
          <cell r="G2089" t="str">
            <v/>
          </cell>
        </row>
        <row r="2090">
          <cell r="G2090" t="str">
            <v/>
          </cell>
        </row>
        <row r="2091">
          <cell r="G2091" t="str">
            <v/>
          </cell>
        </row>
        <row r="2092">
          <cell r="G2092" t="str">
            <v/>
          </cell>
        </row>
        <row r="2093">
          <cell r="G2093" t="str">
            <v/>
          </cell>
        </row>
        <row r="2094">
          <cell r="G2094" t="str">
            <v/>
          </cell>
        </row>
        <row r="2095">
          <cell r="G2095" t="str">
            <v/>
          </cell>
        </row>
        <row r="2096">
          <cell r="G2096" t="str">
            <v/>
          </cell>
        </row>
        <row r="2097">
          <cell r="G2097" t="str">
            <v/>
          </cell>
        </row>
        <row r="2098">
          <cell r="G2098" t="str">
            <v/>
          </cell>
        </row>
        <row r="2099">
          <cell r="G2099" t="str">
            <v/>
          </cell>
        </row>
        <row r="2100">
          <cell r="G2100" t="str">
            <v/>
          </cell>
        </row>
        <row r="2101">
          <cell r="G2101" t="str">
            <v/>
          </cell>
        </row>
        <row r="2102">
          <cell r="G2102" t="str">
            <v/>
          </cell>
        </row>
        <row r="2103">
          <cell r="G2103" t="str">
            <v/>
          </cell>
        </row>
        <row r="2104">
          <cell r="G2104" t="str">
            <v/>
          </cell>
        </row>
        <row r="2105">
          <cell r="G2105" t="str">
            <v/>
          </cell>
        </row>
        <row r="2106">
          <cell r="G2106" t="str">
            <v/>
          </cell>
        </row>
        <row r="2107">
          <cell r="G2107" t="str">
            <v/>
          </cell>
        </row>
        <row r="2108">
          <cell r="G2108" t="str">
            <v/>
          </cell>
        </row>
        <row r="2109">
          <cell r="G2109" t="str">
            <v/>
          </cell>
        </row>
        <row r="2110">
          <cell r="G2110" t="str">
            <v/>
          </cell>
        </row>
        <row r="2111">
          <cell r="G2111" t="str">
            <v/>
          </cell>
        </row>
        <row r="2112">
          <cell r="G2112" t="str">
            <v/>
          </cell>
        </row>
        <row r="2113">
          <cell r="G2113" t="str">
            <v/>
          </cell>
        </row>
        <row r="2114">
          <cell r="G2114" t="str">
            <v/>
          </cell>
        </row>
        <row r="2115">
          <cell r="G2115" t="str">
            <v/>
          </cell>
        </row>
        <row r="2116">
          <cell r="G2116" t="str">
            <v/>
          </cell>
        </row>
        <row r="2117">
          <cell r="G2117" t="str">
            <v/>
          </cell>
        </row>
        <row r="2118">
          <cell r="G2118" t="str">
            <v/>
          </cell>
        </row>
        <row r="2119">
          <cell r="G2119" t="str">
            <v/>
          </cell>
        </row>
        <row r="2120">
          <cell r="G2120" t="str">
            <v/>
          </cell>
        </row>
        <row r="2121">
          <cell r="G2121" t="str">
            <v/>
          </cell>
        </row>
        <row r="2122">
          <cell r="G2122" t="str">
            <v/>
          </cell>
        </row>
        <row r="2123">
          <cell r="G2123" t="str">
            <v/>
          </cell>
        </row>
        <row r="2124">
          <cell r="G2124" t="str">
            <v/>
          </cell>
        </row>
        <row r="2125">
          <cell r="G2125" t="str">
            <v/>
          </cell>
        </row>
        <row r="2126">
          <cell r="G2126" t="str">
            <v/>
          </cell>
        </row>
        <row r="2127">
          <cell r="G2127" t="str">
            <v/>
          </cell>
        </row>
        <row r="2128">
          <cell r="G2128" t="str">
            <v/>
          </cell>
        </row>
        <row r="2129">
          <cell r="G2129" t="str">
            <v/>
          </cell>
        </row>
        <row r="2130">
          <cell r="G2130" t="str">
            <v/>
          </cell>
        </row>
        <row r="2131">
          <cell r="G2131" t="str">
            <v/>
          </cell>
        </row>
        <row r="2132">
          <cell r="G2132" t="str">
            <v/>
          </cell>
        </row>
        <row r="2133">
          <cell r="G2133" t="str">
            <v/>
          </cell>
        </row>
        <row r="2134">
          <cell r="G2134" t="str">
            <v/>
          </cell>
        </row>
        <row r="2135">
          <cell r="G2135" t="str">
            <v/>
          </cell>
        </row>
        <row r="2136">
          <cell r="G2136" t="str">
            <v/>
          </cell>
        </row>
        <row r="2137">
          <cell r="G2137" t="str">
            <v/>
          </cell>
        </row>
        <row r="2138">
          <cell r="G2138" t="str">
            <v/>
          </cell>
        </row>
        <row r="2139">
          <cell r="G2139" t="str">
            <v/>
          </cell>
        </row>
        <row r="2140">
          <cell r="G2140" t="str">
            <v/>
          </cell>
        </row>
        <row r="2141">
          <cell r="G2141" t="str">
            <v/>
          </cell>
        </row>
        <row r="2142">
          <cell r="G2142" t="str">
            <v/>
          </cell>
        </row>
        <row r="2143">
          <cell r="G2143" t="str">
            <v/>
          </cell>
        </row>
        <row r="2144">
          <cell r="G2144" t="str">
            <v/>
          </cell>
        </row>
        <row r="2145">
          <cell r="G2145" t="str">
            <v/>
          </cell>
        </row>
        <row r="2146">
          <cell r="G2146" t="str">
            <v/>
          </cell>
        </row>
        <row r="2147">
          <cell r="G2147" t="str">
            <v/>
          </cell>
        </row>
        <row r="2148">
          <cell r="G2148" t="str">
            <v/>
          </cell>
        </row>
        <row r="2149">
          <cell r="G2149" t="str">
            <v/>
          </cell>
        </row>
        <row r="2150">
          <cell r="G2150" t="str">
            <v/>
          </cell>
        </row>
        <row r="2151">
          <cell r="G2151" t="str">
            <v/>
          </cell>
        </row>
        <row r="2152">
          <cell r="G2152" t="str">
            <v/>
          </cell>
        </row>
        <row r="2153">
          <cell r="G2153" t="str">
            <v/>
          </cell>
        </row>
        <row r="2154">
          <cell r="G2154" t="str">
            <v/>
          </cell>
        </row>
        <row r="2155">
          <cell r="G2155" t="str">
            <v/>
          </cell>
        </row>
        <row r="2156">
          <cell r="G2156" t="str">
            <v/>
          </cell>
        </row>
        <row r="2157">
          <cell r="G2157" t="str">
            <v/>
          </cell>
        </row>
        <row r="2158">
          <cell r="G2158" t="str">
            <v/>
          </cell>
        </row>
        <row r="2159">
          <cell r="G2159" t="str">
            <v/>
          </cell>
        </row>
        <row r="2160">
          <cell r="G2160" t="str">
            <v/>
          </cell>
        </row>
        <row r="2161">
          <cell r="G2161" t="str">
            <v/>
          </cell>
        </row>
        <row r="2162">
          <cell r="G2162" t="str">
            <v/>
          </cell>
        </row>
        <row r="2163">
          <cell r="G2163" t="str">
            <v/>
          </cell>
        </row>
        <row r="2164">
          <cell r="G2164" t="str">
            <v/>
          </cell>
        </row>
        <row r="2165">
          <cell r="G2165" t="str">
            <v/>
          </cell>
        </row>
        <row r="2166">
          <cell r="G2166" t="str">
            <v/>
          </cell>
        </row>
        <row r="2167">
          <cell r="G2167" t="str">
            <v/>
          </cell>
        </row>
        <row r="2168">
          <cell r="G2168" t="str">
            <v/>
          </cell>
        </row>
        <row r="2169">
          <cell r="G2169" t="str">
            <v/>
          </cell>
        </row>
        <row r="2170">
          <cell r="G2170" t="str">
            <v/>
          </cell>
        </row>
        <row r="2171">
          <cell r="G2171" t="str">
            <v/>
          </cell>
        </row>
        <row r="2172">
          <cell r="G2172" t="str">
            <v/>
          </cell>
        </row>
        <row r="2173">
          <cell r="G2173" t="str">
            <v/>
          </cell>
        </row>
        <row r="2174">
          <cell r="G2174" t="str">
            <v/>
          </cell>
        </row>
        <row r="2175">
          <cell r="G2175" t="str">
            <v/>
          </cell>
        </row>
        <row r="2176">
          <cell r="G2176" t="str">
            <v/>
          </cell>
        </row>
        <row r="2177">
          <cell r="G2177" t="str">
            <v/>
          </cell>
        </row>
        <row r="2178">
          <cell r="G2178" t="str">
            <v/>
          </cell>
        </row>
        <row r="2179">
          <cell r="G2179" t="str">
            <v/>
          </cell>
        </row>
        <row r="2180">
          <cell r="G2180" t="str">
            <v/>
          </cell>
        </row>
        <row r="2181">
          <cell r="G2181" t="str">
            <v/>
          </cell>
        </row>
        <row r="2182">
          <cell r="G2182" t="str">
            <v/>
          </cell>
        </row>
        <row r="2183">
          <cell r="G2183" t="str">
            <v/>
          </cell>
        </row>
        <row r="2184">
          <cell r="G2184" t="str">
            <v/>
          </cell>
        </row>
        <row r="2185">
          <cell r="G2185" t="str">
            <v/>
          </cell>
        </row>
        <row r="2186">
          <cell r="G2186" t="str">
            <v/>
          </cell>
        </row>
        <row r="2187">
          <cell r="G2187" t="str">
            <v/>
          </cell>
        </row>
        <row r="2188">
          <cell r="G2188" t="str">
            <v/>
          </cell>
        </row>
        <row r="2189">
          <cell r="G2189" t="str">
            <v/>
          </cell>
        </row>
        <row r="2190">
          <cell r="G2190" t="str">
            <v/>
          </cell>
        </row>
        <row r="2191">
          <cell r="G2191" t="str">
            <v/>
          </cell>
        </row>
        <row r="2192">
          <cell r="G2192" t="str">
            <v/>
          </cell>
        </row>
        <row r="2193">
          <cell r="G2193" t="str">
            <v/>
          </cell>
        </row>
        <row r="2194">
          <cell r="G2194" t="str">
            <v/>
          </cell>
        </row>
        <row r="2195">
          <cell r="G2195" t="str">
            <v/>
          </cell>
        </row>
        <row r="2196">
          <cell r="G2196" t="str">
            <v/>
          </cell>
        </row>
        <row r="2197">
          <cell r="G2197" t="str">
            <v/>
          </cell>
        </row>
        <row r="2198">
          <cell r="G2198" t="str">
            <v/>
          </cell>
        </row>
        <row r="2199">
          <cell r="G2199" t="str">
            <v/>
          </cell>
        </row>
        <row r="2200">
          <cell r="G2200" t="str">
            <v/>
          </cell>
        </row>
        <row r="2201">
          <cell r="G2201" t="str">
            <v/>
          </cell>
        </row>
        <row r="2202">
          <cell r="G2202" t="str">
            <v/>
          </cell>
        </row>
        <row r="2203">
          <cell r="G2203" t="str">
            <v/>
          </cell>
        </row>
        <row r="2204">
          <cell r="G2204" t="str">
            <v/>
          </cell>
        </row>
        <row r="2205">
          <cell r="G2205" t="str">
            <v/>
          </cell>
        </row>
        <row r="2206">
          <cell r="G2206" t="str">
            <v/>
          </cell>
        </row>
        <row r="2207">
          <cell r="G2207" t="str">
            <v/>
          </cell>
        </row>
        <row r="2208">
          <cell r="G2208" t="str">
            <v/>
          </cell>
        </row>
        <row r="2209">
          <cell r="G2209" t="str">
            <v/>
          </cell>
        </row>
        <row r="2210">
          <cell r="G2210" t="str">
            <v/>
          </cell>
        </row>
        <row r="2211">
          <cell r="G2211" t="str">
            <v/>
          </cell>
        </row>
        <row r="2212">
          <cell r="G2212" t="str">
            <v/>
          </cell>
        </row>
        <row r="2213">
          <cell r="G2213" t="str">
            <v/>
          </cell>
        </row>
        <row r="2214">
          <cell r="G2214" t="str">
            <v/>
          </cell>
        </row>
        <row r="2215">
          <cell r="G2215" t="str">
            <v/>
          </cell>
        </row>
        <row r="2216">
          <cell r="G2216" t="str">
            <v/>
          </cell>
        </row>
        <row r="2217">
          <cell r="G2217" t="str">
            <v/>
          </cell>
        </row>
        <row r="2218">
          <cell r="G2218" t="str">
            <v/>
          </cell>
        </row>
        <row r="2219">
          <cell r="G2219" t="str">
            <v/>
          </cell>
        </row>
        <row r="2220">
          <cell r="G2220" t="str">
            <v/>
          </cell>
        </row>
        <row r="2221">
          <cell r="G2221" t="str">
            <v/>
          </cell>
        </row>
        <row r="2222">
          <cell r="G2222" t="str">
            <v/>
          </cell>
        </row>
        <row r="2223">
          <cell r="G2223" t="str">
            <v/>
          </cell>
        </row>
        <row r="2224">
          <cell r="G2224" t="str">
            <v/>
          </cell>
        </row>
        <row r="2225">
          <cell r="G2225" t="str">
            <v/>
          </cell>
        </row>
        <row r="2226">
          <cell r="G2226" t="str">
            <v/>
          </cell>
        </row>
        <row r="2227">
          <cell r="G2227" t="str">
            <v/>
          </cell>
        </row>
        <row r="2228">
          <cell r="G2228" t="str">
            <v/>
          </cell>
        </row>
        <row r="2229">
          <cell r="G2229" t="str">
            <v/>
          </cell>
        </row>
        <row r="2230">
          <cell r="G2230" t="str">
            <v/>
          </cell>
        </row>
      </sheetData>
      <sheetData sheetId="3">
        <row r="1">
          <cell r="A1">
            <v>1</v>
          </cell>
          <cell r="C1">
            <v>3</v>
          </cell>
          <cell r="D1">
            <v>4</v>
          </cell>
          <cell r="E1">
            <v>5</v>
          </cell>
          <cell r="L1">
            <v>12</v>
          </cell>
          <cell r="M1">
            <v>13</v>
          </cell>
          <cell r="N1">
            <v>14</v>
          </cell>
          <cell r="O1">
            <v>15</v>
          </cell>
          <cell r="Q1">
            <v>17</v>
          </cell>
          <cell r="R1">
            <v>18</v>
          </cell>
          <cell r="S1">
            <v>19</v>
          </cell>
          <cell r="T1">
            <v>20</v>
          </cell>
          <cell r="U1">
            <v>21</v>
          </cell>
          <cell r="V1">
            <v>22</v>
          </cell>
          <cell r="W1">
            <v>23</v>
          </cell>
          <cell r="X1">
            <v>24</v>
          </cell>
          <cell r="Y1">
            <v>25</v>
          </cell>
          <cell r="Z1">
            <v>26</v>
          </cell>
          <cell r="AA1">
            <v>27</v>
          </cell>
          <cell r="AB1">
            <v>28</v>
          </cell>
          <cell r="AC1">
            <v>29</v>
          </cell>
          <cell r="AE1">
            <v>31</v>
          </cell>
          <cell r="AF1">
            <v>32</v>
          </cell>
          <cell r="AG1">
            <v>33</v>
          </cell>
          <cell r="AH1">
            <v>34</v>
          </cell>
          <cell r="AI1">
            <v>35</v>
          </cell>
          <cell r="AJ1">
            <v>36</v>
          </cell>
          <cell r="AL1">
            <v>38</v>
          </cell>
          <cell r="AP1">
            <v>42</v>
          </cell>
          <cell r="AV1">
            <v>48</v>
          </cell>
          <cell r="AZ1">
            <v>52</v>
          </cell>
          <cell r="BE1">
            <v>57</v>
          </cell>
          <cell r="BG1">
            <v>59</v>
          </cell>
          <cell r="BH1">
            <v>60</v>
          </cell>
          <cell r="BY1">
            <v>77</v>
          </cell>
          <cell r="CD1">
            <v>82</v>
          </cell>
          <cell r="CE1">
            <v>83</v>
          </cell>
          <cell r="CF1">
            <v>84</v>
          </cell>
          <cell r="CG1">
            <v>85</v>
          </cell>
          <cell r="CH1">
            <v>86</v>
          </cell>
          <cell r="CI1">
            <v>87</v>
          </cell>
          <cell r="CJ1">
            <v>88</v>
          </cell>
          <cell r="CK1">
            <v>89</v>
          </cell>
          <cell r="CM1">
            <v>91</v>
          </cell>
          <cell r="CN1">
            <v>92</v>
          </cell>
          <cell r="CO1">
            <v>93</v>
          </cell>
          <cell r="CQ1">
            <v>95</v>
          </cell>
          <cell r="CR1">
            <v>96</v>
          </cell>
          <cell r="CS1">
            <v>97</v>
          </cell>
          <cell r="CU1">
            <v>99</v>
          </cell>
          <cell r="CW1">
            <v>101</v>
          </cell>
          <cell r="CX1">
            <v>102</v>
          </cell>
          <cell r="CZ1">
            <v>104</v>
          </cell>
          <cell r="DA1">
            <v>105</v>
          </cell>
          <cell r="DB1">
            <v>106</v>
          </cell>
          <cell r="DC1">
            <v>107</v>
          </cell>
          <cell r="DD1">
            <v>108</v>
          </cell>
        </row>
        <row r="2">
          <cell r="C2" t="str">
            <v>1G 667MHz DDR2</v>
          </cell>
          <cell r="D2" t="str">
            <v>DRAM 1Gb</v>
          </cell>
          <cell r="E2" t="str">
            <v>NAND 16Gb MLC</v>
          </cell>
          <cell r="L2" t="str">
            <v>KOSPI</v>
          </cell>
          <cell r="M2" t="str">
            <v>나스닥</v>
          </cell>
          <cell r="N2" t="str">
            <v>FTSE100</v>
          </cell>
          <cell r="O2" t="str">
            <v>중국열연강</v>
          </cell>
          <cell r="Q2" t="str">
            <v>미국열연강</v>
          </cell>
          <cell r="R2" t="str">
            <v>옥수수</v>
          </cell>
          <cell r="S2" t="str">
            <v>소맥</v>
          </cell>
          <cell r="T2" t="str">
            <v>대두</v>
          </cell>
          <cell r="U2" t="str">
            <v>NIKKEI 225</v>
          </cell>
          <cell r="V2" t="str">
            <v>홍콩 항셍지수</v>
          </cell>
          <cell r="W2" t="str">
            <v>대만 종합지수</v>
          </cell>
          <cell r="X2" t="str">
            <v>나프타(싱가폴)</v>
          </cell>
          <cell r="Y2" t="str">
            <v>에틸렌 (Kor)</v>
          </cell>
          <cell r="Z2" t="str">
            <v>LDPE (Asia Spot Prc)</v>
          </cell>
          <cell r="AA2" t="str">
            <v>인도 (SENSEX 30)</v>
          </cell>
          <cell r="AB2" t="str">
            <v>호주 ASX</v>
          </cell>
          <cell r="AC2" t="str">
            <v>브라질 (보베스파)</v>
          </cell>
          <cell r="AE2" t="str">
            <v>싱가폴 Z유</v>
          </cell>
          <cell r="AF2" t="str">
            <v>Pulp NBSK</v>
          </cell>
          <cell r="AG2" t="str">
            <v>BDI (Baltic Dry Index)</v>
          </cell>
          <cell r="AH2" t="str">
            <v>PVC (East Asia - USD/Ton)</v>
          </cell>
          <cell r="AI2" t="str">
            <v>ABS  (East Asia - USD/Ton)</v>
          </cell>
          <cell r="AJ2" t="str">
            <v>코스닥</v>
          </cell>
          <cell r="AL2" t="str">
            <v>s&amp;p500</v>
          </cell>
          <cell r="AP2" t="str">
            <v>상하이종합지수</v>
          </cell>
          <cell r="AV2" t="str">
            <v>iShares MSCI SK Index Fund</v>
          </cell>
          <cell r="AZ2" t="str">
            <v>일본(TOCOM) 고무</v>
          </cell>
          <cell r="BE2" t="str">
            <v>LME 니켈 가격</v>
          </cell>
          <cell r="BG2" t="str">
            <v>Newcastle Aust. Coal</v>
          </cell>
          <cell r="BH2" t="str">
            <v>bloomberg world coal index</v>
          </cell>
          <cell r="BY2" t="str">
            <v>PHILA SEMICONDUCTOR</v>
          </cell>
          <cell r="CD2" t="str">
            <v>MSCI World</v>
          </cell>
          <cell r="CE2" t="str">
            <v>MSCI Developed Mkt</v>
          </cell>
          <cell r="CF2" t="str">
            <v>MSCI EM Asia</v>
          </cell>
          <cell r="CG2" t="str">
            <v>HDPE (FE. Spot Prc)</v>
          </cell>
          <cell r="CH2" t="str">
            <v>프로필렌</v>
          </cell>
          <cell r="CI2" t="str">
            <v>WitsView Panel 19' Monitor</v>
          </cell>
          <cell r="CJ2" t="str">
            <v>WitsView Panel Pricing TV 32 i</v>
          </cell>
          <cell r="CK2" t="str">
            <v>BDI (Tanker)</v>
          </cell>
          <cell r="CM2" t="str">
            <v>가솔린</v>
          </cell>
          <cell r="CN2" t="str">
            <v>탄소배출권</v>
          </cell>
          <cell r="CO2" t="str">
            <v>온실가스배출권</v>
          </cell>
          <cell r="CQ2" t="str">
            <v>Natural Gas</v>
          </cell>
          <cell r="CR2" t="str">
            <v>Uranium</v>
          </cell>
          <cell r="CS2" t="str">
            <v>Lead</v>
          </cell>
          <cell r="CU2" t="str">
            <v>Butadiene</v>
          </cell>
          <cell r="CW2" t="str">
            <v>Bunker Barrel</v>
          </cell>
          <cell r="CX2" t="str">
            <v>EU Domestic HR</v>
          </cell>
          <cell r="CZ2" t="str">
            <v>Reuter CRB</v>
          </cell>
          <cell r="DA2" t="str">
            <v>LME 금속지수</v>
          </cell>
          <cell r="DB2" t="str">
            <v>Sugar(NYBOT)</v>
          </cell>
          <cell r="DC2" t="str">
            <v>Palladium(NYMEX)</v>
          </cell>
          <cell r="DD2" t="str">
            <v>Coffee(NYBOT)</v>
          </cell>
        </row>
        <row r="3">
          <cell r="C3" t="str">
            <v>DRAM62 Index</v>
          </cell>
          <cell r="D3" t="str">
            <v>DRAM72 Index</v>
          </cell>
          <cell r="E3" t="str">
            <v>DRFL16ML Index</v>
          </cell>
          <cell r="L3" t="str">
            <v>KOSPI index</v>
          </cell>
          <cell r="M3" t="str">
            <v>CCMP Index</v>
          </cell>
          <cell r="N3" t="str">
            <v>UKX Index</v>
          </cell>
          <cell r="O3" t="str">
            <v xml:space="preserve">cdsphrav Index </v>
          </cell>
          <cell r="Q3" t="str">
            <v>MBSTUSHR Index</v>
          </cell>
          <cell r="R3" t="str">
            <v xml:space="preserve">c 1 comdty </v>
          </cell>
          <cell r="S3" t="str">
            <v xml:space="preserve">w 1 comdty </v>
          </cell>
          <cell r="T3" t="str">
            <v xml:space="preserve">s 1 comdty </v>
          </cell>
          <cell r="U3" t="str">
            <v>NKY Index</v>
          </cell>
          <cell r="V3" t="str">
            <v>HSI Index</v>
          </cell>
          <cell r="W3" t="str">
            <v>TWSE Index</v>
          </cell>
          <cell r="X3" t="str">
            <v>NAPHSINF INDEX</v>
          </cell>
          <cell r="Y3" t="str">
            <v>FINSEFBK Index</v>
          </cell>
          <cell r="Z3" t="str">
            <v>MERSETL2 index</v>
          </cell>
          <cell r="AA3" t="str">
            <v>SENSEX Index</v>
          </cell>
          <cell r="AB3" t="str">
            <v>AS30 Index</v>
          </cell>
          <cell r="AC3" t="str">
            <v>IBOV Index</v>
          </cell>
          <cell r="AE3" t="str">
            <v>JETKSIFC Index</v>
          </cell>
          <cell r="AF3" t="str">
            <v>FOEXNBSK Index</v>
          </cell>
          <cell r="AG3" t="str">
            <v>BDIY Index</v>
          </cell>
          <cell r="AH3" t="str">
            <v>POLIPVFE index</v>
          </cell>
          <cell r="AI3" t="str">
            <v>POLIABSE index</v>
          </cell>
          <cell r="AJ3" t="str">
            <v>KOSDAQ Index</v>
          </cell>
          <cell r="AL3" t="str">
            <v>SPX Index</v>
          </cell>
          <cell r="AP3" t="str">
            <v>SHCOMP Index</v>
          </cell>
          <cell r="AV3" t="str">
            <v>ewy us equity</v>
          </cell>
          <cell r="AZ3" t="str">
            <v>JN1 Comdty</v>
          </cell>
          <cell r="BE3" t="str">
            <v>LMNIDY index</v>
          </cell>
          <cell r="BG3" t="str">
            <v>CLSPAUNE index</v>
          </cell>
          <cell r="BH3" t="str">
            <v>BWCOAL Index</v>
          </cell>
          <cell r="BY3" t="str">
            <v>SOX Index</v>
          </cell>
          <cell r="CD3" t="str">
            <v>MXWD index</v>
          </cell>
          <cell r="CE3" t="str">
            <v>MSDUWIF  index</v>
          </cell>
          <cell r="CF3" t="str">
            <v>MXMS  index</v>
          </cell>
          <cell r="CG3" t="str">
            <v>MERSETH1 Index</v>
          </cell>
          <cell r="CH3" t="str">
            <v>FINSPFBJ Index</v>
          </cell>
          <cell r="CI3" t="str">
            <v>WVPR445L Index</v>
          </cell>
          <cell r="CJ3" t="str">
            <v>WVPR101L Index</v>
          </cell>
          <cell r="CK3" t="str">
            <v>BIDY Index</v>
          </cell>
          <cell r="CM3" t="str">
            <v>XB1 Comdty</v>
          </cell>
          <cell r="CN3" t="str">
            <v>EUETSY08 Index</v>
          </cell>
          <cell r="CO3" t="str">
            <v>SCER08 index</v>
          </cell>
          <cell r="CQ3" t="str">
            <v>NGUSHHUB index</v>
          </cell>
          <cell r="CR3" t="str">
            <v>MBURNXRE index</v>
          </cell>
          <cell r="CS3" t="str">
            <v>LMPBDY index</v>
          </cell>
          <cell r="CU3" t="str">
            <v>FINSBFBK index</v>
          </cell>
          <cell r="CZ3" t="str">
            <v>CRY Index</v>
          </cell>
          <cell r="DA3" t="str">
            <v>LMEX Index</v>
          </cell>
          <cell r="DB3" t="str">
            <v>SUGARSPT Index</v>
          </cell>
          <cell r="DC3" t="str">
            <v>PA1 Comdty</v>
          </cell>
          <cell r="DD3" t="str">
            <v>KC1 Comdty</v>
          </cell>
        </row>
        <row r="4">
          <cell r="A4" t="str">
            <v>Date</v>
          </cell>
          <cell r="C4" t="str">
            <v>Px Last</v>
          </cell>
          <cell r="D4" t="str">
            <v>Px Last</v>
          </cell>
          <cell r="E4" t="str">
            <v>Px Last</v>
          </cell>
          <cell r="L4" t="str">
            <v>Px Last</v>
          </cell>
          <cell r="M4" t="str">
            <v>Px Last</v>
          </cell>
          <cell r="N4" t="str">
            <v>Px Last</v>
          </cell>
          <cell r="O4" t="str">
            <v>Px Last</v>
          </cell>
          <cell r="Q4" t="str">
            <v>Px Last</v>
          </cell>
          <cell r="R4" t="str">
            <v>Px Last</v>
          </cell>
          <cell r="S4" t="str">
            <v>Px Last</v>
          </cell>
          <cell r="T4" t="str">
            <v>Px Last</v>
          </cell>
          <cell r="U4" t="str">
            <v>Px Last</v>
          </cell>
          <cell r="V4" t="str">
            <v>Px Last</v>
          </cell>
          <cell r="W4" t="str">
            <v>Px Last</v>
          </cell>
          <cell r="X4" t="str">
            <v>Px Last</v>
          </cell>
          <cell r="Y4" t="str">
            <v>Px Last</v>
          </cell>
          <cell r="Z4" t="str">
            <v>Px Last</v>
          </cell>
          <cell r="AA4" t="str">
            <v>Px Last</v>
          </cell>
          <cell r="AB4" t="str">
            <v>Px Last</v>
          </cell>
          <cell r="AC4" t="str">
            <v>Px Last</v>
          </cell>
          <cell r="AE4" t="str">
            <v>Px Last</v>
          </cell>
          <cell r="AF4" t="str">
            <v>Px Last</v>
          </cell>
          <cell r="AG4" t="str">
            <v>Px Last</v>
          </cell>
          <cell r="AH4" t="str">
            <v>Px Last</v>
          </cell>
          <cell r="AI4" t="str">
            <v>Px Last</v>
          </cell>
          <cell r="AJ4" t="str">
            <v>Px Last</v>
          </cell>
          <cell r="AL4" t="str">
            <v>Px Last</v>
          </cell>
          <cell r="AP4" t="str">
            <v>Px Last</v>
          </cell>
          <cell r="AV4" t="str">
            <v>Px Last</v>
          </cell>
          <cell r="AZ4" t="str">
            <v>Px Last</v>
          </cell>
          <cell r="BE4" t="str">
            <v>Px Last</v>
          </cell>
          <cell r="BG4" t="str">
            <v>Px Last</v>
          </cell>
          <cell r="BH4" t="str">
            <v>Px Last</v>
          </cell>
          <cell r="BY4" t="str">
            <v>Px Last</v>
          </cell>
          <cell r="CD4" t="str">
            <v>Px Last</v>
          </cell>
          <cell r="CE4" t="str">
            <v>Px Last</v>
          </cell>
          <cell r="CF4" t="str">
            <v>Px Last</v>
          </cell>
          <cell r="CG4" t="str">
            <v>Px Last</v>
          </cell>
          <cell r="CH4" t="str">
            <v>Px Last</v>
          </cell>
          <cell r="CI4" t="str">
            <v>Px Last</v>
          </cell>
          <cell r="CJ4" t="str">
            <v>Px Last</v>
          </cell>
          <cell r="CK4" t="str">
            <v>Px Last</v>
          </cell>
          <cell r="CM4" t="str">
            <v>Px Last</v>
          </cell>
          <cell r="CN4" t="str">
            <v>Px Last</v>
          </cell>
          <cell r="CO4" t="str">
            <v>Px Last</v>
          </cell>
          <cell r="CQ4" t="str">
            <v>Px Last</v>
          </cell>
          <cell r="CR4" t="str">
            <v>Px Last</v>
          </cell>
          <cell r="CS4" t="str">
            <v>Px Last</v>
          </cell>
          <cell r="CU4" t="str">
            <v>Px Last</v>
          </cell>
          <cell r="CZ4" t="str">
            <v>Px Last</v>
          </cell>
          <cell r="DA4" t="str">
            <v>Px Last</v>
          </cell>
          <cell r="DB4" t="str">
            <v>Px Last</v>
          </cell>
          <cell r="DC4" t="str">
            <v>Px Last</v>
          </cell>
          <cell r="DD4" t="str">
            <v>Px Last</v>
          </cell>
        </row>
        <row r="5">
          <cell r="A5">
            <v>38718</v>
          </cell>
          <cell r="C5">
            <v>72</v>
          </cell>
          <cell r="D5" t="str">
            <v>#N/A N/A</v>
          </cell>
          <cell r="E5" t="str">
            <v>#N/A N/A</v>
          </cell>
          <cell r="L5">
            <v>1379.37</v>
          </cell>
          <cell r="M5">
            <v>2205.3200000000002</v>
          </cell>
          <cell r="N5">
            <v>5618.8</v>
          </cell>
          <cell r="O5">
            <v>3019</v>
          </cell>
          <cell r="Q5">
            <v>525</v>
          </cell>
          <cell r="R5">
            <v>215.75</v>
          </cell>
          <cell r="S5">
            <v>339.25</v>
          </cell>
          <cell r="T5">
            <v>602</v>
          </cell>
          <cell r="U5">
            <v>16111.43</v>
          </cell>
          <cell r="V5">
            <v>14876.43</v>
          </cell>
          <cell r="W5">
            <v>6548.34</v>
          </cell>
          <cell r="X5">
            <v>54.65</v>
          </cell>
          <cell r="Y5">
            <v>920</v>
          </cell>
          <cell r="Z5">
            <v>1100</v>
          </cell>
          <cell r="AA5">
            <v>9397.93</v>
          </cell>
          <cell r="AB5">
            <v>4708.8</v>
          </cell>
          <cell r="AC5">
            <v>33455.941400000003</v>
          </cell>
          <cell r="AE5">
            <v>71.400000000000006</v>
          </cell>
          <cell r="AF5">
            <v>598.69000000000005</v>
          </cell>
          <cell r="AG5">
            <v>2407</v>
          </cell>
          <cell r="AH5">
            <v>740</v>
          </cell>
          <cell r="AI5">
            <v>1390</v>
          </cell>
          <cell r="AJ5">
            <v>701.79</v>
          </cell>
          <cell r="AL5">
            <v>1248.29</v>
          </cell>
          <cell r="AP5">
            <v>1161.057</v>
          </cell>
          <cell r="AV5">
            <v>44.75</v>
          </cell>
          <cell r="AZ5">
            <v>205</v>
          </cell>
          <cell r="BE5">
            <v>13372</v>
          </cell>
          <cell r="BG5">
            <v>36.6</v>
          </cell>
          <cell r="BH5">
            <v>230.19</v>
          </cell>
          <cell r="BY5">
            <v>479.49</v>
          </cell>
          <cell r="CD5">
            <v>309.63</v>
          </cell>
          <cell r="CE5">
            <v>308.149</v>
          </cell>
          <cell r="CF5">
            <v>286.17</v>
          </cell>
          <cell r="CG5">
            <v>1080</v>
          </cell>
          <cell r="CH5">
            <v>900</v>
          </cell>
          <cell r="CI5" t="str">
            <v>#N/A N/A</v>
          </cell>
          <cell r="CJ5">
            <v>550</v>
          </cell>
          <cell r="CK5">
            <v>2077</v>
          </cell>
          <cell r="CM5">
            <v>174</v>
          </cell>
          <cell r="CN5">
            <v>19.600000000000001</v>
          </cell>
          <cell r="CO5" t="str">
            <v>#N/A N/A</v>
          </cell>
          <cell r="CQ5">
            <v>9.52</v>
          </cell>
          <cell r="CR5">
            <v>36</v>
          </cell>
          <cell r="CS5">
            <v>1077</v>
          </cell>
          <cell r="CU5">
            <v>900</v>
          </cell>
          <cell r="CW5">
            <v>43.826219512195124</v>
          </cell>
          <cell r="CX5">
            <v>467.40350000000001</v>
          </cell>
          <cell r="CZ5">
            <v>331.83</v>
          </cell>
          <cell r="DA5">
            <v>2405</v>
          </cell>
          <cell r="DB5">
            <v>15.98</v>
          </cell>
          <cell r="DC5" t="str">
            <v>#N/A N/A</v>
          </cell>
          <cell r="DD5">
            <v>107.1</v>
          </cell>
        </row>
        <row r="6">
          <cell r="A6">
            <v>38719</v>
          </cell>
          <cell r="C6">
            <v>72</v>
          </cell>
          <cell r="D6" t="str">
            <v>#N/A N/A</v>
          </cell>
          <cell r="E6" t="str">
            <v>#N/A N/A</v>
          </cell>
          <cell r="L6">
            <v>1389.27</v>
          </cell>
          <cell r="M6">
            <v>2205.3200000000002</v>
          </cell>
          <cell r="N6">
            <v>5618.8</v>
          </cell>
          <cell r="O6">
            <v>3019</v>
          </cell>
          <cell r="Q6">
            <v>525</v>
          </cell>
          <cell r="R6">
            <v>215.75</v>
          </cell>
          <cell r="S6">
            <v>339.25</v>
          </cell>
          <cell r="T6">
            <v>602</v>
          </cell>
          <cell r="U6">
            <v>16111.43</v>
          </cell>
          <cell r="V6">
            <v>14876.43</v>
          </cell>
          <cell r="W6">
            <v>6462.06</v>
          </cell>
          <cell r="X6">
            <v>54.65</v>
          </cell>
          <cell r="Y6">
            <v>920</v>
          </cell>
          <cell r="Z6">
            <v>1100</v>
          </cell>
          <cell r="AA6">
            <v>9390.14</v>
          </cell>
          <cell r="AB6">
            <v>4708.8</v>
          </cell>
          <cell r="AC6">
            <v>33507.269500000002</v>
          </cell>
          <cell r="AE6">
            <v>71.400000000000006</v>
          </cell>
          <cell r="AF6">
            <v>598.69000000000005</v>
          </cell>
          <cell r="AG6">
            <v>2407</v>
          </cell>
          <cell r="AH6">
            <v>740</v>
          </cell>
          <cell r="AI6">
            <v>1390</v>
          </cell>
          <cell r="AJ6">
            <v>727.07</v>
          </cell>
          <cell r="AL6">
            <v>1248.29</v>
          </cell>
          <cell r="AP6">
            <v>1161.057</v>
          </cell>
          <cell r="AV6">
            <v>44.75</v>
          </cell>
          <cell r="AZ6">
            <v>205</v>
          </cell>
          <cell r="BE6">
            <v>13372</v>
          </cell>
          <cell r="BG6">
            <v>36.6</v>
          </cell>
          <cell r="BH6">
            <v>230.22</v>
          </cell>
          <cell r="BY6">
            <v>479.49</v>
          </cell>
          <cell r="CD6">
            <v>309.95</v>
          </cell>
          <cell r="CE6">
            <v>308.47500000000002</v>
          </cell>
          <cell r="CF6">
            <v>285.5</v>
          </cell>
          <cell r="CG6">
            <v>1080</v>
          </cell>
          <cell r="CH6">
            <v>900</v>
          </cell>
          <cell r="CI6" t="str">
            <v>#N/A N/A</v>
          </cell>
          <cell r="CJ6">
            <v>550</v>
          </cell>
          <cell r="CK6">
            <v>2077</v>
          </cell>
          <cell r="CM6">
            <v>174</v>
          </cell>
          <cell r="CN6">
            <v>19.600000000000001</v>
          </cell>
          <cell r="CO6" t="str">
            <v>#N/A N/A</v>
          </cell>
          <cell r="CQ6">
            <v>9.52</v>
          </cell>
          <cell r="CR6">
            <v>36</v>
          </cell>
          <cell r="CS6">
            <v>1077</v>
          </cell>
          <cell r="CU6">
            <v>900</v>
          </cell>
          <cell r="CW6">
            <v>43.826219512195124</v>
          </cell>
          <cell r="CX6">
            <v>466.89</v>
          </cell>
          <cell r="CZ6">
            <v>331.83</v>
          </cell>
          <cell r="DA6">
            <v>2405</v>
          </cell>
          <cell r="DB6">
            <v>15.98</v>
          </cell>
          <cell r="DC6" t="str">
            <v>#N/A N/A</v>
          </cell>
          <cell r="DD6">
            <v>107.1</v>
          </cell>
        </row>
        <row r="7">
          <cell r="A7">
            <v>38720</v>
          </cell>
          <cell r="C7">
            <v>72</v>
          </cell>
          <cell r="D7" t="str">
            <v>#N/A N/A</v>
          </cell>
          <cell r="E7" t="str">
            <v>#N/A N/A</v>
          </cell>
          <cell r="L7">
            <v>1394.87</v>
          </cell>
          <cell r="M7">
            <v>2243.7399999999998</v>
          </cell>
          <cell r="N7">
            <v>5681.5</v>
          </cell>
          <cell r="O7">
            <v>3019</v>
          </cell>
          <cell r="Q7">
            <v>525</v>
          </cell>
          <cell r="R7">
            <v>220</v>
          </cell>
          <cell r="S7">
            <v>346</v>
          </cell>
          <cell r="T7">
            <v>628.5</v>
          </cell>
          <cell r="U7">
            <v>16111.43</v>
          </cell>
          <cell r="V7">
            <v>14944.77</v>
          </cell>
          <cell r="W7">
            <v>6591.77</v>
          </cell>
          <cell r="X7">
            <v>55.65</v>
          </cell>
          <cell r="Y7">
            <v>920</v>
          </cell>
          <cell r="Z7">
            <v>1100</v>
          </cell>
          <cell r="AA7">
            <v>9539.3700000000008</v>
          </cell>
          <cell r="AB7">
            <v>4721.1000000000004</v>
          </cell>
          <cell r="AC7">
            <v>34540.578099999999</v>
          </cell>
          <cell r="AE7">
            <v>74.25</v>
          </cell>
          <cell r="AF7">
            <v>598.61</v>
          </cell>
          <cell r="AG7">
            <v>2438</v>
          </cell>
          <cell r="AH7">
            <v>740</v>
          </cell>
          <cell r="AI7">
            <v>1390</v>
          </cell>
          <cell r="AJ7">
            <v>735.15</v>
          </cell>
          <cell r="AL7">
            <v>1268.8</v>
          </cell>
          <cell r="AP7">
            <v>1161.057</v>
          </cell>
          <cell r="AV7">
            <v>46.41</v>
          </cell>
          <cell r="AZ7">
            <v>205</v>
          </cell>
          <cell r="BE7">
            <v>13786</v>
          </cell>
          <cell r="BG7">
            <v>36.6</v>
          </cell>
          <cell r="BH7">
            <v>236.97</v>
          </cell>
          <cell r="BY7">
            <v>493.13</v>
          </cell>
          <cell r="CD7">
            <v>315.45999999999998</v>
          </cell>
          <cell r="CE7">
            <v>313.91199999999998</v>
          </cell>
          <cell r="CF7">
            <v>289.89</v>
          </cell>
          <cell r="CG7">
            <v>1080</v>
          </cell>
          <cell r="CH7">
            <v>900</v>
          </cell>
          <cell r="CI7" t="str">
            <v>#N/A N/A</v>
          </cell>
          <cell r="CJ7">
            <v>550</v>
          </cell>
          <cell r="CK7">
            <v>1893</v>
          </cell>
          <cell r="CM7">
            <v>178.62</v>
          </cell>
          <cell r="CN7">
            <v>19.600000000000001</v>
          </cell>
          <cell r="CO7" t="str">
            <v>#N/A N/A</v>
          </cell>
          <cell r="CQ7">
            <v>9.8699999999999992</v>
          </cell>
          <cell r="CR7">
            <v>36</v>
          </cell>
          <cell r="CS7">
            <v>1104.5</v>
          </cell>
          <cell r="CU7">
            <v>900</v>
          </cell>
          <cell r="CW7">
            <v>44.969512195121951</v>
          </cell>
          <cell r="CX7">
            <v>473.21</v>
          </cell>
          <cell r="CZ7">
            <v>336.37</v>
          </cell>
          <cell r="DA7">
            <v>2428.8000000000002</v>
          </cell>
          <cell r="DB7">
            <v>15.39</v>
          </cell>
          <cell r="DC7" t="str">
            <v>#N/A N/A</v>
          </cell>
          <cell r="DD7">
            <v>108.6</v>
          </cell>
        </row>
        <row r="8">
          <cell r="A8">
            <v>38721</v>
          </cell>
          <cell r="C8">
            <v>72</v>
          </cell>
          <cell r="D8" t="str">
            <v>#N/A N/A</v>
          </cell>
          <cell r="E8" t="str">
            <v>#N/A N/A</v>
          </cell>
          <cell r="L8">
            <v>1402.11</v>
          </cell>
          <cell r="M8">
            <v>2263.46</v>
          </cell>
          <cell r="N8">
            <v>5714.6</v>
          </cell>
          <cell r="O8">
            <v>3021</v>
          </cell>
          <cell r="Q8">
            <v>525</v>
          </cell>
          <cell r="R8">
            <v>218.25</v>
          </cell>
          <cell r="S8">
            <v>346.25</v>
          </cell>
          <cell r="T8">
            <v>632.25</v>
          </cell>
          <cell r="U8">
            <v>16361.54</v>
          </cell>
          <cell r="V8">
            <v>15200.06</v>
          </cell>
          <cell r="W8">
            <v>6616.44</v>
          </cell>
          <cell r="X8">
            <v>57.75</v>
          </cell>
          <cell r="Y8">
            <v>920</v>
          </cell>
          <cell r="Z8">
            <v>1100</v>
          </cell>
          <cell r="AA8">
            <v>9648.08</v>
          </cell>
          <cell r="AB8">
            <v>4765.1000000000004</v>
          </cell>
          <cell r="AC8">
            <v>35002.371099999997</v>
          </cell>
          <cell r="AE8">
            <v>75.900000000000006</v>
          </cell>
          <cell r="AF8">
            <v>598.61</v>
          </cell>
          <cell r="AG8">
            <v>2468</v>
          </cell>
          <cell r="AH8">
            <v>740</v>
          </cell>
          <cell r="AI8">
            <v>1390</v>
          </cell>
          <cell r="AJ8">
            <v>740.48</v>
          </cell>
          <cell r="AL8">
            <v>1273.46</v>
          </cell>
          <cell r="AP8">
            <v>1180.963</v>
          </cell>
          <cell r="AV8">
            <v>46.55</v>
          </cell>
          <cell r="AZ8">
            <v>208.7</v>
          </cell>
          <cell r="BE8">
            <v>13993</v>
          </cell>
          <cell r="BG8">
            <v>36.6</v>
          </cell>
          <cell r="BH8">
            <v>241.4</v>
          </cell>
          <cell r="BY8">
            <v>496.69</v>
          </cell>
          <cell r="CD8">
            <v>319.05</v>
          </cell>
          <cell r="CE8">
            <v>317.29599999999999</v>
          </cell>
          <cell r="CF8">
            <v>295.56</v>
          </cell>
          <cell r="CG8">
            <v>1080</v>
          </cell>
          <cell r="CH8">
            <v>900</v>
          </cell>
          <cell r="CI8" t="str">
            <v>#N/A N/A</v>
          </cell>
          <cell r="CJ8">
            <v>550</v>
          </cell>
          <cell r="CK8">
            <v>1849</v>
          </cell>
          <cell r="CM8">
            <v>182.45</v>
          </cell>
          <cell r="CN8">
            <v>19.88</v>
          </cell>
          <cell r="CO8" t="str">
            <v>#N/A N/A</v>
          </cell>
          <cell r="CQ8">
            <v>9.2200000000000006</v>
          </cell>
          <cell r="CR8">
            <v>36.5</v>
          </cell>
          <cell r="CS8">
            <v>1130</v>
          </cell>
          <cell r="CU8">
            <v>900</v>
          </cell>
          <cell r="CW8">
            <v>45.884146341463421</v>
          </cell>
          <cell r="CX8">
            <v>479.01649999999995</v>
          </cell>
          <cell r="CZ8">
            <v>338.49</v>
          </cell>
          <cell r="DA8">
            <v>2466.4</v>
          </cell>
          <cell r="DB8">
            <v>15.95</v>
          </cell>
          <cell r="DC8" t="str">
            <v>#N/A N/A</v>
          </cell>
          <cell r="DD8">
            <v>110.65</v>
          </cell>
        </row>
        <row r="9">
          <cell r="A9">
            <v>38722</v>
          </cell>
          <cell r="C9">
            <v>72</v>
          </cell>
          <cell r="D9" t="str">
            <v>#N/A N/A</v>
          </cell>
          <cell r="E9" t="str">
            <v>#N/A N/A</v>
          </cell>
          <cell r="L9">
            <v>1395.51</v>
          </cell>
          <cell r="M9">
            <v>2276.87</v>
          </cell>
          <cell r="N9">
            <v>5691.2</v>
          </cell>
          <cell r="O9">
            <v>3021</v>
          </cell>
          <cell r="Q9">
            <v>525</v>
          </cell>
          <cell r="R9">
            <v>215.5</v>
          </cell>
          <cell r="S9">
            <v>339.75</v>
          </cell>
          <cell r="T9">
            <v>618.5</v>
          </cell>
          <cell r="U9">
            <v>16425.37</v>
          </cell>
          <cell r="V9">
            <v>15271.13</v>
          </cell>
          <cell r="W9">
            <v>6709.87</v>
          </cell>
          <cell r="X9">
            <v>58.2</v>
          </cell>
          <cell r="Y9">
            <v>920</v>
          </cell>
          <cell r="Z9">
            <v>1100</v>
          </cell>
          <cell r="AA9">
            <v>9617.74</v>
          </cell>
          <cell r="AB9">
            <v>4757.8999999999996</v>
          </cell>
          <cell r="AC9">
            <v>34936.109400000001</v>
          </cell>
          <cell r="AE9">
            <v>75.849999999999994</v>
          </cell>
          <cell r="AF9">
            <v>598.61</v>
          </cell>
          <cell r="AG9">
            <v>2495</v>
          </cell>
          <cell r="AH9">
            <v>740</v>
          </cell>
          <cell r="AI9">
            <v>1390</v>
          </cell>
          <cell r="AJ9">
            <v>736.66</v>
          </cell>
          <cell r="AL9">
            <v>1273.48</v>
          </cell>
          <cell r="AP9">
            <v>1197.269</v>
          </cell>
          <cell r="AV9">
            <v>46.38</v>
          </cell>
          <cell r="AZ9">
            <v>206.7</v>
          </cell>
          <cell r="BE9">
            <v>14204</v>
          </cell>
          <cell r="BG9">
            <v>36.6</v>
          </cell>
          <cell r="BH9">
            <v>239.88</v>
          </cell>
          <cell r="BY9">
            <v>508.54</v>
          </cell>
          <cell r="CD9">
            <v>319.2</v>
          </cell>
          <cell r="CE9">
            <v>317.36700000000002</v>
          </cell>
          <cell r="CF9">
            <v>298.36</v>
          </cell>
          <cell r="CG9">
            <v>1080</v>
          </cell>
          <cell r="CH9">
            <v>900</v>
          </cell>
          <cell r="CI9" t="str">
            <v>#N/A N/A</v>
          </cell>
          <cell r="CJ9">
            <v>550</v>
          </cell>
          <cell r="CK9">
            <v>1825</v>
          </cell>
          <cell r="CM9">
            <v>181.7</v>
          </cell>
          <cell r="CN9">
            <v>20.02</v>
          </cell>
          <cell r="CO9" t="str">
            <v>#N/A N/A</v>
          </cell>
          <cell r="CQ9">
            <v>9.2899999999999991</v>
          </cell>
          <cell r="CR9">
            <v>36.5</v>
          </cell>
          <cell r="CS9">
            <v>1127.5</v>
          </cell>
          <cell r="CU9">
            <v>900</v>
          </cell>
          <cell r="CW9">
            <v>46.341463414634148</v>
          </cell>
          <cell r="CX9">
            <v>477.83150000000001</v>
          </cell>
          <cell r="CZ9">
            <v>335.8</v>
          </cell>
          <cell r="DA9">
            <v>2459.6</v>
          </cell>
          <cell r="DB9">
            <v>16.14</v>
          </cell>
          <cell r="DC9" t="str">
            <v>#N/A N/A</v>
          </cell>
          <cell r="DD9">
            <v>117.45</v>
          </cell>
        </row>
        <row r="10">
          <cell r="A10">
            <v>38723</v>
          </cell>
          <cell r="C10">
            <v>72</v>
          </cell>
          <cell r="D10" t="str">
            <v>#N/A N/A</v>
          </cell>
          <cell r="E10" t="str">
            <v>#N/A N/A</v>
          </cell>
          <cell r="L10">
            <v>1412.78</v>
          </cell>
          <cell r="M10">
            <v>2305.62</v>
          </cell>
          <cell r="N10">
            <v>5731.8</v>
          </cell>
          <cell r="O10">
            <v>3029</v>
          </cell>
          <cell r="Q10">
            <v>525</v>
          </cell>
          <cell r="R10">
            <v>214.25</v>
          </cell>
          <cell r="S10">
            <v>330.75</v>
          </cell>
          <cell r="T10">
            <v>611</v>
          </cell>
          <cell r="U10">
            <v>16428.21</v>
          </cell>
          <cell r="V10">
            <v>15344.44</v>
          </cell>
          <cell r="W10">
            <v>6694.82</v>
          </cell>
          <cell r="X10">
            <v>58.55</v>
          </cell>
          <cell r="Y10">
            <v>1020</v>
          </cell>
          <cell r="Z10">
            <v>1110</v>
          </cell>
          <cell r="AA10">
            <v>9640.2900000000009</v>
          </cell>
          <cell r="AB10">
            <v>4736.3999999999996</v>
          </cell>
          <cell r="AC10">
            <v>35475.019500000002</v>
          </cell>
          <cell r="AE10">
            <v>75.95</v>
          </cell>
          <cell r="AF10">
            <v>598.61</v>
          </cell>
          <cell r="AG10">
            <v>2497</v>
          </cell>
          <cell r="AH10">
            <v>760</v>
          </cell>
          <cell r="AI10">
            <v>1420</v>
          </cell>
          <cell r="AJ10">
            <v>747.1</v>
          </cell>
          <cell r="AL10">
            <v>1285.45</v>
          </cell>
          <cell r="AP10">
            <v>1209.422</v>
          </cell>
          <cell r="AV10">
            <v>47.32</v>
          </cell>
          <cell r="AZ10">
            <v>204.3</v>
          </cell>
          <cell r="BE10">
            <v>14231</v>
          </cell>
          <cell r="BG10">
            <v>41</v>
          </cell>
          <cell r="BH10">
            <v>243.36</v>
          </cell>
          <cell r="BY10">
            <v>519.57000000000005</v>
          </cell>
          <cell r="CD10">
            <v>322.33</v>
          </cell>
          <cell r="CE10">
            <v>320.49099999999999</v>
          </cell>
          <cell r="CF10">
            <v>299.77999999999997</v>
          </cell>
          <cell r="CG10">
            <v>1090</v>
          </cell>
          <cell r="CH10">
            <v>970</v>
          </cell>
          <cell r="CI10" t="str">
            <v>#N/A N/A</v>
          </cell>
          <cell r="CJ10">
            <v>550</v>
          </cell>
          <cell r="CK10">
            <v>1797</v>
          </cell>
          <cell r="CM10">
            <v>184.55</v>
          </cell>
          <cell r="CN10">
            <v>20.73</v>
          </cell>
          <cell r="CO10" t="str">
            <v>#N/A N/A</v>
          </cell>
          <cell r="CQ10">
            <v>9.27</v>
          </cell>
          <cell r="CR10">
            <v>36.5</v>
          </cell>
          <cell r="CS10">
            <v>1129</v>
          </cell>
          <cell r="CU10">
            <v>915</v>
          </cell>
          <cell r="CW10">
            <v>46.036585365853661</v>
          </cell>
          <cell r="CX10">
            <v>480.08300000000003</v>
          </cell>
          <cell r="CZ10">
            <v>339.47</v>
          </cell>
          <cell r="DA10">
            <v>2462.3000000000002</v>
          </cell>
          <cell r="DB10">
            <v>16.13</v>
          </cell>
          <cell r="DC10" t="str">
            <v>#N/A N/A</v>
          </cell>
          <cell r="DD10">
            <v>119.55</v>
          </cell>
        </row>
        <row r="11">
          <cell r="A11">
            <v>38724</v>
          </cell>
          <cell r="C11">
            <v>72</v>
          </cell>
          <cell r="D11" t="str">
            <v>#N/A N/A</v>
          </cell>
          <cell r="E11" t="str">
            <v>#N/A N/A</v>
          </cell>
          <cell r="L11">
            <v>1412.78</v>
          </cell>
          <cell r="M11">
            <v>2305.62</v>
          </cell>
          <cell r="N11">
            <v>5731.8</v>
          </cell>
          <cell r="O11">
            <v>3029</v>
          </cell>
          <cell r="Q11">
            <v>525</v>
          </cell>
          <cell r="R11">
            <v>214.25</v>
          </cell>
          <cell r="S11">
            <v>330.75</v>
          </cell>
          <cell r="T11">
            <v>611</v>
          </cell>
          <cell r="U11">
            <v>16428.21</v>
          </cell>
          <cell r="V11">
            <v>15344.44</v>
          </cell>
          <cell r="W11">
            <v>6694.82</v>
          </cell>
          <cell r="X11">
            <v>58.55</v>
          </cell>
          <cell r="Y11">
            <v>1020</v>
          </cell>
          <cell r="Z11">
            <v>1110</v>
          </cell>
          <cell r="AA11">
            <v>9640.2900000000009</v>
          </cell>
          <cell r="AB11">
            <v>4736.3999999999996</v>
          </cell>
          <cell r="AC11">
            <v>35475.019500000002</v>
          </cell>
          <cell r="AE11">
            <v>75.95</v>
          </cell>
          <cell r="AF11">
            <v>598.61</v>
          </cell>
          <cell r="AG11">
            <v>2497</v>
          </cell>
          <cell r="AH11">
            <v>760</v>
          </cell>
          <cell r="AI11">
            <v>1420</v>
          </cell>
          <cell r="AJ11">
            <v>747.1</v>
          </cell>
          <cell r="AL11">
            <v>1285.45</v>
          </cell>
          <cell r="AP11">
            <v>1209.422</v>
          </cell>
          <cell r="AV11">
            <v>47.32</v>
          </cell>
          <cell r="AZ11">
            <v>204.3</v>
          </cell>
          <cell r="BE11">
            <v>14231</v>
          </cell>
          <cell r="BG11">
            <v>41</v>
          </cell>
          <cell r="BH11">
            <v>243.36</v>
          </cell>
          <cell r="BY11">
            <v>519.57000000000005</v>
          </cell>
          <cell r="CD11">
            <v>322.33</v>
          </cell>
          <cell r="CE11">
            <v>320.49099999999999</v>
          </cell>
          <cell r="CF11">
            <v>299.77999999999997</v>
          </cell>
          <cell r="CG11">
            <v>1090</v>
          </cell>
          <cell r="CH11">
            <v>970</v>
          </cell>
          <cell r="CI11" t="str">
            <v>#N/A N/A</v>
          </cell>
          <cell r="CJ11">
            <v>550</v>
          </cell>
          <cell r="CK11">
            <v>1797</v>
          </cell>
          <cell r="CM11">
            <v>184.55</v>
          </cell>
          <cell r="CN11">
            <v>20.73</v>
          </cell>
          <cell r="CO11" t="str">
            <v>#N/A N/A</v>
          </cell>
          <cell r="CQ11">
            <v>9.27</v>
          </cell>
          <cell r="CR11">
            <v>36.5</v>
          </cell>
          <cell r="CS11">
            <v>1129</v>
          </cell>
          <cell r="CU11">
            <v>915</v>
          </cell>
          <cell r="CW11">
            <v>46.036585365853661</v>
          </cell>
          <cell r="CX11">
            <v>480.08300000000003</v>
          </cell>
          <cell r="CZ11">
            <v>339.47</v>
          </cell>
          <cell r="DA11">
            <v>2462.3000000000002</v>
          </cell>
          <cell r="DB11">
            <v>16.13</v>
          </cell>
          <cell r="DC11" t="str">
            <v>#N/A N/A</v>
          </cell>
          <cell r="DD11">
            <v>119.55</v>
          </cell>
        </row>
        <row r="12">
          <cell r="A12">
            <v>38725</v>
          </cell>
          <cell r="C12">
            <v>72</v>
          </cell>
          <cell r="D12" t="str">
            <v>#N/A N/A</v>
          </cell>
          <cell r="E12" t="str">
            <v>#N/A N/A</v>
          </cell>
          <cell r="L12">
            <v>1412.78</v>
          </cell>
          <cell r="M12">
            <v>2305.62</v>
          </cell>
          <cell r="N12">
            <v>5731.8</v>
          </cell>
          <cell r="O12">
            <v>3029</v>
          </cell>
          <cell r="Q12">
            <v>525</v>
          </cell>
          <cell r="R12">
            <v>214.25</v>
          </cell>
          <cell r="S12">
            <v>330.75</v>
          </cell>
          <cell r="T12">
            <v>611</v>
          </cell>
          <cell r="U12">
            <v>16428.21</v>
          </cell>
          <cell r="V12">
            <v>15344.44</v>
          </cell>
          <cell r="W12">
            <v>6694.82</v>
          </cell>
          <cell r="X12">
            <v>58.55</v>
          </cell>
          <cell r="Y12">
            <v>1020</v>
          </cell>
          <cell r="Z12">
            <v>1110</v>
          </cell>
          <cell r="AA12">
            <v>9640.2900000000009</v>
          </cell>
          <cell r="AB12">
            <v>4736.3999999999996</v>
          </cell>
          <cell r="AC12">
            <v>35475.019500000002</v>
          </cell>
          <cell r="AE12">
            <v>75.95</v>
          </cell>
          <cell r="AF12">
            <v>598.61</v>
          </cell>
          <cell r="AG12">
            <v>2497</v>
          </cell>
          <cell r="AH12">
            <v>760</v>
          </cell>
          <cell r="AI12">
            <v>1420</v>
          </cell>
          <cell r="AJ12">
            <v>747.1</v>
          </cell>
          <cell r="AL12">
            <v>1285.45</v>
          </cell>
          <cell r="AP12">
            <v>1209.422</v>
          </cell>
          <cell r="AV12">
            <v>47.32</v>
          </cell>
          <cell r="AZ12">
            <v>204.3</v>
          </cell>
          <cell r="BE12">
            <v>14231</v>
          </cell>
          <cell r="BG12">
            <v>41</v>
          </cell>
          <cell r="BH12">
            <v>243.36</v>
          </cell>
          <cell r="BY12">
            <v>519.57000000000005</v>
          </cell>
          <cell r="CD12">
            <v>322.33</v>
          </cell>
          <cell r="CE12">
            <v>320.49099999999999</v>
          </cell>
          <cell r="CF12">
            <v>299.77999999999997</v>
          </cell>
          <cell r="CG12">
            <v>1090</v>
          </cell>
          <cell r="CH12">
            <v>970</v>
          </cell>
          <cell r="CI12" t="str">
            <v>#N/A N/A</v>
          </cell>
          <cell r="CJ12">
            <v>550</v>
          </cell>
          <cell r="CK12">
            <v>1797</v>
          </cell>
          <cell r="CM12">
            <v>184.55</v>
          </cell>
          <cell r="CN12">
            <v>20.73</v>
          </cell>
          <cell r="CO12" t="str">
            <v>#N/A N/A</v>
          </cell>
          <cell r="CQ12">
            <v>9.27</v>
          </cell>
          <cell r="CR12">
            <v>36.5</v>
          </cell>
          <cell r="CS12">
            <v>1129</v>
          </cell>
          <cell r="CU12">
            <v>915</v>
          </cell>
          <cell r="CW12">
            <v>46.036585365853661</v>
          </cell>
          <cell r="CX12">
            <v>480.08300000000003</v>
          </cell>
          <cell r="CZ12">
            <v>339.47</v>
          </cell>
          <cell r="DA12">
            <v>2462.3000000000002</v>
          </cell>
          <cell r="DB12">
            <v>16.13</v>
          </cell>
          <cell r="DC12" t="str">
            <v>#N/A N/A</v>
          </cell>
          <cell r="DD12">
            <v>119.55</v>
          </cell>
        </row>
        <row r="13">
          <cell r="A13">
            <v>38726</v>
          </cell>
          <cell r="C13">
            <v>72</v>
          </cell>
          <cell r="D13" t="str">
            <v>#N/A N/A</v>
          </cell>
          <cell r="E13" t="str">
            <v>#N/A N/A</v>
          </cell>
          <cell r="L13">
            <v>1408.33</v>
          </cell>
          <cell r="M13">
            <v>2318.69</v>
          </cell>
          <cell r="N13">
            <v>5731.5</v>
          </cell>
          <cell r="O13">
            <v>3031</v>
          </cell>
          <cell r="Q13">
            <v>525</v>
          </cell>
          <cell r="R13">
            <v>211</v>
          </cell>
          <cell r="S13">
            <v>326.5</v>
          </cell>
          <cell r="T13">
            <v>594</v>
          </cell>
          <cell r="U13">
            <v>16428.21</v>
          </cell>
          <cell r="V13">
            <v>15547.43</v>
          </cell>
          <cell r="W13">
            <v>6742.39</v>
          </cell>
          <cell r="X13">
            <v>59.45</v>
          </cell>
          <cell r="Y13">
            <v>1020</v>
          </cell>
          <cell r="Z13">
            <v>1110</v>
          </cell>
          <cell r="AA13">
            <v>9583.4500000000007</v>
          </cell>
          <cell r="AB13">
            <v>4775.8</v>
          </cell>
          <cell r="AC13">
            <v>35337.328099999999</v>
          </cell>
          <cell r="AE13">
            <v>77</v>
          </cell>
          <cell r="AF13">
            <v>598.61</v>
          </cell>
          <cell r="AG13">
            <v>2493</v>
          </cell>
          <cell r="AH13">
            <v>760</v>
          </cell>
          <cell r="AI13">
            <v>1420</v>
          </cell>
          <cell r="AJ13">
            <v>753.88</v>
          </cell>
          <cell r="AL13">
            <v>1290.1500000000001</v>
          </cell>
          <cell r="AP13">
            <v>1215.6679999999999</v>
          </cell>
          <cell r="AV13">
            <v>47.47</v>
          </cell>
          <cell r="AZ13">
            <v>204.3</v>
          </cell>
          <cell r="BE13">
            <v>14898</v>
          </cell>
          <cell r="BG13">
            <v>41</v>
          </cell>
          <cell r="BH13">
            <v>243.6</v>
          </cell>
          <cell r="BY13">
            <v>524.33000000000004</v>
          </cell>
          <cell r="CD13">
            <v>322.83999999999997</v>
          </cell>
          <cell r="CE13">
            <v>320.80200000000002</v>
          </cell>
          <cell r="CF13">
            <v>303.37</v>
          </cell>
          <cell r="CG13">
            <v>1090</v>
          </cell>
          <cell r="CH13">
            <v>970</v>
          </cell>
          <cell r="CI13" t="str">
            <v>#N/A N/A</v>
          </cell>
          <cell r="CJ13">
            <v>545</v>
          </cell>
          <cell r="CK13">
            <v>1775</v>
          </cell>
          <cell r="CM13">
            <v>179.75</v>
          </cell>
          <cell r="CN13">
            <v>20.420000000000002</v>
          </cell>
          <cell r="CO13" t="str">
            <v>#N/A N/A</v>
          </cell>
          <cell r="CQ13">
            <v>8.83</v>
          </cell>
          <cell r="CR13">
            <v>36.5</v>
          </cell>
          <cell r="CS13">
            <v>1148.5</v>
          </cell>
          <cell r="CU13">
            <v>915</v>
          </cell>
          <cell r="CW13">
            <v>46.493902439024396</v>
          </cell>
          <cell r="CX13">
            <v>477.1995</v>
          </cell>
          <cell r="CZ13">
            <v>337.33</v>
          </cell>
          <cell r="DA13">
            <v>2494</v>
          </cell>
          <cell r="DB13">
            <v>16</v>
          </cell>
          <cell r="DC13" t="str">
            <v>#N/A N/A</v>
          </cell>
          <cell r="DD13">
            <v>120.15</v>
          </cell>
        </row>
        <row r="14">
          <cell r="A14">
            <v>38727</v>
          </cell>
          <cell r="C14">
            <v>72</v>
          </cell>
          <cell r="D14" t="str">
            <v>#N/A N/A</v>
          </cell>
          <cell r="E14" t="str">
            <v>#N/A N/A</v>
          </cell>
          <cell r="L14">
            <v>1396.29</v>
          </cell>
          <cell r="M14">
            <v>2320.3200000000002</v>
          </cell>
          <cell r="N14">
            <v>5688.8</v>
          </cell>
          <cell r="O14">
            <v>3033</v>
          </cell>
          <cell r="Q14">
            <v>525</v>
          </cell>
          <cell r="R14">
            <v>213.25</v>
          </cell>
          <cell r="S14">
            <v>329.25</v>
          </cell>
          <cell r="T14">
            <v>589</v>
          </cell>
          <cell r="U14">
            <v>16124.35</v>
          </cell>
          <cell r="V14">
            <v>15569.91</v>
          </cell>
          <cell r="W14">
            <v>6707.4</v>
          </cell>
          <cell r="X14">
            <v>59.45</v>
          </cell>
          <cell r="Y14">
            <v>1020</v>
          </cell>
          <cell r="Z14">
            <v>1110</v>
          </cell>
          <cell r="AA14">
            <v>9445.2999999999993</v>
          </cell>
          <cell r="AB14">
            <v>4761.7</v>
          </cell>
          <cell r="AC14">
            <v>35049.421900000001</v>
          </cell>
          <cell r="AE14">
            <v>77</v>
          </cell>
          <cell r="AF14">
            <v>600.25</v>
          </cell>
          <cell r="AG14">
            <v>2470</v>
          </cell>
          <cell r="AH14">
            <v>760</v>
          </cell>
          <cell r="AI14">
            <v>1420</v>
          </cell>
          <cell r="AJ14">
            <v>744.71</v>
          </cell>
          <cell r="AL14">
            <v>1289.69</v>
          </cell>
          <cell r="AP14">
            <v>1220.6179999999999</v>
          </cell>
          <cell r="AV14">
            <v>46.57</v>
          </cell>
          <cell r="AZ14">
            <v>208.8</v>
          </cell>
          <cell r="BE14">
            <v>14888</v>
          </cell>
          <cell r="BG14">
            <v>41</v>
          </cell>
          <cell r="BH14">
            <v>244.6</v>
          </cell>
          <cell r="BY14">
            <v>527.75</v>
          </cell>
          <cell r="CD14">
            <v>321.55</v>
          </cell>
          <cell r="CE14">
            <v>319.52</v>
          </cell>
          <cell r="CF14">
            <v>300.63</v>
          </cell>
          <cell r="CG14">
            <v>1090</v>
          </cell>
          <cell r="CH14">
            <v>970</v>
          </cell>
          <cell r="CI14" t="str">
            <v>#N/A N/A</v>
          </cell>
          <cell r="CJ14">
            <v>545</v>
          </cell>
          <cell r="CK14">
            <v>1731</v>
          </cell>
          <cell r="CM14">
            <v>178</v>
          </cell>
          <cell r="CN14">
            <v>20.09</v>
          </cell>
          <cell r="CO14" t="str">
            <v>#N/A N/A</v>
          </cell>
          <cell r="CQ14">
            <v>8.58</v>
          </cell>
          <cell r="CR14">
            <v>36.5</v>
          </cell>
          <cell r="CS14">
            <v>1151.5</v>
          </cell>
          <cell r="CU14">
            <v>915</v>
          </cell>
          <cell r="CW14">
            <v>46.493902439024396</v>
          </cell>
          <cell r="CX14">
            <v>476.5675</v>
          </cell>
          <cell r="CZ14">
            <v>336.45</v>
          </cell>
          <cell r="DA14">
            <v>2500.1999999999998</v>
          </cell>
          <cell r="DB14">
            <v>15.85</v>
          </cell>
          <cell r="DC14" t="str">
            <v>#N/A N/A</v>
          </cell>
          <cell r="DD14">
            <v>119.1</v>
          </cell>
        </row>
        <row r="15">
          <cell r="A15">
            <v>38728</v>
          </cell>
          <cell r="C15">
            <v>72</v>
          </cell>
          <cell r="D15" t="str">
            <v>#N/A N/A</v>
          </cell>
          <cell r="E15" t="str">
            <v>#N/A N/A</v>
          </cell>
          <cell r="L15">
            <v>1394.09</v>
          </cell>
          <cell r="M15">
            <v>2331.36</v>
          </cell>
          <cell r="N15">
            <v>5731.5</v>
          </cell>
          <cell r="O15">
            <v>3038</v>
          </cell>
          <cell r="Q15">
            <v>525</v>
          </cell>
          <cell r="R15">
            <v>214.5</v>
          </cell>
          <cell r="S15">
            <v>330.5</v>
          </cell>
          <cell r="T15">
            <v>584.5</v>
          </cell>
          <cell r="U15">
            <v>16363.59</v>
          </cell>
          <cell r="V15">
            <v>15650.88</v>
          </cell>
          <cell r="W15">
            <v>6735.89</v>
          </cell>
          <cell r="X15">
            <v>58.15</v>
          </cell>
          <cell r="Y15">
            <v>1020</v>
          </cell>
          <cell r="Z15">
            <v>1110</v>
          </cell>
          <cell r="AA15">
            <v>9445.2999999999993</v>
          </cell>
          <cell r="AB15">
            <v>4781.1000000000004</v>
          </cell>
          <cell r="AC15">
            <v>35952.238299999997</v>
          </cell>
          <cell r="AE15">
            <v>75.75</v>
          </cell>
          <cell r="AF15">
            <v>600.25</v>
          </cell>
          <cell r="AG15">
            <v>2428</v>
          </cell>
          <cell r="AH15">
            <v>760</v>
          </cell>
          <cell r="AI15">
            <v>1420</v>
          </cell>
          <cell r="AJ15">
            <v>744.17</v>
          </cell>
          <cell r="AL15">
            <v>1294.18</v>
          </cell>
          <cell r="AP15">
            <v>1211.0530000000001</v>
          </cell>
          <cell r="AV15">
            <v>46.7</v>
          </cell>
          <cell r="AZ15">
            <v>211.5</v>
          </cell>
          <cell r="BE15">
            <v>14610</v>
          </cell>
          <cell r="BG15">
            <v>41</v>
          </cell>
          <cell r="BH15">
            <v>243.23</v>
          </cell>
          <cell r="BY15">
            <v>536.44000000000005</v>
          </cell>
          <cell r="CD15">
            <v>323.38</v>
          </cell>
          <cell r="CE15">
            <v>321.346</v>
          </cell>
          <cell r="CF15">
            <v>300.20999999999998</v>
          </cell>
          <cell r="CG15">
            <v>1090</v>
          </cell>
          <cell r="CH15">
            <v>970</v>
          </cell>
          <cell r="CI15" t="str">
            <v>#N/A N/A</v>
          </cell>
          <cell r="CJ15">
            <v>545</v>
          </cell>
          <cell r="CK15">
            <v>1684</v>
          </cell>
          <cell r="CM15">
            <v>176.31</v>
          </cell>
          <cell r="CN15">
            <v>20.95</v>
          </cell>
          <cell r="CO15" t="str">
            <v>#N/A N/A</v>
          </cell>
          <cell r="CQ15">
            <v>8.5299999999999994</v>
          </cell>
          <cell r="CR15">
            <v>36.5</v>
          </cell>
          <cell r="CS15">
            <v>1183</v>
          </cell>
          <cell r="CU15">
            <v>915</v>
          </cell>
          <cell r="CW15">
            <v>46.646341463414636</v>
          </cell>
          <cell r="CX15">
            <v>476.2595</v>
          </cell>
          <cell r="CZ15">
            <v>335.71</v>
          </cell>
          <cell r="DA15">
            <v>2506.1</v>
          </cell>
          <cell r="DB15">
            <v>15.98</v>
          </cell>
          <cell r="DC15" t="str">
            <v>#N/A N/A</v>
          </cell>
          <cell r="DD15">
            <v>117.2</v>
          </cell>
        </row>
        <row r="16">
          <cell r="A16">
            <v>38729</v>
          </cell>
          <cell r="C16">
            <v>72</v>
          </cell>
          <cell r="D16" t="str">
            <v>#N/A N/A</v>
          </cell>
          <cell r="E16" t="str">
            <v>#N/A N/A</v>
          </cell>
          <cell r="L16">
            <v>1402.58</v>
          </cell>
          <cell r="M16">
            <v>2316.69</v>
          </cell>
          <cell r="N16">
            <v>5735.1</v>
          </cell>
          <cell r="O16">
            <v>3051</v>
          </cell>
          <cell r="Q16">
            <v>525</v>
          </cell>
          <cell r="R16">
            <v>212.75</v>
          </cell>
          <cell r="S16">
            <v>333.25</v>
          </cell>
          <cell r="T16">
            <v>572</v>
          </cell>
          <cell r="U16">
            <v>16445.189999999999</v>
          </cell>
          <cell r="V16">
            <v>15719.37</v>
          </cell>
          <cell r="W16">
            <v>6725.61</v>
          </cell>
          <cell r="X16">
            <v>58.65</v>
          </cell>
          <cell r="Y16">
            <v>1020</v>
          </cell>
          <cell r="Z16">
            <v>1110</v>
          </cell>
          <cell r="AA16">
            <v>9380.8799999999992</v>
          </cell>
          <cell r="AB16">
            <v>4781.7</v>
          </cell>
          <cell r="AC16">
            <v>35779.300799999997</v>
          </cell>
          <cell r="AE16">
            <v>76.349999999999994</v>
          </cell>
          <cell r="AF16">
            <v>600.25</v>
          </cell>
          <cell r="AG16">
            <v>2382</v>
          </cell>
          <cell r="AH16">
            <v>760</v>
          </cell>
          <cell r="AI16">
            <v>1420</v>
          </cell>
          <cell r="AJ16">
            <v>742.07</v>
          </cell>
          <cell r="AL16">
            <v>1286.06</v>
          </cell>
          <cell r="AP16">
            <v>1226.704</v>
          </cell>
          <cell r="AV16">
            <v>46.36</v>
          </cell>
          <cell r="AZ16">
            <v>214.8</v>
          </cell>
          <cell r="BE16">
            <v>14602</v>
          </cell>
          <cell r="BG16">
            <v>41</v>
          </cell>
          <cell r="BH16">
            <v>245.29</v>
          </cell>
          <cell r="BY16">
            <v>529.28</v>
          </cell>
          <cell r="CD16">
            <v>322.58999999999997</v>
          </cell>
          <cell r="CE16">
            <v>320.36599999999999</v>
          </cell>
          <cell r="CF16">
            <v>302.48</v>
          </cell>
          <cell r="CG16">
            <v>1090</v>
          </cell>
          <cell r="CH16">
            <v>970</v>
          </cell>
          <cell r="CI16" t="str">
            <v>#N/A N/A</v>
          </cell>
          <cell r="CJ16">
            <v>545</v>
          </cell>
          <cell r="CK16">
            <v>1607</v>
          </cell>
          <cell r="CM16">
            <v>176.85</v>
          </cell>
          <cell r="CN16">
            <v>20.75</v>
          </cell>
          <cell r="CO16" t="str">
            <v>#N/A N/A</v>
          </cell>
          <cell r="CQ16">
            <v>8.6999999999999993</v>
          </cell>
          <cell r="CR16">
            <v>36.5</v>
          </cell>
          <cell r="CS16">
            <v>1208</v>
          </cell>
          <cell r="CU16">
            <v>915</v>
          </cell>
          <cell r="CW16">
            <v>45.884146341463421</v>
          </cell>
          <cell r="CX16">
            <v>472.21675000000005</v>
          </cell>
          <cell r="CZ16">
            <v>334.71</v>
          </cell>
          <cell r="DA16">
            <v>2500.6999999999998</v>
          </cell>
          <cell r="DB16">
            <v>15.87</v>
          </cell>
          <cell r="DC16" t="str">
            <v>#N/A N/A</v>
          </cell>
          <cell r="DD16">
            <v>117.55</v>
          </cell>
        </row>
        <row r="17">
          <cell r="A17">
            <v>38730</v>
          </cell>
          <cell r="C17">
            <v>72</v>
          </cell>
          <cell r="D17" t="str">
            <v>#N/A N/A</v>
          </cell>
          <cell r="E17" t="str">
            <v>#N/A N/A</v>
          </cell>
          <cell r="L17">
            <v>1416.28</v>
          </cell>
          <cell r="M17">
            <v>2317.04</v>
          </cell>
          <cell r="N17">
            <v>5711</v>
          </cell>
          <cell r="O17">
            <v>3066</v>
          </cell>
          <cell r="Q17">
            <v>525</v>
          </cell>
          <cell r="R17">
            <v>213.5</v>
          </cell>
          <cell r="S17">
            <v>334.75</v>
          </cell>
          <cell r="T17">
            <v>576.5</v>
          </cell>
          <cell r="U17">
            <v>16454.95</v>
          </cell>
          <cell r="V17">
            <v>15787.97</v>
          </cell>
          <cell r="W17">
            <v>6682.35</v>
          </cell>
          <cell r="X17">
            <v>57.85</v>
          </cell>
          <cell r="Y17">
            <v>1100</v>
          </cell>
          <cell r="Z17">
            <v>1130</v>
          </cell>
          <cell r="AA17">
            <v>9374.19</v>
          </cell>
          <cell r="AB17">
            <v>4784.3</v>
          </cell>
          <cell r="AC17">
            <v>35897.121099999997</v>
          </cell>
          <cell r="AE17">
            <v>74.7</v>
          </cell>
          <cell r="AF17">
            <v>600.25</v>
          </cell>
          <cell r="AG17">
            <v>2341</v>
          </cell>
          <cell r="AH17">
            <v>780</v>
          </cell>
          <cell r="AI17">
            <v>1430</v>
          </cell>
          <cell r="AJ17">
            <v>746.34</v>
          </cell>
          <cell r="AL17">
            <v>1287.6099999999999</v>
          </cell>
          <cell r="AP17">
            <v>1221.4590000000001</v>
          </cell>
          <cell r="AV17">
            <v>46.69</v>
          </cell>
          <cell r="AZ17">
            <v>216</v>
          </cell>
          <cell r="BE17">
            <v>14784</v>
          </cell>
          <cell r="BG17">
            <v>41.75</v>
          </cell>
          <cell r="BH17">
            <v>248.65</v>
          </cell>
          <cell r="BY17">
            <v>526.64</v>
          </cell>
          <cell r="CD17">
            <v>322.37</v>
          </cell>
          <cell r="CE17">
            <v>320.15199999999999</v>
          </cell>
          <cell r="CF17">
            <v>301.55</v>
          </cell>
          <cell r="CG17">
            <v>1100</v>
          </cell>
          <cell r="CH17">
            <v>990</v>
          </cell>
          <cell r="CI17" t="str">
            <v>#N/A N/A</v>
          </cell>
          <cell r="CJ17">
            <v>545</v>
          </cell>
          <cell r="CK17">
            <v>1554</v>
          </cell>
          <cell r="CM17">
            <v>177.11</v>
          </cell>
          <cell r="CN17">
            <v>20.73</v>
          </cell>
          <cell r="CO17" t="str">
            <v>#N/A N/A</v>
          </cell>
          <cell r="CQ17">
            <v>8.5399999999999991</v>
          </cell>
          <cell r="CR17">
            <v>36.5</v>
          </cell>
          <cell r="CS17">
            <v>1235</v>
          </cell>
          <cell r="CU17">
            <v>930</v>
          </cell>
          <cell r="CW17">
            <v>46.493902439024396</v>
          </cell>
          <cell r="CX17">
            <v>476.37725</v>
          </cell>
          <cell r="CZ17">
            <v>336.84</v>
          </cell>
          <cell r="DA17">
            <v>2543.9</v>
          </cell>
          <cell r="DB17">
            <v>16.399999999999999</v>
          </cell>
          <cell r="DC17" t="str">
            <v>#N/A N/A</v>
          </cell>
          <cell r="DD17">
            <v>119.95</v>
          </cell>
        </row>
        <row r="18">
          <cell r="A18">
            <v>38731</v>
          </cell>
          <cell r="C18">
            <v>72</v>
          </cell>
          <cell r="D18" t="str">
            <v>#N/A N/A</v>
          </cell>
          <cell r="E18" t="str">
            <v>#N/A N/A</v>
          </cell>
          <cell r="L18">
            <v>1416.28</v>
          </cell>
          <cell r="M18">
            <v>2317.04</v>
          </cell>
          <cell r="N18">
            <v>5711</v>
          </cell>
          <cell r="O18">
            <v>3066</v>
          </cell>
          <cell r="Q18">
            <v>525</v>
          </cell>
          <cell r="R18">
            <v>213.5</v>
          </cell>
          <cell r="S18">
            <v>334.75</v>
          </cell>
          <cell r="T18">
            <v>576.5</v>
          </cell>
          <cell r="U18">
            <v>16454.95</v>
          </cell>
          <cell r="V18">
            <v>15787.97</v>
          </cell>
          <cell r="W18">
            <v>6682.35</v>
          </cell>
          <cell r="X18">
            <v>57.85</v>
          </cell>
          <cell r="Y18">
            <v>1100</v>
          </cell>
          <cell r="Z18">
            <v>1130</v>
          </cell>
          <cell r="AA18">
            <v>9374.19</v>
          </cell>
          <cell r="AB18">
            <v>4784.3</v>
          </cell>
          <cell r="AC18">
            <v>35897.121099999997</v>
          </cell>
          <cell r="AE18">
            <v>74.7</v>
          </cell>
          <cell r="AF18">
            <v>600.25</v>
          </cell>
          <cell r="AG18">
            <v>2341</v>
          </cell>
          <cell r="AH18">
            <v>780</v>
          </cell>
          <cell r="AI18">
            <v>1430</v>
          </cell>
          <cell r="AJ18">
            <v>746.34</v>
          </cell>
          <cell r="AL18">
            <v>1287.6099999999999</v>
          </cell>
          <cell r="AP18">
            <v>1221.4590000000001</v>
          </cell>
          <cell r="AV18">
            <v>46.69</v>
          </cell>
          <cell r="AZ18">
            <v>216</v>
          </cell>
          <cell r="BE18">
            <v>14784</v>
          </cell>
          <cell r="BG18">
            <v>41.75</v>
          </cell>
          <cell r="BH18">
            <v>248.65</v>
          </cell>
          <cell r="BY18">
            <v>526.64</v>
          </cell>
          <cell r="CD18">
            <v>322.37</v>
          </cell>
          <cell r="CE18">
            <v>320.15199999999999</v>
          </cell>
          <cell r="CF18">
            <v>301.55</v>
          </cell>
          <cell r="CG18">
            <v>1100</v>
          </cell>
          <cell r="CH18">
            <v>990</v>
          </cell>
          <cell r="CI18" t="str">
            <v>#N/A N/A</v>
          </cell>
          <cell r="CJ18">
            <v>545</v>
          </cell>
          <cell r="CK18">
            <v>1554</v>
          </cell>
          <cell r="CM18">
            <v>177.11</v>
          </cell>
          <cell r="CN18">
            <v>20.73</v>
          </cell>
          <cell r="CO18" t="str">
            <v>#N/A N/A</v>
          </cell>
          <cell r="CQ18">
            <v>8.5399999999999991</v>
          </cell>
          <cell r="CR18">
            <v>36.5</v>
          </cell>
          <cell r="CS18">
            <v>1235</v>
          </cell>
          <cell r="CU18">
            <v>930</v>
          </cell>
          <cell r="CW18">
            <v>46.493902439024396</v>
          </cell>
          <cell r="CX18">
            <v>476.37725</v>
          </cell>
          <cell r="CZ18">
            <v>336.84</v>
          </cell>
          <cell r="DA18">
            <v>2543.9</v>
          </cell>
          <cell r="DB18">
            <v>16.399999999999999</v>
          </cell>
          <cell r="DC18" t="str">
            <v>#N/A N/A</v>
          </cell>
          <cell r="DD18">
            <v>119.95</v>
          </cell>
        </row>
        <row r="19">
          <cell r="A19">
            <v>38732</v>
          </cell>
          <cell r="C19">
            <v>72</v>
          </cell>
          <cell r="D19" t="str">
            <v>#N/A N/A</v>
          </cell>
          <cell r="E19" t="str">
            <v>#N/A N/A</v>
          </cell>
          <cell r="L19">
            <v>1416.28</v>
          </cell>
          <cell r="M19">
            <v>2317.04</v>
          </cell>
          <cell r="N19">
            <v>5711</v>
          </cell>
          <cell r="O19">
            <v>3066</v>
          </cell>
          <cell r="Q19">
            <v>525</v>
          </cell>
          <cell r="R19">
            <v>213.5</v>
          </cell>
          <cell r="S19">
            <v>334.75</v>
          </cell>
          <cell r="T19">
            <v>576.5</v>
          </cell>
          <cell r="U19">
            <v>16454.95</v>
          </cell>
          <cell r="V19">
            <v>15787.97</v>
          </cell>
          <cell r="W19">
            <v>6682.35</v>
          </cell>
          <cell r="X19">
            <v>57.85</v>
          </cell>
          <cell r="Y19">
            <v>1100</v>
          </cell>
          <cell r="Z19">
            <v>1130</v>
          </cell>
          <cell r="AA19">
            <v>9374.19</v>
          </cell>
          <cell r="AB19">
            <v>4784.3</v>
          </cell>
          <cell r="AC19">
            <v>35897.121099999997</v>
          </cell>
          <cell r="AE19">
            <v>74.7</v>
          </cell>
          <cell r="AF19">
            <v>600.25</v>
          </cell>
          <cell r="AG19">
            <v>2341</v>
          </cell>
          <cell r="AH19">
            <v>780</v>
          </cell>
          <cell r="AI19">
            <v>1430</v>
          </cell>
          <cell r="AJ19">
            <v>746.34</v>
          </cell>
          <cell r="AL19">
            <v>1287.6099999999999</v>
          </cell>
          <cell r="AP19">
            <v>1221.4590000000001</v>
          </cell>
          <cell r="AV19">
            <v>46.69</v>
          </cell>
          <cell r="AZ19">
            <v>216</v>
          </cell>
          <cell r="BE19">
            <v>14784</v>
          </cell>
          <cell r="BG19">
            <v>41.75</v>
          </cell>
          <cell r="BH19">
            <v>248.65</v>
          </cell>
          <cell r="BY19">
            <v>526.64</v>
          </cell>
          <cell r="CD19">
            <v>322.37</v>
          </cell>
          <cell r="CE19">
            <v>320.15199999999999</v>
          </cell>
          <cell r="CF19">
            <v>301.55</v>
          </cell>
          <cell r="CG19">
            <v>1100</v>
          </cell>
          <cell r="CH19">
            <v>990</v>
          </cell>
          <cell r="CI19" t="str">
            <v>#N/A N/A</v>
          </cell>
          <cell r="CJ19">
            <v>545</v>
          </cell>
          <cell r="CK19">
            <v>1554</v>
          </cell>
          <cell r="CM19">
            <v>177.11</v>
          </cell>
          <cell r="CN19">
            <v>20.73</v>
          </cell>
          <cell r="CO19" t="str">
            <v>#N/A N/A</v>
          </cell>
          <cell r="CQ19">
            <v>8.5399999999999991</v>
          </cell>
          <cell r="CR19">
            <v>36.5</v>
          </cell>
          <cell r="CS19">
            <v>1235</v>
          </cell>
          <cell r="CU19">
            <v>930</v>
          </cell>
          <cell r="CW19">
            <v>46.493902439024396</v>
          </cell>
          <cell r="CX19">
            <v>476.37725</v>
          </cell>
          <cell r="CZ19">
            <v>336.84</v>
          </cell>
          <cell r="DA19">
            <v>2543.9</v>
          </cell>
          <cell r="DB19">
            <v>16.399999999999999</v>
          </cell>
          <cell r="DC19" t="str">
            <v>#N/A N/A</v>
          </cell>
          <cell r="DD19">
            <v>119.95</v>
          </cell>
        </row>
        <row r="20">
          <cell r="A20">
            <v>38733</v>
          </cell>
          <cell r="C20">
            <v>83</v>
          </cell>
          <cell r="D20" t="str">
            <v>#N/A N/A</v>
          </cell>
          <cell r="E20" t="str">
            <v>#N/A N/A</v>
          </cell>
          <cell r="L20">
            <v>1421.79</v>
          </cell>
          <cell r="M20">
            <v>2317.04</v>
          </cell>
          <cell r="N20">
            <v>5740.2</v>
          </cell>
          <cell r="O20">
            <v>3087</v>
          </cell>
          <cell r="Q20">
            <v>525</v>
          </cell>
          <cell r="R20">
            <v>213.5</v>
          </cell>
          <cell r="S20">
            <v>334.75</v>
          </cell>
          <cell r="T20">
            <v>576.5</v>
          </cell>
          <cell r="U20">
            <v>16268.03</v>
          </cell>
          <cell r="V20">
            <v>15777.72</v>
          </cell>
          <cell r="W20">
            <v>6724.18</v>
          </cell>
          <cell r="X20">
            <v>58.45</v>
          </cell>
          <cell r="Y20">
            <v>1100</v>
          </cell>
          <cell r="Z20">
            <v>1130</v>
          </cell>
          <cell r="AA20">
            <v>9311.19</v>
          </cell>
          <cell r="AB20">
            <v>4785.8999999999996</v>
          </cell>
          <cell r="AC20">
            <v>36533.679700000001</v>
          </cell>
          <cell r="AE20">
            <v>75.75</v>
          </cell>
          <cell r="AF20">
            <v>600.25</v>
          </cell>
          <cell r="AG20">
            <v>2307</v>
          </cell>
          <cell r="AH20">
            <v>780</v>
          </cell>
          <cell r="AI20">
            <v>1430</v>
          </cell>
          <cell r="AJ20">
            <v>754.97</v>
          </cell>
          <cell r="AL20">
            <v>1287.6099999999999</v>
          </cell>
          <cell r="AP20">
            <v>1202.8689999999999</v>
          </cell>
          <cell r="AV20">
            <v>46.69</v>
          </cell>
          <cell r="AZ20">
            <v>221</v>
          </cell>
          <cell r="BE20">
            <v>14629</v>
          </cell>
          <cell r="BG20">
            <v>41.75</v>
          </cell>
          <cell r="BH20">
            <v>248.72</v>
          </cell>
          <cell r="BY20">
            <v>526.64</v>
          </cell>
          <cell r="CD20">
            <v>322.68</v>
          </cell>
          <cell r="CE20">
            <v>320.31400000000002</v>
          </cell>
          <cell r="CF20">
            <v>302.94</v>
          </cell>
          <cell r="CG20">
            <v>1100</v>
          </cell>
          <cell r="CH20">
            <v>990</v>
          </cell>
          <cell r="CI20" t="str">
            <v>#N/A N/A</v>
          </cell>
          <cell r="CJ20">
            <v>545</v>
          </cell>
          <cell r="CK20">
            <v>1525</v>
          </cell>
          <cell r="CM20">
            <v>177.11</v>
          </cell>
          <cell r="CN20">
            <v>20.68</v>
          </cell>
          <cell r="CO20" t="str">
            <v>#N/A N/A</v>
          </cell>
          <cell r="CQ20">
            <v>8.5399999999999991</v>
          </cell>
          <cell r="CR20">
            <v>36.5</v>
          </cell>
          <cell r="CS20">
            <v>1267</v>
          </cell>
          <cell r="CU20">
            <v>930</v>
          </cell>
          <cell r="CW20">
            <v>47.103658536585371</v>
          </cell>
          <cell r="CX20">
            <v>475.67075</v>
          </cell>
          <cell r="CZ20">
            <v>336.84</v>
          </cell>
          <cell r="DA20">
            <v>2539.3000000000002</v>
          </cell>
          <cell r="DB20">
            <v>16.399999999999999</v>
          </cell>
          <cell r="DC20" t="str">
            <v>#N/A N/A</v>
          </cell>
          <cell r="DD20">
            <v>119.95</v>
          </cell>
        </row>
        <row r="21">
          <cell r="A21">
            <v>38734</v>
          </cell>
          <cell r="C21">
            <v>83</v>
          </cell>
          <cell r="D21" t="str">
            <v>#N/A N/A</v>
          </cell>
          <cell r="E21" t="str">
            <v>#N/A N/A</v>
          </cell>
          <cell r="L21">
            <v>1389.58</v>
          </cell>
          <cell r="M21">
            <v>2302.69</v>
          </cell>
          <cell r="N21">
            <v>5699</v>
          </cell>
          <cell r="O21">
            <v>3104</v>
          </cell>
          <cell r="Q21">
            <v>525</v>
          </cell>
          <cell r="R21">
            <v>208.75</v>
          </cell>
          <cell r="S21">
            <v>328.75</v>
          </cell>
          <cell r="T21">
            <v>571.25</v>
          </cell>
          <cell r="U21">
            <v>15805.95</v>
          </cell>
          <cell r="V21">
            <v>15576.2</v>
          </cell>
          <cell r="W21">
            <v>6711.04</v>
          </cell>
          <cell r="X21">
            <v>59.15</v>
          </cell>
          <cell r="Y21">
            <v>1100</v>
          </cell>
          <cell r="Z21">
            <v>1130</v>
          </cell>
          <cell r="AA21">
            <v>9314.1299999999992</v>
          </cell>
          <cell r="AB21">
            <v>4817.3</v>
          </cell>
          <cell r="AC21">
            <v>36119.371099999997</v>
          </cell>
          <cell r="AE21">
            <v>76.400000000000006</v>
          </cell>
          <cell r="AF21">
            <v>601.32000000000005</v>
          </cell>
          <cell r="AG21">
            <v>2263</v>
          </cell>
          <cell r="AH21">
            <v>780</v>
          </cell>
          <cell r="AI21">
            <v>1430</v>
          </cell>
          <cell r="AJ21">
            <v>739.1</v>
          </cell>
          <cell r="AL21">
            <v>1282.93</v>
          </cell>
          <cell r="AP21">
            <v>1208.4380000000001</v>
          </cell>
          <cell r="AV21">
            <v>45.38</v>
          </cell>
          <cell r="AZ21">
            <v>218.1</v>
          </cell>
          <cell r="BE21">
            <v>14646</v>
          </cell>
          <cell r="BG21">
            <v>41.75</v>
          </cell>
          <cell r="BH21">
            <v>249.48</v>
          </cell>
          <cell r="BY21">
            <v>518.44000000000005</v>
          </cell>
          <cell r="CD21">
            <v>319.62</v>
          </cell>
          <cell r="CE21">
            <v>317.37900000000002</v>
          </cell>
          <cell r="CF21">
            <v>299.18</v>
          </cell>
          <cell r="CG21">
            <v>1100</v>
          </cell>
          <cell r="CH21">
            <v>990</v>
          </cell>
          <cell r="CI21" t="str">
            <v>#N/A N/A</v>
          </cell>
          <cell r="CJ21">
            <v>545</v>
          </cell>
          <cell r="CK21">
            <v>1518</v>
          </cell>
          <cell r="CM21">
            <v>184</v>
          </cell>
          <cell r="CN21">
            <v>21.53</v>
          </cell>
          <cell r="CO21" t="str">
            <v>#N/A N/A</v>
          </cell>
          <cell r="CQ21">
            <v>8.8699999999999992</v>
          </cell>
          <cell r="CR21">
            <v>36.5</v>
          </cell>
          <cell r="CS21">
            <v>1281</v>
          </cell>
          <cell r="CU21">
            <v>930</v>
          </cell>
          <cell r="CW21">
            <v>47.560975609756099</v>
          </cell>
          <cell r="CX21">
            <v>473.983</v>
          </cell>
          <cell r="CZ21">
            <v>342.45</v>
          </cell>
          <cell r="DA21">
            <v>2529.9</v>
          </cell>
          <cell r="DB21">
            <v>16.68</v>
          </cell>
          <cell r="DC21" t="str">
            <v>#N/A N/A</v>
          </cell>
          <cell r="DD21">
            <v>123.8</v>
          </cell>
        </row>
        <row r="22">
          <cell r="A22">
            <v>38735</v>
          </cell>
          <cell r="C22">
            <v>83</v>
          </cell>
          <cell r="D22" t="str">
            <v>#N/A N/A</v>
          </cell>
          <cell r="E22" t="str">
            <v>#N/A N/A</v>
          </cell>
          <cell r="L22">
            <v>1352.91</v>
          </cell>
          <cell r="M22">
            <v>2279.64</v>
          </cell>
          <cell r="N22">
            <v>5663.7</v>
          </cell>
          <cell r="O22">
            <v>3109</v>
          </cell>
          <cell r="Q22">
            <v>525</v>
          </cell>
          <cell r="R22">
            <v>205.75</v>
          </cell>
          <cell r="S22">
            <v>322.5</v>
          </cell>
          <cell r="T22">
            <v>565.75</v>
          </cell>
          <cell r="U22">
            <v>15341.18</v>
          </cell>
          <cell r="V22">
            <v>15481.21</v>
          </cell>
          <cell r="W22">
            <v>6498.92</v>
          </cell>
          <cell r="X22">
            <v>60.55</v>
          </cell>
          <cell r="Y22">
            <v>1100</v>
          </cell>
          <cell r="Z22">
            <v>1130</v>
          </cell>
          <cell r="AA22">
            <v>9237.5300000000007</v>
          </cell>
          <cell r="AB22">
            <v>4739.8</v>
          </cell>
          <cell r="AC22">
            <v>35805.191400000003</v>
          </cell>
          <cell r="AE22">
            <v>78.05</v>
          </cell>
          <cell r="AF22">
            <v>601.32000000000005</v>
          </cell>
          <cell r="AG22">
            <v>2214</v>
          </cell>
          <cell r="AH22">
            <v>780</v>
          </cell>
          <cell r="AI22">
            <v>1430</v>
          </cell>
          <cell r="AJ22">
            <v>708.08</v>
          </cell>
          <cell r="AL22">
            <v>1277.93</v>
          </cell>
          <cell r="AP22">
            <v>1233.3499999999999</v>
          </cell>
          <cell r="AV22">
            <v>44.59</v>
          </cell>
          <cell r="AZ22">
            <v>217.7</v>
          </cell>
          <cell r="BE22">
            <v>14776</v>
          </cell>
          <cell r="BG22">
            <v>41.75</v>
          </cell>
          <cell r="BH22">
            <v>247.04</v>
          </cell>
          <cell r="BY22">
            <v>518.89</v>
          </cell>
          <cell r="CD22">
            <v>316.88</v>
          </cell>
          <cell r="CE22">
            <v>314.86</v>
          </cell>
          <cell r="CF22">
            <v>292.69</v>
          </cell>
          <cell r="CG22">
            <v>1100</v>
          </cell>
          <cell r="CH22">
            <v>990</v>
          </cell>
          <cell r="CI22" t="str">
            <v>#N/A N/A</v>
          </cell>
          <cell r="CJ22">
            <v>545</v>
          </cell>
          <cell r="CK22">
            <v>1527</v>
          </cell>
          <cell r="CM22">
            <v>180</v>
          </cell>
          <cell r="CN22">
            <v>22.47</v>
          </cell>
          <cell r="CO22" t="str">
            <v>#N/A N/A</v>
          </cell>
          <cell r="CQ22">
            <v>8.82</v>
          </cell>
          <cell r="CR22">
            <v>37</v>
          </cell>
          <cell r="CS22">
            <v>1294</v>
          </cell>
          <cell r="CU22">
            <v>930</v>
          </cell>
          <cell r="CW22">
            <v>48.628048780487809</v>
          </cell>
          <cell r="CX22">
            <v>474.37550000000005</v>
          </cell>
          <cell r="CZ22">
            <v>338.8</v>
          </cell>
          <cell r="DA22">
            <v>2555.6999999999998</v>
          </cell>
          <cell r="DB22">
            <v>16.78</v>
          </cell>
          <cell r="DC22" t="str">
            <v>#N/A N/A</v>
          </cell>
          <cell r="DD22">
            <v>121.6</v>
          </cell>
        </row>
        <row r="23">
          <cell r="A23">
            <v>38736</v>
          </cell>
          <cell r="C23">
            <v>83</v>
          </cell>
          <cell r="D23" t="str">
            <v>#N/A N/A</v>
          </cell>
          <cell r="E23" t="str">
            <v>#N/A N/A</v>
          </cell>
          <cell r="L23">
            <v>1360.64</v>
          </cell>
          <cell r="M23">
            <v>2301.81</v>
          </cell>
          <cell r="N23">
            <v>5693.2</v>
          </cell>
          <cell r="O23">
            <v>3109</v>
          </cell>
          <cell r="Q23">
            <v>525</v>
          </cell>
          <cell r="R23">
            <v>205</v>
          </cell>
          <cell r="S23">
            <v>326.5</v>
          </cell>
          <cell r="T23">
            <v>565</v>
          </cell>
          <cell r="U23">
            <v>15696.28</v>
          </cell>
          <cell r="V23">
            <v>15670.42</v>
          </cell>
          <cell r="W23">
            <v>6512.29</v>
          </cell>
          <cell r="X23">
            <v>59.45</v>
          </cell>
          <cell r="Y23">
            <v>1100</v>
          </cell>
          <cell r="Z23">
            <v>1130</v>
          </cell>
          <cell r="AA23">
            <v>9449.84</v>
          </cell>
          <cell r="AB23">
            <v>4790.8999999999996</v>
          </cell>
          <cell r="AC23">
            <v>36858.191400000003</v>
          </cell>
          <cell r="AE23">
            <v>77.400000000000006</v>
          </cell>
          <cell r="AF23">
            <v>601.32000000000005</v>
          </cell>
          <cell r="AG23">
            <v>2169</v>
          </cell>
          <cell r="AH23">
            <v>780</v>
          </cell>
          <cell r="AI23">
            <v>1430</v>
          </cell>
          <cell r="AJ23">
            <v>705.57</v>
          </cell>
          <cell r="AL23">
            <v>1285.04</v>
          </cell>
          <cell r="AP23">
            <v>1251.576</v>
          </cell>
          <cell r="AV23">
            <v>45.58</v>
          </cell>
          <cell r="AZ23">
            <v>223.7</v>
          </cell>
          <cell r="BE23">
            <v>14685</v>
          </cell>
          <cell r="BG23">
            <v>41.75</v>
          </cell>
          <cell r="BH23">
            <v>252.74</v>
          </cell>
          <cell r="BY23">
            <v>534.74</v>
          </cell>
          <cell r="CD23">
            <v>319.92</v>
          </cell>
          <cell r="CE23">
            <v>317.637</v>
          </cell>
          <cell r="CF23">
            <v>296.54000000000002</v>
          </cell>
          <cell r="CG23">
            <v>1100</v>
          </cell>
          <cell r="CH23">
            <v>990</v>
          </cell>
          <cell r="CI23" t="str">
            <v>#N/A N/A</v>
          </cell>
          <cell r="CJ23">
            <v>545</v>
          </cell>
          <cell r="CK23">
            <v>1525</v>
          </cell>
          <cell r="CM23">
            <v>180</v>
          </cell>
          <cell r="CN23">
            <v>22.52</v>
          </cell>
          <cell r="CO23" t="str">
            <v>#N/A N/A</v>
          </cell>
          <cell r="CQ23">
            <v>8.2100000000000009</v>
          </cell>
          <cell r="CR23">
            <v>37</v>
          </cell>
          <cell r="CS23">
            <v>1287</v>
          </cell>
          <cell r="CU23">
            <v>930</v>
          </cell>
          <cell r="CW23">
            <v>48.323170731707322</v>
          </cell>
          <cell r="CX23">
            <v>475.43525</v>
          </cell>
          <cell r="CZ23">
            <v>341.34</v>
          </cell>
          <cell r="DA23">
            <v>2551</v>
          </cell>
          <cell r="DB23">
            <v>17.13</v>
          </cell>
          <cell r="DC23" t="str">
            <v>#N/A N/A</v>
          </cell>
          <cell r="DD23">
            <v>119.4</v>
          </cell>
        </row>
        <row r="24">
          <cell r="A24">
            <v>38737</v>
          </cell>
          <cell r="C24">
            <v>83</v>
          </cell>
          <cell r="D24" t="str">
            <v>#N/A N/A</v>
          </cell>
          <cell r="E24" t="str">
            <v>#N/A N/A</v>
          </cell>
          <cell r="L24">
            <v>1324.78</v>
          </cell>
          <cell r="M24">
            <v>2247.6999999999998</v>
          </cell>
          <cell r="N24">
            <v>5672.4</v>
          </cell>
          <cell r="O24">
            <v>3126</v>
          </cell>
          <cell r="Q24">
            <v>525</v>
          </cell>
          <cell r="R24">
            <v>205</v>
          </cell>
          <cell r="S24">
            <v>326.5</v>
          </cell>
          <cell r="T24">
            <v>568</v>
          </cell>
          <cell r="U24">
            <v>15696.69</v>
          </cell>
          <cell r="V24">
            <v>15662.08</v>
          </cell>
          <cell r="W24">
            <v>6486.63</v>
          </cell>
          <cell r="X24">
            <v>60.1</v>
          </cell>
          <cell r="Y24">
            <v>1120</v>
          </cell>
          <cell r="Z24">
            <v>1140</v>
          </cell>
          <cell r="AA24">
            <v>9520.9599999999991</v>
          </cell>
          <cell r="AB24">
            <v>4806.1000000000004</v>
          </cell>
          <cell r="AC24">
            <v>36694.648399999998</v>
          </cell>
          <cell r="AE24">
            <v>79.099999999999994</v>
          </cell>
          <cell r="AF24">
            <v>601.32000000000005</v>
          </cell>
          <cell r="AG24">
            <v>2121</v>
          </cell>
          <cell r="AH24">
            <v>810</v>
          </cell>
          <cell r="AI24">
            <v>1440</v>
          </cell>
          <cell r="AJ24">
            <v>665.31</v>
          </cell>
          <cell r="AL24">
            <v>1261.49</v>
          </cell>
          <cell r="AP24">
            <v>1255.308</v>
          </cell>
          <cell r="AV24">
            <v>43.45</v>
          </cell>
          <cell r="AZ24">
            <v>228.2</v>
          </cell>
          <cell r="BE24">
            <v>14467</v>
          </cell>
          <cell r="BG24">
            <v>44.5</v>
          </cell>
          <cell r="BH24">
            <v>251.31</v>
          </cell>
          <cell r="BY24">
            <v>512.57000000000005</v>
          </cell>
          <cell r="CD24">
            <v>316.55</v>
          </cell>
          <cell r="CE24">
            <v>314.01</v>
          </cell>
          <cell r="CF24">
            <v>294.89</v>
          </cell>
          <cell r="CG24">
            <v>1120</v>
          </cell>
          <cell r="CH24">
            <v>970</v>
          </cell>
          <cell r="CI24" t="str">
            <v>#N/A N/A</v>
          </cell>
          <cell r="CJ24">
            <v>540</v>
          </cell>
          <cell r="CK24">
            <v>1538</v>
          </cell>
          <cell r="CM24">
            <v>183</v>
          </cell>
          <cell r="CN24">
            <v>23.18</v>
          </cell>
          <cell r="CO24" t="str">
            <v>#N/A N/A</v>
          </cell>
          <cell r="CQ24">
            <v>8.7799999999999994</v>
          </cell>
          <cell r="CR24">
            <v>37</v>
          </cell>
          <cell r="CS24">
            <v>1299</v>
          </cell>
          <cell r="CU24">
            <v>990</v>
          </cell>
          <cell r="CW24">
            <v>48.628048780487809</v>
          </cell>
          <cell r="CX24">
            <v>474.96424999999999</v>
          </cell>
          <cell r="CZ24">
            <v>345.15</v>
          </cell>
          <cell r="DA24">
            <v>2524.5</v>
          </cell>
          <cell r="DB24">
            <v>18.14</v>
          </cell>
          <cell r="DC24" t="str">
            <v>#N/A N/A</v>
          </cell>
          <cell r="DD24">
            <v>118.4</v>
          </cell>
        </row>
        <row r="25">
          <cell r="A25">
            <v>38738</v>
          </cell>
          <cell r="C25">
            <v>83</v>
          </cell>
          <cell r="D25" t="str">
            <v>#N/A N/A</v>
          </cell>
          <cell r="E25" t="str">
            <v>#N/A N/A</v>
          </cell>
          <cell r="L25">
            <v>1324.78</v>
          </cell>
          <cell r="M25">
            <v>2247.6999999999998</v>
          </cell>
          <cell r="N25">
            <v>5672.4</v>
          </cell>
          <cell r="O25">
            <v>3126</v>
          </cell>
          <cell r="Q25">
            <v>525</v>
          </cell>
          <cell r="R25">
            <v>205</v>
          </cell>
          <cell r="S25">
            <v>326.5</v>
          </cell>
          <cell r="T25">
            <v>568</v>
          </cell>
          <cell r="U25">
            <v>15696.69</v>
          </cell>
          <cell r="V25">
            <v>15662.08</v>
          </cell>
          <cell r="W25">
            <v>6486.63</v>
          </cell>
          <cell r="X25">
            <v>60.1</v>
          </cell>
          <cell r="Y25">
            <v>1120</v>
          </cell>
          <cell r="Z25">
            <v>1140</v>
          </cell>
          <cell r="AA25">
            <v>9520.9599999999991</v>
          </cell>
          <cell r="AB25">
            <v>4806.1000000000004</v>
          </cell>
          <cell r="AC25">
            <v>36694.648399999998</v>
          </cell>
          <cell r="AE25">
            <v>79.099999999999994</v>
          </cell>
          <cell r="AF25">
            <v>601.32000000000005</v>
          </cell>
          <cell r="AG25">
            <v>2121</v>
          </cell>
          <cell r="AH25">
            <v>810</v>
          </cell>
          <cell r="AI25">
            <v>1440</v>
          </cell>
          <cell r="AJ25">
            <v>665.31</v>
          </cell>
          <cell r="AL25">
            <v>1261.49</v>
          </cell>
          <cell r="AP25">
            <v>1255.308</v>
          </cell>
          <cell r="AV25">
            <v>43.45</v>
          </cell>
          <cell r="AZ25">
            <v>228.2</v>
          </cell>
          <cell r="BE25">
            <v>14467</v>
          </cell>
          <cell r="BG25">
            <v>44.5</v>
          </cell>
          <cell r="BH25">
            <v>251.31</v>
          </cell>
          <cell r="BY25">
            <v>512.57000000000005</v>
          </cell>
          <cell r="CD25">
            <v>316.55</v>
          </cell>
          <cell r="CE25">
            <v>314.01</v>
          </cell>
          <cell r="CF25">
            <v>294.89</v>
          </cell>
          <cell r="CG25">
            <v>1120</v>
          </cell>
          <cell r="CH25">
            <v>970</v>
          </cell>
          <cell r="CI25" t="str">
            <v>#N/A N/A</v>
          </cell>
          <cell r="CJ25">
            <v>540</v>
          </cell>
          <cell r="CK25">
            <v>1538</v>
          </cell>
          <cell r="CM25">
            <v>183</v>
          </cell>
          <cell r="CN25">
            <v>23.18</v>
          </cell>
          <cell r="CO25" t="str">
            <v>#N/A N/A</v>
          </cell>
          <cell r="CQ25">
            <v>8.7799999999999994</v>
          </cell>
          <cell r="CR25">
            <v>37</v>
          </cell>
          <cell r="CS25">
            <v>1299</v>
          </cell>
          <cell r="CU25">
            <v>990</v>
          </cell>
          <cell r="CW25">
            <v>48.628048780487809</v>
          </cell>
          <cell r="CX25">
            <v>474.96424999999999</v>
          </cell>
          <cell r="CZ25">
            <v>345.15</v>
          </cell>
          <cell r="DA25">
            <v>2524.5</v>
          </cell>
          <cell r="DB25">
            <v>18.14</v>
          </cell>
          <cell r="DC25" t="str">
            <v>#N/A N/A</v>
          </cell>
          <cell r="DD25">
            <v>118.4</v>
          </cell>
        </row>
        <row r="26">
          <cell r="A26">
            <v>38739</v>
          </cell>
          <cell r="C26">
            <v>83</v>
          </cell>
          <cell r="D26" t="str">
            <v>#N/A N/A</v>
          </cell>
          <cell r="E26" t="str">
            <v>#N/A N/A</v>
          </cell>
          <cell r="L26">
            <v>1324.78</v>
          </cell>
          <cell r="M26">
            <v>2247.6999999999998</v>
          </cell>
          <cell r="N26">
            <v>5672.4</v>
          </cell>
          <cell r="O26">
            <v>3126</v>
          </cell>
          <cell r="Q26">
            <v>525</v>
          </cell>
          <cell r="R26">
            <v>205</v>
          </cell>
          <cell r="S26">
            <v>326.5</v>
          </cell>
          <cell r="T26">
            <v>568</v>
          </cell>
          <cell r="U26">
            <v>15696.69</v>
          </cell>
          <cell r="V26">
            <v>15662.08</v>
          </cell>
          <cell r="W26">
            <v>6486.63</v>
          </cell>
          <cell r="X26">
            <v>60.1</v>
          </cell>
          <cell r="Y26">
            <v>1120</v>
          </cell>
          <cell r="Z26">
            <v>1140</v>
          </cell>
          <cell r="AA26">
            <v>9520.9599999999991</v>
          </cell>
          <cell r="AB26">
            <v>4806.1000000000004</v>
          </cell>
          <cell r="AC26">
            <v>36694.648399999998</v>
          </cell>
          <cell r="AE26">
            <v>79.099999999999994</v>
          </cell>
          <cell r="AF26">
            <v>601.32000000000005</v>
          </cell>
          <cell r="AG26">
            <v>2121</v>
          </cell>
          <cell r="AH26">
            <v>810</v>
          </cell>
          <cell r="AI26">
            <v>1440</v>
          </cell>
          <cell r="AJ26">
            <v>665.31</v>
          </cell>
          <cell r="AL26">
            <v>1261.49</v>
          </cell>
          <cell r="AP26">
            <v>1255.308</v>
          </cell>
          <cell r="AV26">
            <v>43.45</v>
          </cell>
          <cell r="AZ26">
            <v>228.2</v>
          </cell>
          <cell r="BE26">
            <v>14467</v>
          </cell>
          <cell r="BG26">
            <v>44.5</v>
          </cell>
          <cell r="BH26">
            <v>251.31</v>
          </cell>
          <cell r="BY26">
            <v>512.57000000000005</v>
          </cell>
          <cell r="CD26">
            <v>316.55</v>
          </cell>
          <cell r="CE26">
            <v>314.01</v>
          </cell>
          <cell r="CF26">
            <v>294.89</v>
          </cell>
          <cell r="CG26">
            <v>1120</v>
          </cell>
          <cell r="CH26">
            <v>970</v>
          </cell>
          <cell r="CI26" t="str">
            <v>#N/A N/A</v>
          </cell>
          <cell r="CJ26">
            <v>540</v>
          </cell>
          <cell r="CK26">
            <v>1538</v>
          </cell>
          <cell r="CM26">
            <v>183</v>
          </cell>
          <cell r="CN26">
            <v>23.18</v>
          </cell>
          <cell r="CO26" t="str">
            <v>#N/A N/A</v>
          </cell>
          <cell r="CQ26">
            <v>8.7799999999999994</v>
          </cell>
          <cell r="CR26">
            <v>37</v>
          </cell>
          <cell r="CS26">
            <v>1299</v>
          </cell>
          <cell r="CU26">
            <v>990</v>
          </cell>
          <cell r="CW26">
            <v>48.628048780487809</v>
          </cell>
          <cell r="CX26">
            <v>474.96424999999999</v>
          </cell>
          <cell r="CZ26">
            <v>345.15</v>
          </cell>
          <cell r="DA26">
            <v>2524.5</v>
          </cell>
          <cell r="DB26">
            <v>18.14</v>
          </cell>
          <cell r="DC26" t="str">
            <v>#N/A N/A</v>
          </cell>
          <cell r="DD26">
            <v>118.4</v>
          </cell>
        </row>
        <row r="27">
          <cell r="A27">
            <v>38740</v>
          </cell>
          <cell r="C27">
            <v>83</v>
          </cell>
          <cell r="D27" t="str">
            <v>#N/A N/A</v>
          </cell>
          <cell r="E27" t="str">
            <v>#N/A N/A</v>
          </cell>
          <cell r="L27">
            <v>1297.43</v>
          </cell>
          <cell r="M27">
            <v>2248.4699999999998</v>
          </cell>
          <cell r="N27">
            <v>5660.9</v>
          </cell>
          <cell r="O27">
            <v>3126</v>
          </cell>
          <cell r="Q27">
            <v>525</v>
          </cell>
          <cell r="R27">
            <v>208.25</v>
          </cell>
          <cell r="S27">
            <v>326</v>
          </cell>
          <cell r="T27">
            <v>574.5</v>
          </cell>
          <cell r="U27">
            <v>15360.65</v>
          </cell>
          <cell r="V27">
            <v>15464.77</v>
          </cell>
          <cell r="W27">
            <v>6381.97</v>
          </cell>
          <cell r="X27">
            <v>60.95</v>
          </cell>
          <cell r="Y27">
            <v>1120</v>
          </cell>
          <cell r="Z27">
            <v>1140</v>
          </cell>
          <cell r="AA27">
            <v>9464.9</v>
          </cell>
          <cell r="AB27">
            <v>4766.6000000000004</v>
          </cell>
          <cell r="AC27">
            <v>36631.75</v>
          </cell>
          <cell r="AE27">
            <v>80.05</v>
          </cell>
          <cell r="AF27">
            <v>601.32000000000005</v>
          </cell>
          <cell r="AG27">
            <v>2084</v>
          </cell>
          <cell r="AH27">
            <v>810</v>
          </cell>
          <cell r="AI27">
            <v>1440</v>
          </cell>
          <cell r="AJ27">
            <v>601.33000000000004</v>
          </cell>
          <cell r="AL27">
            <v>1263.82</v>
          </cell>
          <cell r="AP27">
            <v>1255.7739999999999</v>
          </cell>
          <cell r="AV27">
            <v>44.22</v>
          </cell>
          <cell r="AZ27">
            <v>226.4</v>
          </cell>
          <cell r="BE27">
            <v>14744</v>
          </cell>
          <cell r="BG27">
            <v>44.5</v>
          </cell>
          <cell r="BH27">
            <v>250.6</v>
          </cell>
          <cell r="BY27">
            <v>515.54</v>
          </cell>
          <cell r="CD27">
            <v>317.61</v>
          </cell>
          <cell r="CE27">
            <v>315.21100000000001</v>
          </cell>
          <cell r="CF27">
            <v>292.74</v>
          </cell>
          <cell r="CG27">
            <v>1120</v>
          </cell>
          <cell r="CH27">
            <v>970</v>
          </cell>
          <cell r="CI27" t="str">
            <v>#N/A N/A</v>
          </cell>
          <cell r="CJ27">
            <v>540</v>
          </cell>
          <cell r="CK27">
            <v>1549</v>
          </cell>
          <cell r="CM27">
            <v>181</v>
          </cell>
          <cell r="CN27">
            <v>22.12</v>
          </cell>
          <cell r="CO27" t="str">
            <v>#N/A N/A</v>
          </cell>
          <cell r="CQ27">
            <v>8.2899999999999991</v>
          </cell>
          <cell r="CR27">
            <v>37</v>
          </cell>
          <cell r="CS27">
            <v>1335.5</v>
          </cell>
          <cell r="CU27">
            <v>990</v>
          </cell>
          <cell r="CW27">
            <v>49.84756097560976</v>
          </cell>
          <cell r="CX27">
            <v>482.53950000000003</v>
          </cell>
          <cell r="CZ27">
            <v>344.78</v>
          </cell>
          <cell r="DA27">
            <v>2572.8000000000002</v>
          </cell>
          <cell r="DB27">
            <v>19.36</v>
          </cell>
          <cell r="DC27" t="str">
            <v>#N/A N/A</v>
          </cell>
          <cell r="DD27">
            <v>120.45</v>
          </cell>
        </row>
        <row r="28">
          <cell r="A28">
            <v>38741</v>
          </cell>
          <cell r="C28">
            <v>83</v>
          </cell>
          <cell r="D28" t="str">
            <v>#N/A N/A</v>
          </cell>
          <cell r="E28" t="str">
            <v>#N/A N/A</v>
          </cell>
          <cell r="L28">
            <v>1326.83</v>
          </cell>
          <cell r="M28">
            <v>2265.25</v>
          </cell>
          <cell r="N28">
            <v>5633.8</v>
          </cell>
          <cell r="O28">
            <v>3163</v>
          </cell>
          <cell r="Q28">
            <v>525</v>
          </cell>
          <cell r="R28">
            <v>213.25</v>
          </cell>
          <cell r="S28">
            <v>332.5</v>
          </cell>
          <cell r="T28">
            <v>571.25</v>
          </cell>
          <cell r="U28">
            <v>15648.89</v>
          </cell>
          <cell r="V28">
            <v>15530.57</v>
          </cell>
          <cell r="W28">
            <v>6451.94</v>
          </cell>
          <cell r="X28">
            <v>59.75</v>
          </cell>
          <cell r="Y28">
            <v>1120</v>
          </cell>
          <cell r="Z28">
            <v>1140</v>
          </cell>
          <cell r="AA28">
            <v>9549.92</v>
          </cell>
          <cell r="AB28">
            <v>4779.8</v>
          </cell>
          <cell r="AC28">
            <v>37399.671900000001</v>
          </cell>
          <cell r="AE28">
            <v>79.599999999999994</v>
          </cell>
          <cell r="AF28">
            <v>602.15</v>
          </cell>
          <cell r="AG28">
            <v>2050</v>
          </cell>
          <cell r="AH28">
            <v>810</v>
          </cell>
          <cell r="AI28">
            <v>1440</v>
          </cell>
          <cell r="AJ28">
            <v>618.17999999999995</v>
          </cell>
          <cell r="AL28">
            <v>1266.8599999999999</v>
          </cell>
          <cell r="AP28">
            <v>1252.0619999999999</v>
          </cell>
          <cell r="AV28">
            <v>45.63</v>
          </cell>
          <cell r="AZ28">
            <v>232.4</v>
          </cell>
          <cell r="BE28">
            <v>14676</v>
          </cell>
          <cell r="BG28">
            <v>44.5</v>
          </cell>
          <cell r="BH28">
            <v>255.81</v>
          </cell>
          <cell r="BY28">
            <v>520.71</v>
          </cell>
          <cell r="CD28">
            <v>318.45999999999998</v>
          </cell>
          <cell r="CE28">
            <v>315.80399999999997</v>
          </cell>
          <cell r="CF28">
            <v>296.8</v>
          </cell>
          <cell r="CG28">
            <v>1120</v>
          </cell>
          <cell r="CH28">
            <v>970</v>
          </cell>
          <cell r="CI28" t="str">
            <v>#N/A N/A</v>
          </cell>
          <cell r="CJ28">
            <v>540</v>
          </cell>
          <cell r="CK28">
            <v>1568</v>
          </cell>
          <cell r="CM28">
            <v>177.44</v>
          </cell>
          <cell r="CN28">
            <v>22.1</v>
          </cell>
          <cell r="CO28" t="str">
            <v>#N/A N/A</v>
          </cell>
          <cell r="CQ28">
            <v>8.32</v>
          </cell>
          <cell r="CR28">
            <v>37</v>
          </cell>
          <cell r="CS28">
            <v>1367.5</v>
          </cell>
          <cell r="CU28">
            <v>990</v>
          </cell>
          <cell r="CW28">
            <v>49.237804878048784</v>
          </cell>
          <cell r="CX28">
            <v>482.46100000000001</v>
          </cell>
          <cell r="CZ28">
            <v>343.72</v>
          </cell>
          <cell r="DA28">
            <v>2594.3000000000002</v>
          </cell>
          <cell r="DB28">
            <v>18.96</v>
          </cell>
          <cell r="DC28" t="str">
            <v>#N/A N/A</v>
          </cell>
          <cell r="DD28">
            <v>122.4</v>
          </cell>
        </row>
        <row r="29">
          <cell r="A29">
            <v>38742</v>
          </cell>
          <cell r="C29">
            <v>83</v>
          </cell>
          <cell r="D29" t="str">
            <v>#N/A N/A</v>
          </cell>
          <cell r="E29" t="str">
            <v>#N/A N/A</v>
          </cell>
          <cell r="L29">
            <v>1342.59</v>
          </cell>
          <cell r="M29">
            <v>2260.65</v>
          </cell>
          <cell r="N29">
            <v>5704.4</v>
          </cell>
          <cell r="O29">
            <v>3163</v>
          </cell>
          <cell r="Q29">
            <v>525</v>
          </cell>
          <cell r="R29">
            <v>216.5</v>
          </cell>
          <cell r="S29">
            <v>342</v>
          </cell>
          <cell r="T29">
            <v>567</v>
          </cell>
          <cell r="U29">
            <v>15651</v>
          </cell>
          <cell r="V29">
            <v>15520.39</v>
          </cell>
          <cell r="W29">
            <v>6532.18</v>
          </cell>
          <cell r="X29">
            <v>59.1</v>
          </cell>
          <cell r="Y29">
            <v>1120</v>
          </cell>
          <cell r="Z29">
            <v>1140</v>
          </cell>
          <cell r="AA29">
            <v>9685.74</v>
          </cell>
          <cell r="AB29">
            <v>4812</v>
          </cell>
          <cell r="AC29">
            <v>37399.671900000001</v>
          </cell>
          <cell r="AE29">
            <v>78.5</v>
          </cell>
          <cell r="AF29">
            <v>602.15</v>
          </cell>
          <cell r="AG29">
            <v>2033</v>
          </cell>
          <cell r="AH29">
            <v>810</v>
          </cell>
          <cell r="AI29">
            <v>1440</v>
          </cell>
          <cell r="AJ29">
            <v>641.97</v>
          </cell>
          <cell r="AL29">
            <v>1264.68</v>
          </cell>
          <cell r="AP29">
            <v>1258.046</v>
          </cell>
          <cell r="AV29">
            <v>46.32</v>
          </cell>
          <cell r="AZ29">
            <v>234</v>
          </cell>
          <cell r="BE29">
            <v>14978</v>
          </cell>
          <cell r="BG29">
            <v>44.5</v>
          </cell>
          <cell r="BH29">
            <v>253.43</v>
          </cell>
          <cell r="BY29">
            <v>521.53</v>
          </cell>
          <cell r="CD29">
            <v>319.16000000000003</v>
          </cell>
          <cell r="CE29">
            <v>316.30399999999997</v>
          </cell>
          <cell r="CF29">
            <v>301.20999999999998</v>
          </cell>
          <cell r="CG29">
            <v>1120</v>
          </cell>
          <cell r="CH29">
            <v>970</v>
          </cell>
          <cell r="CI29" t="str">
            <v>#N/A N/A</v>
          </cell>
          <cell r="CJ29">
            <v>540</v>
          </cell>
          <cell r="CK29">
            <v>1629</v>
          </cell>
          <cell r="CM29">
            <v>170.46</v>
          </cell>
          <cell r="CN29">
            <v>22.13</v>
          </cell>
          <cell r="CO29" t="str">
            <v>#N/A N/A</v>
          </cell>
          <cell r="CQ29">
            <v>8.5299999999999994</v>
          </cell>
          <cell r="CR29">
            <v>37</v>
          </cell>
          <cell r="CS29">
            <v>1437</v>
          </cell>
          <cell r="CU29">
            <v>990</v>
          </cell>
          <cell r="CW29">
            <v>48.628048780487809</v>
          </cell>
          <cell r="CX29">
            <v>481.59750000000003</v>
          </cell>
          <cell r="CZ29">
            <v>342.52</v>
          </cell>
          <cell r="DA29">
            <v>2657.8</v>
          </cell>
          <cell r="DB29">
            <v>19.09</v>
          </cell>
          <cell r="DC29" t="str">
            <v>#N/A N/A</v>
          </cell>
          <cell r="DD29">
            <v>123.05</v>
          </cell>
        </row>
        <row r="30">
          <cell r="A30">
            <v>38743</v>
          </cell>
          <cell r="C30">
            <v>83</v>
          </cell>
          <cell r="D30" t="str">
            <v>#N/A N/A</v>
          </cell>
          <cell r="E30" t="str">
            <v>#N/A N/A</v>
          </cell>
          <cell r="L30">
            <v>1352.75</v>
          </cell>
          <cell r="M30">
            <v>2283</v>
          </cell>
          <cell r="N30">
            <v>5722.6</v>
          </cell>
          <cell r="O30">
            <v>3203</v>
          </cell>
          <cell r="Q30">
            <v>525</v>
          </cell>
          <cell r="R30">
            <v>217</v>
          </cell>
          <cell r="S30">
            <v>344.5</v>
          </cell>
          <cell r="T30">
            <v>573</v>
          </cell>
          <cell r="U30">
            <v>15891.02</v>
          </cell>
          <cell r="V30">
            <v>15520.07</v>
          </cell>
          <cell r="W30">
            <v>6532.18</v>
          </cell>
          <cell r="X30">
            <v>59.05</v>
          </cell>
          <cell r="Y30">
            <v>1120</v>
          </cell>
          <cell r="Z30">
            <v>1140</v>
          </cell>
          <cell r="AA30">
            <v>9685.74</v>
          </cell>
          <cell r="AB30">
            <v>4812</v>
          </cell>
          <cell r="AC30">
            <v>38014.359400000001</v>
          </cell>
          <cell r="AE30">
            <v>77.55</v>
          </cell>
          <cell r="AF30">
            <v>602.15</v>
          </cell>
          <cell r="AG30">
            <v>2037</v>
          </cell>
          <cell r="AH30">
            <v>810</v>
          </cell>
          <cell r="AI30">
            <v>1440</v>
          </cell>
          <cell r="AJ30">
            <v>653.52</v>
          </cell>
          <cell r="AL30">
            <v>1273.83</v>
          </cell>
          <cell r="AP30">
            <v>1258.046</v>
          </cell>
          <cell r="AV30">
            <v>47.18</v>
          </cell>
          <cell r="AZ30">
            <v>234.9</v>
          </cell>
          <cell r="BE30">
            <v>14704</v>
          </cell>
          <cell r="BG30">
            <v>44.5</v>
          </cell>
          <cell r="BH30">
            <v>254.51</v>
          </cell>
          <cell r="BY30">
            <v>536.54</v>
          </cell>
          <cell r="CD30">
            <v>321.60000000000002</v>
          </cell>
          <cell r="CE30">
            <v>318.83100000000002</v>
          </cell>
          <cell r="CF30">
            <v>301.36</v>
          </cell>
          <cell r="CG30">
            <v>1120</v>
          </cell>
          <cell r="CH30">
            <v>970</v>
          </cell>
          <cell r="CI30" t="str">
            <v>#N/A N/A</v>
          </cell>
          <cell r="CJ30">
            <v>540</v>
          </cell>
          <cell r="CK30">
            <v>1695</v>
          </cell>
          <cell r="CM30">
            <v>172.43</v>
          </cell>
          <cell r="CN30">
            <v>22.8</v>
          </cell>
          <cell r="CO30" t="str">
            <v>#N/A N/A</v>
          </cell>
          <cell r="CQ30">
            <v>7.82</v>
          </cell>
          <cell r="CR30">
            <v>37</v>
          </cell>
          <cell r="CS30">
            <v>1406</v>
          </cell>
          <cell r="CU30">
            <v>990</v>
          </cell>
          <cell r="CW30">
            <v>47.103658536585371</v>
          </cell>
          <cell r="CX30">
            <v>480.02749999999997</v>
          </cell>
          <cell r="CZ30">
            <v>343.46</v>
          </cell>
          <cell r="DA30">
            <v>2635.3</v>
          </cell>
          <cell r="DB30">
            <v>19.489999999999998</v>
          </cell>
          <cell r="DC30" t="str">
            <v>#N/A N/A</v>
          </cell>
          <cell r="DD30">
            <v>122.85</v>
          </cell>
        </row>
        <row r="31">
          <cell r="A31">
            <v>38744</v>
          </cell>
          <cell r="C31">
            <v>83</v>
          </cell>
          <cell r="D31" t="str">
            <v>#N/A N/A</v>
          </cell>
          <cell r="E31" t="str">
            <v>#N/A N/A</v>
          </cell>
          <cell r="L31">
            <v>1384.56</v>
          </cell>
          <cell r="M31">
            <v>2304.23</v>
          </cell>
          <cell r="N31">
            <v>5786.8</v>
          </cell>
          <cell r="O31">
            <v>3203</v>
          </cell>
          <cell r="Q31">
            <v>525</v>
          </cell>
          <cell r="R31">
            <v>218.75</v>
          </cell>
          <cell r="S31">
            <v>343.5</v>
          </cell>
          <cell r="T31">
            <v>589.25</v>
          </cell>
          <cell r="U31">
            <v>16460.68</v>
          </cell>
          <cell r="V31">
            <v>15753.14</v>
          </cell>
          <cell r="W31">
            <v>6532.18</v>
          </cell>
          <cell r="X31">
            <v>58.55</v>
          </cell>
          <cell r="Y31">
            <v>1060</v>
          </cell>
          <cell r="Z31">
            <v>1140</v>
          </cell>
          <cell r="AA31">
            <v>9870.7900000000009</v>
          </cell>
          <cell r="AB31">
            <v>4867.3</v>
          </cell>
          <cell r="AC31">
            <v>37822.218800000002</v>
          </cell>
          <cell r="AE31">
            <v>78.05</v>
          </cell>
          <cell r="AF31">
            <v>602.15</v>
          </cell>
          <cell r="AG31">
            <v>2057</v>
          </cell>
          <cell r="AH31">
            <v>810</v>
          </cell>
          <cell r="AI31">
            <v>1440</v>
          </cell>
          <cell r="AJ31">
            <v>677.69</v>
          </cell>
          <cell r="AL31">
            <v>1283.72</v>
          </cell>
          <cell r="AP31">
            <v>1258.046</v>
          </cell>
          <cell r="AV31">
            <v>48.04</v>
          </cell>
          <cell r="AZ31">
            <v>240</v>
          </cell>
          <cell r="BE31">
            <v>15282</v>
          </cell>
          <cell r="BG31">
            <v>45.2</v>
          </cell>
          <cell r="BH31">
            <v>257.2</v>
          </cell>
          <cell r="BY31">
            <v>550.91</v>
          </cell>
          <cell r="CD31">
            <v>324.18</v>
          </cell>
          <cell r="CE31">
            <v>321.35599999999999</v>
          </cell>
          <cell r="CF31">
            <v>305.07</v>
          </cell>
          <cell r="CG31">
            <v>1130</v>
          </cell>
          <cell r="CH31">
            <v>950</v>
          </cell>
          <cell r="CI31" t="str">
            <v>#N/A N/A</v>
          </cell>
          <cell r="CJ31">
            <v>540</v>
          </cell>
          <cell r="CK31">
            <v>1715</v>
          </cell>
          <cell r="CM31">
            <v>177.14</v>
          </cell>
          <cell r="CN31">
            <v>22.17</v>
          </cell>
          <cell r="CO31" t="str">
            <v>#N/A N/A</v>
          </cell>
          <cell r="CQ31">
            <v>8.18</v>
          </cell>
          <cell r="CR31">
            <v>37</v>
          </cell>
          <cell r="CS31">
            <v>1314</v>
          </cell>
          <cell r="CU31">
            <v>910</v>
          </cell>
          <cell r="CW31">
            <v>48.170731707317074</v>
          </cell>
          <cell r="CX31">
            <v>475.98474999999996</v>
          </cell>
          <cell r="CZ31">
            <v>346.96</v>
          </cell>
          <cell r="DA31">
            <v>2663.1</v>
          </cell>
          <cell r="DB31">
            <v>19.73</v>
          </cell>
          <cell r="DC31" t="str">
            <v>#N/A N/A</v>
          </cell>
          <cell r="DD31">
            <v>124.3</v>
          </cell>
        </row>
        <row r="32">
          <cell r="A32">
            <v>38745</v>
          </cell>
          <cell r="C32">
            <v>83</v>
          </cell>
          <cell r="D32" t="str">
            <v>#N/A N/A</v>
          </cell>
          <cell r="E32" t="str">
            <v>#N/A N/A</v>
          </cell>
          <cell r="L32">
            <v>1384.56</v>
          </cell>
          <cell r="M32">
            <v>2304.23</v>
          </cell>
          <cell r="N32">
            <v>5786.8</v>
          </cell>
          <cell r="O32">
            <v>3203</v>
          </cell>
          <cell r="Q32">
            <v>525</v>
          </cell>
          <cell r="R32">
            <v>218.75</v>
          </cell>
          <cell r="S32">
            <v>343.5</v>
          </cell>
          <cell r="T32">
            <v>589.25</v>
          </cell>
          <cell r="U32">
            <v>16460.68</v>
          </cell>
          <cell r="V32">
            <v>15753.14</v>
          </cell>
          <cell r="W32">
            <v>6532.18</v>
          </cell>
          <cell r="X32">
            <v>58.55</v>
          </cell>
          <cell r="Y32">
            <v>1060</v>
          </cell>
          <cell r="Z32">
            <v>1140</v>
          </cell>
          <cell r="AA32">
            <v>9870.7900000000009</v>
          </cell>
          <cell r="AB32">
            <v>4867.3</v>
          </cell>
          <cell r="AC32">
            <v>37822.218800000002</v>
          </cell>
          <cell r="AE32">
            <v>78.05</v>
          </cell>
          <cell r="AF32">
            <v>602.15</v>
          </cell>
          <cell r="AG32">
            <v>2057</v>
          </cell>
          <cell r="AH32">
            <v>810</v>
          </cell>
          <cell r="AI32">
            <v>1440</v>
          </cell>
          <cell r="AJ32">
            <v>677.69</v>
          </cell>
          <cell r="AL32">
            <v>1283.72</v>
          </cell>
          <cell r="AP32">
            <v>1258.046</v>
          </cell>
          <cell r="AV32">
            <v>48.04</v>
          </cell>
          <cell r="AZ32">
            <v>240</v>
          </cell>
          <cell r="BE32">
            <v>15282</v>
          </cell>
          <cell r="BG32">
            <v>45.2</v>
          </cell>
          <cell r="BH32">
            <v>257.2</v>
          </cell>
          <cell r="BY32">
            <v>550.91</v>
          </cell>
          <cell r="CD32">
            <v>324.18</v>
          </cell>
          <cell r="CE32">
            <v>321.35599999999999</v>
          </cell>
          <cell r="CF32">
            <v>305.07</v>
          </cell>
          <cell r="CG32">
            <v>1130</v>
          </cell>
          <cell r="CH32">
            <v>950</v>
          </cell>
          <cell r="CI32" t="str">
            <v>#N/A N/A</v>
          </cell>
          <cell r="CJ32">
            <v>540</v>
          </cell>
          <cell r="CK32">
            <v>1715</v>
          </cell>
          <cell r="CM32">
            <v>177.14</v>
          </cell>
          <cell r="CN32">
            <v>22.17</v>
          </cell>
          <cell r="CO32" t="str">
            <v>#N/A N/A</v>
          </cell>
          <cell r="CQ32">
            <v>8.18</v>
          </cell>
          <cell r="CR32">
            <v>37</v>
          </cell>
          <cell r="CS32">
            <v>1314</v>
          </cell>
          <cell r="CU32">
            <v>910</v>
          </cell>
          <cell r="CW32">
            <v>48.170731707317074</v>
          </cell>
          <cell r="CX32">
            <v>475.98474999999996</v>
          </cell>
          <cell r="CZ32">
            <v>346.96</v>
          </cell>
          <cell r="DA32">
            <v>2663.1</v>
          </cell>
          <cell r="DB32">
            <v>19.73</v>
          </cell>
          <cell r="DC32" t="str">
            <v>#N/A N/A</v>
          </cell>
          <cell r="DD32">
            <v>124.3</v>
          </cell>
        </row>
        <row r="33">
          <cell r="A33">
            <v>38746</v>
          </cell>
          <cell r="C33">
            <v>83</v>
          </cell>
          <cell r="D33" t="str">
            <v>#N/A N/A</v>
          </cell>
          <cell r="E33" t="str">
            <v>#N/A N/A</v>
          </cell>
          <cell r="L33">
            <v>1384.56</v>
          </cell>
          <cell r="M33">
            <v>2304.23</v>
          </cell>
          <cell r="N33">
            <v>5786.8</v>
          </cell>
          <cell r="O33">
            <v>3203</v>
          </cell>
          <cell r="Q33">
            <v>525</v>
          </cell>
          <cell r="R33">
            <v>218.75</v>
          </cell>
          <cell r="S33">
            <v>343.5</v>
          </cell>
          <cell r="T33">
            <v>589.25</v>
          </cell>
          <cell r="U33">
            <v>16460.68</v>
          </cell>
          <cell r="V33">
            <v>15753.14</v>
          </cell>
          <cell r="W33">
            <v>6532.18</v>
          </cell>
          <cell r="X33">
            <v>58.55</v>
          </cell>
          <cell r="Y33">
            <v>1060</v>
          </cell>
          <cell r="Z33">
            <v>1140</v>
          </cell>
          <cell r="AA33">
            <v>9870.7900000000009</v>
          </cell>
          <cell r="AB33">
            <v>4867.3</v>
          </cell>
          <cell r="AC33">
            <v>37822.218800000002</v>
          </cell>
          <cell r="AE33">
            <v>78.05</v>
          </cell>
          <cell r="AF33">
            <v>602.15</v>
          </cell>
          <cell r="AG33">
            <v>2057</v>
          </cell>
          <cell r="AH33">
            <v>810</v>
          </cell>
          <cell r="AI33">
            <v>1440</v>
          </cell>
          <cell r="AJ33">
            <v>677.69</v>
          </cell>
          <cell r="AL33">
            <v>1283.72</v>
          </cell>
          <cell r="AP33">
            <v>1258.046</v>
          </cell>
          <cell r="AV33">
            <v>48.04</v>
          </cell>
          <cell r="AZ33">
            <v>240</v>
          </cell>
          <cell r="BE33">
            <v>15282</v>
          </cell>
          <cell r="BG33">
            <v>45.2</v>
          </cell>
          <cell r="BH33">
            <v>257.2</v>
          </cell>
          <cell r="BY33">
            <v>550.91</v>
          </cell>
          <cell r="CD33">
            <v>324.18</v>
          </cell>
          <cell r="CE33">
            <v>321.35599999999999</v>
          </cell>
          <cell r="CF33">
            <v>305.07</v>
          </cell>
          <cell r="CG33">
            <v>1130</v>
          </cell>
          <cell r="CH33">
            <v>950</v>
          </cell>
          <cell r="CI33" t="str">
            <v>#N/A N/A</v>
          </cell>
          <cell r="CJ33">
            <v>540</v>
          </cell>
          <cell r="CK33">
            <v>1715</v>
          </cell>
          <cell r="CM33">
            <v>177.14</v>
          </cell>
          <cell r="CN33">
            <v>22.17</v>
          </cell>
          <cell r="CO33" t="str">
            <v>#N/A N/A</v>
          </cell>
          <cell r="CQ33">
            <v>8.18</v>
          </cell>
          <cell r="CR33">
            <v>37</v>
          </cell>
          <cell r="CS33">
            <v>1314</v>
          </cell>
          <cell r="CU33">
            <v>910</v>
          </cell>
          <cell r="CW33">
            <v>48.170731707317074</v>
          </cell>
          <cell r="CX33">
            <v>475.98474999999996</v>
          </cell>
          <cell r="CZ33">
            <v>346.96</v>
          </cell>
          <cell r="DA33">
            <v>2663.1</v>
          </cell>
          <cell r="DB33">
            <v>19.73</v>
          </cell>
          <cell r="DC33" t="str">
            <v>#N/A N/A</v>
          </cell>
          <cell r="DD33">
            <v>124.3</v>
          </cell>
        </row>
        <row r="34">
          <cell r="A34">
            <v>38747</v>
          </cell>
          <cell r="C34">
            <v>83</v>
          </cell>
          <cell r="D34" t="str">
            <v>#N/A N/A</v>
          </cell>
          <cell r="E34" t="str">
            <v>#N/A N/A</v>
          </cell>
          <cell r="L34">
            <v>1384.56</v>
          </cell>
          <cell r="M34">
            <v>2306.7800000000002</v>
          </cell>
          <cell r="N34">
            <v>5779.8</v>
          </cell>
          <cell r="O34">
            <v>3203</v>
          </cell>
          <cell r="Q34">
            <v>525</v>
          </cell>
          <cell r="R34">
            <v>217.75</v>
          </cell>
          <cell r="S34">
            <v>345.25</v>
          </cell>
          <cell r="T34">
            <v>598.75</v>
          </cell>
          <cell r="U34">
            <v>16551.23</v>
          </cell>
          <cell r="V34">
            <v>15753.14</v>
          </cell>
          <cell r="W34">
            <v>6532.18</v>
          </cell>
          <cell r="X34">
            <v>58.55</v>
          </cell>
          <cell r="Y34">
            <v>1060</v>
          </cell>
          <cell r="Z34">
            <v>1140</v>
          </cell>
          <cell r="AA34">
            <v>9849.0300000000007</v>
          </cell>
          <cell r="AB34">
            <v>4892.2</v>
          </cell>
          <cell r="AC34">
            <v>38242.039100000002</v>
          </cell>
          <cell r="AE34">
            <v>78.05</v>
          </cell>
          <cell r="AF34">
            <v>602.15</v>
          </cell>
          <cell r="AG34">
            <v>2069</v>
          </cell>
          <cell r="AH34">
            <v>810</v>
          </cell>
          <cell r="AI34">
            <v>1440</v>
          </cell>
          <cell r="AJ34">
            <v>677.69</v>
          </cell>
          <cell r="AL34">
            <v>1285.2</v>
          </cell>
          <cell r="AP34">
            <v>1258.046</v>
          </cell>
          <cell r="AV34">
            <v>47.86</v>
          </cell>
          <cell r="AZ34">
            <v>246</v>
          </cell>
          <cell r="BE34">
            <v>15202</v>
          </cell>
          <cell r="BG34">
            <v>45.2</v>
          </cell>
          <cell r="BH34">
            <v>261.05</v>
          </cell>
          <cell r="BY34">
            <v>547</v>
          </cell>
          <cell r="CD34">
            <v>324.13</v>
          </cell>
          <cell r="CE34">
            <v>321.34399999999999</v>
          </cell>
          <cell r="CF34">
            <v>304.93</v>
          </cell>
          <cell r="CG34">
            <v>1130</v>
          </cell>
          <cell r="CH34">
            <v>950</v>
          </cell>
          <cell r="CI34" t="str">
            <v>#N/A N/A</v>
          </cell>
          <cell r="CJ34">
            <v>540</v>
          </cell>
          <cell r="CK34">
            <v>1729</v>
          </cell>
          <cell r="CM34">
            <v>180.49</v>
          </cell>
          <cell r="CN34">
            <v>24.08</v>
          </cell>
          <cell r="CO34" t="str">
            <v>#N/A N/A</v>
          </cell>
          <cell r="CQ34">
            <v>8.3699999999999992</v>
          </cell>
          <cell r="CR34">
            <v>37</v>
          </cell>
          <cell r="CS34">
            <v>1347</v>
          </cell>
          <cell r="CU34">
            <v>910</v>
          </cell>
          <cell r="CW34">
            <v>48.170731707317074</v>
          </cell>
          <cell r="CX34">
            <v>474.49325000000005</v>
          </cell>
          <cell r="CZ34">
            <v>350.06</v>
          </cell>
          <cell r="DA34">
            <v>2673.5</v>
          </cell>
          <cell r="DB34">
            <v>19.36</v>
          </cell>
          <cell r="DC34" t="str">
            <v>#N/A N/A</v>
          </cell>
          <cell r="DD34">
            <v>121.9</v>
          </cell>
        </row>
        <row r="35">
          <cell r="A35">
            <v>38748</v>
          </cell>
          <cell r="C35">
            <v>83</v>
          </cell>
          <cell r="D35" t="str">
            <v>#N/A N/A</v>
          </cell>
          <cell r="E35" t="str">
            <v>#N/A N/A</v>
          </cell>
          <cell r="L35">
            <v>1399.83</v>
          </cell>
          <cell r="M35">
            <v>2305.8200000000002</v>
          </cell>
          <cell r="N35">
            <v>5760.3</v>
          </cell>
          <cell r="O35">
            <v>3203</v>
          </cell>
          <cell r="Q35">
            <v>525</v>
          </cell>
          <cell r="R35">
            <v>218.75</v>
          </cell>
          <cell r="S35">
            <v>343.25</v>
          </cell>
          <cell r="T35">
            <v>594.25</v>
          </cell>
          <cell r="U35">
            <v>16649.82</v>
          </cell>
          <cell r="V35">
            <v>15753.14</v>
          </cell>
          <cell r="W35">
            <v>6532.18</v>
          </cell>
          <cell r="X35">
            <v>58.55</v>
          </cell>
          <cell r="Y35">
            <v>1060</v>
          </cell>
          <cell r="Z35">
            <v>1140</v>
          </cell>
          <cell r="AA35">
            <v>9919.89</v>
          </cell>
          <cell r="AB35">
            <v>4880.2</v>
          </cell>
          <cell r="AC35">
            <v>38382.800799999997</v>
          </cell>
          <cell r="AE35">
            <v>78.05</v>
          </cell>
          <cell r="AF35">
            <v>603.98</v>
          </cell>
          <cell r="AG35">
            <v>2081</v>
          </cell>
          <cell r="AH35">
            <v>810</v>
          </cell>
          <cell r="AI35">
            <v>1440</v>
          </cell>
          <cell r="AJ35">
            <v>690.24</v>
          </cell>
          <cell r="AL35">
            <v>1280.08</v>
          </cell>
          <cell r="AP35">
            <v>1258.046</v>
          </cell>
          <cell r="AV35">
            <v>48.21</v>
          </cell>
          <cell r="AZ35">
            <v>251.4</v>
          </cell>
          <cell r="BE35">
            <v>15092</v>
          </cell>
          <cell r="BG35">
            <v>45.2</v>
          </cell>
          <cell r="BH35">
            <v>264.02</v>
          </cell>
          <cell r="BY35">
            <v>539.11</v>
          </cell>
          <cell r="CD35">
            <v>324.66000000000003</v>
          </cell>
          <cell r="CE35">
            <v>321.73099999999999</v>
          </cell>
          <cell r="CF35">
            <v>307.55</v>
          </cell>
          <cell r="CG35">
            <v>1130</v>
          </cell>
          <cell r="CH35">
            <v>950</v>
          </cell>
          <cell r="CI35" t="str">
            <v>#N/A N/A</v>
          </cell>
          <cell r="CJ35">
            <v>540</v>
          </cell>
          <cell r="CK35">
            <v>1708</v>
          </cell>
          <cell r="CM35">
            <v>175.58</v>
          </cell>
          <cell r="CN35">
            <v>24.84</v>
          </cell>
          <cell r="CO35" t="str">
            <v>#N/A N/A</v>
          </cell>
          <cell r="CQ35">
            <v>8.68</v>
          </cell>
          <cell r="CR35">
            <v>37</v>
          </cell>
          <cell r="CS35">
            <v>1369</v>
          </cell>
          <cell r="CU35">
            <v>910</v>
          </cell>
          <cell r="CW35">
            <v>48.170731707317074</v>
          </cell>
          <cell r="CX35">
            <v>477.79025000000001</v>
          </cell>
          <cell r="CZ35">
            <v>348.66</v>
          </cell>
          <cell r="DA35">
            <v>2676.7</v>
          </cell>
          <cell r="DB35">
            <v>19.309999999999999</v>
          </cell>
          <cell r="DC35" t="str">
            <v>#N/A N/A</v>
          </cell>
          <cell r="DD35">
            <v>118.2</v>
          </cell>
        </row>
        <row r="36">
          <cell r="A36">
            <v>38749</v>
          </cell>
          <cell r="C36">
            <v>97</v>
          </cell>
          <cell r="D36" t="str">
            <v>#N/A N/A</v>
          </cell>
          <cell r="E36" t="str">
            <v>#N/A N/A</v>
          </cell>
          <cell r="L36">
            <v>1375.97</v>
          </cell>
          <cell r="M36">
            <v>2310.56</v>
          </cell>
          <cell r="N36">
            <v>5801.6</v>
          </cell>
          <cell r="O36">
            <v>3203</v>
          </cell>
          <cell r="Q36">
            <v>525</v>
          </cell>
          <cell r="R36">
            <v>216.5</v>
          </cell>
          <cell r="S36">
            <v>339.25</v>
          </cell>
          <cell r="T36">
            <v>579.5</v>
          </cell>
          <cell r="U36">
            <v>16480.09</v>
          </cell>
          <cell r="V36">
            <v>15742.3</v>
          </cell>
          <cell r="W36">
            <v>6532.18</v>
          </cell>
          <cell r="X36">
            <v>58.8</v>
          </cell>
          <cell r="Y36">
            <v>1060</v>
          </cell>
          <cell r="Z36">
            <v>1140</v>
          </cell>
          <cell r="AA36">
            <v>9859.26</v>
          </cell>
          <cell r="AB36">
            <v>4903.8999999999996</v>
          </cell>
          <cell r="AC36">
            <v>38484.839800000002</v>
          </cell>
          <cell r="AE36">
            <v>76.7</v>
          </cell>
          <cell r="AF36">
            <v>603.98</v>
          </cell>
          <cell r="AG36">
            <v>2087</v>
          </cell>
          <cell r="AH36">
            <v>810</v>
          </cell>
          <cell r="AI36">
            <v>1440</v>
          </cell>
          <cell r="AJ36">
            <v>661.19</v>
          </cell>
          <cell r="AL36">
            <v>1282.46</v>
          </cell>
          <cell r="AP36">
            <v>1258.046</v>
          </cell>
          <cell r="AV36">
            <v>47.5</v>
          </cell>
          <cell r="AZ36">
            <v>248.6</v>
          </cell>
          <cell r="BE36">
            <v>15140</v>
          </cell>
          <cell r="BG36">
            <v>45.2</v>
          </cell>
          <cell r="BH36">
            <v>263.64</v>
          </cell>
          <cell r="BY36">
            <v>544.67999999999995</v>
          </cell>
          <cell r="CD36">
            <v>325.04000000000002</v>
          </cell>
          <cell r="CE36">
            <v>322.06599999999997</v>
          </cell>
          <cell r="CF36">
            <v>307.13</v>
          </cell>
          <cell r="CG36">
            <v>1130</v>
          </cell>
          <cell r="CH36">
            <v>950</v>
          </cell>
          <cell r="CI36" t="str">
            <v>#N/A N/A</v>
          </cell>
          <cell r="CJ36">
            <v>540</v>
          </cell>
          <cell r="CK36">
            <v>1672</v>
          </cell>
          <cell r="CM36">
            <v>174.35</v>
          </cell>
          <cell r="CN36">
            <v>25.31</v>
          </cell>
          <cell r="CO36" t="str">
            <v>#N/A N/A</v>
          </cell>
          <cell r="CQ36">
            <v>8.7100000000000009</v>
          </cell>
          <cell r="CR36">
            <v>37</v>
          </cell>
          <cell r="CS36">
            <v>1435.5</v>
          </cell>
          <cell r="CU36">
            <v>910</v>
          </cell>
          <cell r="CW36">
            <v>49.84756097560976</v>
          </cell>
          <cell r="CX36">
            <v>474.17924999999997</v>
          </cell>
          <cell r="CZ36">
            <v>344.59</v>
          </cell>
          <cell r="DA36">
            <v>2712.9</v>
          </cell>
          <cell r="DB36">
            <v>19.14</v>
          </cell>
          <cell r="DC36">
            <v>296.60000000000002</v>
          </cell>
          <cell r="DD36">
            <v>117.25</v>
          </cell>
        </row>
        <row r="37">
          <cell r="A37">
            <v>38750</v>
          </cell>
          <cell r="C37">
            <v>97</v>
          </cell>
          <cell r="D37" t="str">
            <v>#N/A N/A</v>
          </cell>
          <cell r="E37" t="str">
            <v>#N/A N/A</v>
          </cell>
          <cell r="L37">
            <v>1374.44</v>
          </cell>
          <cell r="M37">
            <v>2281.5700000000002</v>
          </cell>
          <cell r="N37">
            <v>5747.3</v>
          </cell>
          <cell r="O37">
            <v>3203</v>
          </cell>
          <cell r="Q37">
            <v>525</v>
          </cell>
          <cell r="R37">
            <v>220.5</v>
          </cell>
          <cell r="S37">
            <v>347.25</v>
          </cell>
          <cell r="T37">
            <v>584</v>
          </cell>
          <cell r="U37">
            <v>16710.55</v>
          </cell>
          <cell r="V37">
            <v>15691.69</v>
          </cell>
          <cell r="W37">
            <v>6532.18</v>
          </cell>
          <cell r="X37">
            <v>58.25</v>
          </cell>
          <cell r="Y37">
            <v>1060</v>
          </cell>
          <cell r="Z37">
            <v>1140</v>
          </cell>
          <cell r="AA37">
            <v>9843.8700000000008</v>
          </cell>
          <cell r="AB37">
            <v>4855.3999999999996</v>
          </cell>
          <cell r="AC37">
            <v>37304.191400000003</v>
          </cell>
          <cell r="AE37">
            <v>76.05</v>
          </cell>
          <cell r="AF37">
            <v>603.98</v>
          </cell>
          <cell r="AG37">
            <v>2115</v>
          </cell>
          <cell r="AH37">
            <v>810</v>
          </cell>
          <cell r="AI37">
            <v>1440</v>
          </cell>
          <cell r="AJ37">
            <v>664.44</v>
          </cell>
          <cell r="AL37">
            <v>1270.8399999999999</v>
          </cell>
          <cell r="AP37">
            <v>1258.046</v>
          </cell>
          <cell r="AV37">
            <v>46.63</v>
          </cell>
          <cell r="AZ37">
            <v>254.6</v>
          </cell>
          <cell r="BE37">
            <v>15065</v>
          </cell>
          <cell r="BG37">
            <v>45.2</v>
          </cell>
          <cell r="BH37">
            <v>262.25</v>
          </cell>
          <cell r="BY37">
            <v>536.49</v>
          </cell>
          <cell r="CD37">
            <v>322.51</v>
          </cell>
          <cell r="CE37">
            <v>319.60000000000002</v>
          </cell>
          <cell r="CF37">
            <v>304.76</v>
          </cell>
          <cell r="CG37">
            <v>1130</v>
          </cell>
          <cell r="CH37">
            <v>950</v>
          </cell>
          <cell r="CI37" t="str">
            <v>#N/A N/A</v>
          </cell>
          <cell r="CJ37">
            <v>540</v>
          </cell>
          <cell r="CK37">
            <v>1607</v>
          </cell>
          <cell r="CM37">
            <v>168.93</v>
          </cell>
          <cell r="CN37">
            <v>25.93</v>
          </cell>
          <cell r="CO37" t="str">
            <v>#N/A N/A</v>
          </cell>
          <cell r="CQ37">
            <v>7.99</v>
          </cell>
          <cell r="CR37">
            <v>37</v>
          </cell>
          <cell r="CS37">
            <v>1446</v>
          </cell>
          <cell r="CU37">
            <v>910</v>
          </cell>
          <cell r="CW37">
            <v>49.84756097560976</v>
          </cell>
          <cell r="CX37">
            <v>475.00349999999997</v>
          </cell>
          <cell r="CZ37">
            <v>343.14</v>
          </cell>
          <cell r="DA37">
            <v>2760.8</v>
          </cell>
          <cell r="DB37">
            <v>20.010000000000002</v>
          </cell>
          <cell r="DC37">
            <v>308.85000000000002</v>
          </cell>
          <cell r="DD37">
            <v>118</v>
          </cell>
        </row>
        <row r="38">
          <cell r="A38">
            <v>38751</v>
          </cell>
          <cell r="C38">
            <v>97</v>
          </cell>
          <cell r="D38" t="str">
            <v>#N/A N/A</v>
          </cell>
          <cell r="E38" t="str">
            <v>#N/A N/A</v>
          </cell>
          <cell r="L38">
            <v>1333.5</v>
          </cell>
          <cell r="M38">
            <v>2262.58</v>
          </cell>
          <cell r="N38">
            <v>5759.3</v>
          </cell>
          <cell r="O38">
            <v>3203</v>
          </cell>
          <cell r="Q38">
            <v>525</v>
          </cell>
          <cell r="R38">
            <v>225.25</v>
          </cell>
          <cell r="S38">
            <v>356.5</v>
          </cell>
          <cell r="T38">
            <v>594.75</v>
          </cell>
          <cell r="U38">
            <v>16659.64</v>
          </cell>
          <cell r="V38">
            <v>15429.73</v>
          </cell>
          <cell r="W38">
            <v>6594.6</v>
          </cell>
          <cell r="X38">
            <v>56.95</v>
          </cell>
          <cell r="Y38">
            <v>1130</v>
          </cell>
          <cell r="Z38">
            <v>1140</v>
          </cell>
          <cell r="AA38">
            <v>9742.58</v>
          </cell>
          <cell r="AB38">
            <v>4832.1000000000004</v>
          </cell>
          <cell r="AC38">
            <v>37261.730499999998</v>
          </cell>
          <cell r="AE38">
            <v>75.05</v>
          </cell>
          <cell r="AF38">
            <v>603.98</v>
          </cell>
          <cell r="AG38">
            <v>2145</v>
          </cell>
          <cell r="AH38">
            <v>820</v>
          </cell>
          <cell r="AI38">
            <v>1440</v>
          </cell>
          <cell r="AJ38">
            <v>641.20000000000005</v>
          </cell>
          <cell r="AL38">
            <v>1264.03</v>
          </cell>
          <cell r="AP38">
            <v>1258.046</v>
          </cell>
          <cell r="AV38">
            <v>45.65</v>
          </cell>
          <cell r="AZ38">
            <v>263.60000000000002</v>
          </cell>
          <cell r="BE38">
            <v>15052</v>
          </cell>
          <cell r="BG38">
            <v>47.25</v>
          </cell>
          <cell r="BH38">
            <v>263.77</v>
          </cell>
          <cell r="BY38">
            <v>528.77</v>
          </cell>
          <cell r="CD38">
            <v>320.25</v>
          </cell>
          <cell r="CE38">
            <v>317.54399999999998</v>
          </cell>
          <cell r="CF38">
            <v>301.36</v>
          </cell>
          <cell r="CG38">
            <v>1130</v>
          </cell>
          <cell r="CH38">
            <v>880</v>
          </cell>
          <cell r="CI38" t="str">
            <v>#N/A N/A</v>
          </cell>
          <cell r="CJ38">
            <v>540</v>
          </cell>
          <cell r="CK38">
            <v>1578</v>
          </cell>
          <cell r="CM38">
            <v>170.17</v>
          </cell>
          <cell r="CN38">
            <v>26.31</v>
          </cell>
          <cell r="CO38" t="str">
            <v>#N/A N/A</v>
          </cell>
          <cell r="CQ38">
            <v>8.01</v>
          </cell>
          <cell r="CR38">
            <v>37</v>
          </cell>
          <cell r="CS38">
            <v>1426</v>
          </cell>
          <cell r="CU38">
            <v>1070</v>
          </cell>
          <cell r="CW38">
            <v>48.780487804878049</v>
          </cell>
          <cell r="CX38">
            <v>471.39249999999998</v>
          </cell>
          <cell r="CZ38">
            <v>345.9</v>
          </cell>
          <cell r="DA38">
            <v>2772.8</v>
          </cell>
          <cell r="DB38">
            <v>20.46</v>
          </cell>
          <cell r="DC38">
            <v>318.2</v>
          </cell>
          <cell r="DD38">
            <v>117.6</v>
          </cell>
        </row>
        <row r="39">
          <cell r="A39">
            <v>38752</v>
          </cell>
          <cell r="C39">
            <v>97</v>
          </cell>
          <cell r="D39" t="str">
            <v>#N/A N/A</v>
          </cell>
          <cell r="E39" t="str">
            <v>#N/A N/A</v>
          </cell>
          <cell r="L39">
            <v>1333.5</v>
          </cell>
          <cell r="M39">
            <v>2262.58</v>
          </cell>
          <cell r="N39">
            <v>5759.3</v>
          </cell>
          <cell r="O39">
            <v>3203</v>
          </cell>
          <cell r="Q39">
            <v>525</v>
          </cell>
          <cell r="R39">
            <v>225.25</v>
          </cell>
          <cell r="S39">
            <v>356.5</v>
          </cell>
          <cell r="T39">
            <v>594.75</v>
          </cell>
          <cell r="U39">
            <v>16659.64</v>
          </cell>
          <cell r="V39">
            <v>15429.73</v>
          </cell>
          <cell r="W39">
            <v>6594.6</v>
          </cell>
          <cell r="X39">
            <v>56.95</v>
          </cell>
          <cell r="Y39">
            <v>1130</v>
          </cell>
          <cell r="Z39">
            <v>1140</v>
          </cell>
          <cell r="AA39">
            <v>9742.58</v>
          </cell>
          <cell r="AB39">
            <v>4832.1000000000004</v>
          </cell>
          <cell r="AC39">
            <v>37261.730499999998</v>
          </cell>
          <cell r="AE39">
            <v>75.05</v>
          </cell>
          <cell r="AF39">
            <v>603.98</v>
          </cell>
          <cell r="AG39">
            <v>2145</v>
          </cell>
          <cell r="AH39">
            <v>820</v>
          </cell>
          <cell r="AI39">
            <v>1440</v>
          </cell>
          <cell r="AJ39">
            <v>641.20000000000005</v>
          </cell>
          <cell r="AL39">
            <v>1264.03</v>
          </cell>
          <cell r="AP39">
            <v>1258.046</v>
          </cell>
          <cell r="AV39">
            <v>45.65</v>
          </cell>
          <cell r="AZ39">
            <v>263.60000000000002</v>
          </cell>
          <cell r="BE39">
            <v>15052</v>
          </cell>
          <cell r="BG39">
            <v>47.25</v>
          </cell>
          <cell r="BH39">
            <v>263.77</v>
          </cell>
          <cell r="BY39">
            <v>528.77</v>
          </cell>
          <cell r="CD39">
            <v>320.25</v>
          </cell>
          <cell r="CE39">
            <v>317.54399999999998</v>
          </cell>
          <cell r="CF39">
            <v>301.36</v>
          </cell>
          <cell r="CG39">
            <v>1130</v>
          </cell>
          <cell r="CH39">
            <v>880</v>
          </cell>
          <cell r="CI39" t="str">
            <v>#N/A N/A</v>
          </cell>
          <cell r="CJ39">
            <v>540</v>
          </cell>
          <cell r="CK39">
            <v>1578</v>
          </cell>
          <cell r="CM39">
            <v>170.17</v>
          </cell>
          <cell r="CN39">
            <v>26.31</v>
          </cell>
          <cell r="CO39" t="str">
            <v>#N/A N/A</v>
          </cell>
          <cell r="CQ39">
            <v>8.01</v>
          </cell>
          <cell r="CR39">
            <v>37</v>
          </cell>
          <cell r="CS39">
            <v>1426</v>
          </cell>
          <cell r="CU39">
            <v>1070</v>
          </cell>
          <cell r="CW39">
            <v>48.780487804878049</v>
          </cell>
          <cell r="CX39">
            <v>471.39249999999998</v>
          </cell>
          <cell r="CZ39">
            <v>345.9</v>
          </cell>
          <cell r="DA39">
            <v>2772.8</v>
          </cell>
          <cell r="DB39">
            <v>20.46</v>
          </cell>
          <cell r="DC39">
            <v>318.2</v>
          </cell>
          <cell r="DD39">
            <v>117.6</v>
          </cell>
        </row>
        <row r="40">
          <cell r="A40">
            <v>38753</v>
          </cell>
          <cell r="C40">
            <v>97</v>
          </cell>
          <cell r="D40" t="str">
            <v>#N/A N/A</v>
          </cell>
          <cell r="E40" t="str">
            <v>#N/A N/A</v>
          </cell>
          <cell r="L40">
            <v>1333.5</v>
          </cell>
          <cell r="M40">
            <v>2262.58</v>
          </cell>
          <cell r="N40">
            <v>5759.3</v>
          </cell>
          <cell r="O40">
            <v>3203</v>
          </cell>
          <cell r="Q40">
            <v>525</v>
          </cell>
          <cell r="R40">
            <v>225.25</v>
          </cell>
          <cell r="S40">
            <v>356.5</v>
          </cell>
          <cell r="T40">
            <v>594.75</v>
          </cell>
          <cell r="U40">
            <v>16659.64</v>
          </cell>
          <cell r="V40">
            <v>15429.73</v>
          </cell>
          <cell r="W40">
            <v>6594.6</v>
          </cell>
          <cell r="X40">
            <v>56.95</v>
          </cell>
          <cell r="Y40">
            <v>1130</v>
          </cell>
          <cell r="Z40">
            <v>1140</v>
          </cell>
          <cell r="AA40">
            <v>9742.58</v>
          </cell>
          <cell r="AB40">
            <v>4832.1000000000004</v>
          </cell>
          <cell r="AC40">
            <v>37261.730499999998</v>
          </cell>
          <cell r="AE40">
            <v>75.05</v>
          </cell>
          <cell r="AF40">
            <v>603.98</v>
          </cell>
          <cell r="AG40">
            <v>2145</v>
          </cell>
          <cell r="AH40">
            <v>820</v>
          </cell>
          <cell r="AI40">
            <v>1440</v>
          </cell>
          <cell r="AJ40">
            <v>641.20000000000005</v>
          </cell>
          <cell r="AL40">
            <v>1264.03</v>
          </cell>
          <cell r="AP40">
            <v>1258.046</v>
          </cell>
          <cell r="AV40">
            <v>45.65</v>
          </cell>
          <cell r="AZ40">
            <v>263.60000000000002</v>
          </cell>
          <cell r="BE40">
            <v>15052</v>
          </cell>
          <cell r="BG40">
            <v>47.25</v>
          </cell>
          <cell r="BH40">
            <v>263.77</v>
          </cell>
          <cell r="BY40">
            <v>528.77</v>
          </cell>
          <cell r="CD40">
            <v>320.25</v>
          </cell>
          <cell r="CE40">
            <v>317.54399999999998</v>
          </cell>
          <cell r="CF40">
            <v>301.36</v>
          </cell>
          <cell r="CG40">
            <v>1130</v>
          </cell>
          <cell r="CH40">
            <v>880</v>
          </cell>
          <cell r="CI40" t="str">
            <v>#N/A N/A</v>
          </cell>
          <cell r="CJ40">
            <v>540</v>
          </cell>
          <cell r="CK40">
            <v>1578</v>
          </cell>
          <cell r="CM40">
            <v>170.17</v>
          </cell>
          <cell r="CN40">
            <v>26.31</v>
          </cell>
          <cell r="CO40" t="str">
            <v>#N/A N/A</v>
          </cell>
          <cell r="CQ40">
            <v>8.01</v>
          </cell>
          <cell r="CR40">
            <v>37</v>
          </cell>
          <cell r="CS40">
            <v>1426</v>
          </cell>
          <cell r="CU40">
            <v>1070</v>
          </cell>
          <cell r="CW40">
            <v>48.780487804878049</v>
          </cell>
          <cell r="CX40">
            <v>471.39249999999998</v>
          </cell>
          <cell r="CZ40">
            <v>345.9</v>
          </cell>
          <cell r="DA40">
            <v>2772.8</v>
          </cell>
          <cell r="DB40">
            <v>20.46</v>
          </cell>
          <cell r="DC40">
            <v>318.2</v>
          </cell>
          <cell r="DD40">
            <v>117.6</v>
          </cell>
        </row>
        <row r="41">
          <cell r="A41">
            <v>38754</v>
          </cell>
          <cell r="C41">
            <v>97</v>
          </cell>
          <cell r="D41" t="str">
            <v>#N/A N/A</v>
          </cell>
          <cell r="E41" t="str">
            <v>#N/A N/A</v>
          </cell>
          <cell r="L41">
            <v>1341.64</v>
          </cell>
          <cell r="M41">
            <v>2258.8000000000002</v>
          </cell>
          <cell r="N41">
            <v>5772.4</v>
          </cell>
          <cell r="O41">
            <v>3203</v>
          </cell>
          <cell r="Q41">
            <v>525</v>
          </cell>
          <cell r="R41">
            <v>222.75</v>
          </cell>
          <cell r="S41">
            <v>355</v>
          </cell>
          <cell r="T41">
            <v>587</v>
          </cell>
          <cell r="U41">
            <v>16747.759999999998</v>
          </cell>
          <cell r="V41">
            <v>15548.06</v>
          </cell>
          <cell r="W41">
            <v>6719.96</v>
          </cell>
          <cell r="X41">
            <v>58.35</v>
          </cell>
          <cell r="Y41">
            <v>1130</v>
          </cell>
          <cell r="Z41">
            <v>1140</v>
          </cell>
          <cell r="AA41">
            <v>9980.42</v>
          </cell>
          <cell r="AB41">
            <v>4859.8</v>
          </cell>
          <cell r="AC41">
            <v>37321.199200000003</v>
          </cell>
          <cell r="AE41">
            <v>78.05</v>
          </cell>
          <cell r="AF41">
            <v>603.98</v>
          </cell>
          <cell r="AG41">
            <v>2167</v>
          </cell>
          <cell r="AH41">
            <v>820</v>
          </cell>
          <cell r="AI41">
            <v>1440</v>
          </cell>
          <cell r="AJ41">
            <v>644.92999999999995</v>
          </cell>
          <cell r="AL41">
            <v>1265.02</v>
          </cell>
          <cell r="AP41">
            <v>1287.626</v>
          </cell>
          <cell r="AV41">
            <v>46.76</v>
          </cell>
          <cell r="AZ41">
            <v>257.10000000000002</v>
          </cell>
          <cell r="BE41">
            <v>14975</v>
          </cell>
          <cell r="BG41">
            <v>47.25</v>
          </cell>
          <cell r="BH41">
            <v>267.07</v>
          </cell>
          <cell r="BY41">
            <v>540.14</v>
          </cell>
          <cell r="CD41">
            <v>321.01</v>
          </cell>
          <cell r="CE41">
            <v>317.96600000000001</v>
          </cell>
          <cell r="CF41">
            <v>306.83999999999997</v>
          </cell>
          <cell r="CG41">
            <v>1130</v>
          </cell>
          <cell r="CH41">
            <v>880</v>
          </cell>
          <cell r="CI41" t="str">
            <v>#N/A N/A</v>
          </cell>
          <cell r="CJ41">
            <v>530</v>
          </cell>
          <cell r="CK41">
            <v>1561</v>
          </cell>
          <cell r="CM41">
            <v>166.22</v>
          </cell>
          <cell r="CN41">
            <v>27.68</v>
          </cell>
          <cell r="CO41" t="str">
            <v>#N/A N/A</v>
          </cell>
          <cell r="CQ41">
            <v>8.26</v>
          </cell>
          <cell r="CR41">
            <v>37</v>
          </cell>
          <cell r="CS41">
            <v>1397</v>
          </cell>
          <cell r="CU41">
            <v>1070</v>
          </cell>
          <cell r="CW41">
            <v>50.152439024390247</v>
          </cell>
          <cell r="CX41">
            <v>469.54774999999995</v>
          </cell>
          <cell r="CZ41">
            <v>343.25</v>
          </cell>
          <cell r="DA41">
            <v>2789.8</v>
          </cell>
          <cell r="DB41">
            <v>19.91</v>
          </cell>
          <cell r="DC41">
            <v>312.8</v>
          </cell>
          <cell r="DD41">
            <v>113.2</v>
          </cell>
        </row>
        <row r="42">
          <cell r="A42">
            <v>38755</v>
          </cell>
          <cell r="C42">
            <v>97</v>
          </cell>
          <cell r="D42" t="str">
            <v>#N/A N/A</v>
          </cell>
          <cell r="E42" t="str">
            <v>#N/A N/A</v>
          </cell>
          <cell r="L42">
            <v>1332.28</v>
          </cell>
          <cell r="M42">
            <v>2244.96</v>
          </cell>
          <cell r="N42">
            <v>5746.8</v>
          </cell>
          <cell r="O42">
            <v>3249</v>
          </cell>
          <cell r="Q42">
            <v>525</v>
          </cell>
          <cell r="R42">
            <v>218</v>
          </cell>
          <cell r="S42">
            <v>351.75</v>
          </cell>
          <cell r="T42">
            <v>574</v>
          </cell>
          <cell r="U42">
            <v>16720.990000000002</v>
          </cell>
          <cell r="V42">
            <v>15517.01</v>
          </cell>
          <cell r="W42">
            <v>6720.08</v>
          </cell>
          <cell r="X42">
            <v>57.65</v>
          </cell>
          <cell r="Y42">
            <v>1130</v>
          </cell>
          <cell r="Z42">
            <v>1140</v>
          </cell>
          <cell r="AA42">
            <v>10082.280000000001</v>
          </cell>
          <cell r="AB42">
            <v>4850.3999999999996</v>
          </cell>
          <cell r="AC42">
            <v>36561.699200000003</v>
          </cell>
          <cell r="AE42">
            <v>77.650000000000006</v>
          </cell>
          <cell r="AF42">
            <v>612.6</v>
          </cell>
          <cell r="AG42">
            <v>2192</v>
          </cell>
          <cell r="AH42">
            <v>820</v>
          </cell>
          <cell r="AI42">
            <v>1440</v>
          </cell>
          <cell r="AJ42">
            <v>650.07000000000005</v>
          </cell>
          <cell r="AL42">
            <v>1254.78</v>
          </cell>
          <cell r="AP42">
            <v>1282.096</v>
          </cell>
          <cell r="AV42">
            <v>45.34</v>
          </cell>
          <cell r="AZ42">
            <v>263.10000000000002</v>
          </cell>
          <cell r="BE42">
            <v>14848</v>
          </cell>
          <cell r="BG42">
            <v>47.25</v>
          </cell>
          <cell r="BH42">
            <v>260.57</v>
          </cell>
          <cell r="BY42">
            <v>540.73</v>
          </cell>
          <cell r="CD42">
            <v>318.93</v>
          </cell>
          <cell r="CE42">
            <v>315.94</v>
          </cell>
          <cell r="CF42">
            <v>305.82</v>
          </cell>
          <cell r="CG42">
            <v>1130</v>
          </cell>
          <cell r="CH42">
            <v>880</v>
          </cell>
          <cell r="CI42" t="str">
            <v>#N/A N/A</v>
          </cell>
          <cell r="CJ42">
            <v>530</v>
          </cell>
          <cell r="CK42">
            <v>1493</v>
          </cell>
          <cell r="CM42">
            <v>161.4</v>
          </cell>
          <cell r="CN42">
            <v>27.53</v>
          </cell>
          <cell r="CO42" t="str">
            <v>#N/A N/A</v>
          </cell>
          <cell r="CQ42">
            <v>7.72</v>
          </cell>
          <cell r="CR42">
            <v>37</v>
          </cell>
          <cell r="CS42">
            <v>1318</v>
          </cell>
          <cell r="CU42">
            <v>1070</v>
          </cell>
          <cell r="CW42">
            <v>50.457317073170735</v>
          </cell>
          <cell r="CX42">
            <v>470.01875000000001</v>
          </cell>
          <cell r="CZ42">
            <v>336.43</v>
          </cell>
          <cell r="DA42">
            <v>2773.9</v>
          </cell>
          <cell r="DB42">
            <v>19.100000000000001</v>
          </cell>
          <cell r="DC42">
            <v>289.2</v>
          </cell>
          <cell r="DD42">
            <v>114.9</v>
          </cell>
        </row>
        <row r="43">
          <cell r="A43">
            <v>38756</v>
          </cell>
          <cell r="C43">
            <v>97</v>
          </cell>
          <cell r="D43" t="str">
            <v>#N/A N/A</v>
          </cell>
          <cell r="E43" t="str">
            <v>#N/A N/A</v>
          </cell>
          <cell r="L43">
            <v>1310.99</v>
          </cell>
          <cell r="M43">
            <v>2266.98</v>
          </cell>
          <cell r="N43">
            <v>5725.1</v>
          </cell>
          <cell r="O43">
            <v>3254</v>
          </cell>
          <cell r="Q43">
            <v>525</v>
          </cell>
          <cell r="R43">
            <v>221.25</v>
          </cell>
          <cell r="S43">
            <v>356.75</v>
          </cell>
          <cell r="T43">
            <v>578</v>
          </cell>
          <cell r="U43">
            <v>16272.68</v>
          </cell>
          <cell r="V43">
            <v>15373.44</v>
          </cell>
          <cell r="W43">
            <v>6624.11</v>
          </cell>
          <cell r="X43">
            <v>56.1</v>
          </cell>
          <cell r="Y43">
            <v>1130</v>
          </cell>
          <cell r="Z43">
            <v>1140</v>
          </cell>
          <cell r="AA43">
            <v>10044.82</v>
          </cell>
          <cell r="AB43">
            <v>4777</v>
          </cell>
          <cell r="AC43">
            <v>36499.410199999998</v>
          </cell>
          <cell r="AE43">
            <v>76.95</v>
          </cell>
          <cell r="AF43">
            <v>612.6</v>
          </cell>
          <cell r="AG43">
            <v>2223</v>
          </cell>
          <cell r="AH43">
            <v>820</v>
          </cell>
          <cell r="AI43">
            <v>1440</v>
          </cell>
          <cell r="AJ43">
            <v>643.49</v>
          </cell>
          <cell r="AL43">
            <v>1265.6500000000001</v>
          </cell>
          <cell r="AP43">
            <v>1290.0550000000001</v>
          </cell>
          <cell r="AV43">
            <v>45.56</v>
          </cell>
          <cell r="AZ43">
            <v>254.1</v>
          </cell>
          <cell r="BE43">
            <v>14850</v>
          </cell>
          <cell r="BG43">
            <v>47.25</v>
          </cell>
          <cell r="BH43">
            <v>253.59</v>
          </cell>
          <cell r="BY43">
            <v>548.48</v>
          </cell>
          <cell r="CD43">
            <v>318.33999999999997</v>
          </cell>
          <cell r="CE43">
            <v>315.70299999999997</v>
          </cell>
          <cell r="CF43">
            <v>300.2</v>
          </cell>
          <cell r="CG43">
            <v>1130</v>
          </cell>
          <cell r="CH43">
            <v>880</v>
          </cell>
          <cell r="CI43" t="str">
            <v>#N/A N/A</v>
          </cell>
          <cell r="CJ43">
            <v>530</v>
          </cell>
          <cell r="CK43">
            <v>1434</v>
          </cell>
          <cell r="CM43">
            <v>158.31</v>
          </cell>
          <cell r="CN43">
            <v>26.91</v>
          </cell>
          <cell r="CO43" t="str">
            <v>#N/A N/A</v>
          </cell>
          <cell r="CQ43">
            <v>7.89</v>
          </cell>
          <cell r="CR43">
            <v>37.5</v>
          </cell>
          <cell r="CS43">
            <v>1284</v>
          </cell>
          <cell r="CU43">
            <v>1070</v>
          </cell>
          <cell r="CW43">
            <v>49.84756097560976</v>
          </cell>
          <cell r="CX43">
            <v>468.80199999999996</v>
          </cell>
          <cell r="CZ43">
            <v>336.07</v>
          </cell>
          <cell r="DA43">
            <v>2726.2</v>
          </cell>
          <cell r="DB43">
            <v>19.61</v>
          </cell>
          <cell r="DC43">
            <v>292.75</v>
          </cell>
          <cell r="DD43">
            <v>113.45</v>
          </cell>
        </row>
        <row r="44">
          <cell r="A44">
            <v>38757</v>
          </cell>
          <cell r="C44">
            <v>97</v>
          </cell>
          <cell r="D44" t="str">
            <v>#N/A N/A</v>
          </cell>
          <cell r="E44" t="str">
            <v>#N/A N/A</v>
          </cell>
          <cell r="L44">
            <v>1321.66</v>
          </cell>
          <cell r="M44">
            <v>2255.87</v>
          </cell>
          <cell r="N44">
            <v>5808.7</v>
          </cell>
          <cell r="O44">
            <v>3264</v>
          </cell>
          <cell r="Q44">
            <v>525</v>
          </cell>
          <cell r="R44">
            <v>225.5</v>
          </cell>
          <cell r="S44">
            <v>363.25</v>
          </cell>
          <cell r="T44">
            <v>587.75</v>
          </cell>
          <cell r="U44">
            <v>16439.669999999998</v>
          </cell>
          <cell r="V44">
            <v>15413.43</v>
          </cell>
          <cell r="W44">
            <v>6630.13</v>
          </cell>
          <cell r="X44">
            <v>56.75</v>
          </cell>
          <cell r="Y44">
            <v>1130</v>
          </cell>
          <cell r="Z44">
            <v>1140</v>
          </cell>
          <cell r="AA44">
            <v>10044.82</v>
          </cell>
          <cell r="AB44">
            <v>4820.2</v>
          </cell>
          <cell r="AC44">
            <v>36882.308599999997</v>
          </cell>
          <cell r="AE44">
            <v>77.05</v>
          </cell>
          <cell r="AF44">
            <v>612.6</v>
          </cell>
          <cell r="AG44">
            <v>2256</v>
          </cell>
          <cell r="AH44">
            <v>820</v>
          </cell>
          <cell r="AI44">
            <v>1440</v>
          </cell>
          <cell r="AJ44">
            <v>649.75</v>
          </cell>
          <cell r="AL44">
            <v>1263.78</v>
          </cell>
          <cell r="AP44">
            <v>1269.454</v>
          </cell>
          <cell r="AV44">
            <v>45.59</v>
          </cell>
          <cell r="AZ44">
            <v>259.2</v>
          </cell>
          <cell r="BE44">
            <v>15650</v>
          </cell>
          <cell r="BG44">
            <v>47.25</v>
          </cell>
          <cell r="BH44">
            <v>251.29</v>
          </cell>
          <cell r="BY44">
            <v>546.83000000000004</v>
          </cell>
          <cell r="CD44">
            <v>319.76</v>
          </cell>
          <cell r="CE44">
            <v>316.98</v>
          </cell>
          <cell r="CF44">
            <v>301.49</v>
          </cell>
          <cell r="CG44">
            <v>1130</v>
          </cell>
          <cell r="CH44">
            <v>880</v>
          </cell>
          <cell r="CI44" t="str">
            <v>#N/A N/A</v>
          </cell>
          <cell r="CJ44">
            <v>530</v>
          </cell>
          <cell r="CK44">
            <v>1394</v>
          </cell>
          <cell r="CM44">
            <v>158.01</v>
          </cell>
          <cell r="CN44">
            <v>27.28</v>
          </cell>
          <cell r="CO44" t="str">
            <v>#N/A N/A</v>
          </cell>
          <cell r="CQ44">
            <v>7.5</v>
          </cell>
          <cell r="CR44">
            <v>37.5</v>
          </cell>
          <cell r="CS44">
            <v>1304</v>
          </cell>
          <cell r="CU44">
            <v>1070</v>
          </cell>
          <cell r="CW44">
            <v>49.84756097560976</v>
          </cell>
          <cell r="CX44">
            <v>469.97950000000003</v>
          </cell>
          <cell r="CZ44">
            <v>336.96</v>
          </cell>
          <cell r="DA44">
            <v>2770.1</v>
          </cell>
          <cell r="DB44">
            <v>19.559999999999999</v>
          </cell>
          <cell r="DC44">
            <v>304.45</v>
          </cell>
          <cell r="DD44">
            <v>113.8</v>
          </cell>
        </row>
        <row r="45">
          <cell r="A45">
            <v>38758</v>
          </cell>
          <cell r="C45">
            <v>97</v>
          </cell>
          <cell r="D45" t="str">
            <v>#N/A N/A</v>
          </cell>
          <cell r="E45" t="str">
            <v>#N/A N/A</v>
          </cell>
          <cell r="L45">
            <v>1335.23</v>
          </cell>
          <cell r="M45">
            <v>2261.88</v>
          </cell>
          <cell r="N45">
            <v>5764.1</v>
          </cell>
          <cell r="O45">
            <v>3292</v>
          </cell>
          <cell r="Q45">
            <v>525</v>
          </cell>
          <cell r="R45">
            <v>221.25</v>
          </cell>
          <cell r="S45">
            <v>355.25</v>
          </cell>
          <cell r="T45">
            <v>582.25</v>
          </cell>
          <cell r="U45">
            <v>16257.83</v>
          </cell>
          <cell r="V45">
            <v>15425.95</v>
          </cell>
          <cell r="W45">
            <v>6594.92</v>
          </cell>
          <cell r="X45">
            <v>56.95</v>
          </cell>
          <cell r="Y45">
            <v>1100</v>
          </cell>
          <cell r="Z45">
            <v>1140</v>
          </cell>
          <cell r="AA45">
            <v>10110.969999999999</v>
          </cell>
          <cell r="AB45">
            <v>4817.7</v>
          </cell>
          <cell r="AC45">
            <v>36975.269500000002</v>
          </cell>
          <cell r="AE45">
            <v>75.05</v>
          </cell>
          <cell r="AF45">
            <v>612.6</v>
          </cell>
          <cell r="AG45">
            <v>2297</v>
          </cell>
          <cell r="AH45">
            <v>830</v>
          </cell>
          <cell r="AI45">
            <v>1440</v>
          </cell>
          <cell r="AJ45">
            <v>655.61</v>
          </cell>
          <cell r="AL45">
            <v>1266.99</v>
          </cell>
          <cell r="AP45">
            <v>1282.6559999999999</v>
          </cell>
          <cell r="AV45">
            <v>46.05</v>
          </cell>
          <cell r="AZ45">
            <v>254</v>
          </cell>
          <cell r="BE45">
            <v>14725</v>
          </cell>
          <cell r="BG45">
            <v>48.6</v>
          </cell>
          <cell r="BH45">
            <v>250.36</v>
          </cell>
          <cell r="BY45">
            <v>540.39</v>
          </cell>
          <cell r="CD45">
            <v>319.23</v>
          </cell>
          <cell r="CE45">
            <v>316.339</v>
          </cell>
          <cell r="CF45">
            <v>303.54000000000002</v>
          </cell>
          <cell r="CG45">
            <v>1135</v>
          </cell>
          <cell r="CH45">
            <v>870</v>
          </cell>
          <cell r="CI45" t="str">
            <v>#N/A N/A</v>
          </cell>
          <cell r="CJ45">
            <v>530</v>
          </cell>
          <cell r="CK45">
            <v>1357</v>
          </cell>
          <cell r="CM45">
            <v>151.05000000000001</v>
          </cell>
          <cell r="CN45">
            <v>27.32</v>
          </cell>
          <cell r="CO45" t="str">
            <v>#N/A N/A</v>
          </cell>
          <cell r="CQ45">
            <v>7.55</v>
          </cell>
          <cell r="CR45">
            <v>37.5</v>
          </cell>
          <cell r="CS45">
            <v>1216</v>
          </cell>
          <cell r="CU45">
            <v>1080</v>
          </cell>
          <cell r="CW45">
            <v>49.84756097560976</v>
          </cell>
          <cell r="CX45">
            <v>467.82074999999998</v>
          </cell>
          <cell r="CZ45">
            <v>331.6</v>
          </cell>
          <cell r="DA45">
            <v>2650.1</v>
          </cell>
          <cell r="DB45">
            <v>18.66</v>
          </cell>
          <cell r="DC45">
            <v>284.64999999999998</v>
          </cell>
          <cell r="DD45">
            <v>115.1</v>
          </cell>
        </row>
        <row r="46">
          <cell r="A46">
            <v>38759</v>
          </cell>
          <cell r="C46">
            <v>97</v>
          </cell>
          <cell r="D46" t="str">
            <v>#N/A N/A</v>
          </cell>
          <cell r="E46" t="str">
            <v>#N/A N/A</v>
          </cell>
          <cell r="L46">
            <v>1335.23</v>
          </cell>
          <cell r="M46">
            <v>2261.88</v>
          </cell>
          <cell r="N46">
            <v>5764.1</v>
          </cell>
          <cell r="O46">
            <v>3292</v>
          </cell>
          <cell r="Q46">
            <v>525</v>
          </cell>
          <cell r="R46">
            <v>221.25</v>
          </cell>
          <cell r="S46">
            <v>355.25</v>
          </cell>
          <cell r="T46">
            <v>582.25</v>
          </cell>
          <cell r="U46">
            <v>16257.83</v>
          </cell>
          <cell r="V46">
            <v>15425.95</v>
          </cell>
          <cell r="W46">
            <v>6594.92</v>
          </cell>
          <cell r="X46">
            <v>56.95</v>
          </cell>
          <cell r="Y46">
            <v>1100</v>
          </cell>
          <cell r="Z46">
            <v>1140</v>
          </cell>
          <cell r="AA46">
            <v>10110.969999999999</v>
          </cell>
          <cell r="AB46">
            <v>4817.7</v>
          </cell>
          <cell r="AC46">
            <v>36975.269500000002</v>
          </cell>
          <cell r="AE46">
            <v>75.05</v>
          </cell>
          <cell r="AF46">
            <v>612.6</v>
          </cell>
          <cell r="AG46">
            <v>2297</v>
          </cell>
          <cell r="AH46">
            <v>830</v>
          </cell>
          <cell r="AI46">
            <v>1440</v>
          </cell>
          <cell r="AJ46">
            <v>655.61</v>
          </cell>
          <cell r="AL46">
            <v>1266.99</v>
          </cell>
          <cell r="AP46">
            <v>1282.6559999999999</v>
          </cell>
          <cell r="AV46">
            <v>46.05</v>
          </cell>
          <cell r="AZ46">
            <v>254</v>
          </cell>
          <cell r="BE46">
            <v>14725</v>
          </cell>
          <cell r="BG46">
            <v>48.6</v>
          </cell>
          <cell r="BH46">
            <v>250.36</v>
          </cell>
          <cell r="BY46">
            <v>540.39</v>
          </cell>
          <cell r="CD46">
            <v>319.23</v>
          </cell>
          <cell r="CE46">
            <v>316.339</v>
          </cell>
          <cell r="CF46">
            <v>303.54000000000002</v>
          </cell>
          <cell r="CG46">
            <v>1135</v>
          </cell>
          <cell r="CH46">
            <v>870</v>
          </cell>
          <cell r="CI46" t="str">
            <v>#N/A N/A</v>
          </cell>
          <cell r="CJ46">
            <v>530</v>
          </cell>
          <cell r="CK46">
            <v>1357</v>
          </cell>
          <cell r="CM46">
            <v>151.05000000000001</v>
          </cell>
          <cell r="CN46">
            <v>27.32</v>
          </cell>
          <cell r="CO46" t="str">
            <v>#N/A N/A</v>
          </cell>
          <cell r="CQ46">
            <v>7.55</v>
          </cell>
          <cell r="CR46">
            <v>37.5</v>
          </cell>
          <cell r="CS46">
            <v>1216</v>
          </cell>
          <cell r="CU46">
            <v>1080</v>
          </cell>
          <cell r="CW46">
            <v>49.84756097560976</v>
          </cell>
          <cell r="CX46">
            <v>467.82074999999998</v>
          </cell>
          <cell r="CZ46">
            <v>331.6</v>
          </cell>
          <cell r="DA46">
            <v>2650.1</v>
          </cell>
          <cell r="DB46">
            <v>18.66</v>
          </cell>
          <cell r="DC46">
            <v>284.64999999999998</v>
          </cell>
          <cell r="DD46">
            <v>115.1</v>
          </cell>
        </row>
        <row r="47">
          <cell r="A47">
            <v>38760</v>
          </cell>
          <cell r="C47">
            <v>97</v>
          </cell>
          <cell r="D47" t="str">
            <v>#N/A N/A</v>
          </cell>
          <cell r="E47" t="str">
            <v>#N/A N/A</v>
          </cell>
          <cell r="L47">
            <v>1335.23</v>
          </cell>
          <cell r="M47">
            <v>2261.88</v>
          </cell>
          <cell r="N47">
            <v>5764.1</v>
          </cell>
          <cell r="O47">
            <v>3292</v>
          </cell>
          <cell r="Q47">
            <v>525</v>
          </cell>
          <cell r="R47">
            <v>221.25</v>
          </cell>
          <cell r="S47">
            <v>355.25</v>
          </cell>
          <cell r="T47">
            <v>582.25</v>
          </cell>
          <cell r="U47">
            <v>16257.83</v>
          </cell>
          <cell r="V47">
            <v>15425.95</v>
          </cell>
          <cell r="W47">
            <v>6594.92</v>
          </cell>
          <cell r="X47">
            <v>56.95</v>
          </cell>
          <cell r="Y47">
            <v>1100</v>
          </cell>
          <cell r="Z47">
            <v>1140</v>
          </cell>
          <cell r="AA47">
            <v>10110.969999999999</v>
          </cell>
          <cell r="AB47">
            <v>4817.7</v>
          </cell>
          <cell r="AC47">
            <v>36975.269500000002</v>
          </cell>
          <cell r="AE47">
            <v>75.05</v>
          </cell>
          <cell r="AF47">
            <v>612.6</v>
          </cell>
          <cell r="AG47">
            <v>2297</v>
          </cell>
          <cell r="AH47">
            <v>830</v>
          </cell>
          <cell r="AI47">
            <v>1440</v>
          </cell>
          <cell r="AJ47">
            <v>655.61</v>
          </cell>
          <cell r="AL47">
            <v>1266.99</v>
          </cell>
          <cell r="AP47">
            <v>1282.6559999999999</v>
          </cell>
          <cell r="AV47">
            <v>46.05</v>
          </cell>
          <cell r="AZ47">
            <v>254</v>
          </cell>
          <cell r="BE47">
            <v>14725</v>
          </cell>
          <cell r="BG47">
            <v>48.6</v>
          </cell>
          <cell r="BH47">
            <v>250.36</v>
          </cell>
          <cell r="BY47">
            <v>540.39</v>
          </cell>
          <cell r="CD47">
            <v>319.23</v>
          </cell>
          <cell r="CE47">
            <v>316.339</v>
          </cell>
          <cell r="CF47">
            <v>303.54000000000002</v>
          </cell>
          <cell r="CG47">
            <v>1135</v>
          </cell>
          <cell r="CH47">
            <v>870</v>
          </cell>
          <cell r="CI47" t="str">
            <v>#N/A N/A</v>
          </cell>
          <cell r="CJ47">
            <v>530</v>
          </cell>
          <cell r="CK47">
            <v>1357</v>
          </cell>
          <cell r="CM47">
            <v>151.05000000000001</v>
          </cell>
          <cell r="CN47">
            <v>27.32</v>
          </cell>
          <cell r="CO47" t="str">
            <v>#N/A N/A</v>
          </cell>
          <cell r="CQ47">
            <v>7.55</v>
          </cell>
          <cell r="CR47">
            <v>37.5</v>
          </cell>
          <cell r="CS47">
            <v>1216</v>
          </cell>
          <cell r="CU47">
            <v>1080</v>
          </cell>
          <cell r="CW47">
            <v>49.84756097560976</v>
          </cell>
          <cell r="CX47">
            <v>467.82074999999998</v>
          </cell>
          <cell r="CZ47">
            <v>331.6</v>
          </cell>
          <cell r="DA47">
            <v>2650.1</v>
          </cell>
          <cell r="DB47">
            <v>18.66</v>
          </cell>
          <cell r="DC47">
            <v>284.64999999999998</v>
          </cell>
          <cell r="DD47">
            <v>115.1</v>
          </cell>
        </row>
        <row r="48">
          <cell r="A48">
            <v>38761</v>
          </cell>
          <cell r="C48">
            <v>97</v>
          </cell>
          <cell r="D48" t="str">
            <v>#N/A N/A</v>
          </cell>
          <cell r="E48" t="str">
            <v>#N/A N/A</v>
          </cell>
          <cell r="L48">
            <v>1320.79</v>
          </cell>
          <cell r="M48">
            <v>2239.81</v>
          </cell>
          <cell r="N48">
            <v>5793.5</v>
          </cell>
          <cell r="O48">
            <v>3330</v>
          </cell>
          <cell r="Q48">
            <v>525</v>
          </cell>
          <cell r="R48">
            <v>220.75</v>
          </cell>
          <cell r="S48">
            <v>348</v>
          </cell>
          <cell r="T48">
            <v>584.25</v>
          </cell>
          <cell r="U48">
            <v>15877.66</v>
          </cell>
          <cell r="V48">
            <v>15312.09</v>
          </cell>
          <cell r="W48">
            <v>6562.29</v>
          </cell>
          <cell r="X48">
            <v>56.25</v>
          </cell>
          <cell r="Y48">
            <v>1100</v>
          </cell>
          <cell r="Z48">
            <v>1140</v>
          </cell>
          <cell r="AA48">
            <v>10173.25</v>
          </cell>
          <cell r="AB48">
            <v>4765.1000000000004</v>
          </cell>
          <cell r="AC48">
            <v>36113.949200000003</v>
          </cell>
          <cell r="AE48">
            <v>73.849999999999994</v>
          </cell>
          <cell r="AF48">
            <v>612.6</v>
          </cell>
          <cell r="AG48">
            <v>2328</v>
          </cell>
          <cell r="AH48">
            <v>830</v>
          </cell>
          <cell r="AI48">
            <v>1440</v>
          </cell>
          <cell r="AJ48">
            <v>653.21</v>
          </cell>
          <cell r="AL48">
            <v>1262.8599999999999</v>
          </cell>
          <cell r="AP48">
            <v>1279.6400000000001</v>
          </cell>
          <cell r="AV48">
            <v>44.4</v>
          </cell>
          <cell r="AZ48">
            <v>248</v>
          </cell>
          <cell r="BE48">
            <v>14900</v>
          </cell>
          <cell r="BG48">
            <v>48.6</v>
          </cell>
          <cell r="BH48">
            <v>244.35</v>
          </cell>
          <cell r="BY48">
            <v>532.79999999999995</v>
          </cell>
          <cell r="CD48">
            <v>317.74</v>
          </cell>
          <cell r="CE48">
            <v>315.08100000000002</v>
          </cell>
          <cell r="CF48">
            <v>300.62</v>
          </cell>
          <cell r="CG48">
            <v>1135</v>
          </cell>
          <cell r="CH48">
            <v>870</v>
          </cell>
          <cell r="CI48" t="str">
            <v>#N/A N/A</v>
          </cell>
          <cell r="CJ48">
            <v>530</v>
          </cell>
          <cell r="CK48">
            <v>1362</v>
          </cell>
          <cell r="CM48">
            <v>147.80000000000001</v>
          </cell>
          <cell r="CN48">
            <v>27.3</v>
          </cell>
          <cell r="CO48" t="str">
            <v>#N/A N/A</v>
          </cell>
          <cell r="CQ48">
            <v>7.35</v>
          </cell>
          <cell r="CR48">
            <v>37.5</v>
          </cell>
          <cell r="CS48">
            <v>1199.5</v>
          </cell>
          <cell r="CU48">
            <v>1080</v>
          </cell>
          <cell r="CW48">
            <v>49.542682926829272</v>
          </cell>
          <cell r="CX48">
            <v>467.15349999999995</v>
          </cell>
          <cell r="CZ48">
            <v>327.57</v>
          </cell>
          <cell r="DA48">
            <v>2626.5</v>
          </cell>
          <cell r="DB48">
            <v>18.489999999999998</v>
          </cell>
          <cell r="DC48">
            <v>275.05</v>
          </cell>
          <cell r="DD48">
            <v>109.45</v>
          </cell>
        </row>
        <row r="49">
          <cell r="A49">
            <v>38762</v>
          </cell>
          <cell r="C49">
            <v>97</v>
          </cell>
          <cell r="D49" t="str">
            <v>#N/A N/A</v>
          </cell>
          <cell r="E49" t="str">
            <v>#N/A N/A</v>
          </cell>
          <cell r="L49">
            <v>1328.21</v>
          </cell>
          <cell r="M49">
            <v>2262.17</v>
          </cell>
          <cell r="N49">
            <v>5792.3</v>
          </cell>
          <cell r="O49">
            <v>3406</v>
          </cell>
          <cell r="Q49">
            <v>525</v>
          </cell>
          <cell r="R49">
            <v>218.75</v>
          </cell>
          <cell r="S49">
            <v>347.25</v>
          </cell>
          <cell r="T49">
            <v>583.25</v>
          </cell>
          <cell r="U49">
            <v>16184.87</v>
          </cell>
          <cell r="V49">
            <v>15420.32</v>
          </cell>
          <cell r="W49">
            <v>6612.97</v>
          </cell>
          <cell r="X49">
            <v>56.45</v>
          </cell>
          <cell r="Y49">
            <v>1100</v>
          </cell>
          <cell r="Z49">
            <v>1140</v>
          </cell>
          <cell r="AA49">
            <v>10086.629999999999</v>
          </cell>
          <cell r="AB49">
            <v>4808.2</v>
          </cell>
          <cell r="AC49">
            <v>36626.878900000003</v>
          </cell>
          <cell r="AE49">
            <v>74.150000000000006</v>
          </cell>
          <cell r="AF49">
            <v>615.78</v>
          </cell>
          <cell r="AG49">
            <v>2389</v>
          </cell>
          <cell r="AH49">
            <v>830</v>
          </cell>
          <cell r="AI49">
            <v>1440</v>
          </cell>
          <cell r="AJ49">
            <v>653.35</v>
          </cell>
          <cell r="AL49">
            <v>1275.53</v>
          </cell>
          <cell r="AP49">
            <v>1286.327</v>
          </cell>
          <cell r="AV49">
            <v>45.96</v>
          </cell>
          <cell r="AZ49">
            <v>239</v>
          </cell>
          <cell r="BE49">
            <v>15145</v>
          </cell>
          <cell r="BG49">
            <v>48.6</v>
          </cell>
          <cell r="BH49">
            <v>244</v>
          </cell>
          <cell r="BY49">
            <v>536.46</v>
          </cell>
          <cell r="CD49">
            <v>319.51</v>
          </cell>
          <cell r="CE49">
            <v>316.93</v>
          </cell>
          <cell r="CF49">
            <v>302.27</v>
          </cell>
          <cell r="CG49">
            <v>1135</v>
          </cell>
          <cell r="CH49">
            <v>870</v>
          </cell>
          <cell r="CI49" t="str">
            <v>#N/A N/A</v>
          </cell>
          <cell r="CJ49">
            <v>530</v>
          </cell>
          <cell r="CK49">
            <v>1376</v>
          </cell>
          <cell r="CM49">
            <v>144.61000000000001</v>
          </cell>
          <cell r="CN49">
            <v>27.13</v>
          </cell>
          <cell r="CO49" t="str">
            <v>#N/A N/A</v>
          </cell>
          <cell r="CQ49">
            <v>6.97</v>
          </cell>
          <cell r="CR49">
            <v>37.5</v>
          </cell>
          <cell r="CS49">
            <v>1242</v>
          </cell>
          <cell r="CU49">
            <v>1080</v>
          </cell>
          <cell r="CW49">
            <v>49.542682926829272</v>
          </cell>
          <cell r="CX49">
            <v>466.95724999999999</v>
          </cell>
          <cell r="CZ49">
            <v>325.05</v>
          </cell>
          <cell r="DA49">
            <v>2666.2</v>
          </cell>
          <cell r="DB49">
            <v>18.579999999999998</v>
          </cell>
          <cell r="DC49">
            <v>280.89999999999998</v>
          </cell>
          <cell r="DD49">
            <v>107.55</v>
          </cell>
        </row>
        <row r="50">
          <cell r="A50">
            <v>38763</v>
          </cell>
          <cell r="C50">
            <v>97</v>
          </cell>
          <cell r="D50" t="str">
            <v>#N/A N/A</v>
          </cell>
          <cell r="E50" t="str">
            <v>#N/A N/A</v>
          </cell>
          <cell r="L50">
            <v>1303.8399999999999</v>
          </cell>
          <cell r="M50">
            <v>2276.4299999999998</v>
          </cell>
          <cell r="N50">
            <v>5791.5</v>
          </cell>
          <cell r="O50">
            <v>3423</v>
          </cell>
          <cell r="Q50">
            <v>525</v>
          </cell>
          <cell r="R50">
            <v>222</v>
          </cell>
          <cell r="S50">
            <v>352</v>
          </cell>
          <cell r="T50">
            <v>587</v>
          </cell>
          <cell r="U50">
            <v>15932.83</v>
          </cell>
          <cell r="V50">
            <v>15423.26</v>
          </cell>
          <cell r="W50">
            <v>6598.49</v>
          </cell>
          <cell r="X50">
            <v>56.05</v>
          </cell>
          <cell r="Y50">
            <v>1100</v>
          </cell>
          <cell r="Z50">
            <v>1140</v>
          </cell>
          <cell r="AA50">
            <v>10113.18</v>
          </cell>
          <cell r="AB50">
            <v>4781.5</v>
          </cell>
          <cell r="AC50">
            <v>37239.300799999997</v>
          </cell>
          <cell r="AE50">
            <v>73.150000000000006</v>
          </cell>
          <cell r="AF50">
            <v>615.78</v>
          </cell>
          <cell r="AG50">
            <v>2484</v>
          </cell>
          <cell r="AH50">
            <v>830</v>
          </cell>
          <cell r="AI50">
            <v>1440</v>
          </cell>
          <cell r="AJ50">
            <v>639.91999999999996</v>
          </cell>
          <cell r="AL50">
            <v>1280</v>
          </cell>
          <cell r="AP50">
            <v>1299.1659999999999</v>
          </cell>
          <cell r="AV50">
            <v>44.82</v>
          </cell>
          <cell r="AZ50">
            <v>242</v>
          </cell>
          <cell r="BE50">
            <v>14780</v>
          </cell>
          <cell r="BG50">
            <v>48.6</v>
          </cell>
          <cell r="BH50">
            <v>244.43</v>
          </cell>
          <cell r="BY50">
            <v>538.23</v>
          </cell>
          <cell r="CD50">
            <v>320.02999999999997</v>
          </cell>
          <cell r="CE50">
            <v>317.47000000000003</v>
          </cell>
          <cell r="CF50">
            <v>299.62</v>
          </cell>
          <cell r="CG50">
            <v>1135</v>
          </cell>
          <cell r="CH50">
            <v>870</v>
          </cell>
          <cell r="CI50" t="str">
            <v>#N/A N/A</v>
          </cell>
          <cell r="CJ50">
            <v>530</v>
          </cell>
          <cell r="CK50">
            <v>1399</v>
          </cell>
          <cell r="CM50">
            <v>143.1</v>
          </cell>
          <cell r="CN50">
            <v>27.33</v>
          </cell>
          <cell r="CO50" t="str">
            <v>#N/A N/A</v>
          </cell>
          <cell r="CQ50">
            <v>7.32</v>
          </cell>
          <cell r="CR50">
            <v>37.5</v>
          </cell>
          <cell r="CS50">
            <v>1185</v>
          </cell>
          <cell r="CU50">
            <v>1080</v>
          </cell>
          <cell r="CW50">
            <v>49.085365853658537</v>
          </cell>
          <cell r="CX50">
            <v>466.44700000000006</v>
          </cell>
          <cell r="CZ50">
            <v>320.75</v>
          </cell>
          <cell r="DA50">
            <v>2561.3000000000002</v>
          </cell>
          <cell r="DB50">
            <v>18.82</v>
          </cell>
          <cell r="DC50">
            <v>277</v>
          </cell>
          <cell r="DD50">
            <v>107.8</v>
          </cell>
        </row>
        <row r="51">
          <cell r="A51">
            <v>38764</v>
          </cell>
          <cell r="C51">
            <v>103.33</v>
          </cell>
          <cell r="D51" t="str">
            <v>#N/A N/A</v>
          </cell>
          <cell r="E51" t="str">
            <v>#N/A N/A</v>
          </cell>
          <cell r="L51">
            <v>1314.32</v>
          </cell>
          <cell r="M51">
            <v>2294.63</v>
          </cell>
          <cell r="N51">
            <v>5828.9</v>
          </cell>
          <cell r="O51">
            <v>3425</v>
          </cell>
          <cell r="Q51">
            <v>525</v>
          </cell>
          <cell r="R51">
            <v>223.5</v>
          </cell>
          <cell r="S51">
            <v>359</v>
          </cell>
          <cell r="T51">
            <v>591.5</v>
          </cell>
          <cell r="U51">
            <v>16043.67</v>
          </cell>
          <cell r="V51">
            <v>15450.88</v>
          </cell>
          <cell r="W51">
            <v>6683.93</v>
          </cell>
          <cell r="X51">
            <v>54.2</v>
          </cell>
          <cell r="Y51">
            <v>1100</v>
          </cell>
          <cell r="Z51">
            <v>1140</v>
          </cell>
          <cell r="AA51">
            <v>10124.299999999999</v>
          </cell>
          <cell r="AB51">
            <v>4766.8999999999996</v>
          </cell>
          <cell r="AC51">
            <v>38256.390599999999</v>
          </cell>
          <cell r="AE51">
            <v>72.25</v>
          </cell>
          <cell r="AF51">
            <v>615.78</v>
          </cell>
          <cell r="AG51">
            <v>2621</v>
          </cell>
          <cell r="AH51">
            <v>830</v>
          </cell>
          <cell r="AI51">
            <v>1440</v>
          </cell>
          <cell r="AJ51">
            <v>645.04999999999995</v>
          </cell>
          <cell r="AL51">
            <v>1289.3800000000001</v>
          </cell>
          <cell r="AP51">
            <v>1270.633</v>
          </cell>
          <cell r="AV51">
            <v>45.55</v>
          </cell>
          <cell r="AZ51">
            <v>235</v>
          </cell>
          <cell r="BE51">
            <v>15015</v>
          </cell>
          <cell r="BG51">
            <v>48.6</v>
          </cell>
          <cell r="BH51">
            <v>249.59</v>
          </cell>
          <cell r="BY51">
            <v>545.95000000000005</v>
          </cell>
          <cell r="CD51">
            <v>321.89999999999998</v>
          </cell>
          <cell r="CE51">
            <v>319.27300000000002</v>
          </cell>
          <cell r="CF51">
            <v>301.14999999999998</v>
          </cell>
          <cell r="CG51">
            <v>1135</v>
          </cell>
          <cell r="CH51">
            <v>870</v>
          </cell>
          <cell r="CI51" t="str">
            <v>#N/A N/A</v>
          </cell>
          <cell r="CJ51">
            <v>530</v>
          </cell>
          <cell r="CK51">
            <v>1415</v>
          </cell>
          <cell r="CM51">
            <v>148.83000000000001</v>
          </cell>
          <cell r="CN51">
            <v>27.66</v>
          </cell>
          <cell r="CO51" t="str">
            <v>#N/A N/A</v>
          </cell>
          <cell r="CQ51">
            <v>7.17</v>
          </cell>
          <cell r="CR51">
            <v>37.5</v>
          </cell>
          <cell r="CS51">
            <v>1190</v>
          </cell>
          <cell r="CU51">
            <v>1080</v>
          </cell>
          <cell r="CW51">
            <v>48.628048780487809</v>
          </cell>
          <cell r="CX51">
            <v>466.32925</v>
          </cell>
          <cell r="CZ51">
            <v>322.60000000000002</v>
          </cell>
          <cell r="DA51">
            <v>2556</v>
          </cell>
          <cell r="DB51">
            <v>18.13</v>
          </cell>
          <cell r="DC51">
            <v>277.2</v>
          </cell>
          <cell r="DD51">
            <v>106</v>
          </cell>
        </row>
        <row r="52">
          <cell r="A52">
            <v>38765</v>
          </cell>
          <cell r="C52">
            <v>103.33</v>
          </cell>
          <cell r="D52" t="str">
            <v>#N/A N/A</v>
          </cell>
          <cell r="E52" t="str">
            <v>#N/A N/A</v>
          </cell>
          <cell r="L52">
            <v>1332.73</v>
          </cell>
          <cell r="M52">
            <v>2282.36</v>
          </cell>
          <cell r="N52">
            <v>5846.2</v>
          </cell>
          <cell r="O52">
            <v>3430</v>
          </cell>
          <cell r="Q52">
            <v>525</v>
          </cell>
          <cell r="R52">
            <v>226.5</v>
          </cell>
          <cell r="S52">
            <v>368</v>
          </cell>
          <cell r="T52">
            <v>601.25</v>
          </cell>
          <cell r="U52">
            <v>15713.45</v>
          </cell>
          <cell r="V52">
            <v>15475.69</v>
          </cell>
          <cell r="W52">
            <v>6673.75</v>
          </cell>
          <cell r="X52">
            <v>55.55</v>
          </cell>
          <cell r="Y52">
            <v>1060</v>
          </cell>
          <cell r="Z52">
            <v>1140</v>
          </cell>
          <cell r="AA52">
            <v>9981.11</v>
          </cell>
          <cell r="AB52">
            <v>4748.5</v>
          </cell>
          <cell r="AC52">
            <v>38421.828099999999</v>
          </cell>
          <cell r="AE52">
            <v>73.05</v>
          </cell>
          <cell r="AF52">
            <v>615.78</v>
          </cell>
          <cell r="AG52">
            <v>2740</v>
          </cell>
          <cell r="AH52">
            <v>830</v>
          </cell>
          <cell r="AI52">
            <v>1420</v>
          </cell>
          <cell r="AJ52">
            <v>649.75</v>
          </cell>
          <cell r="AL52">
            <v>1287.24</v>
          </cell>
          <cell r="AP52">
            <v>1267.4079999999999</v>
          </cell>
          <cell r="AV52">
            <v>45.73</v>
          </cell>
          <cell r="AZ52">
            <v>237.1</v>
          </cell>
          <cell r="BE52">
            <v>14962</v>
          </cell>
          <cell r="BG52">
            <v>48</v>
          </cell>
          <cell r="BH52">
            <v>252.57</v>
          </cell>
          <cell r="BY52">
            <v>535.41</v>
          </cell>
          <cell r="CD52">
            <v>321.89999999999998</v>
          </cell>
          <cell r="CE52">
            <v>318.95299999999997</v>
          </cell>
          <cell r="CF52">
            <v>302.77</v>
          </cell>
          <cell r="CG52">
            <v>1135</v>
          </cell>
          <cell r="CH52">
            <v>880</v>
          </cell>
          <cell r="CI52" t="str">
            <v>#N/A N/A</v>
          </cell>
          <cell r="CJ52">
            <v>530</v>
          </cell>
          <cell r="CK52">
            <v>1412</v>
          </cell>
          <cell r="CM52">
            <v>152.87</v>
          </cell>
          <cell r="CN52">
            <v>27.13</v>
          </cell>
          <cell r="CO52" t="str">
            <v>#N/A N/A</v>
          </cell>
          <cell r="CQ52">
            <v>7.39</v>
          </cell>
          <cell r="CR52">
            <v>37.5</v>
          </cell>
          <cell r="CS52">
            <v>1242</v>
          </cell>
          <cell r="CU52">
            <v>1210</v>
          </cell>
          <cell r="CW52">
            <v>48.323170731707322</v>
          </cell>
          <cell r="CX52">
            <v>467.42825000000005</v>
          </cell>
          <cell r="CZ52">
            <v>326.14999999999998</v>
          </cell>
          <cell r="DA52">
            <v>2555.9</v>
          </cell>
          <cell r="DB52">
            <v>18.14</v>
          </cell>
          <cell r="DC52">
            <v>288.75</v>
          </cell>
          <cell r="DD52">
            <v>109.45</v>
          </cell>
        </row>
        <row r="53">
          <cell r="A53">
            <v>38766</v>
          </cell>
          <cell r="C53">
            <v>103.33</v>
          </cell>
          <cell r="D53" t="str">
            <v>#N/A N/A</v>
          </cell>
          <cell r="E53" t="str">
            <v>#N/A N/A</v>
          </cell>
          <cell r="L53">
            <v>1332.73</v>
          </cell>
          <cell r="M53">
            <v>2282.36</v>
          </cell>
          <cell r="N53">
            <v>5846.2</v>
          </cell>
          <cell r="O53">
            <v>3430</v>
          </cell>
          <cell r="Q53">
            <v>525</v>
          </cell>
          <cell r="R53">
            <v>226.5</v>
          </cell>
          <cell r="S53">
            <v>368</v>
          </cell>
          <cell r="T53">
            <v>601.25</v>
          </cell>
          <cell r="U53">
            <v>15713.45</v>
          </cell>
          <cell r="V53">
            <v>15475.69</v>
          </cell>
          <cell r="W53">
            <v>6673.75</v>
          </cell>
          <cell r="X53">
            <v>55.55</v>
          </cell>
          <cell r="Y53">
            <v>1060</v>
          </cell>
          <cell r="Z53">
            <v>1140</v>
          </cell>
          <cell r="AA53">
            <v>9981.11</v>
          </cell>
          <cell r="AB53">
            <v>4748.5</v>
          </cell>
          <cell r="AC53">
            <v>38421.828099999999</v>
          </cell>
          <cell r="AE53">
            <v>73.05</v>
          </cell>
          <cell r="AF53">
            <v>615.78</v>
          </cell>
          <cell r="AG53">
            <v>2740</v>
          </cell>
          <cell r="AH53">
            <v>830</v>
          </cell>
          <cell r="AI53">
            <v>1420</v>
          </cell>
          <cell r="AJ53">
            <v>649.75</v>
          </cell>
          <cell r="AL53">
            <v>1287.24</v>
          </cell>
          <cell r="AP53">
            <v>1267.4079999999999</v>
          </cell>
          <cell r="AV53">
            <v>45.73</v>
          </cell>
          <cell r="AZ53">
            <v>237.1</v>
          </cell>
          <cell r="BE53">
            <v>14962</v>
          </cell>
          <cell r="BG53">
            <v>48</v>
          </cell>
          <cell r="BH53">
            <v>252.57</v>
          </cell>
          <cell r="BY53">
            <v>535.41</v>
          </cell>
          <cell r="CD53">
            <v>321.89999999999998</v>
          </cell>
          <cell r="CE53">
            <v>318.95299999999997</v>
          </cell>
          <cell r="CF53">
            <v>302.77</v>
          </cell>
          <cell r="CG53">
            <v>1135</v>
          </cell>
          <cell r="CH53">
            <v>880</v>
          </cell>
          <cell r="CI53" t="str">
            <v>#N/A N/A</v>
          </cell>
          <cell r="CJ53">
            <v>530</v>
          </cell>
          <cell r="CK53">
            <v>1412</v>
          </cell>
          <cell r="CM53">
            <v>152.87</v>
          </cell>
          <cell r="CN53">
            <v>27.13</v>
          </cell>
          <cell r="CO53" t="str">
            <v>#N/A N/A</v>
          </cell>
          <cell r="CQ53">
            <v>7.39</v>
          </cell>
          <cell r="CR53">
            <v>37.5</v>
          </cell>
          <cell r="CS53">
            <v>1242</v>
          </cell>
          <cell r="CU53">
            <v>1210</v>
          </cell>
          <cell r="CW53">
            <v>48.323170731707322</v>
          </cell>
          <cell r="CX53">
            <v>467.42825000000005</v>
          </cell>
          <cell r="CZ53">
            <v>326.14999999999998</v>
          </cell>
          <cell r="DA53">
            <v>2555.9</v>
          </cell>
          <cell r="DB53">
            <v>18.14</v>
          </cell>
          <cell r="DC53">
            <v>288.75</v>
          </cell>
          <cell r="DD53">
            <v>109.45</v>
          </cell>
        </row>
        <row r="54">
          <cell r="A54">
            <v>38767</v>
          </cell>
          <cell r="C54">
            <v>103.33</v>
          </cell>
          <cell r="D54" t="str">
            <v>#N/A N/A</v>
          </cell>
          <cell r="E54" t="str">
            <v>#N/A N/A</v>
          </cell>
          <cell r="L54">
            <v>1332.73</v>
          </cell>
          <cell r="M54">
            <v>2282.36</v>
          </cell>
          <cell r="N54">
            <v>5846.2</v>
          </cell>
          <cell r="O54">
            <v>3430</v>
          </cell>
          <cell r="Q54">
            <v>525</v>
          </cell>
          <cell r="R54">
            <v>226.5</v>
          </cell>
          <cell r="S54">
            <v>368</v>
          </cell>
          <cell r="T54">
            <v>601.25</v>
          </cell>
          <cell r="U54">
            <v>15713.45</v>
          </cell>
          <cell r="V54">
            <v>15475.69</v>
          </cell>
          <cell r="W54">
            <v>6673.75</v>
          </cell>
          <cell r="X54">
            <v>55.55</v>
          </cell>
          <cell r="Y54">
            <v>1060</v>
          </cell>
          <cell r="Z54">
            <v>1140</v>
          </cell>
          <cell r="AA54">
            <v>9981.11</v>
          </cell>
          <cell r="AB54">
            <v>4748.5</v>
          </cell>
          <cell r="AC54">
            <v>38421.828099999999</v>
          </cell>
          <cell r="AE54">
            <v>73.05</v>
          </cell>
          <cell r="AF54">
            <v>615.78</v>
          </cell>
          <cell r="AG54">
            <v>2740</v>
          </cell>
          <cell r="AH54">
            <v>830</v>
          </cell>
          <cell r="AI54">
            <v>1420</v>
          </cell>
          <cell r="AJ54">
            <v>649.75</v>
          </cell>
          <cell r="AL54">
            <v>1287.24</v>
          </cell>
          <cell r="AP54">
            <v>1267.4079999999999</v>
          </cell>
          <cell r="AV54">
            <v>45.73</v>
          </cell>
          <cell r="AZ54">
            <v>237.1</v>
          </cell>
          <cell r="BE54">
            <v>14962</v>
          </cell>
          <cell r="BG54">
            <v>48</v>
          </cell>
          <cell r="BH54">
            <v>252.57</v>
          </cell>
          <cell r="BY54">
            <v>535.41</v>
          </cell>
          <cell r="CD54">
            <v>321.89999999999998</v>
          </cell>
          <cell r="CE54">
            <v>318.95299999999997</v>
          </cell>
          <cell r="CF54">
            <v>302.77</v>
          </cell>
          <cell r="CG54">
            <v>1135</v>
          </cell>
          <cell r="CH54">
            <v>880</v>
          </cell>
          <cell r="CI54" t="str">
            <v>#N/A N/A</v>
          </cell>
          <cell r="CJ54">
            <v>530</v>
          </cell>
          <cell r="CK54">
            <v>1412</v>
          </cell>
          <cell r="CM54">
            <v>152.87</v>
          </cell>
          <cell r="CN54">
            <v>27.13</v>
          </cell>
          <cell r="CO54" t="str">
            <v>#N/A N/A</v>
          </cell>
          <cell r="CQ54">
            <v>7.39</v>
          </cell>
          <cell r="CR54">
            <v>37.5</v>
          </cell>
          <cell r="CS54">
            <v>1242</v>
          </cell>
          <cell r="CU54">
            <v>1210</v>
          </cell>
          <cell r="CW54">
            <v>48.323170731707322</v>
          </cell>
          <cell r="CX54">
            <v>467.42825000000005</v>
          </cell>
          <cell r="CZ54">
            <v>326.14999999999998</v>
          </cell>
          <cell r="DA54">
            <v>2555.9</v>
          </cell>
          <cell r="DB54">
            <v>18.14</v>
          </cell>
          <cell r="DC54">
            <v>288.75</v>
          </cell>
          <cell r="DD54">
            <v>109.45</v>
          </cell>
        </row>
        <row r="55">
          <cell r="A55">
            <v>38768</v>
          </cell>
          <cell r="C55">
            <v>103.33</v>
          </cell>
          <cell r="D55" t="str">
            <v>#N/A N/A</v>
          </cell>
          <cell r="E55" t="str">
            <v>#N/A N/A</v>
          </cell>
          <cell r="L55">
            <v>1348.25</v>
          </cell>
          <cell r="M55">
            <v>2282.36</v>
          </cell>
          <cell r="N55">
            <v>5863</v>
          </cell>
          <cell r="O55">
            <v>3438</v>
          </cell>
          <cell r="Q55">
            <v>525</v>
          </cell>
          <cell r="R55">
            <v>226.5</v>
          </cell>
          <cell r="S55">
            <v>368</v>
          </cell>
          <cell r="T55">
            <v>601.25</v>
          </cell>
          <cell r="U55">
            <v>15437.93</v>
          </cell>
          <cell r="V55">
            <v>15598.67</v>
          </cell>
          <cell r="W55">
            <v>6686.55</v>
          </cell>
          <cell r="X55">
            <v>57.75</v>
          </cell>
          <cell r="Y55">
            <v>1060</v>
          </cell>
          <cell r="Z55">
            <v>1140</v>
          </cell>
          <cell r="AA55">
            <v>10079.299999999999</v>
          </cell>
          <cell r="AB55">
            <v>4788.1000000000004</v>
          </cell>
          <cell r="AC55">
            <v>38539.179700000001</v>
          </cell>
          <cell r="AE55">
            <v>74.25</v>
          </cell>
          <cell r="AF55">
            <v>615.78</v>
          </cell>
          <cell r="AG55">
            <v>2798</v>
          </cell>
          <cell r="AH55">
            <v>830</v>
          </cell>
          <cell r="AI55">
            <v>1420</v>
          </cell>
          <cell r="AJ55">
            <v>656.66</v>
          </cell>
          <cell r="AL55">
            <v>1287.24</v>
          </cell>
          <cell r="AP55">
            <v>1267.5419999999999</v>
          </cell>
          <cell r="AV55">
            <v>45.73</v>
          </cell>
          <cell r="AZ55">
            <v>246.1</v>
          </cell>
          <cell r="BE55">
            <v>15005</v>
          </cell>
          <cell r="BG55">
            <v>48</v>
          </cell>
          <cell r="BH55">
            <v>253.09</v>
          </cell>
          <cell r="BY55">
            <v>535.41</v>
          </cell>
          <cell r="CD55">
            <v>322.22000000000003</v>
          </cell>
          <cell r="CE55">
            <v>319.07799999999997</v>
          </cell>
          <cell r="CF55">
            <v>305.82</v>
          </cell>
          <cell r="CG55">
            <v>1135</v>
          </cell>
          <cell r="CH55">
            <v>880</v>
          </cell>
          <cell r="CI55" t="str">
            <v>#N/A N/A</v>
          </cell>
          <cell r="CJ55">
            <v>530</v>
          </cell>
          <cell r="CK55">
            <v>1386</v>
          </cell>
          <cell r="CM55">
            <v>152.87</v>
          </cell>
          <cell r="CN55">
            <v>27.47</v>
          </cell>
          <cell r="CO55" t="str">
            <v>#N/A N/A</v>
          </cell>
          <cell r="CQ55">
            <v>7.39</v>
          </cell>
          <cell r="CR55">
            <v>37.5</v>
          </cell>
          <cell r="CS55">
            <v>1256</v>
          </cell>
          <cell r="CU55">
            <v>1210</v>
          </cell>
          <cell r="CW55">
            <v>49.009146341463421</v>
          </cell>
          <cell r="CX55">
            <v>468.91975000000002</v>
          </cell>
          <cell r="CZ55">
            <v>326.69</v>
          </cell>
          <cell r="DA55">
            <v>2616.6</v>
          </cell>
          <cell r="DB55">
            <v>18.14</v>
          </cell>
          <cell r="DC55">
            <v>288.75</v>
          </cell>
          <cell r="DD55">
            <v>109.45</v>
          </cell>
        </row>
        <row r="56">
          <cell r="A56">
            <v>38769</v>
          </cell>
          <cell r="C56">
            <v>103.33</v>
          </cell>
          <cell r="D56" t="str">
            <v>#N/A N/A</v>
          </cell>
          <cell r="E56" t="str">
            <v>#N/A N/A</v>
          </cell>
          <cell r="L56">
            <v>1346.49</v>
          </cell>
          <cell r="M56">
            <v>2262.96</v>
          </cell>
          <cell r="N56">
            <v>5857.7</v>
          </cell>
          <cell r="O56">
            <v>3449</v>
          </cell>
          <cell r="Q56">
            <v>525</v>
          </cell>
          <cell r="R56">
            <v>226</v>
          </cell>
          <cell r="S56">
            <v>372.5</v>
          </cell>
          <cell r="T56">
            <v>587.5</v>
          </cell>
          <cell r="U56">
            <v>15894.94</v>
          </cell>
          <cell r="V56">
            <v>15627.24</v>
          </cell>
          <cell r="W56">
            <v>6631.51</v>
          </cell>
          <cell r="X56">
            <v>57.9</v>
          </cell>
          <cell r="Y56">
            <v>1060</v>
          </cell>
          <cell r="Z56">
            <v>1140</v>
          </cell>
          <cell r="AA56">
            <v>10168.11</v>
          </cell>
          <cell r="AB56">
            <v>4830.2</v>
          </cell>
          <cell r="AC56">
            <v>38165.968800000002</v>
          </cell>
          <cell r="AE56">
            <v>74.55</v>
          </cell>
          <cell r="AF56">
            <v>619.80999999999995</v>
          </cell>
          <cell r="AG56">
            <v>2792</v>
          </cell>
          <cell r="AH56">
            <v>830</v>
          </cell>
          <cell r="AI56">
            <v>1420</v>
          </cell>
          <cell r="AJ56">
            <v>661.25</v>
          </cell>
          <cell r="AL56">
            <v>1283.04</v>
          </cell>
          <cell r="AP56">
            <v>1288.4190000000001</v>
          </cell>
          <cell r="AV56">
            <v>46.21</v>
          </cell>
          <cell r="AZ56">
            <v>248.7</v>
          </cell>
          <cell r="BE56">
            <v>15033</v>
          </cell>
          <cell r="BG56">
            <v>48</v>
          </cell>
          <cell r="BH56">
            <v>258.29000000000002</v>
          </cell>
          <cell r="BY56">
            <v>523.77</v>
          </cell>
          <cell r="CD56">
            <v>322.20999999999998</v>
          </cell>
          <cell r="CE56">
            <v>319.15199999999999</v>
          </cell>
          <cell r="CF56">
            <v>304.67</v>
          </cell>
          <cell r="CG56">
            <v>1135</v>
          </cell>
          <cell r="CH56">
            <v>880</v>
          </cell>
          <cell r="CI56" t="str">
            <v>#N/A N/A</v>
          </cell>
          <cell r="CJ56">
            <v>530</v>
          </cell>
          <cell r="CK56">
            <v>1330</v>
          </cell>
          <cell r="CM56">
            <v>153.07</v>
          </cell>
          <cell r="CN56">
            <v>27.33</v>
          </cell>
          <cell r="CO56" t="str">
            <v>#N/A N/A</v>
          </cell>
          <cell r="CQ56">
            <v>7.38</v>
          </cell>
          <cell r="CR56">
            <v>37.5</v>
          </cell>
          <cell r="CS56">
            <v>1261</v>
          </cell>
          <cell r="CU56">
            <v>1210</v>
          </cell>
          <cell r="CW56">
            <v>49.237804878048784</v>
          </cell>
          <cell r="CX56">
            <v>467.62450000000001</v>
          </cell>
          <cell r="CZ56">
            <v>330.26</v>
          </cell>
          <cell r="DA56">
            <v>2656.8</v>
          </cell>
          <cell r="DB56">
            <v>18.48</v>
          </cell>
          <cell r="DC56">
            <v>294</v>
          </cell>
          <cell r="DD56">
            <v>111.15</v>
          </cell>
        </row>
        <row r="57">
          <cell r="A57">
            <v>38770</v>
          </cell>
          <cell r="C57">
            <v>103.33</v>
          </cell>
          <cell r="D57" t="str">
            <v>#N/A N/A</v>
          </cell>
          <cell r="E57" t="str">
            <v>#N/A N/A</v>
          </cell>
          <cell r="L57">
            <v>1340.58</v>
          </cell>
          <cell r="M57">
            <v>2283.17</v>
          </cell>
          <cell r="N57">
            <v>5872.4</v>
          </cell>
          <cell r="O57">
            <v>3448</v>
          </cell>
          <cell r="Q57">
            <v>525</v>
          </cell>
          <cell r="R57">
            <v>221.5</v>
          </cell>
          <cell r="S57">
            <v>365.5</v>
          </cell>
          <cell r="T57">
            <v>574</v>
          </cell>
          <cell r="U57">
            <v>15781.78</v>
          </cell>
          <cell r="V57">
            <v>15635.72</v>
          </cell>
          <cell r="W57">
            <v>6530.7</v>
          </cell>
          <cell r="X57">
            <v>57.8</v>
          </cell>
          <cell r="Y57">
            <v>1060</v>
          </cell>
          <cell r="Z57">
            <v>1140</v>
          </cell>
          <cell r="AA57">
            <v>10224.32</v>
          </cell>
          <cell r="AB57">
            <v>4842.5</v>
          </cell>
          <cell r="AC57">
            <v>38246.398399999998</v>
          </cell>
          <cell r="AE57">
            <v>73.55</v>
          </cell>
          <cell r="AF57">
            <v>619.80999999999995</v>
          </cell>
          <cell r="AG57">
            <v>2668</v>
          </cell>
          <cell r="AH57">
            <v>830</v>
          </cell>
          <cell r="AI57">
            <v>1420</v>
          </cell>
          <cell r="AJ57">
            <v>660.85</v>
          </cell>
          <cell r="AL57">
            <v>1292.67</v>
          </cell>
          <cell r="AP57">
            <v>1284.2260000000001</v>
          </cell>
          <cell r="AV57">
            <v>46.09</v>
          </cell>
          <cell r="AZ57">
            <v>246.9</v>
          </cell>
          <cell r="BE57">
            <v>14900</v>
          </cell>
          <cell r="BG57">
            <v>48</v>
          </cell>
          <cell r="BH57">
            <v>262.44</v>
          </cell>
          <cell r="BY57">
            <v>530.78</v>
          </cell>
          <cell r="CD57">
            <v>323.45999999999998</v>
          </cell>
          <cell r="CE57">
            <v>320.601</v>
          </cell>
          <cell r="CF57">
            <v>302.58</v>
          </cell>
          <cell r="CG57">
            <v>1135</v>
          </cell>
          <cell r="CH57">
            <v>880</v>
          </cell>
          <cell r="CI57" t="str">
            <v>#N/A N/A</v>
          </cell>
          <cell r="CJ57">
            <v>530</v>
          </cell>
          <cell r="CK57">
            <v>1257</v>
          </cell>
          <cell r="CM57">
            <v>149.79</v>
          </cell>
          <cell r="CN57">
            <v>26.72</v>
          </cell>
          <cell r="CO57" t="str">
            <v>#N/A N/A</v>
          </cell>
          <cell r="CQ57">
            <v>7.52</v>
          </cell>
          <cell r="CR57">
            <v>38.75</v>
          </cell>
          <cell r="CS57">
            <v>1224</v>
          </cell>
          <cell r="CU57">
            <v>1210</v>
          </cell>
          <cell r="CW57">
            <v>49.237804878048784</v>
          </cell>
          <cell r="CX57">
            <v>473.46225000000004</v>
          </cell>
          <cell r="CZ57">
            <v>326.02999999999997</v>
          </cell>
          <cell r="DA57">
            <v>2655.2</v>
          </cell>
          <cell r="DB57">
            <v>19.350000000000001</v>
          </cell>
          <cell r="DC57">
            <v>287.14999999999998</v>
          </cell>
          <cell r="DD57">
            <v>109.5</v>
          </cell>
        </row>
        <row r="58">
          <cell r="A58">
            <v>38771</v>
          </cell>
          <cell r="C58">
            <v>103.33</v>
          </cell>
          <cell r="D58" t="str">
            <v>#N/A N/A</v>
          </cell>
          <cell r="E58" t="str">
            <v>#N/A N/A</v>
          </cell>
          <cell r="L58">
            <v>1361.23</v>
          </cell>
          <cell r="M58">
            <v>2279.3200000000002</v>
          </cell>
          <cell r="N58">
            <v>5836</v>
          </cell>
          <cell r="O58">
            <v>3455</v>
          </cell>
          <cell r="Q58">
            <v>525</v>
          </cell>
          <cell r="R58">
            <v>223</v>
          </cell>
          <cell r="S58">
            <v>366.25</v>
          </cell>
          <cell r="T58">
            <v>571.75</v>
          </cell>
          <cell r="U58">
            <v>16096.1</v>
          </cell>
          <cell r="V58">
            <v>15812.53</v>
          </cell>
          <cell r="W58">
            <v>6474.69</v>
          </cell>
          <cell r="X58">
            <v>56.35</v>
          </cell>
          <cell r="Y58">
            <v>1060</v>
          </cell>
          <cell r="Z58">
            <v>1140</v>
          </cell>
          <cell r="AA58">
            <v>10244.049999999999</v>
          </cell>
          <cell r="AB58">
            <v>4867.3</v>
          </cell>
          <cell r="AC58">
            <v>38405.480499999998</v>
          </cell>
          <cell r="AE58">
            <v>72.75</v>
          </cell>
          <cell r="AF58">
            <v>619.80999999999995</v>
          </cell>
          <cell r="AG58">
            <v>2626</v>
          </cell>
          <cell r="AH58">
            <v>830</v>
          </cell>
          <cell r="AI58">
            <v>1420</v>
          </cell>
          <cell r="AJ58">
            <v>668.46</v>
          </cell>
          <cell r="AL58">
            <v>1287.79</v>
          </cell>
          <cell r="AP58">
            <v>1288.847</v>
          </cell>
          <cell r="AV58">
            <v>46.6</v>
          </cell>
          <cell r="AZ58">
            <v>240.1</v>
          </cell>
          <cell r="BE58">
            <v>14790</v>
          </cell>
          <cell r="BG58">
            <v>48</v>
          </cell>
          <cell r="BH58">
            <v>262.42</v>
          </cell>
          <cell r="BY58">
            <v>524.48</v>
          </cell>
          <cell r="CD58">
            <v>324.33</v>
          </cell>
          <cell r="CE58">
            <v>321.34899999999999</v>
          </cell>
          <cell r="CF58">
            <v>304.73</v>
          </cell>
          <cell r="CG58">
            <v>1135</v>
          </cell>
          <cell r="CH58">
            <v>880</v>
          </cell>
          <cell r="CI58" t="str">
            <v>#N/A N/A</v>
          </cell>
          <cell r="CJ58">
            <v>530</v>
          </cell>
          <cell r="CK58">
            <v>1204</v>
          </cell>
          <cell r="CM58">
            <v>152.01</v>
          </cell>
          <cell r="CN58">
            <v>24.4</v>
          </cell>
          <cell r="CO58" t="str">
            <v>#N/A N/A</v>
          </cell>
          <cell r="CQ58">
            <v>7.25</v>
          </cell>
          <cell r="CR58">
            <v>38.75</v>
          </cell>
          <cell r="CS58">
            <v>1173</v>
          </cell>
          <cell r="CU58">
            <v>1210</v>
          </cell>
          <cell r="CW58">
            <v>48.932926829268297</v>
          </cell>
          <cell r="CX58">
            <v>473.93924999999996</v>
          </cell>
          <cell r="CZ58">
            <v>324.11</v>
          </cell>
          <cell r="DA58">
            <v>2616.5</v>
          </cell>
          <cell r="DB58">
            <v>19.059999999999999</v>
          </cell>
          <cell r="DC58">
            <v>285</v>
          </cell>
          <cell r="DD58">
            <v>110.95</v>
          </cell>
        </row>
        <row r="59">
          <cell r="A59">
            <v>38772</v>
          </cell>
          <cell r="C59">
            <v>103.33</v>
          </cell>
          <cell r="D59" t="str">
            <v>#N/A N/A</v>
          </cell>
          <cell r="E59" t="str">
            <v>#N/A N/A</v>
          </cell>
          <cell r="L59">
            <v>1365.82</v>
          </cell>
          <cell r="M59">
            <v>2287.04</v>
          </cell>
          <cell r="N59">
            <v>5860.5</v>
          </cell>
          <cell r="O59">
            <v>3486</v>
          </cell>
          <cell r="Q59">
            <v>525</v>
          </cell>
          <cell r="R59">
            <v>227.75</v>
          </cell>
          <cell r="S59">
            <v>368.25</v>
          </cell>
          <cell r="T59">
            <v>577.25</v>
          </cell>
          <cell r="U59">
            <v>16101.91</v>
          </cell>
          <cell r="V59">
            <v>15856.05</v>
          </cell>
          <cell r="W59">
            <v>6538.22</v>
          </cell>
          <cell r="X59">
            <v>56.9</v>
          </cell>
          <cell r="Y59">
            <v>1040</v>
          </cell>
          <cell r="Z59">
            <v>1140</v>
          </cell>
          <cell r="AA59">
            <v>10200.76</v>
          </cell>
          <cell r="AB59">
            <v>4849.3999999999996</v>
          </cell>
          <cell r="AC59">
            <v>38610.390599999999</v>
          </cell>
          <cell r="AE59">
            <v>74.099999999999994</v>
          </cell>
          <cell r="AF59">
            <v>619.80999999999995</v>
          </cell>
          <cell r="AG59">
            <v>2622</v>
          </cell>
          <cell r="AH59">
            <v>830</v>
          </cell>
          <cell r="AI59">
            <v>1400</v>
          </cell>
          <cell r="AJ59">
            <v>672.94</v>
          </cell>
          <cell r="AL59">
            <v>1289.43</v>
          </cell>
          <cell r="AP59">
            <v>1296.866</v>
          </cell>
          <cell r="AV59">
            <v>47.11</v>
          </cell>
          <cell r="AZ59">
            <v>248.5</v>
          </cell>
          <cell r="BE59">
            <v>14941</v>
          </cell>
          <cell r="BG59">
            <v>48</v>
          </cell>
          <cell r="BH59">
            <v>264.91000000000003</v>
          </cell>
          <cell r="BY59">
            <v>524.54999999999995</v>
          </cell>
          <cell r="CD59">
            <v>324.7</v>
          </cell>
          <cell r="CE59">
            <v>321.70800000000003</v>
          </cell>
          <cell r="CF59">
            <v>305.77</v>
          </cell>
          <cell r="CG59">
            <v>1135</v>
          </cell>
          <cell r="CH59">
            <v>920</v>
          </cell>
          <cell r="CI59" t="str">
            <v>#N/A N/A</v>
          </cell>
          <cell r="CJ59">
            <v>530</v>
          </cell>
          <cell r="CK59">
            <v>1170</v>
          </cell>
          <cell r="CM59">
            <v>155.97</v>
          </cell>
          <cell r="CN59">
            <v>24.48</v>
          </cell>
          <cell r="CO59" t="str">
            <v>#N/A N/A</v>
          </cell>
          <cell r="CQ59">
            <v>7.42</v>
          </cell>
          <cell r="CR59">
            <v>38.75</v>
          </cell>
          <cell r="CS59">
            <v>1191</v>
          </cell>
          <cell r="CU59">
            <v>1240</v>
          </cell>
          <cell r="CW59">
            <v>49.237804878048784</v>
          </cell>
          <cell r="CX59">
            <v>472.15049999999997</v>
          </cell>
          <cell r="CZ59">
            <v>328.9</v>
          </cell>
          <cell r="DA59">
            <v>2631.9</v>
          </cell>
          <cell r="DB59">
            <v>18.670000000000002</v>
          </cell>
          <cell r="DC59">
            <v>287.85000000000002</v>
          </cell>
          <cell r="DD59">
            <v>110.95</v>
          </cell>
        </row>
        <row r="60">
          <cell r="A60">
            <v>38773</v>
          </cell>
          <cell r="C60">
            <v>103.33</v>
          </cell>
          <cell r="D60" t="str">
            <v>#N/A N/A</v>
          </cell>
          <cell r="E60" t="str">
            <v>#N/A N/A</v>
          </cell>
          <cell r="L60">
            <v>1365.82</v>
          </cell>
          <cell r="M60">
            <v>2287.04</v>
          </cell>
          <cell r="N60">
            <v>5860.5</v>
          </cell>
          <cell r="O60">
            <v>3486</v>
          </cell>
          <cell r="Q60">
            <v>525</v>
          </cell>
          <cell r="R60">
            <v>227.75</v>
          </cell>
          <cell r="S60">
            <v>368.25</v>
          </cell>
          <cell r="T60">
            <v>577.25</v>
          </cell>
          <cell r="U60">
            <v>16101.91</v>
          </cell>
          <cell r="V60">
            <v>15856.05</v>
          </cell>
          <cell r="W60">
            <v>6538.22</v>
          </cell>
          <cell r="X60">
            <v>56.9</v>
          </cell>
          <cell r="Y60">
            <v>1040</v>
          </cell>
          <cell r="Z60">
            <v>1140</v>
          </cell>
          <cell r="AA60">
            <v>10200.76</v>
          </cell>
          <cell r="AB60">
            <v>4849.3999999999996</v>
          </cell>
          <cell r="AC60">
            <v>38610.390599999999</v>
          </cell>
          <cell r="AE60">
            <v>74.099999999999994</v>
          </cell>
          <cell r="AF60">
            <v>619.80999999999995</v>
          </cell>
          <cell r="AG60">
            <v>2622</v>
          </cell>
          <cell r="AH60">
            <v>830</v>
          </cell>
          <cell r="AI60">
            <v>1400</v>
          </cell>
          <cell r="AJ60">
            <v>672.94</v>
          </cell>
          <cell r="AL60">
            <v>1289.43</v>
          </cell>
          <cell r="AP60">
            <v>1296.866</v>
          </cell>
          <cell r="AV60">
            <v>47.11</v>
          </cell>
          <cell r="AZ60">
            <v>248.5</v>
          </cell>
          <cell r="BE60">
            <v>14941</v>
          </cell>
          <cell r="BG60">
            <v>48</v>
          </cell>
          <cell r="BH60">
            <v>264.91000000000003</v>
          </cell>
          <cell r="BY60">
            <v>524.54999999999995</v>
          </cell>
          <cell r="CD60">
            <v>324.7</v>
          </cell>
          <cell r="CE60">
            <v>321.70800000000003</v>
          </cell>
          <cell r="CF60">
            <v>305.77</v>
          </cell>
          <cell r="CG60">
            <v>1135</v>
          </cell>
          <cell r="CH60">
            <v>920</v>
          </cell>
          <cell r="CI60" t="str">
            <v>#N/A N/A</v>
          </cell>
          <cell r="CJ60">
            <v>530</v>
          </cell>
          <cell r="CK60">
            <v>1170</v>
          </cell>
          <cell r="CM60">
            <v>155.97</v>
          </cell>
          <cell r="CN60">
            <v>24.48</v>
          </cell>
          <cell r="CO60" t="str">
            <v>#N/A N/A</v>
          </cell>
          <cell r="CQ60">
            <v>7.42</v>
          </cell>
          <cell r="CR60">
            <v>38.75</v>
          </cell>
          <cell r="CS60">
            <v>1191</v>
          </cell>
          <cell r="CU60">
            <v>1240</v>
          </cell>
          <cell r="CW60">
            <v>49.237804878048784</v>
          </cell>
          <cell r="CX60">
            <v>472.15049999999997</v>
          </cell>
          <cell r="CZ60">
            <v>328.9</v>
          </cell>
          <cell r="DA60">
            <v>2631.9</v>
          </cell>
          <cell r="DB60">
            <v>18.670000000000002</v>
          </cell>
          <cell r="DC60">
            <v>287.85000000000002</v>
          </cell>
          <cell r="DD60">
            <v>110.95</v>
          </cell>
        </row>
        <row r="61">
          <cell r="A61">
            <v>38774</v>
          </cell>
          <cell r="C61">
            <v>103.33</v>
          </cell>
          <cell r="D61" t="str">
            <v>#N/A N/A</v>
          </cell>
          <cell r="E61" t="str">
            <v>#N/A N/A</v>
          </cell>
          <cell r="L61">
            <v>1365.82</v>
          </cell>
          <cell r="M61">
            <v>2287.04</v>
          </cell>
          <cell r="N61">
            <v>5860.5</v>
          </cell>
          <cell r="O61">
            <v>3486</v>
          </cell>
          <cell r="Q61">
            <v>525</v>
          </cell>
          <cell r="R61">
            <v>227.75</v>
          </cell>
          <cell r="S61">
            <v>368.25</v>
          </cell>
          <cell r="T61">
            <v>577.25</v>
          </cell>
          <cell r="U61">
            <v>16101.91</v>
          </cell>
          <cell r="V61">
            <v>15856.05</v>
          </cell>
          <cell r="W61">
            <v>6538.22</v>
          </cell>
          <cell r="X61">
            <v>56.9</v>
          </cell>
          <cell r="Y61">
            <v>1040</v>
          </cell>
          <cell r="Z61">
            <v>1140</v>
          </cell>
          <cell r="AA61">
            <v>10200.76</v>
          </cell>
          <cell r="AB61">
            <v>4849.3999999999996</v>
          </cell>
          <cell r="AC61">
            <v>38610.390599999999</v>
          </cell>
          <cell r="AE61">
            <v>74.099999999999994</v>
          </cell>
          <cell r="AF61">
            <v>619.80999999999995</v>
          </cell>
          <cell r="AG61">
            <v>2622</v>
          </cell>
          <cell r="AH61">
            <v>830</v>
          </cell>
          <cell r="AI61">
            <v>1400</v>
          </cell>
          <cell r="AJ61">
            <v>672.94</v>
          </cell>
          <cell r="AL61">
            <v>1289.43</v>
          </cell>
          <cell r="AP61">
            <v>1296.866</v>
          </cell>
          <cell r="AV61">
            <v>47.11</v>
          </cell>
          <cell r="AZ61">
            <v>248.5</v>
          </cell>
          <cell r="BE61">
            <v>14941</v>
          </cell>
          <cell r="BG61">
            <v>48</v>
          </cell>
          <cell r="BH61">
            <v>264.91000000000003</v>
          </cell>
          <cell r="BY61">
            <v>524.54999999999995</v>
          </cell>
          <cell r="CD61">
            <v>324.7</v>
          </cell>
          <cell r="CE61">
            <v>321.70800000000003</v>
          </cell>
          <cell r="CF61">
            <v>305.77</v>
          </cell>
          <cell r="CG61">
            <v>1135</v>
          </cell>
          <cell r="CH61">
            <v>920</v>
          </cell>
          <cell r="CI61" t="str">
            <v>#N/A N/A</v>
          </cell>
          <cell r="CJ61">
            <v>530</v>
          </cell>
          <cell r="CK61">
            <v>1170</v>
          </cell>
          <cell r="CM61">
            <v>155.97</v>
          </cell>
          <cell r="CN61">
            <v>24.48</v>
          </cell>
          <cell r="CO61" t="str">
            <v>#N/A N/A</v>
          </cell>
          <cell r="CQ61">
            <v>7.42</v>
          </cell>
          <cell r="CR61">
            <v>38.75</v>
          </cell>
          <cell r="CS61">
            <v>1191</v>
          </cell>
          <cell r="CU61">
            <v>1240</v>
          </cell>
          <cell r="CW61">
            <v>49.237804878048784</v>
          </cell>
          <cell r="CX61">
            <v>472.15049999999997</v>
          </cell>
          <cell r="CZ61">
            <v>328.9</v>
          </cell>
          <cell r="DA61">
            <v>2631.9</v>
          </cell>
          <cell r="DB61">
            <v>18.670000000000002</v>
          </cell>
          <cell r="DC61">
            <v>287.85000000000002</v>
          </cell>
          <cell r="DD61">
            <v>110.95</v>
          </cell>
        </row>
        <row r="62">
          <cell r="A62">
            <v>38775</v>
          </cell>
          <cell r="C62">
            <v>103.33</v>
          </cell>
          <cell r="D62" t="str">
            <v>#N/A N/A</v>
          </cell>
          <cell r="E62" t="str">
            <v>#N/A N/A</v>
          </cell>
          <cell r="L62">
            <v>1374.88</v>
          </cell>
          <cell r="M62">
            <v>2307.1799999999998</v>
          </cell>
          <cell r="N62">
            <v>5875.9</v>
          </cell>
          <cell r="O62">
            <v>3559</v>
          </cell>
          <cell r="Q62">
            <v>525</v>
          </cell>
          <cell r="R62">
            <v>227.5</v>
          </cell>
          <cell r="S62">
            <v>373.25</v>
          </cell>
          <cell r="T62">
            <v>579.5</v>
          </cell>
          <cell r="U62">
            <v>16192.95</v>
          </cell>
          <cell r="V62">
            <v>15949.89</v>
          </cell>
          <cell r="W62">
            <v>6561.63</v>
          </cell>
          <cell r="X62">
            <v>57.95</v>
          </cell>
          <cell r="Y62">
            <v>1040</v>
          </cell>
          <cell r="Z62">
            <v>1140</v>
          </cell>
          <cell r="AA62">
            <v>10282.09</v>
          </cell>
          <cell r="AB62">
            <v>4880.1000000000004</v>
          </cell>
          <cell r="AC62">
            <v>38610.390599999999</v>
          </cell>
          <cell r="AE62">
            <v>74.849999999999994</v>
          </cell>
          <cell r="AF62">
            <v>619.80999999999995</v>
          </cell>
          <cell r="AG62">
            <v>2644</v>
          </cell>
          <cell r="AH62">
            <v>830</v>
          </cell>
          <cell r="AI62">
            <v>1400</v>
          </cell>
          <cell r="AJ62">
            <v>682.33</v>
          </cell>
          <cell r="AL62">
            <v>1294.1199999999999</v>
          </cell>
          <cell r="AP62">
            <v>1297.1859999999999</v>
          </cell>
          <cell r="AV62">
            <v>47.58</v>
          </cell>
          <cell r="AZ62">
            <v>247.3</v>
          </cell>
          <cell r="BE62">
            <v>14883</v>
          </cell>
          <cell r="BG62">
            <v>48</v>
          </cell>
          <cell r="BH62">
            <v>258.93</v>
          </cell>
          <cell r="BY62">
            <v>527.39</v>
          </cell>
          <cell r="CD62">
            <v>326.2</v>
          </cell>
          <cell r="CE62">
            <v>323.16500000000002</v>
          </cell>
          <cell r="CF62">
            <v>307.48</v>
          </cell>
          <cell r="CG62">
            <v>1135</v>
          </cell>
          <cell r="CH62">
            <v>920</v>
          </cell>
          <cell r="CI62" t="str">
            <v>#N/A N/A</v>
          </cell>
          <cell r="CJ62">
            <v>530</v>
          </cell>
          <cell r="CK62">
            <v>1136</v>
          </cell>
          <cell r="CM62">
            <v>148.69999999999999</v>
          </cell>
          <cell r="CN62">
            <v>23.89</v>
          </cell>
          <cell r="CO62" t="str">
            <v>#N/A N/A</v>
          </cell>
          <cell r="CQ62">
            <v>6.96</v>
          </cell>
          <cell r="CR62">
            <v>38.75</v>
          </cell>
          <cell r="CS62">
            <v>1172.75</v>
          </cell>
          <cell r="CU62">
            <v>1240</v>
          </cell>
          <cell r="CW62">
            <v>49.390243902439025</v>
          </cell>
          <cell r="CX62">
            <v>471.15674999999999</v>
          </cell>
          <cell r="CZ62">
            <v>320.99</v>
          </cell>
          <cell r="DA62">
            <v>2558.4</v>
          </cell>
          <cell r="DB62">
            <v>18.010000000000002</v>
          </cell>
          <cell r="DC62">
            <v>280.8</v>
          </cell>
          <cell r="DD62">
            <v>108.35</v>
          </cell>
        </row>
        <row r="63">
          <cell r="A63">
            <v>38776</v>
          </cell>
          <cell r="C63">
            <v>103.33</v>
          </cell>
          <cell r="D63" t="str">
            <v>#N/A N/A</v>
          </cell>
          <cell r="E63" t="str">
            <v>#N/A N/A</v>
          </cell>
          <cell r="L63">
            <v>1371.59</v>
          </cell>
          <cell r="M63">
            <v>2281.39</v>
          </cell>
          <cell r="N63">
            <v>5791.5</v>
          </cell>
          <cell r="O63">
            <v>3572</v>
          </cell>
          <cell r="Q63">
            <v>525</v>
          </cell>
          <cell r="R63">
            <v>228</v>
          </cell>
          <cell r="S63">
            <v>370.25</v>
          </cell>
          <cell r="T63">
            <v>580.25</v>
          </cell>
          <cell r="U63">
            <v>16205.43</v>
          </cell>
          <cell r="V63">
            <v>15918.48</v>
          </cell>
          <cell r="W63">
            <v>6561.63</v>
          </cell>
          <cell r="X63">
            <v>56.65</v>
          </cell>
          <cell r="Y63">
            <v>1040</v>
          </cell>
          <cell r="Z63">
            <v>1140</v>
          </cell>
          <cell r="AA63">
            <v>10370.24</v>
          </cell>
          <cell r="AB63">
            <v>4878.3999999999996</v>
          </cell>
          <cell r="AC63">
            <v>38610.390599999999</v>
          </cell>
          <cell r="AE63">
            <v>73.7</v>
          </cell>
          <cell r="AF63">
            <v>622.05999999999995</v>
          </cell>
          <cell r="AG63">
            <v>2680</v>
          </cell>
          <cell r="AH63">
            <v>830</v>
          </cell>
          <cell r="AI63">
            <v>1400</v>
          </cell>
          <cell r="AJ63">
            <v>682.36</v>
          </cell>
          <cell r="AL63">
            <v>1280.6600000000001</v>
          </cell>
          <cell r="AP63">
            <v>1299.03</v>
          </cell>
          <cell r="AV63">
            <v>46.41</v>
          </cell>
          <cell r="AZ63">
            <v>246.5</v>
          </cell>
          <cell r="BE63">
            <v>14831</v>
          </cell>
          <cell r="BG63">
            <v>48</v>
          </cell>
          <cell r="BH63">
            <v>258.49</v>
          </cell>
          <cell r="BY63">
            <v>523.19000000000005</v>
          </cell>
          <cell r="CD63">
            <v>323.74</v>
          </cell>
          <cell r="CE63">
            <v>320.80900000000003</v>
          </cell>
          <cell r="CF63">
            <v>306.45</v>
          </cell>
          <cell r="CG63">
            <v>1135</v>
          </cell>
          <cell r="CH63">
            <v>920</v>
          </cell>
          <cell r="CI63" t="str">
            <v>#N/A N/A</v>
          </cell>
          <cell r="CJ63">
            <v>530</v>
          </cell>
          <cell r="CK63">
            <v>1109</v>
          </cell>
          <cell r="CM63">
            <v>154.43</v>
          </cell>
          <cell r="CN63">
            <v>23.7</v>
          </cell>
          <cell r="CO63" t="str">
            <v>#N/A N/A</v>
          </cell>
          <cell r="CQ63">
            <v>6.62</v>
          </cell>
          <cell r="CR63">
            <v>38.75</v>
          </cell>
          <cell r="CS63">
            <v>1186</v>
          </cell>
          <cell r="CU63">
            <v>1240</v>
          </cell>
          <cell r="CW63">
            <v>48.932926829268297</v>
          </cell>
          <cell r="CX63">
            <v>473.93924999999996</v>
          </cell>
          <cell r="CZ63">
            <v>324.36</v>
          </cell>
          <cell r="DA63">
            <v>2626</v>
          </cell>
          <cell r="DB63">
            <v>17.559999999999999</v>
          </cell>
          <cell r="DC63">
            <v>289.3</v>
          </cell>
          <cell r="DD63">
            <v>111.8</v>
          </cell>
        </row>
        <row r="64">
          <cell r="A64">
            <v>38777</v>
          </cell>
          <cell r="C64">
            <v>120.7</v>
          </cell>
          <cell r="D64" t="str">
            <v>#N/A N/A</v>
          </cell>
          <cell r="E64" t="str">
            <v>#N/A N/A</v>
          </cell>
          <cell r="L64">
            <v>1371.59</v>
          </cell>
          <cell r="M64">
            <v>2314.64</v>
          </cell>
          <cell r="N64">
            <v>5844.1</v>
          </cell>
          <cell r="O64">
            <v>3572</v>
          </cell>
          <cell r="Q64">
            <v>525</v>
          </cell>
          <cell r="R64">
            <v>234.75</v>
          </cell>
          <cell r="S64">
            <v>374</v>
          </cell>
          <cell r="T64">
            <v>591</v>
          </cell>
          <cell r="U64">
            <v>15964.46</v>
          </cell>
          <cell r="V64">
            <v>15818.09</v>
          </cell>
          <cell r="W64">
            <v>6613.39</v>
          </cell>
          <cell r="X64">
            <v>57.95</v>
          </cell>
          <cell r="Y64">
            <v>1040</v>
          </cell>
          <cell r="Z64">
            <v>1140</v>
          </cell>
          <cell r="AA64">
            <v>10565.47</v>
          </cell>
          <cell r="AB64">
            <v>4813.8</v>
          </cell>
          <cell r="AC64">
            <v>39177.871099999997</v>
          </cell>
          <cell r="AE64">
            <v>74.25</v>
          </cell>
          <cell r="AF64">
            <v>622.05999999999995</v>
          </cell>
          <cell r="AG64">
            <v>2708</v>
          </cell>
          <cell r="AH64">
            <v>830</v>
          </cell>
          <cell r="AI64">
            <v>1400</v>
          </cell>
          <cell r="AJ64">
            <v>682.36</v>
          </cell>
          <cell r="AL64">
            <v>1291.24</v>
          </cell>
          <cell r="AP64">
            <v>1306.586</v>
          </cell>
          <cell r="AV64">
            <v>47.24</v>
          </cell>
          <cell r="AZ64">
            <v>248.5</v>
          </cell>
          <cell r="BE64">
            <v>14730</v>
          </cell>
          <cell r="BG64">
            <v>48</v>
          </cell>
          <cell r="BH64">
            <v>260.99</v>
          </cell>
          <cell r="BY64">
            <v>545.87</v>
          </cell>
          <cell r="CD64">
            <v>325.48</v>
          </cell>
          <cell r="CE64">
            <v>322.495</v>
          </cell>
          <cell r="CF64">
            <v>307.82</v>
          </cell>
          <cell r="CG64">
            <v>1135</v>
          </cell>
          <cell r="CH64">
            <v>920</v>
          </cell>
          <cell r="CI64" t="str">
            <v>#N/A N/A</v>
          </cell>
          <cell r="CJ64">
            <v>530</v>
          </cell>
          <cell r="CK64">
            <v>1098</v>
          </cell>
          <cell r="CM64">
            <v>179.99</v>
          </cell>
          <cell r="CN64">
            <v>24.05</v>
          </cell>
          <cell r="CO64" t="str">
            <v>#N/A N/A</v>
          </cell>
          <cell r="CQ64">
            <v>6.62</v>
          </cell>
          <cell r="CR64">
            <v>38.75</v>
          </cell>
          <cell r="CS64">
            <v>1181.5</v>
          </cell>
          <cell r="CU64">
            <v>1240</v>
          </cell>
          <cell r="CW64">
            <v>50.152439024390247</v>
          </cell>
          <cell r="CX64">
            <v>485.45474999999999</v>
          </cell>
          <cell r="CZ64">
            <v>324.83999999999997</v>
          </cell>
          <cell r="DA64">
            <v>2620.9</v>
          </cell>
          <cell r="DB64">
            <v>17.77</v>
          </cell>
          <cell r="DC64">
            <v>289.3</v>
          </cell>
          <cell r="DD64">
            <v>114.05</v>
          </cell>
        </row>
        <row r="65">
          <cell r="A65">
            <v>38778</v>
          </cell>
          <cell r="C65">
            <v>120.7</v>
          </cell>
          <cell r="D65" t="str">
            <v>#N/A N/A</v>
          </cell>
          <cell r="E65" t="str">
            <v>#N/A N/A</v>
          </cell>
          <cell r="L65">
            <v>1367.7</v>
          </cell>
          <cell r="M65">
            <v>2311.11</v>
          </cell>
          <cell r="N65">
            <v>5833</v>
          </cell>
          <cell r="O65">
            <v>3644</v>
          </cell>
          <cell r="Q65">
            <v>525</v>
          </cell>
          <cell r="R65">
            <v>239.25</v>
          </cell>
          <cell r="S65">
            <v>380.5</v>
          </cell>
          <cell r="T65">
            <v>604</v>
          </cell>
          <cell r="U65">
            <v>15909.76</v>
          </cell>
          <cell r="V65">
            <v>15882.45</v>
          </cell>
          <cell r="W65">
            <v>6642.96</v>
          </cell>
          <cell r="X65">
            <v>59.15</v>
          </cell>
          <cell r="Y65">
            <v>1040</v>
          </cell>
          <cell r="Z65">
            <v>1140</v>
          </cell>
          <cell r="AA65">
            <v>10626.78</v>
          </cell>
          <cell r="AB65">
            <v>4864.3999999999996</v>
          </cell>
          <cell r="AC65">
            <v>39125.839800000002</v>
          </cell>
          <cell r="AE65">
            <v>74.650000000000006</v>
          </cell>
          <cell r="AF65">
            <v>622.05999999999995</v>
          </cell>
          <cell r="AG65">
            <v>2698</v>
          </cell>
          <cell r="AH65">
            <v>830</v>
          </cell>
          <cell r="AI65">
            <v>1400</v>
          </cell>
          <cell r="AJ65">
            <v>679.19</v>
          </cell>
          <cell r="AL65">
            <v>1289.1400000000001</v>
          </cell>
          <cell r="AP65">
            <v>1285.6659999999999</v>
          </cell>
          <cell r="AV65">
            <v>46.86</v>
          </cell>
          <cell r="AZ65">
            <v>252.4</v>
          </cell>
          <cell r="BE65">
            <v>15192</v>
          </cell>
          <cell r="BG65">
            <v>48</v>
          </cell>
          <cell r="BH65">
            <v>262.29000000000002</v>
          </cell>
          <cell r="BY65">
            <v>546.29</v>
          </cell>
          <cell r="CD65">
            <v>325.12</v>
          </cell>
          <cell r="CE65">
            <v>321.96199999999999</v>
          </cell>
          <cell r="CF65">
            <v>309.02</v>
          </cell>
          <cell r="CG65">
            <v>1135</v>
          </cell>
          <cell r="CH65">
            <v>920</v>
          </cell>
          <cell r="CI65" t="str">
            <v>#N/A N/A</v>
          </cell>
          <cell r="CJ65">
            <v>530</v>
          </cell>
          <cell r="CK65">
            <v>1102</v>
          </cell>
          <cell r="CM65">
            <v>186.25</v>
          </cell>
          <cell r="CN65">
            <v>24</v>
          </cell>
          <cell r="CO65" t="str">
            <v>#N/A N/A</v>
          </cell>
          <cell r="CQ65">
            <v>6.7</v>
          </cell>
          <cell r="CR65">
            <v>38.75</v>
          </cell>
          <cell r="CS65">
            <v>1242</v>
          </cell>
          <cell r="CU65">
            <v>1240</v>
          </cell>
          <cell r="CW65">
            <v>51.676829268292686</v>
          </cell>
          <cell r="CX65">
            <v>489.48900000000003</v>
          </cell>
          <cell r="CZ65">
            <v>329.21</v>
          </cell>
          <cell r="DA65">
            <v>2680.9</v>
          </cell>
          <cell r="DB65">
            <v>17.63</v>
          </cell>
          <cell r="DC65">
            <v>289.3</v>
          </cell>
          <cell r="DD65">
            <v>112</v>
          </cell>
        </row>
        <row r="66">
          <cell r="A66">
            <v>38779</v>
          </cell>
          <cell r="C66">
            <v>120.7</v>
          </cell>
          <cell r="D66" t="str">
            <v>#N/A N/A</v>
          </cell>
          <cell r="E66" t="str">
            <v>#N/A N/A</v>
          </cell>
          <cell r="L66">
            <v>1328.95</v>
          </cell>
          <cell r="M66">
            <v>2302.6</v>
          </cell>
          <cell r="N66">
            <v>5858.7</v>
          </cell>
          <cell r="O66">
            <v>3644</v>
          </cell>
          <cell r="Q66">
            <v>525</v>
          </cell>
          <cell r="R66">
            <v>239.5</v>
          </cell>
          <cell r="S66">
            <v>385</v>
          </cell>
          <cell r="T66">
            <v>606</v>
          </cell>
          <cell r="U66">
            <v>15663.34</v>
          </cell>
          <cell r="V66">
            <v>15802</v>
          </cell>
          <cell r="W66">
            <v>6553.66</v>
          </cell>
          <cell r="X66">
            <v>60.05</v>
          </cell>
          <cell r="Y66">
            <v>1000</v>
          </cell>
          <cell r="Z66">
            <v>1130</v>
          </cell>
          <cell r="AA66">
            <v>10595.43</v>
          </cell>
          <cell r="AB66">
            <v>4862.1000000000004</v>
          </cell>
          <cell r="AC66">
            <v>39239.75</v>
          </cell>
          <cell r="AE66">
            <v>76.849999999999994</v>
          </cell>
          <cell r="AF66">
            <v>622.05999999999995</v>
          </cell>
          <cell r="AG66">
            <v>2682</v>
          </cell>
          <cell r="AH66">
            <v>820</v>
          </cell>
          <cell r="AI66">
            <v>1360</v>
          </cell>
          <cell r="AJ66">
            <v>665.05</v>
          </cell>
          <cell r="AL66">
            <v>1287.23</v>
          </cell>
          <cell r="AP66">
            <v>1293.297</v>
          </cell>
          <cell r="AV66">
            <v>45.55</v>
          </cell>
          <cell r="AZ66">
            <v>251.7</v>
          </cell>
          <cell r="BE66">
            <v>15053</v>
          </cell>
          <cell r="BG66">
            <v>48</v>
          </cell>
          <cell r="BH66">
            <v>267.17</v>
          </cell>
          <cell r="BY66">
            <v>537.78</v>
          </cell>
          <cell r="CD66">
            <v>324.33999999999997</v>
          </cell>
          <cell r="CE66">
            <v>321.35899999999998</v>
          </cell>
          <cell r="CF66">
            <v>304.64999999999998</v>
          </cell>
          <cell r="CG66">
            <v>1120</v>
          </cell>
          <cell r="CH66">
            <v>915</v>
          </cell>
          <cell r="CI66" t="str">
            <v>#N/A N/A</v>
          </cell>
          <cell r="CJ66">
            <v>530</v>
          </cell>
          <cell r="CK66">
            <v>1107</v>
          </cell>
          <cell r="CM66">
            <v>189.81</v>
          </cell>
          <cell r="CN66">
            <v>23.99</v>
          </cell>
          <cell r="CO66" t="str">
            <v>#N/A N/A</v>
          </cell>
          <cell r="CQ66">
            <v>6.6</v>
          </cell>
          <cell r="CR66">
            <v>38.75</v>
          </cell>
          <cell r="CS66">
            <v>1228</v>
          </cell>
          <cell r="CU66">
            <v>1290</v>
          </cell>
          <cell r="CW66">
            <v>51.676829268292686</v>
          </cell>
          <cell r="CX66">
            <v>490.01875000000001</v>
          </cell>
          <cell r="CZ66">
            <v>331.34</v>
          </cell>
          <cell r="DA66">
            <v>2695.3</v>
          </cell>
          <cell r="DB66">
            <v>17.89</v>
          </cell>
          <cell r="DC66">
            <v>289.3</v>
          </cell>
          <cell r="DD66">
            <v>114</v>
          </cell>
        </row>
        <row r="67">
          <cell r="A67">
            <v>38780</v>
          </cell>
          <cell r="C67">
            <v>120.7</v>
          </cell>
          <cell r="D67" t="str">
            <v>#N/A N/A</v>
          </cell>
          <cell r="E67" t="str">
            <v>#N/A N/A</v>
          </cell>
          <cell r="L67">
            <v>1328.95</v>
          </cell>
          <cell r="M67">
            <v>2302.6</v>
          </cell>
          <cell r="N67">
            <v>5858.7</v>
          </cell>
          <cell r="O67">
            <v>3644</v>
          </cell>
          <cell r="Q67">
            <v>525</v>
          </cell>
          <cell r="R67">
            <v>239.5</v>
          </cell>
          <cell r="S67">
            <v>385</v>
          </cell>
          <cell r="T67">
            <v>606</v>
          </cell>
          <cell r="U67">
            <v>15663.34</v>
          </cell>
          <cell r="V67">
            <v>15802</v>
          </cell>
          <cell r="W67">
            <v>6553.66</v>
          </cell>
          <cell r="X67">
            <v>60.05</v>
          </cell>
          <cell r="Y67">
            <v>1000</v>
          </cell>
          <cell r="Z67">
            <v>1130</v>
          </cell>
          <cell r="AA67">
            <v>10595.43</v>
          </cell>
          <cell r="AB67">
            <v>4862.1000000000004</v>
          </cell>
          <cell r="AC67">
            <v>39239.75</v>
          </cell>
          <cell r="AE67">
            <v>76.849999999999994</v>
          </cell>
          <cell r="AF67">
            <v>622.05999999999995</v>
          </cell>
          <cell r="AG67">
            <v>2682</v>
          </cell>
          <cell r="AH67">
            <v>820</v>
          </cell>
          <cell r="AI67">
            <v>1360</v>
          </cell>
          <cell r="AJ67">
            <v>665.05</v>
          </cell>
          <cell r="AL67">
            <v>1287.23</v>
          </cell>
          <cell r="AP67">
            <v>1293.297</v>
          </cell>
          <cell r="AV67">
            <v>45.55</v>
          </cell>
          <cell r="AZ67">
            <v>251.7</v>
          </cell>
          <cell r="BE67">
            <v>15053</v>
          </cell>
          <cell r="BG67">
            <v>48</v>
          </cell>
          <cell r="BH67">
            <v>267.17</v>
          </cell>
          <cell r="BY67">
            <v>537.78</v>
          </cell>
          <cell r="CD67">
            <v>324.33999999999997</v>
          </cell>
          <cell r="CE67">
            <v>321.35899999999998</v>
          </cell>
          <cell r="CF67">
            <v>304.64999999999998</v>
          </cell>
          <cell r="CG67">
            <v>1120</v>
          </cell>
          <cell r="CH67">
            <v>915</v>
          </cell>
          <cell r="CI67" t="str">
            <v>#N/A N/A</v>
          </cell>
          <cell r="CJ67">
            <v>530</v>
          </cell>
          <cell r="CK67">
            <v>1107</v>
          </cell>
          <cell r="CM67">
            <v>189.81</v>
          </cell>
          <cell r="CN67">
            <v>23.99</v>
          </cell>
          <cell r="CO67" t="str">
            <v>#N/A N/A</v>
          </cell>
          <cell r="CQ67">
            <v>6.6</v>
          </cell>
          <cell r="CR67">
            <v>38.75</v>
          </cell>
          <cell r="CS67">
            <v>1228</v>
          </cell>
          <cell r="CU67">
            <v>1290</v>
          </cell>
          <cell r="CW67">
            <v>51.676829268292686</v>
          </cell>
          <cell r="CX67">
            <v>490.01875000000001</v>
          </cell>
          <cell r="CZ67">
            <v>331.34</v>
          </cell>
          <cell r="DA67">
            <v>2695.3</v>
          </cell>
          <cell r="DB67">
            <v>17.89</v>
          </cell>
          <cell r="DC67">
            <v>289.3</v>
          </cell>
          <cell r="DD67">
            <v>114</v>
          </cell>
        </row>
        <row r="68">
          <cell r="A68">
            <v>38781</v>
          </cell>
          <cell r="C68">
            <v>120.7</v>
          </cell>
          <cell r="D68" t="str">
            <v>#N/A N/A</v>
          </cell>
          <cell r="E68" t="str">
            <v>#N/A N/A</v>
          </cell>
          <cell r="L68">
            <v>1328.95</v>
          </cell>
          <cell r="M68">
            <v>2302.6</v>
          </cell>
          <cell r="N68">
            <v>5858.7</v>
          </cell>
          <cell r="O68">
            <v>3644</v>
          </cell>
          <cell r="Q68">
            <v>525</v>
          </cell>
          <cell r="R68">
            <v>239.5</v>
          </cell>
          <cell r="S68">
            <v>385</v>
          </cell>
          <cell r="T68">
            <v>606</v>
          </cell>
          <cell r="U68">
            <v>15663.34</v>
          </cell>
          <cell r="V68">
            <v>15802</v>
          </cell>
          <cell r="W68">
            <v>6553.66</v>
          </cell>
          <cell r="X68">
            <v>60.05</v>
          </cell>
          <cell r="Y68">
            <v>1000</v>
          </cell>
          <cell r="Z68">
            <v>1130</v>
          </cell>
          <cell r="AA68">
            <v>10595.43</v>
          </cell>
          <cell r="AB68">
            <v>4862.1000000000004</v>
          </cell>
          <cell r="AC68">
            <v>39239.75</v>
          </cell>
          <cell r="AE68">
            <v>76.849999999999994</v>
          </cell>
          <cell r="AF68">
            <v>622.05999999999995</v>
          </cell>
          <cell r="AG68">
            <v>2682</v>
          </cell>
          <cell r="AH68">
            <v>820</v>
          </cell>
          <cell r="AI68">
            <v>1360</v>
          </cell>
          <cell r="AJ68">
            <v>665.05</v>
          </cell>
          <cell r="AL68">
            <v>1287.23</v>
          </cell>
          <cell r="AP68">
            <v>1293.297</v>
          </cell>
          <cell r="AV68">
            <v>45.55</v>
          </cell>
          <cell r="AZ68">
            <v>251.7</v>
          </cell>
          <cell r="BE68">
            <v>15053</v>
          </cell>
          <cell r="BG68">
            <v>48</v>
          </cell>
          <cell r="BH68">
            <v>267.17</v>
          </cell>
          <cell r="BY68">
            <v>537.78</v>
          </cell>
          <cell r="CD68">
            <v>324.33999999999997</v>
          </cell>
          <cell r="CE68">
            <v>321.35899999999998</v>
          </cell>
          <cell r="CF68">
            <v>304.64999999999998</v>
          </cell>
          <cell r="CG68">
            <v>1120</v>
          </cell>
          <cell r="CH68">
            <v>915</v>
          </cell>
          <cell r="CI68" t="str">
            <v>#N/A N/A</v>
          </cell>
          <cell r="CJ68">
            <v>530</v>
          </cell>
          <cell r="CK68">
            <v>1107</v>
          </cell>
          <cell r="CM68">
            <v>189.81</v>
          </cell>
          <cell r="CN68">
            <v>23.99</v>
          </cell>
          <cell r="CO68" t="str">
            <v>#N/A N/A</v>
          </cell>
          <cell r="CQ68">
            <v>6.6</v>
          </cell>
          <cell r="CR68">
            <v>38.75</v>
          </cell>
          <cell r="CS68">
            <v>1228</v>
          </cell>
          <cell r="CU68">
            <v>1290</v>
          </cell>
          <cell r="CW68">
            <v>51.676829268292686</v>
          </cell>
          <cell r="CX68">
            <v>490.01875000000001</v>
          </cell>
          <cell r="CZ68">
            <v>331.34</v>
          </cell>
          <cell r="DA68">
            <v>2695.3</v>
          </cell>
          <cell r="DB68">
            <v>17.89</v>
          </cell>
          <cell r="DC68">
            <v>289.3</v>
          </cell>
          <cell r="DD68">
            <v>114</v>
          </cell>
        </row>
        <row r="69">
          <cell r="A69">
            <v>38782</v>
          </cell>
          <cell r="C69">
            <v>120.7</v>
          </cell>
          <cell r="D69" t="str">
            <v>#N/A N/A</v>
          </cell>
          <cell r="E69" t="str">
            <v>#N/A N/A</v>
          </cell>
          <cell r="L69">
            <v>1344.76</v>
          </cell>
          <cell r="M69">
            <v>2286.0300000000002</v>
          </cell>
          <cell r="N69">
            <v>5897.8</v>
          </cell>
          <cell r="O69">
            <v>3779</v>
          </cell>
          <cell r="Q69">
            <v>525</v>
          </cell>
          <cell r="R69">
            <v>232.75</v>
          </cell>
          <cell r="S69">
            <v>380</v>
          </cell>
          <cell r="T69">
            <v>600.5</v>
          </cell>
          <cell r="U69">
            <v>15901.16</v>
          </cell>
          <cell r="V69">
            <v>15811.83</v>
          </cell>
          <cell r="W69">
            <v>6575.78</v>
          </cell>
          <cell r="X69">
            <v>59.85</v>
          </cell>
          <cell r="Y69">
            <v>1000</v>
          </cell>
          <cell r="Z69">
            <v>1130</v>
          </cell>
          <cell r="AA69">
            <v>10735.36</v>
          </cell>
          <cell r="AB69">
            <v>4867.3999999999996</v>
          </cell>
          <cell r="AC69">
            <v>38353.980499999998</v>
          </cell>
          <cell r="AE69">
            <v>76.8</v>
          </cell>
          <cell r="AF69">
            <v>622.05999999999995</v>
          </cell>
          <cell r="AG69">
            <v>2674</v>
          </cell>
          <cell r="AH69">
            <v>820</v>
          </cell>
          <cell r="AI69">
            <v>1360</v>
          </cell>
          <cell r="AJ69">
            <v>669.56</v>
          </cell>
          <cell r="AL69">
            <v>1278.26</v>
          </cell>
          <cell r="AP69">
            <v>1288.9549999999999</v>
          </cell>
          <cell r="AV69">
            <v>45.1</v>
          </cell>
          <cell r="AZ69">
            <v>246</v>
          </cell>
          <cell r="BE69">
            <v>15016</v>
          </cell>
          <cell r="BG69">
            <v>48</v>
          </cell>
          <cell r="BH69">
            <v>262.07</v>
          </cell>
          <cell r="BY69">
            <v>528.57000000000005</v>
          </cell>
          <cell r="CD69">
            <v>323.57</v>
          </cell>
          <cell r="CE69">
            <v>320.62599999999998</v>
          </cell>
          <cell r="CF69">
            <v>306.26</v>
          </cell>
          <cell r="CG69">
            <v>1120</v>
          </cell>
          <cell r="CH69">
            <v>915</v>
          </cell>
          <cell r="CI69" t="str">
            <v>#N/A N/A</v>
          </cell>
          <cell r="CJ69">
            <v>530</v>
          </cell>
          <cell r="CK69">
            <v>1104</v>
          </cell>
          <cell r="CM69">
            <v>184.1</v>
          </cell>
          <cell r="CN69">
            <v>23.95</v>
          </cell>
          <cell r="CO69" t="str">
            <v>#N/A N/A</v>
          </cell>
          <cell r="CQ69">
            <v>6.5</v>
          </cell>
          <cell r="CR69">
            <v>38.75</v>
          </cell>
          <cell r="CS69">
            <v>1212.5</v>
          </cell>
          <cell r="CU69">
            <v>1290</v>
          </cell>
          <cell r="CW69">
            <v>50.762195121951223</v>
          </cell>
          <cell r="CX69">
            <v>488.83699999999999</v>
          </cell>
          <cell r="CZ69">
            <v>325.25</v>
          </cell>
          <cell r="DA69">
            <v>2651.2</v>
          </cell>
          <cell r="DB69">
            <v>18.440000000000001</v>
          </cell>
          <cell r="DC69">
            <v>289.3</v>
          </cell>
          <cell r="DD69">
            <v>110.85</v>
          </cell>
        </row>
        <row r="70">
          <cell r="A70">
            <v>38783</v>
          </cell>
          <cell r="C70">
            <v>120.7</v>
          </cell>
          <cell r="D70" t="str">
            <v>#N/A N/A</v>
          </cell>
          <cell r="E70" t="str">
            <v>#N/A N/A</v>
          </cell>
          <cell r="L70">
            <v>1316.67</v>
          </cell>
          <cell r="M70">
            <v>2268.38</v>
          </cell>
          <cell r="N70">
            <v>5857.4</v>
          </cell>
          <cell r="O70">
            <v>3890</v>
          </cell>
          <cell r="Q70">
            <v>525</v>
          </cell>
          <cell r="R70">
            <v>230.5</v>
          </cell>
          <cell r="S70">
            <v>381</v>
          </cell>
          <cell r="T70">
            <v>590</v>
          </cell>
          <cell r="U70">
            <v>15726.02</v>
          </cell>
          <cell r="V70">
            <v>15602.36</v>
          </cell>
          <cell r="W70">
            <v>6494.15</v>
          </cell>
          <cell r="X70">
            <v>59.3</v>
          </cell>
          <cell r="Y70">
            <v>1000</v>
          </cell>
          <cell r="Z70">
            <v>1130</v>
          </cell>
          <cell r="AA70">
            <v>10725.67</v>
          </cell>
          <cell r="AB70">
            <v>4843.6000000000004</v>
          </cell>
          <cell r="AC70">
            <v>37422.578099999999</v>
          </cell>
          <cell r="AE70">
            <v>74.55</v>
          </cell>
          <cell r="AF70">
            <v>622.05999999999995</v>
          </cell>
          <cell r="AG70">
            <v>2667</v>
          </cell>
          <cell r="AH70">
            <v>820</v>
          </cell>
          <cell r="AI70">
            <v>1360</v>
          </cell>
          <cell r="AJ70">
            <v>658.48</v>
          </cell>
          <cell r="AL70">
            <v>1275.8800000000001</v>
          </cell>
          <cell r="AP70">
            <v>1259.9159999999999</v>
          </cell>
          <cell r="AV70">
            <v>43.35</v>
          </cell>
          <cell r="AZ70">
            <v>242.9</v>
          </cell>
          <cell r="BE70">
            <v>14785</v>
          </cell>
          <cell r="BG70">
            <v>48</v>
          </cell>
          <cell r="BH70">
            <v>255.6</v>
          </cell>
          <cell r="BY70">
            <v>513.44000000000005</v>
          </cell>
          <cell r="CD70">
            <v>320.54000000000002</v>
          </cell>
          <cell r="CE70">
            <v>318.14499999999998</v>
          </cell>
          <cell r="CF70">
            <v>300.74</v>
          </cell>
          <cell r="CG70">
            <v>1120</v>
          </cell>
          <cell r="CH70">
            <v>915</v>
          </cell>
          <cell r="CI70" t="str">
            <v>#N/A N/A</v>
          </cell>
          <cell r="CJ70">
            <v>530</v>
          </cell>
          <cell r="CK70">
            <v>1111</v>
          </cell>
          <cell r="CM70">
            <v>185.35</v>
          </cell>
          <cell r="CN70">
            <v>23.33</v>
          </cell>
          <cell r="CO70" t="str">
            <v>#N/A N/A</v>
          </cell>
          <cell r="CQ70">
            <v>6.52</v>
          </cell>
          <cell r="CR70">
            <v>38.75</v>
          </cell>
          <cell r="CS70">
            <v>1177.5</v>
          </cell>
          <cell r="CU70">
            <v>1290</v>
          </cell>
          <cell r="CW70">
            <v>50.457317073170735</v>
          </cell>
          <cell r="CX70">
            <v>484.47675000000004</v>
          </cell>
          <cell r="CZ70">
            <v>321.44</v>
          </cell>
          <cell r="DA70">
            <v>2576.1</v>
          </cell>
          <cell r="DB70">
            <v>18.2</v>
          </cell>
          <cell r="DC70">
            <v>289.3</v>
          </cell>
          <cell r="DD70">
            <v>108.6</v>
          </cell>
        </row>
        <row r="71">
          <cell r="A71">
            <v>38784</v>
          </cell>
          <cell r="C71">
            <v>120.7</v>
          </cell>
          <cell r="D71" t="str">
            <v>#N/A N/A</v>
          </cell>
          <cell r="E71" t="str">
            <v>#N/A N/A</v>
          </cell>
          <cell r="L71">
            <v>1314.05</v>
          </cell>
          <cell r="M71">
            <v>2267.46</v>
          </cell>
          <cell r="N71">
            <v>5812.9</v>
          </cell>
          <cell r="O71">
            <v>3933</v>
          </cell>
          <cell r="Q71">
            <v>525</v>
          </cell>
          <cell r="R71">
            <v>228</v>
          </cell>
          <cell r="S71">
            <v>384.5</v>
          </cell>
          <cell r="T71">
            <v>584</v>
          </cell>
          <cell r="U71">
            <v>15627.49</v>
          </cell>
          <cell r="V71">
            <v>15493.09</v>
          </cell>
          <cell r="W71">
            <v>6459.57</v>
          </cell>
          <cell r="X71">
            <v>58.3</v>
          </cell>
          <cell r="Y71">
            <v>1000</v>
          </cell>
          <cell r="Z71">
            <v>1130</v>
          </cell>
          <cell r="AA71">
            <v>10508.85</v>
          </cell>
          <cell r="AB71">
            <v>4835.7</v>
          </cell>
          <cell r="AC71">
            <v>37289.078099999999</v>
          </cell>
          <cell r="AE71">
            <v>72.3</v>
          </cell>
          <cell r="AF71">
            <v>622.05999999999995</v>
          </cell>
          <cell r="AG71">
            <v>2682</v>
          </cell>
          <cell r="AH71">
            <v>820</v>
          </cell>
          <cell r="AI71">
            <v>1360</v>
          </cell>
          <cell r="AJ71">
            <v>657.08</v>
          </cell>
          <cell r="AL71">
            <v>1278.47</v>
          </cell>
          <cell r="AP71">
            <v>1250.384</v>
          </cell>
          <cell r="AV71">
            <v>44.14</v>
          </cell>
          <cell r="AZ71">
            <v>235.2</v>
          </cell>
          <cell r="BE71">
            <v>14625</v>
          </cell>
          <cell r="BG71">
            <v>48</v>
          </cell>
          <cell r="BH71">
            <v>251.96</v>
          </cell>
          <cell r="BY71">
            <v>510.62</v>
          </cell>
          <cell r="CD71">
            <v>319.62</v>
          </cell>
          <cell r="CE71">
            <v>317.44499999999999</v>
          </cell>
          <cell r="CF71">
            <v>296.58999999999997</v>
          </cell>
          <cell r="CG71">
            <v>1120</v>
          </cell>
          <cell r="CH71">
            <v>915</v>
          </cell>
          <cell r="CI71" t="str">
            <v>#N/A N/A</v>
          </cell>
          <cell r="CJ71">
            <v>515</v>
          </cell>
          <cell r="CK71">
            <v>1118</v>
          </cell>
          <cell r="CM71">
            <v>183.23</v>
          </cell>
          <cell r="CN71">
            <v>23.59</v>
          </cell>
          <cell r="CO71" t="str">
            <v>#N/A N/A</v>
          </cell>
          <cell r="CQ71">
            <v>6.48</v>
          </cell>
          <cell r="CR71">
            <v>39.25</v>
          </cell>
          <cell r="CS71">
            <v>1182.75</v>
          </cell>
          <cell r="CU71">
            <v>1290</v>
          </cell>
          <cell r="CW71">
            <v>50.152439024390247</v>
          </cell>
          <cell r="CX71">
            <v>492.07125000000002</v>
          </cell>
          <cell r="CZ71">
            <v>317.87</v>
          </cell>
          <cell r="DA71">
            <v>2559.1999999999998</v>
          </cell>
          <cell r="DB71">
            <v>17.77</v>
          </cell>
          <cell r="DC71">
            <v>289.3</v>
          </cell>
          <cell r="DD71">
            <v>108.65</v>
          </cell>
        </row>
        <row r="72">
          <cell r="A72">
            <v>38785</v>
          </cell>
          <cell r="C72">
            <v>120.7</v>
          </cell>
          <cell r="D72" t="str">
            <v>#N/A N/A</v>
          </cell>
          <cell r="E72" t="str">
            <v>#N/A N/A</v>
          </cell>
          <cell r="L72">
            <v>1311.21</v>
          </cell>
          <cell r="M72">
            <v>2249.7199999999998</v>
          </cell>
          <cell r="N72">
            <v>5855.9</v>
          </cell>
          <cell r="O72">
            <v>3923</v>
          </cell>
          <cell r="Q72">
            <v>525</v>
          </cell>
          <cell r="R72">
            <v>232</v>
          </cell>
          <cell r="S72">
            <v>381</v>
          </cell>
          <cell r="T72">
            <v>587.75</v>
          </cell>
          <cell r="U72">
            <v>16036.91</v>
          </cell>
          <cell r="V72">
            <v>15510.13</v>
          </cell>
          <cell r="W72">
            <v>6486.47</v>
          </cell>
          <cell r="X72">
            <v>57.95</v>
          </cell>
          <cell r="Y72">
            <v>1000</v>
          </cell>
          <cell r="Z72">
            <v>1130</v>
          </cell>
          <cell r="AA72">
            <v>10573.54</v>
          </cell>
          <cell r="AB72">
            <v>4855.3999999999996</v>
          </cell>
          <cell r="AC72">
            <v>36312.269500000002</v>
          </cell>
          <cell r="AE72">
            <v>72.5</v>
          </cell>
          <cell r="AF72">
            <v>622.05999999999995</v>
          </cell>
          <cell r="AG72">
            <v>2702</v>
          </cell>
          <cell r="AH72">
            <v>820</v>
          </cell>
          <cell r="AI72">
            <v>1360</v>
          </cell>
          <cell r="AJ72">
            <v>665.57</v>
          </cell>
          <cell r="AL72">
            <v>1272.23</v>
          </cell>
          <cell r="AP72">
            <v>1245.1659999999999</v>
          </cell>
          <cell r="AV72">
            <v>43.75</v>
          </cell>
          <cell r="AZ72">
            <v>239.6</v>
          </cell>
          <cell r="BE72">
            <v>14720</v>
          </cell>
          <cell r="BG72">
            <v>48</v>
          </cell>
          <cell r="BH72">
            <v>249.75</v>
          </cell>
          <cell r="BY72">
            <v>503.53</v>
          </cell>
          <cell r="CD72">
            <v>320.39999999999998</v>
          </cell>
          <cell r="CE72">
            <v>318.26299999999998</v>
          </cell>
          <cell r="CF72">
            <v>297.14999999999998</v>
          </cell>
          <cell r="CG72">
            <v>1120</v>
          </cell>
          <cell r="CH72">
            <v>915</v>
          </cell>
          <cell r="CI72" t="str">
            <v>#N/A N/A</v>
          </cell>
          <cell r="CJ72">
            <v>515</v>
          </cell>
          <cell r="CK72">
            <v>1120</v>
          </cell>
          <cell r="CM72">
            <v>184</v>
          </cell>
          <cell r="CN72">
            <v>23.55</v>
          </cell>
          <cell r="CO72" t="str">
            <v>#N/A N/A</v>
          </cell>
          <cell r="CQ72">
            <v>6.31</v>
          </cell>
          <cell r="CR72">
            <v>39.25</v>
          </cell>
          <cell r="CS72">
            <v>1168.75</v>
          </cell>
          <cell r="CU72">
            <v>1290</v>
          </cell>
          <cell r="CW72">
            <v>49.237804878048784</v>
          </cell>
          <cell r="CX72">
            <v>491.28750000000002</v>
          </cell>
          <cell r="CZ72">
            <v>319.93</v>
          </cell>
          <cell r="DA72">
            <v>2592.4</v>
          </cell>
          <cell r="DB72">
            <v>17.260000000000002</v>
          </cell>
          <cell r="DC72">
            <v>289.3</v>
          </cell>
          <cell r="DD72">
            <v>108.75</v>
          </cell>
        </row>
        <row r="73">
          <cell r="A73">
            <v>38786</v>
          </cell>
          <cell r="C73">
            <v>120.7</v>
          </cell>
          <cell r="D73" t="str">
            <v>#N/A N/A</v>
          </cell>
          <cell r="E73" t="str">
            <v>#N/A N/A</v>
          </cell>
          <cell r="L73">
            <v>1320.07</v>
          </cell>
          <cell r="M73">
            <v>2262.04</v>
          </cell>
          <cell r="N73">
            <v>5907.9</v>
          </cell>
          <cell r="O73">
            <v>3894</v>
          </cell>
          <cell r="Q73">
            <v>525</v>
          </cell>
          <cell r="R73">
            <v>234.5</v>
          </cell>
          <cell r="S73">
            <v>381.5</v>
          </cell>
          <cell r="T73">
            <v>589.25</v>
          </cell>
          <cell r="U73">
            <v>16115.63</v>
          </cell>
          <cell r="V73">
            <v>15445.05</v>
          </cell>
          <cell r="W73">
            <v>6490.68</v>
          </cell>
          <cell r="X73">
            <v>59.35</v>
          </cell>
          <cell r="Y73">
            <v>980</v>
          </cell>
          <cell r="Z73">
            <v>1100</v>
          </cell>
          <cell r="AA73">
            <v>10765.16</v>
          </cell>
          <cell r="AB73">
            <v>4849.3999999999996</v>
          </cell>
          <cell r="AC73">
            <v>36890.691400000003</v>
          </cell>
          <cell r="AE73">
            <v>73.900000000000006</v>
          </cell>
          <cell r="AF73">
            <v>622.05999999999995</v>
          </cell>
          <cell r="AG73">
            <v>2704</v>
          </cell>
          <cell r="AH73">
            <v>820</v>
          </cell>
          <cell r="AI73">
            <v>1360</v>
          </cell>
          <cell r="AJ73">
            <v>668.66</v>
          </cell>
          <cell r="AL73">
            <v>1281.58</v>
          </cell>
          <cell r="AP73">
            <v>1245.653</v>
          </cell>
          <cell r="AV73">
            <v>44.71</v>
          </cell>
          <cell r="AZ73">
            <v>233.5</v>
          </cell>
          <cell r="BE73">
            <v>14860</v>
          </cell>
          <cell r="BG73">
            <v>49.05</v>
          </cell>
          <cell r="BH73">
            <v>250.23</v>
          </cell>
          <cell r="BY73">
            <v>502.34</v>
          </cell>
          <cell r="CD73">
            <v>321.57</v>
          </cell>
          <cell r="CE73">
            <v>319.43400000000003</v>
          </cell>
          <cell r="CF73">
            <v>298.93</v>
          </cell>
          <cell r="CG73">
            <v>1090</v>
          </cell>
          <cell r="CH73">
            <v>910</v>
          </cell>
          <cell r="CI73" t="str">
            <v>#N/A N/A</v>
          </cell>
          <cell r="CJ73">
            <v>515</v>
          </cell>
          <cell r="CK73">
            <v>1146</v>
          </cell>
          <cell r="CM73">
            <v>181.85</v>
          </cell>
          <cell r="CN73">
            <v>23.78</v>
          </cell>
          <cell r="CO73" t="str">
            <v>#N/A N/A</v>
          </cell>
          <cell r="CQ73">
            <v>6.38</v>
          </cell>
          <cell r="CR73">
            <v>39.25</v>
          </cell>
          <cell r="CS73">
            <v>1181.25</v>
          </cell>
          <cell r="CU73">
            <v>1300</v>
          </cell>
          <cell r="CW73">
            <v>49.237804878048784</v>
          </cell>
          <cell r="CX73">
            <v>490.6275</v>
          </cell>
          <cell r="CZ73">
            <v>319.42</v>
          </cell>
          <cell r="DA73">
            <v>2609</v>
          </cell>
          <cell r="DB73">
            <v>17.46</v>
          </cell>
          <cell r="DC73">
            <v>289.3</v>
          </cell>
          <cell r="DD73">
            <v>107.6</v>
          </cell>
        </row>
        <row r="74">
          <cell r="A74">
            <v>38787</v>
          </cell>
          <cell r="C74">
            <v>120.7</v>
          </cell>
          <cell r="D74" t="str">
            <v>#N/A N/A</v>
          </cell>
          <cell r="E74" t="str">
            <v>#N/A N/A</v>
          </cell>
          <cell r="L74">
            <v>1320.07</v>
          </cell>
          <cell r="M74">
            <v>2262.04</v>
          </cell>
          <cell r="N74">
            <v>5907.9</v>
          </cell>
          <cell r="O74">
            <v>3894</v>
          </cell>
          <cell r="Q74">
            <v>525</v>
          </cell>
          <cell r="R74">
            <v>234.5</v>
          </cell>
          <cell r="S74">
            <v>381.5</v>
          </cell>
          <cell r="T74">
            <v>589.25</v>
          </cell>
          <cell r="U74">
            <v>16115.63</v>
          </cell>
          <cell r="V74">
            <v>15445.05</v>
          </cell>
          <cell r="W74">
            <v>6490.68</v>
          </cell>
          <cell r="X74">
            <v>59.35</v>
          </cell>
          <cell r="Y74">
            <v>980</v>
          </cell>
          <cell r="Z74">
            <v>1100</v>
          </cell>
          <cell r="AA74">
            <v>10765.16</v>
          </cell>
          <cell r="AB74">
            <v>4849.3999999999996</v>
          </cell>
          <cell r="AC74">
            <v>36890.691400000003</v>
          </cell>
          <cell r="AE74">
            <v>73.900000000000006</v>
          </cell>
          <cell r="AF74">
            <v>622.05999999999995</v>
          </cell>
          <cell r="AG74">
            <v>2704</v>
          </cell>
          <cell r="AH74">
            <v>820</v>
          </cell>
          <cell r="AI74">
            <v>1360</v>
          </cell>
          <cell r="AJ74">
            <v>668.66</v>
          </cell>
          <cell r="AL74">
            <v>1281.58</v>
          </cell>
          <cell r="AP74">
            <v>1245.653</v>
          </cell>
          <cell r="AV74">
            <v>44.71</v>
          </cell>
          <cell r="AZ74">
            <v>233.5</v>
          </cell>
          <cell r="BE74">
            <v>14860</v>
          </cell>
          <cell r="BG74">
            <v>49.05</v>
          </cell>
          <cell r="BH74">
            <v>250.23</v>
          </cell>
          <cell r="BY74">
            <v>502.34</v>
          </cell>
          <cell r="CD74">
            <v>321.57</v>
          </cell>
          <cell r="CE74">
            <v>319.43400000000003</v>
          </cell>
          <cell r="CF74">
            <v>298.93</v>
          </cell>
          <cell r="CG74">
            <v>1090</v>
          </cell>
          <cell r="CH74">
            <v>910</v>
          </cell>
          <cell r="CI74" t="str">
            <v>#N/A N/A</v>
          </cell>
          <cell r="CJ74">
            <v>515</v>
          </cell>
          <cell r="CK74">
            <v>1146</v>
          </cell>
          <cell r="CM74">
            <v>181.85</v>
          </cell>
          <cell r="CN74">
            <v>23.78</v>
          </cell>
          <cell r="CO74" t="str">
            <v>#N/A N/A</v>
          </cell>
          <cell r="CQ74">
            <v>6.38</v>
          </cell>
          <cell r="CR74">
            <v>39.25</v>
          </cell>
          <cell r="CS74">
            <v>1181.25</v>
          </cell>
          <cell r="CU74">
            <v>1300</v>
          </cell>
          <cell r="CW74">
            <v>49.237804878048784</v>
          </cell>
          <cell r="CX74">
            <v>490.6275</v>
          </cell>
          <cell r="CZ74">
            <v>319.42</v>
          </cell>
          <cell r="DA74">
            <v>2609</v>
          </cell>
          <cell r="DB74">
            <v>17.46</v>
          </cell>
          <cell r="DC74">
            <v>289.3</v>
          </cell>
          <cell r="DD74">
            <v>107.6</v>
          </cell>
        </row>
        <row r="75">
          <cell r="A75">
            <v>38788</v>
          </cell>
          <cell r="C75">
            <v>120.7</v>
          </cell>
          <cell r="D75" t="str">
            <v>#N/A N/A</v>
          </cell>
          <cell r="E75" t="str">
            <v>#N/A N/A</v>
          </cell>
          <cell r="L75">
            <v>1320.07</v>
          </cell>
          <cell r="M75">
            <v>2262.04</v>
          </cell>
          <cell r="N75">
            <v>5907.9</v>
          </cell>
          <cell r="O75">
            <v>3894</v>
          </cell>
          <cell r="Q75">
            <v>525</v>
          </cell>
          <cell r="R75">
            <v>234.5</v>
          </cell>
          <cell r="S75">
            <v>381.5</v>
          </cell>
          <cell r="T75">
            <v>589.25</v>
          </cell>
          <cell r="U75">
            <v>16115.63</v>
          </cell>
          <cell r="V75">
            <v>15445.05</v>
          </cell>
          <cell r="W75">
            <v>6490.68</v>
          </cell>
          <cell r="X75">
            <v>59.35</v>
          </cell>
          <cell r="Y75">
            <v>980</v>
          </cell>
          <cell r="Z75">
            <v>1100</v>
          </cell>
          <cell r="AA75">
            <v>10765.16</v>
          </cell>
          <cell r="AB75">
            <v>4849.3999999999996</v>
          </cell>
          <cell r="AC75">
            <v>36890.691400000003</v>
          </cell>
          <cell r="AE75">
            <v>73.900000000000006</v>
          </cell>
          <cell r="AF75">
            <v>622.05999999999995</v>
          </cell>
          <cell r="AG75">
            <v>2704</v>
          </cell>
          <cell r="AH75">
            <v>820</v>
          </cell>
          <cell r="AI75">
            <v>1360</v>
          </cell>
          <cell r="AJ75">
            <v>668.66</v>
          </cell>
          <cell r="AL75">
            <v>1281.58</v>
          </cell>
          <cell r="AP75">
            <v>1245.653</v>
          </cell>
          <cell r="AV75">
            <v>44.71</v>
          </cell>
          <cell r="AZ75">
            <v>233.5</v>
          </cell>
          <cell r="BE75">
            <v>14860</v>
          </cell>
          <cell r="BG75">
            <v>49.05</v>
          </cell>
          <cell r="BH75">
            <v>250.23</v>
          </cell>
          <cell r="BY75">
            <v>502.34</v>
          </cell>
          <cell r="CD75">
            <v>321.57</v>
          </cell>
          <cell r="CE75">
            <v>319.43400000000003</v>
          </cell>
          <cell r="CF75">
            <v>298.93</v>
          </cell>
          <cell r="CG75">
            <v>1090</v>
          </cell>
          <cell r="CH75">
            <v>910</v>
          </cell>
          <cell r="CI75" t="str">
            <v>#N/A N/A</v>
          </cell>
          <cell r="CJ75">
            <v>515</v>
          </cell>
          <cell r="CK75">
            <v>1146</v>
          </cell>
          <cell r="CM75">
            <v>181.85</v>
          </cell>
          <cell r="CN75">
            <v>23.78</v>
          </cell>
          <cell r="CO75" t="str">
            <v>#N/A N/A</v>
          </cell>
          <cell r="CQ75">
            <v>6.38</v>
          </cell>
          <cell r="CR75">
            <v>39.25</v>
          </cell>
          <cell r="CS75">
            <v>1181.25</v>
          </cell>
          <cell r="CU75">
            <v>1300</v>
          </cell>
          <cell r="CW75">
            <v>49.237804878048784</v>
          </cell>
          <cell r="CX75">
            <v>490.6275</v>
          </cell>
          <cell r="CZ75">
            <v>319.42</v>
          </cell>
          <cell r="DA75">
            <v>2609</v>
          </cell>
          <cell r="DB75">
            <v>17.46</v>
          </cell>
          <cell r="DC75">
            <v>289.3</v>
          </cell>
          <cell r="DD75">
            <v>107.6</v>
          </cell>
        </row>
        <row r="76">
          <cell r="A76">
            <v>38789</v>
          </cell>
          <cell r="C76">
            <v>120.7</v>
          </cell>
          <cell r="D76" t="str">
            <v>#N/A N/A</v>
          </cell>
          <cell r="E76" t="str">
            <v>#N/A N/A</v>
          </cell>
          <cell r="L76">
            <v>1338.28</v>
          </cell>
          <cell r="M76">
            <v>2267.0300000000002</v>
          </cell>
          <cell r="N76">
            <v>5952.8</v>
          </cell>
          <cell r="O76">
            <v>3886</v>
          </cell>
          <cell r="Q76">
            <v>525</v>
          </cell>
          <cell r="R76">
            <v>228.75</v>
          </cell>
          <cell r="S76">
            <v>367.5</v>
          </cell>
          <cell r="T76">
            <v>584.5</v>
          </cell>
          <cell r="U76">
            <v>16361.51</v>
          </cell>
          <cell r="V76">
            <v>15542.07</v>
          </cell>
          <cell r="W76">
            <v>6544.63</v>
          </cell>
          <cell r="X76">
            <v>58.95</v>
          </cell>
          <cell r="Y76">
            <v>980</v>
          </cell>
          <cell r="Z76">
            <v>1100</v>
          </cell>
          <cell r="AA76">
            <v>10803.71</v>
          </cell>
          <cell r="AB76">
            <v>4910.6000000000004</v>
          </cell>
          <cell r="AC76">
            <v>36792.980499999998</v>
          </cell>
          <cell r="AE76">
            <v>74.05</v>
          </cell>
          <cell r="AF76">
            <v>622.05999999999995</v>
          </cell>
          <cell r="AG76">
            <v>2697</v>
          </cell>
          <cell r="AH76">
            <v>820</v>
          </cell>
          <cell r="AI76">
            <v>1360</v>
          </cell>
          <cell r="AJ76">
            <v>672.32</v>
          </cell>
          <cell r="AL76">
            <v>1284.1300000000001</v>
          </cell>
          <cell r="AP76">
            <v>1259.674</v>
          </cell>
          <cell r="AV76">
            <v>45.15</v>
          </cell>
          <cell r="AZ76">
            <v>236.2</v>
          </cell>
          <cell r="BE76">
            <v>14745</v>
          </cell>
          <cell r="BG76">
            <v>49.05</v>
          </cell>
          <cell r="BH76">
            <v>252.88</v>
          </cell>
          <cell r="BY76">
            <v>499.93</v>
          </cell>
          <cell r="CD76">
            <v>323.92</v>
          </cell>
          <cell r="CE76">
            <v>321.637</v>
          </cell>
          <cell r="CF76">
            <v>301.77</v>
          </cell>
          <cell r="CG76">
            <v>1090</v>
          </cell>
          <cell r="CH76">
            <v>910</v>
          </cell>
          <cell r="CI76" t="str">
            <v>#N/A N/A</v>
          </cell>
          <cell r="CJ76">
            <v>515</v>
          </cell>
          <cell r="CK76">
            <v>1165</v>
          </cell>
          <cell r="CM76">
            <v>187</v>
          </cell>
          <cell r="CN76">
            <v>24.13</v>
          </cell>
          <cell r="CO76" t="str">
            <v>#N/A N/A</v>
          </cell>
          <cell r="CQ76">
            <v>6.67</v>
          </cell>
          <cell r="CR76">
            <v>39.25</v>
          </cell>
          <cell r="CS76">
            <v>1173.5</v>
          </cell>
          <cell r="CU76">
            <v>1300</v>
          </cell>
          <cell r="CW76">
            <v>50.762195121951223</v>
          </cell>
          <cell r="CX76">
            <v>492.27749999999997</v>
          </cell>
          <cell r="CZ76">
            <v>322.99</v>
          </cell>
          <cell r="DA76">
            <v>2628.2</v>
          </cell>
          <cell r="DB76">
            <v>17.91</v>
          </cell>
          <cell r="DC76">
            <v>289.3</v>
          </cell>
          <cell r="DD76">
            <v>105.9</v>
          </cell>
        </row>
        <row r="77">
          <cell r="A77">
            <v>38790</v>
          </cell>
          <cell r="C77">
            <v>120.7</v>
          </cell>
          <cell r="D77" t="str">
            <v>#N/A N/A</v>
          </cell>
          <cell r="E77" t="str">
            <v>#N/A N/A</v>
          </cell>
          <cell r="L77">
            <v>1326.3</v>
          </cell>
          <cell r="M77">
            <v>2295.9</v>
          </cell>
          <cell r="N77">
            <v>5950.6</v>
          </cell>
          <cell r="O77">
            <v>3899</v>
          </cell>
          <cell r="Q77">
            <v>525</v>
          </cell>
          <cell r="R77">
            <v>231.75</v>
          </cell>
          <cell r="S77">
            <v>362.5</v>
          </cell>
          <cell r="T77">
            <v>587.75</v>
          </cell>
          <cell r="U77">
            <v>16238.36</v>
          </cell>
          <cell r="V77">
            <v>15519.76</v>
          </cell>
          <cell r="W77">
            <v>6460.01</v>
          </cell>
          <cell r="X77">
            <v>59.95</v>
          </cell>
          <cell r="Y77">
            <v>980</v>
          </cell>
          <cell r="Z77">
            <v>1100</v>
          </cell>
          <cell r="AA77">
            <v>10801.72</v>
          </cell>
          <cell r="AB77">
            <v>4893.7</v>
          </cell>
          <cell r="AC77">
            <v>37541.488299999997</v>
          </cell>
          <cell r="AE77">
            <v>76.150000000000006</v>
          </cell>
          <cell r="AF77">
            <v>625.91999999999996</v>
          </cell>
          <cell r="AG77">
            <v>2666</v>
          </cell>
          <cell r="AH77">
            <v>820</v>
          </cell>
          <cell r="AI77">
            <v>1360</v>
          </cell>
          <cell r="AJ77">
            <v>667.06</v>
          </cell>
          <cell r="AL77">
            <v>1297.48</v>
          </cell>
          <cell r="AP77">
            <v>1259.0440000000001</v>
          </cell>
          <cell r="AV77">
            <v>45.69</v>
          </cell>
          <cell r="AZ77">
            <v>236.8</v>
          </cell>
          <cell r="BE77">
            <v>14790</v>
          </cell>
          <cell r="BG77">
            <v>49.05</v>
          </cell>
          <cell r="BH77">
            <v>255.08</v>
          </cell>
          <cell r="BY77">
            <v>511.08</v>
          </cell>
          <cell r="CD77">
            <v>326.83999999999997</v>
          </cell>
          <cell r="CE77">
            <v>324.71100000000001</v>
          </cell>
          <cell r="CF77">
            <v>300.61</v>
          </cell>
          <cell r="CG77">
            <v>1090</v>
          </cell>
          <cell r="CH77">
            <v>910</v>
          </cell>
          <cell r="CI77" t="str">
            <v>#N/A N/A</v>
          </cell>
          <cell r="CJ77">
            <v>515</v>
          </cell>
          <cell r="CK77">
            <v>1178</v>
          </cell>
          <cell r="CM77">
            <v>194.89</v>
          </cell>
          <cell r="CN77">
            <v>24.05</v>
          </cell>
          <cell r="CO77" t="str">
            <v>#N/A N/A</v>
          </cell>
          <cell r="CQ77">
            <v>7.14</v>
          </cell>
          <cell r="CR77">
            <v>39.25</v>
          </cell>
          <cell r="CS77">
            <v>1174.75</v>
          </cell>
          <cell r="CU77">
            <v>1300</v>
          </cell>
          <cell r="CW77">
            <v>51.06707317073171</v>
          </cell>
          <cell r="CX77">
            <v>495.66</v>
          </cell>
          <cell r="CZ77">
            <v>326.97000000000003</v>
          </cell>
          <cell r="DA77">
            <v>2658.2</v>
          </cell>
          <cell r="DB77">
            <v>17.34</v>
          </cell>
          <cell r="DC77">
            <v>289.3</v>
          </cell>
          <cell r="DD77">
            <v>106.25</v>
          </cell>
        </row>
        <row r="78">
          <cell r="A78">
            <v>38791</v>
          </cell>
          <cell r="C78">
            <v>120.7</v>
          </cell>
          <cell r="D78" t="str">
            <v>#N/A N/A</v>
          </cell>
          <cell r="E78" t="str">
            <v>#N/A N/A</v>
          </cell>
          <cell r="L78">
            <v>1333.98</v>
          </cell>
          <cell r="M78">
            <v>2311.84</v>
          </cell>
          <cell r="N78">
            <v>5965.1</v>
          </cell>
          <cell r="O78">
            <v>3894</v>
          </cell>
          <cell r="Q78">
            <v>525</v>
          </cell>
          <cell r="R78">
            <v>229.25</v>
          </cell>
          <cell r="S78">
            <v>362</v>
          </cell>
          <cell r="T78">
            <v>584.25</v>
          </cell>
          <cell r="U78">
            <v>16319.04</v>
          </cell>
          <cell r="V78">
            <v>15720.36</v>
          </cell>
          <cell r="W78">
            <v>6518.7</v>
          </cell>
          <cell r="X78">
            <v>62.35</v>
          </cell>
          <cell r="Y78">
            <v>980</v>
          </cell>
          <cell r="Z78">
            <v>1100</v>
          </cell>
          <cell r="AA78">
            <v>10801.72</v>
          </cell>
          <cell r="AB78">
            <v>4907.2</v>
          </cell>
          <cell r="AC78">
            <v>38243.988299999997</v>
          </cell>
          <cell r="AE78">
            <v>76.95</v>
          </cell>
          <cell r="AF78">
            <v>625.91999999999996</v>
          </cell>
          <cell r="AG78">
            <v>2605</v>
          </cell>
          <cell r="AH78">
            <v>820</v>
          </cell>
          <cell r="AI78">
            <v>1360</v>
          </cell>
          <cell r="AJ78">
            <v>663.63</v>
          </cell>
          <cell r="AL78">
            <v>1303.02</v>
          </cell>
          <cell r="AP78">
            <v>1274.8119999999999</v>
          </cell>
          <cell r="AV78">
            <v>45.73</v>
          </cell>
          <cell r="AZ78">
            <v>235.3</v>
          </cell>
          <cell r="BE78">
            <v>14785</v>
          </cell>
          <cell r="BG78">
            <v>49.05</v>
          </cell>
          <cell r="BH78">
            <v>255.46</v>
          </cell>
          <cell r="BY78">
            <v>512.63</v>
          </cell>
          <cell r="CD78">
            <v>328.3</v>
          </cell>
          <cell r="CE78">
            <v>325.93900000000002</v>
          </cell>
          <cell r="CF78">
            <v>303.26</v>
          </cell>
          <cell r="CG78">
            <v>1090</v>
          </cell>
          <cell r="CH78">
            <v>910</v>
          </cell>
          <cell r="CI78" t="str">
            <v>#N/A N/A</v>
          </cell>
          <cell r="CJ78">
            <v>515</v>
          </cell>
          <cell r="CK78">
            <v>1199</v>
          </cell>
          <cell r="CM78">
            <v>191.05</v>
          </cell>
          <cell r="CN78">
            <v>23.98</v>
          </cell>
          <cell r="CO78" t="str">
            <v>#N/A N/A</v>
          </cell>
          <cell r="CQ78">
            <v>7.08</v>
          </cell>
          <cell r="CR78">
            <v>40</v>
          </cell>
          <cell r="CS78">
            <v>1172</v>
          </cell>
          <cell r="CU78">
            <v>1300</v>
          </cell>
          <cell r="CW78">
            <v>51.371951219512198</v>
          </cell>
          <cell r="CX78">
            <v>512.125</v>
          </cell>
          <cell r="CZ78">
            <v>325.63</v>
          </cell>
          <cell r="DA78">
            <v>2666.5</v>
          </cell>
          <cell r="DB78">
            <v>17.55</v>
          </cell>
          <cell r="DC78">
            <v>289.3</v>
          </cell>
          <cell r="DD78">
            <v>108.75</v>
          </cell>
        </row>
        <row r="79">
          <cell r="A79">
            <v>38792</v>
          </cell>
          <cell r="C79">
            <v>120.7</v>
          </cell>
          <cell r="D79" t="str">
            <v>#N/A N/A</v>
          </cell>
          <cell r="E79" t="str">
            <v>#N/A N/A</v>
          </cell>
          <cell r="L79">
            <v>1335.98</v>
          </cell>
          <cell r="M79">
            <v>2299.56</v>
          </cell>
          <cell r="N79">
            <v>5993.2</v>
          </cell>
          <cell r="O79">
            <v>3885</v>
          </cell>
          <cell r="Q79">
            <v>525</v>
          </cell>
          <cell r="R79">
            <v>224.5</v>
          </cell>
          <cell r="S79">
            <v>352.75</v>
          </cell>
          <cell r="T79">
            <v>576.25</v>
          </cell>
          <cell r="U79">
            <v>16096.21</v>
          </cell>
          <cell r="V79">
            <v>15729.04</v>
          </cell>
          <cell r="W79">
            <v>6504.98</v>
          </cell>
          <cell r="X79">
            <v>60.7</v>
          </cell>
          <cell r="Y79">
            <v>980</v>
          </cell>
          <cell r="Z79">
            <v>1100</v>
          </cell>
          <cell r="AA79">
            <v>10878.74</v>
          </cell>
          <cell r="AB79">
            <v>4936.7</v>
          </cell>
          <cell r="AC79">
            <v>38156.640599999999</v>
          </cell>
          <cell r="AE79">
            <v>76.05</v>
          </cell>
          <cell r="AF79">
            <v>625.91999999999996</v>
          </cell>
          <cell r="AG79">
            <v>2537</v>
          </cell>
          <cell r="AH79">
            <v>820</v>
          </cell>
          <cell r="AI79">
            <v>1360</v>
          </cell>
          <cell r="AJ79">
            <v>655.73</v>
          </cell>
          <cell r="AL79">
            <v>1305.33</v>
          </cell>
          <cell r="AP79">
            <v>1274.19</v>
          </cell>
          <cell r="AV79">
            <v>45.3</v>
          </cell>
          <cell r="AZ79">
            <v>235.7</v>
          </cell>
          <cell r="BE79">
            <v>14720</v>
          </cell>
          <cell r="BG79">
            <v>49.05</v>
          </cell>
          <cell r="BH79">
            <v>255.89</v>
          </cell>
          <cell r="BY79">
            <v>496.06</v>
          </cell>
          <cell r="CD79">
            <v>329.38</v>
          </cell>
          <cell r="CE79">
            <v>326.94099999999997</v>
          </cell>
          <cell r="CF79">
            <v>304.25</v>
          </cell>
          <cell r="CG79">
            <v>1090</v>
          </cell>
          <cell r="CH79">
            <v>910</v>
          </cell>
          <cell r="CI79" t="str">
            <v>#N/A N/A</v>
          </cell>
          <cell r="CJ79">
            <v>515</v>
          </cell>
          <cell r="CK79">
            <v>1225</v>
          </cell>
          <cell r="CM79">
            <v>194.9</v>
          </cell>
          <cell r="CN79">
            <v>23.6</v>
          </cell>
          <cell r="CO79" t="str">
            <v>#N/A N/A</v>
          </cell>
          <cell r="CQ79">
            <v>7.12</v>
          </cell>
          <cell r="CR79">
            <v>40</v>
          </cell>
          <cell r="CS79">
            <v>1151</v>
          </cell>
          <cell r="CU79">
            <v>1300</v>
          </cell>
          <cell r="CW79">
            <v>51.219512195121958</v>
          </cell>
          <cell r="CX79">
            <v>517.39499999999998</v>
          </cell>
          <cell r="CZ79">
            <v>327.55</v>
          </cell>
          <cell r="DA79">
            <v>2670.4</v>
          </cell>
          <cell r="DB79">
            <v>17.579999999999998</v>
          </cell>
          <cell r="DC79">
            <v>289.3</v>
          </cell>
          <cell r="DD79">
            <v>106.95</v>
          </cell>
        </row>
        <row r="80">
          <cell r="A80">
            <v>38793</v>
          </cell>
          <cell r="C80">
            <v>120.7</v>
          </cell>
          <cell r="D80" t="str">
            <v>#N/A N/A</v>
          </cell>
          <cell r="E80" t="str">
            <v>#N/A N/A</v>
          </cell>
          <cell r="L80">
            <v>1341.12</v>
          </cell>
          <cell r="M80">
            <v>2306.48</v>
          </cell>
          <cell r="N80">
            <v>5999.4</v>
          </cell>
          <cell r="O80">
            <v>3862</v>
          </cell>
          <cell r="Q80">
            <v>525</v>
          </cell>
          <cell r="R80">
            <v>221.5</v>
          </cell>
          <cell r="S80">
            <v>357.5</v>
          </cell>
          <cell r="T80">
            <v>576.5</v>
          </cell>
          <cell r="U80">
            <v>16339.73</v>
          </cell>
          <cell r="V80">
            <v>15801.66</v>
          </cell>
          <cell r="W80">
            <v>6528.57</v>
          </cell>
          <cell r="X80">
            <v>61.05</v>
          </cell>
          <cell r="Y80">
            <v>950</v>
          </cell>
          <cell r="Z80">
            <v>1080</v>
          </cell>
          <cell r="AA80">
            <v>10860.04</v>
          </cell>
          <cell r="AB80">
            <v>4932.7</v>
          </cell>
          <cell r="AC80">
            <v>38049.171900000001</v>
          </cell>
          <cell r="AE80">
            <v>76.75</v>
          </cell>
          <cell r="AF80">
            <v>625.91999999999996</v>
          </cell>
          <cell r="AG80">
            <v>2502</v>
          </cell>
          <cell r="AH80">
            <v>810</v>
          </cell>
          <cell r="AI80">
            <v>1340</v>
          </cell>
          <cell r="AJ80">
            <v>652.89</v>
          </cell>
          <cell r="AL80">
            <v>1307.25</v>
          </cell>
          <cell r="AP80">
            <v>1269.462</v>
          </cell>
          <cell r="AV80">
            <v>45.9</v>
          </cell>
          <cell r="AZ80">
            <v>237.6</v>
          </cell>
          <cell r="BE80">
            <v>14827</v>
          </cell>
          <cell r="BG80">
            <v>51</v>
          </cell>
          <cell r="BH80">
            <v>254.7</v>
          </cell>
          <cell r="BY80">
            <v>496.37</v>
          </cell>
          <cell r="CD80">
            <v>330.43</v>
          </cell>
          <cell r="CE80">
            <v>327.94600000000003</v>
          </cell>
          <cell r="CF80">
            <v>305.95</v>
          </cell>
          <cell r="CG80">
            <v>1080</v>
          </cell>
          <cell r="CH80">
            <v>905</v>
          </cell>
          <cell r="CI80" t="str">
            <v>#N/A N/A</v>
          </cell>
          <cell r="CJ80">
            <v>515</v>
          </cell>
          <cell r="CK80">
            <v>1238</v>
          </cell>
          <cell r="CM80">
            <v>193.25</v>
          </cell>
          <cell r="CN80">
            <v>23.94</v>
          </cell>
          <cell r="CO80" t="str">
            <v>#N/A N/A</v>
          </cell>
          <cell r="CQ80">
            <v>7.16</v>
          </cell>
          <cell r="CR80">
            <v>40</v>
          </cell>
          <cell r="CS80">
            <v>1169</v>
          </cell>
          <cell r="CU80">
            <v>1310</v>
          </cell>
          <cell r="CW80">
            <v>51.371951219512198</v>
          </cell>
          <cell r="CX80">
            <v>517.99</v>
          </cell>
          <cell r="CZ80">
            <v>325.83</v>
          </cell>
          <cell r="DA80">
            <v>2752</v>
          </cell>
          <cell r="DB80">
            <v>17.489999999999998</v>
          </cell>
          <cell r="DC80">
            <v>289.3</v>
          </cell>
          <cell r="DD80">
            <v>105.25</v>
          </cell>
        </row>
        <row r="81">
          <cell r="A81">
            <v>38794</v>
          </cell>
          <cell r="C81">
            <v>120.7</v>
          </cell>
          <cell r="D81" t="str">
            <v>#N/A N/A</v>
          </cell>
          <cell r="E81" t="str">
            <v>#N/A N/A</v>
          </cell>
          <cell r="L81">
            <v>1341.12</v>
          </cell>
          <cell r="M81">
            <v>2306.48</v>
          </cell>
          <cell r="N81">
            <v>5999.4</v>
          </cell>
          <cell r="O81">
            <v>3862</v>
          </cell>
          <cell r="Q81">
            <v>525</v>
          </cell>
          <cell r="R81">
            <v>221.5</v>
          </cell>
          <cell r="S81">
            <v>357.5</v>
          </cell>
          <cell r="T81">
            <v>576.5</v>
          </cell>
          <cell r="U81">
            <v>16339.73</v>
          </cell>
          <cell r="V81">
            <v>15801.66</v>
          </cell>
          <cell r="W81">
            <v>6528.57</v>
          </cell>
          <cell r="X81">
            <v>61.05</v>
          </cell>
          <cell r="Y81">
            <v>950</v>
          </cell>
          <cell r="Z81">
            <v>1080</v>
          </cell>
          <cell r="AA81">
            <v>10860.04</v>
          </cell>
          <cell r="AB81">
            <v>4932.7</v>
          </cell>
          <cell r="AC81">
            <v>38049.171900000001</v>
          </cell>
          <cell r="AE81">
            <v>76.75</v>
          </cell>
          <cell r="AF81">
            <v>625.91999999999996</v>
          </cell>
          <cell r="AG81">
            <v>2502</v>
          </cell>
          <cell r="AH81">
            <v>810</v>
          </cell>
          <cell r="AI81">
            <v>1340</v>
          </cell>
          <cell r="AJ81">
            <v>652.89</v>
          </cell>
          <cell r="AL81">
            <v>1307.25</v>
          </cell>
          <cell r="AP81">
            <v>1269.462</v>
          </cell>
          <cell r="AV81">
            <v>45.9</v>
          </cell>
          <cell r="AZ81">
            <v>237.6</v>
          </cell>
          <cell r="BE81">
            <v>14827</v>
          </cell>
          <cell r="BG81">
            <v>51</v>
          </cell>
          <cell r="BH81">
            <v>254.7</v>
          </cell>
          <cell r="BY81">
            <v>496.37</v>
          </cell>
          <cell r="CD81">
            <v>330.43</v>
          </cell>
          <cell r="CE81">
            <v>327.94600000000003</v>
          </cell>
          <cell r="CF81">
            <v>305.95</v>
          </cell>
          <cell r="CG81">
            <v>1080</v>
          </cell>
          <cell r="CH81">
            <v>905</v>
          </cell>
          <cell r="CI81" t="str">
            <v>#N/A N/A</v>
          </cell>
          <cell r="CJ81">
            <v>515</v>
          </cell>
          <cell r="CK81">
            <v>1238</v>
          </cell>
          <cell r="CM81">
            <v>193.25</v>
          </cell>
          <cell r="CN81">
            <v>23.94</v>
          </cell>
          <cell r="CO81" t="str">
            <v>#N/A N/A</v>
          </cell>
          <cell r="CQ81">
            <v>7.16</v>
          </cell>
          <cell r="CR81">
            <v>40</v>
          </cell>
          <cell r="CS81">
            <v>1169</v>
          </cell>
          <cell r="CU81">
            <v>1310</v>
          </cell>
          <cell r="CW81">
            <v>51.371951219512198</v>
          </cell>
          <cell r="CX81">
            <v>517.99</v>
          </cell>
          <cell r="CZ81">
            <v>325.83</v>
          </cell>
          <cell r="DA81">
            <v>2752</v>
          </cell>
          <cell r="DB81">
            <v>17.489999999999998</v>
          </cell>
          <cell r="DC81">
            <v>289.3</v>
          </cell>
          <cell r="DD81">
            <v>105.25</v>
          </cell>
        </row>
        <row r="82">
          <cell r="A82">
            <v>38795</v>
          </cell>
          <cell r="C82">
            <v>120.7</v>
          </cell>
          <cell r="D82" t="str">
            <v>#N/A N/A</v>
          </cell>
          <cell r="E82" t="str">
            <v>#N/A N/A</v>
          </cell>
          <cell r="L82">
            <v>1341.12</v>
          </cell>
          <cell r="M82">
            <v>2306.48</v>
          </cell>
          <cell r="N82">
            <v>5999.4</v>
          </cell>
          <cell r="O82">
            <v>3862</v>
          </cell>
          <cell r="Q82">
            <v>525</v>
          </cell>
          <cell r="R82">
            <v>221.5</v>
          </cell>
          <cell r="S82">
            <v>357.5</v>
          </cell>
          <cell r="T82">
            <v>576.5</v>
          </cell>
          <cell r="U82">
            <v>16339.73</v>
          </cell>
          <cell r="V82">
            <v>15801.66</v>
          </cell>
          <cell r="W82">
            <v>6528.57</v>
          </cell>
          <cell r="X82">
            <v>61.05</v>
          </cell>
          <cell r="Y82">
            <v>950</v>
          </cell>
          <cell r="Z82">
            <v>1080</v>
          </cell>
          <cell r="AA82">
            <v>10860.04</v>
          </cell>
          <cell r="AB82">
            <v>4932.7</v>
          </cell>
          <cell r="AC82">
            <v>38049.171900000001</v>
          </cell>
          <cell r="AE82">
            <v>76.75</v>
          </cell>
          <cell r="AF82">
            <v>625.91999999999996</v>
          </cell>
          <cell r="AG82">
            <v>2502</v>
          </cell>
          <cell r="AH82">
            <v>810</v>
          </cell>
          <cell r="AI82">
            <v>1340</v>
          </cell>
          <cell r="AJ82">
            <v>652.89</v>
          </cell>
          <cell r="AL82">
            <v>1307.25</v>
          </cell>
          <cell r="AP82">
            <v>1269.462</v>
          </cell>
          <cell r="AV82">
            <v>45.9</v>
          </cell>
          <cell r="AZ82">
            <v>237.6</v>
          </cell>
          <cell r="BE82">
            <v>14827</v>
          </cell>
          <cell r="BG82">
            <v>51</v>
          </cell>
          <cell r="BH82">
            <v>254.7</v>
          </cell>
          <cell r="BY82">
            <v>496.37</v>
          </cell>
          <cell r="CD82">
            <v>330.43</v>
          </cell>
          <cell r="CE82">
            <v>327.94600000000003</v>
          </cell>
          <cell r="CF82">
            <v>305.95</v>
          </cell>
          <cell r="CG82">
            <v>1080</v>
          </cell>
          <cell r="CH82">
            <v>905</v>
          </cell>
          <cell r="CI82" t="str">
            <v>#N/A N/A</v>
          </cell>
          <cell r="CJ82">
            <v>515</v>
          </cell>
          <cell r="CK82">
            <v>1238</v>
          </cell>
          <cell r="CM82">
            <v>193.25</v>
          </cell>
          <cell r="CN82">
            <v>23.94</v>
          </cell>
          <cell r="CO82" t="str">
            <v>#N/A N/A</v>
          </cell>
          <cell r="CQ82">
            <v>7.16</v>
          </cell>
          <cell r="CR82">
            <v>40</v>
          </cell>
          <cell r="CS82">
            <v>1169</v>
          </cell>
          <cell r="CU82">
            <v>1310</v>
          </cell>
          <cell r="CW82">
            <v>51.371951219512198</v>
          </cell>
          <cell r="CX82">
            <v>517.99</v>
          </cell>
          <cell r="CZ82">
            <v>325.83</v>
          </cell>
          <cell r="DA82">
            <v>2752</v>
          </cell>
          <cell r="DB82">
            <v>17.489999999999998</v>
          </cell>
          <cell r="DC82">
            <v>289.3</v>
          </cell>
          <cell r="DD82">
            <v>105.25</v>
          </cell>
        </row>
        <row r="83">
          <cell r="A83">
            <v>38796</v>
          </cell>
          <cell r="C83">
            <v>120.7</v>
          </cell>
          <cell r="D83" t="str">
            <v>#N/A N/A</v>
          </cell>
          <cell r="E83" t="str">
            <v>#N/A N/A</v>
          </cell>
          <cell r="L83">
            <v>1346.69</v>
          </cell>
          <cell r="M83">
            <v>2314.11</v>
          </cell>
          <cell r="N83">
            <v>5991.7</v>
          </cell>
          <cell r="O83">
            <v>3858</v>
          </cell>
          <cell r="Q83">
            <v>525</v>
          </cell>
          <cell r="R83">
            <v>218.25</v>
          </cell>
          <cell r="S83">
            <v>350.25</v>
          </cell>
          <cell r="T83">
            <v>572.5</v>
          </cell>
          <cell r="U83">
            <v>16624.8</v>
          </cell>
          <cell r="V83">
            <v>15929.95</v>
          </cell>
          <cell r="W83">
            <v>6516.52</v>
          </cell>
          <cell r="X83">
            <v>59.95</v>
          </cell>
          <cell r="Y83">
            <v>950</v>
          </cell>
          <cell r="Z83">
            <v>1080</v>
          </cell>
          <cell r="AA83">
            <v>10941.11</v>
          </cell>
          <cell r="AB83">
            <v>4961.6000000000004</v>
          </cell>
          <cell r="AC83">
            <v>38203.531300000002</v>
          </cell>
          <cell r="AE83">
            <v>75.599999999999994</v>
          </cell>
          <cell r="AF83">
            <v>625.91999999999996</v>
          </cell>
          <cell r="AG83">
            <v>2493</v>
          </cell>
          <cell r="AH83">
            <v>810</v>
          </cell>
          <cell r="AI83">
            <v>1340</v>
          </cell>
          <cell r="AJ83">
            <v>655.91</v>
          </cell>
          <cell r="AL83">
            <v>1305.08</v>
          </cell>
          <cell r="AP83">
            <v>1288.4179999999999</v>
          </cell>
          <cell r="AV83">
            <v>46.45</v>
          </cell>
          <cell r="AZ83">
            <v>236.9</v>
          </cell>
          <cell r="BE83">
            <v>14724</v>
          </cell>
          <cell r="BG83">
            <v>51</v>
          </cell>
          <cell r="BH83">
            <v>252.48</v>
          </cell>
          <cell r="BY83">
            <v>498.21</v>
          </cell>
          <cell r="CD83">
            <v>330.86</v>
          </cell>
          <cell r="CE83">
            <v>328.32900000000001</v>
          </cell>
          <cell r="CF83">
            <v>307.57</v>
          </cell>
          <cell r="CG83">
            <v>1080</v>
          </cell>
          <cell r="CH83">
            <v>905</v>
          </cell>
          <cell r="CI83" t="str">
            <v>#N/A N/A</v>
          </cell>
          <cell r="CJ83">
            <v>515</v>
          </cell>
          <cell r="CK83">
            <v>1228</v>
          </cell>
          <cell r="CM83">
            <v>187.48</v>
          </cell>
          <cell r="CN83">
            <v>23.97</v>
          </cell>
          <cell r="CO83" t="str">
            <v>#N/A N/A</v>
          </cell>
          <cell r="CQ83">
            <v>7.03</v>
          </cell>
          <cell r="CR83">
            <v>40</v>
          </cell>
          <cell r="CS83">
            <v>1167.5</v>
          </cell>
          <cell r="CU83">
            <v>1310</v>
          </cell>
          <cell r="CW83">
            <v>51.371951219512198</v>
          </cell>
          <cell r="CX83">
            <v>516.71500000000003</v>
          </cell>
          <cell r="CZ83">
            <v>320.64</v>
          </cell>
          <cell r="DA83">
            <v>2734.4</v>
          </cell>
          <cell r="DB83">
            <v>17.55</v>
          </cell>
          <cell r="DC83">
            <v>289.3</v>
          </cell>
          <cell r="DD83">
            <v>105.7</v>
          </cell>
        </row>
        <row r="84">
          <cell r="A84">
            <v>38797</v>
          </cell>
          <cell r="C84">
            <v>120.7</v>
          </cell>
          <cell r="D84" t="str">
            <v>#N/A N/A</v>
          </cell>
          <cell r="E84" t="str">
            <v>#N/A N/A</v>
          </cell>
          <cell r="L84">
            <v>1336.65</v>
          </cell>
          <cell r="M84">
            <v>2294.23</v>
          </cell>
          <cell r="N84">
            <v>5991.3</v>
          </cell>
          <cell r="O84">
            <v>3854</v>
          </cell>
          <cell r="Q84">
            <v>525</v>
          </cell>
          <cell r="R84">
            <v>223.5</v>
          </cell>
          <cell r="S84">
            <v>352.5</v>
          </cell>
          <cell r="T84">
            <v>575.25</v>
          </cell>
          <cell r="U84">
            <v>16624.8</v>
          </cell>
          <cell r="V84">
            <v>15922.75</v>
          </cell>
          <cell r="W84">
            <v>6458.03</v>
          </cell>
          <cell r="X84">
            <v>58</v>
          </cell>
          <cell r="Y84">
            <v>950</v>
          </cell>
          <cell r="Z84">
            <v>1080</v>
          </cell>
          <cell r="AA84">
            <v>10905.2</v>
          </cell>
          <cell r="AB84">
            <v>4952.7</v>
          </cell>
          <cell r="AC84">
            <v>37398.011700000003</v>
          </cell>
          <cell r="AE84">
            <v>73.900000000000006</v>
          </cell>
          <cell r="AF84">
            <v>629.92999999999995</v>
          </cell>
          <cell r="AG84">
            <v>2511</v>
          </cell>
          <cell r="AH84">
            <v>810</v>
          </cell>
          <cell r="AI84">
            <v>1340</v>
          </cell>
          <cell r="AJ84">
            <v>657.99</v>
          </cell>
          <cell r="AL84">
            <v>1297.23</v>
          </cell>
          <cell r="AP84">
            <v>1290.395</v>
          </cell>
          <cell r="AV84">
            <v>45.45</v>
          </cell>
          <cell r="AZ84">
            <v>236.9</v>
          </cell>
          <cell r="BE84">
            <v>14688</v>
          </cell>
          <cell r="BG84">
            <v>51</v>
          </cell>
          <cell r="BH84">
            <v>251.08</v>
          </cell>
          <cell r="BY84">
            <v>497.22</v>
          </cell>
          <cell r="CD84">
            <v>328.8</v>
          </cell>
          <cell r="CE84">
            <v>326.39600000000002</v>
          </cell>
          <cell r="CF84">
            <v>305.87</v>
          </cell>
          <cell r="CG84">
            <v>1080</v>
          </cell>
          <cell r="CH84">
            <v>905</v>
          </cell>
          <cell r="CI84" t="str">
            <v>#N/A N/A</v>
          </cell>
          <cell r="CJ84">
            <v>515</v>
          </cell>
          <cell r="CK84">
            <v>1223</v>
          </cell>
          <cell r="CM84">
            <v>189.75</v>
          </cell>
          <cell r="CN84">
            <v>24.03</v>
          </cell>
          <cell r="CO84" t="str">
            <v>#N/A N/A</v>
          </cell>
          <cell r="CQ84">
            <v>6.83</v>
          </cell>
          <cell r="CR84">
            <v>40</v>
          </cell>
          <cell r="CS84">
            <v>1171.75</v>
          </cell>
          <cell r="CU84">
            <v>1310</v>
          </cell>
          <cell r="CW84">
            <v>50.990853658536587</v>
          </cell>
          <cell r="CX84">
            <v>513.74</v>
          </cell>
          <cell r="CZ84">
            <v>322.77</v>
          </cell>
          <cell r="DA84">
            <v>2738.1</v>
          </cell>
          <cell r="DB84">
            <v>17.77</v>
          </cell>
          <cell r="DC84">
            <v>289.3</v>
          </cell>
          <cell r="DD84">
            <v>106.95</v>
          </cell>
        </row>
        <row r="85">
          <cell r="A85">
            <v>38798</v>
          </cell>
          <cell r="C85">
            <v>120.7</v>
          </cell>
          <cell r="D85" t="str">
            <v>#N/A N/A</v>
          </cell>
          <cell r="E85" t="str">
            <v>#N/A N/A</v>
          </cell>
          <cell r="L85">
            <v>1309.83</v>
          </cell>
          <cell r="M85">
            <v>2303.35</v>
          </cell>
          <cell r="N85">
            <v>6007.5</v>
          </cell>
          <cell r="O85">
            <v>3846</v>
          </cell>
          <cell r="Q85">
            <v>525</v>
          </cell>
          <cell r="R85">
            <v>222.5</v>
          </cell>
          <cell r="S85">
            <v>349.25</v>
          </cell>
          <cell r="T85">
            <v>577</v>
          </cell>
          <cell r="U85">
            <v>16495.48</v>
          </cell>
          <cell r="V85">
            <v>15642.81</v>
          </cell>
          <cell r="W85">
            <v>6391.26</v>
          </cell>
          <cell r="X85">
            <v>59.25</v>
          </cell>
          <cell r="Y85">
            <v>950</v>
          </cell>
          <cell r="Z85">
            <v>1080</v>
          </cell>
          <cell r="AA85">
            <v>10841.35</v>
          </cell>
          <cell r="AB85">
            <v>4974.8</v>
          </cell>
          <cell r="AC85">
            <v>37850.589800000002</v>
          </cell>
          <cell r="AE85">
            <v>75.75</v>
          </cell>
          <cell r="AF85">
            <v>629.92999999999995</v>
          </cell>
          <cell r="AG85">
            <v>2526</v>
          </cell>
          <cell r="AH85">
            <v>810</v>
          </cell>
          <cell r="AI85">
            <v>1340</v>
          </cell>
          <cell r="AJ85">
            <v>645.47</v>
          </cell>
          <cell r="AL85">
            <v>1305.04</v>
          </cell>
          <cell r="AP85">
            <v>1296.7059999999999</v>
          </cell>
          <cell r="AV85">
            <v>45.13</v>
          </cell>
          <cell r="AZ85">
            <v>238.6</v>
          </cell>
          <cell r="BE85">
            <v>14795</v>
          </cell>
          <cell r="BG85">
            <v>51</v>
          </cell>
          <cell r="BH85">
            <v>253.78</v>
          </cell>
          <cell r="BY85">
            <v>497.59</v>
          </cell>
          <cell r="CD85">
            <v>329.79</v>
          </cell>
          <cell r="CE85">
            <v>327.63499999999999</v>
          </cell>
          <cell r="CF85">
            <v>300.74</v>
          </cell>
          <cell r="CG85">
            <v>1080</v>
          </cell>
          <cell r="CH85">
            <v>905</v>
          </cell>
          <cell r="CI85" t="str">
            <v>#N/A N/A</v>
          </cell>
          <cell r="CJ85">
            <v>515</v>
          </cell>
          <cell r="CK85">
            <v>1237</v>
          </cell>
          <cell r="CM85">
            <v>184.8</v>
          </cell>
          <cell r="CN85">
            <v>24.23</v>
          </cell>
          <cell r="CO85" t="str">
            <v>#N/A N/A</v>
          </cell>
          <cell r="CQ85">
            <v>7.06</v>
          </cell>
          <cell r="CR85">
            <v>40.25</v>
          </cell>
          <cell r="CS85">
            <v>1173</v>
          </cell>
          <cell r="CU85">
            <v>1310</v>
          </cell>
          <cell r="CW85">
            <v>50.990853658536587</v>
          </cell>
          <cell r="CX85">
            <v>525.6105</v>
          </cell>
          <cell r="CZ85">
            <v>320.27</v>
          </cell>
          <cell r="DA85">
            <v>2734</v>
          </cell>
          <cell r="DB85">
            <v>17.82</v>
          </cell>
          <cell r="DC85">
            <v>289.3</v>
          </cell>
          <cell r="DD85">
            <v>104.15</v>
          </cell>
        </row>
        <row r="86">
          <cell r="A86">
            <v>38799</v>
          </cell>
          <cell r="C86">
            <v>120.7</v>
          </cell>
          <cell r="D86" t="str">
            <v>#N/A N/A</v>
          </cell>
          <cell r="E86" t="str">
            <v>#N/A N/A</v>
          </cell>
          <cell r="L86">
            <v>1312.26</v>
          </cell>
          <cell r="M86">
            <v>2300.15</v>
          </cell>
          <cell r="N86">
            <v>5990.1</v>
          </cell>
          <cell r="O86">
            <v>3840</v>
          </cell>
          <cell r="Q86">
            <v>525</v>
          </cell>
          <cell r="R86">
            <v>219.25</v>
          </cell>
          <cell r="S86">
            <v>344</v>
          </cell>
          <cell r="T86">
            <v>574.75</v>
          </cell>
          <cell r="U86">
            <v>16489.37</v>
          </cell>
          <cell r="V86">
            <v>15771.17</v>
          </cell>
          <cell r="W86">
            <v>6364.6</v>
          </cell>
          <cell r="X86">
            <v>58.95</v>
          </cell>
          <cell r="Y86">
            <v>950</v>
          </cell>
          <cell r="Z86">
            <v>1080</v>
          </cell>
          <cell r="AA86">
            <v>10840.59</v>
          </cell>
          <cell r="AB86">
            <v>4995.6000000000004</v>
          </cell>
          <cell r="AC86">
            <v>37473.851600000002</v>
          </cell>
          <cell r="AE86">
            <v>75.45</v>
          </cell>
          <cell r="AF86">
            <v>629.92999999999995</v>
          </cell>
          <cell r="AG86">
            <v>2550</v>
          </cell>
          <cell r="AH86">
            <v>810</v>
          </cell>
          <cell r="AI86">
            <v>1340</v>
          </cell>
          <cell r="AJ86">
            <v>645.25</v>
          </cell>
          <cell r="AL86">
            <v>1301.67</v>
          </cell>
          <cell r="AP86">
            <v>1302.4570000000001</v>
          </cell>
          <cell r="AV86">
            <v>44.69</v>
          </cell>
          <cell r="AZ86">
            <v>237.6</v>
          </cell>
          <cell r="BE86">
            <v>15290</v>
          </cell>
          <cell r="BG86">
            <v>51</v>
          </cell>
          <cell r="BH86">
            <v>260.57</v>
          </cell>
          <cell r="BY86">
            <v>499.92</v>
          </cell>
          <cell r="CD86">
            <v>328.21</v>
          </cell>
          <cell r="CE86">
            <v>325.88799999999998</v>
          </cell>
          <cell r="CF86">
            <v>301.38</v>
          </cell>
          <cell r="CG86">
            <v>1080</v>
          </cell>
          <cell r="CH86">
            <v>905</v>
          </cell>
          <cell r="CI86" t="str">
            <v>#N/A N/A</v>
          </cell>
          <cell r="CJ86">
            <v>515</v>
          </cell>
          <cell r="CK86">
            <v>1207</v>
          </cell>
          <cell r="CM86">
            <v>191.5</v>
          </cell>
          <cell r="CN86">
            <v>24.1</v>
          </cell>
          <cell r="CO86" t="str">
            <v>#N/A N/A</v>
          </cell>
          <cell r="CQ86">
            <v>7.16</v>
          </cell>
          <cell r="CR86">
            <v>40.25</v>
          </cell>
          <cell r="CS86">
            <v>1223.75</v>
          </cell>
          <cell r="CU86">
            <v>1310</v>
          </cell>
          <cell r="CW86">
            <v>50.685975609756099</v>
          </cell>
          <cell r="CX86">
            <v>521.21699999999998</v>
          </cell>
          <cell r="CZ86">
            <v>325.94</v>
          </cell>
          <cell r="DA86">
            <v>2806.2</v>
          </cell>
          <cell r="DB86">
            <v>17.649999999999999</v>
          </cell>
          <cell r="DC86">
            <v>289.3</v>
          </cell>
          <cell r="DD86">
            <v>104.9</v>
          </cell>
        </row>
        <row r="87">
          <cell r="A87">
            <v>38800</v>
          </cell>
          <cell r="C87">
            <v>120.7</v>
          </cell>
          <cell r="D87" t="str">
            <v>#N/A N/A</v>
          </cell>
          <cell r="E87" t="str">
            <v>#N/A N/A</v>
          </cell>
          <cell r="L87">
            <v>1321.23</v>
          </cell>
          <cell r="M87">
            <v>2312.8200000000002</v>
          </cell>
          <cell r="N87">
            <v>6036.3</v>
          </cell>
          <cell r="O87">
            <v>3856</v>
          </cell>
          <cell r="Q87">
            <v>525</v>
          </cell>
          <cell r="R87">
            <v>218.75</v>
          </cell>
          <cell r="S87">
            <v>342.5</v>
          </cell>
          <cell r="T87">
            <v>573.75</v>
          </cell>
          <cell r="U87">
            <v>16560.87</v>
          </cell>
          <cell r="V87">
            <v>15716.46</v>
          </cell>
          <cell r="W87">
            <v>6376.62</v>
          </cell>
          <cell r="X87">
            <v>59.85</v>
          </cell>
          <cell r="Y87">
            <v>940</v>
          </cell>
          <cell r="Z87">
            <v>1085</v>
          </cell>
          <cell r="AA87">
            <v>10950.3</v>
          </cell>
          <cell r="AB87">
            <v>5001.6000000000004</v>
          </cell>
          <cell r="AC87">
            <v>37577.050799999997</v>
          </cell>
          <cell r="AE87">
            <v>76.5</v>
          </cell>
          <cell r="AF87">
            <v>629.92999999999995</v>
          </cell>
          <cell r="AG87">
            <v>2565</v>
          </cell>
          <cell r="AH87">
            <v>790</v>
          </cell>
          <cell r="AI87">
            <v>1330</v>
          </cell>
          <cell r="AJ87">
            <v>644.57000000000005</v>
          </cell>
          <cell r="AL87">
            <v>1302.95</v>
          </cell>
          <cell r="AP87">
            <v>1294.704</v>
          </cell>
          <cell r="AV87">
            <v>44.95</v>
          </cell>
          <cell r="AZ87">
            <v>240.6</v>
          </cell>
          <cell r="BE87">
            <v>15152</v>
          </cell>
          <cell r="BG87">
            <v>51.3</v>
          </cell>
          <cell r="BH87">
            <v>263.57</v>
          </cell>
          <cell r="BY87">
            <v>504.84</v>
          </cell>
          <cell r="CD87">
            <v>329.48</v>
          </cell>
          <cell r="CE87">
            <v>327.19499999999999</v>
          </cell>
          <cell r="CF87">
            <v>302.45</v>
          </cell>
          <cell r="CG87">
            <v>1085</v>
          </cell>
          <cell r="CH87">
            <v>905</v>
          </cell>
          <cell r="CI87" t="str">
            <v>#N/A N/A</v>
          </cell>
          <cell r="CJ87">
            <v>515</v>
          </cell>
          <cell r="CK87">
            <v>1181</v>
          </cell>
          <cell r="CM87">
            <v>195.75</v>
          </cell>
          <cell r="CN87">
            <v>24.05</v>
          </cell>
          <cell r="CO87" t="str">
            <v>#N/A N/A</v>
          </cell>
          <cell r="CQ87">
            <v>7.41</v>
          </cell>
          <cell r="CR87">
            <v>40.25</v>
          </cell>
          <cell r="CS87">
            <v>1242.5</v>
          </cell>
          <cell r="CU87">
            <v>1310</v>
          </cell>
          <cell r="CW87">
            <v>50.990853658536587</v>
          </cell>
          <cell r="CX87">
            <v>523.69650000000001</v>
          </cell>
          <cell r="CZ87">
            <v>326.98</v>
          </cell>
          <cell r="DA87">
            <v>2812.9</v>
          </cell>
          <cell r="DB87">
            <v>17.96</v>
          </cell>
          <cell r="DC87">
            <v>289.3</v>
          </cell>
          <cell r="DD87">
            <v>105.3</v>
          </cell>
        </row>
        <row r="88">
          <cell r="A88">
            <v>38801</v>
          </cell>
          <cell r="C88">
            <v>120.7</v>
          </cell>
          <cell r="D88" t="str">
            <v>#N/A N/A</v>
          </cell>
          <cell r="E88" t="str">
            <v>#N/A N/A</v>
          </cell>
          <cell r="L88">
            <v>1321.23</v>
          </cell>
          <cell r="M88">
            <v>2312.8200000000002</v>
          </cell>
          <cell r="N88">
            <v>6036.3</v>
          </cell>
          <cell r="O88">
            <v>3856</v>
          </cell>
          <cell r="Q88">
            <v>525</v>
          </cell>
          <cell r="R88">
            <v>218.75</v>
          </cell>
          <cell r="S88">
            <v>342.5</v>
          </cell>
          <cell r="T88">
            <v>573.75</v>
          </cell>
          <cell r="U88">
            <v>16560.87</v>
          </cell>
          <cell r="V88">
            <v>15716.46</v>
          </cell>
          <cell r="W88">
            <v>6376.62</v>
          </cell>
          <cell r="X88">
            <v>59.85</v>
          </cell>
          <cell r="Y88">
            <v>940</v>
          </cell>
          <cell r="Z88">
            <v>1085</v>
          </cell>
          <cell r="AA88">
            <v>10950.3</v>
          </cell>
          <cell r="AB88">
            <v>5001.6000000000004</v>
          </cell>
          <cell r="AC88">
            <v>37577.050799999997</v>
          </cell>
          <cell r="AE88">
            <v>76.5</v>
          </cell>
          <cell r="AF88">
            <v>629.92999999999995</v>
          </cell>
          <cell r="AG88">
            <v>2565</v>
          </cell>
          <cell r="AH88">
            <v>790</v>
          </cell>
          <cell r="AI88">
            <v>1330</v>
          </cell>
          <cell r="AJ88">
            <v>644.57000000000005</v>
          </cell>
          <cell r="AL88">
            <v>1302.95</v>
          </cell>
          <cell r="AP88">
            <v>1294.704</v>
          </cell>
          <cell r="AV88">
            <v>44.95</v>
          </cell>
          <cell r="AZ88">
            <v>240.6</v>
          </cell>
          <cell r="BE88">
            <v>15152</v>
          </cell>
          <cell r="BG88">
            <v>51.3</v>
          </cell>
          <cell r="BH88">
            <v>263.57</v>
          </cell>
          <cell r="BY88">
            <v>504.84</v>
          </cell>
          <cell r="CD88">
            <v>329.48</v>
          </cell>
          <cell r="CE88">
            <v>327.19499999999999</v>
          </cell>
          <cell r="CF88">
            <v>302.45</v>
          </cell>
          <cell r="CG88">
            <v>1085</v>
          </cell>
          <cell r="CH88">
            <v>905</v>
          </cell>
          <cell r="CI88" t="str">
            <v>#N/A N/A</v>
          </cell>
          <cell r="CJ88">
            <v>515</v>
          </cell>
          <cell r="CK88">
            <v>1181</v>
          </cell>
          <cell r="CM88">
            <v>195.75</v>
          </cell>
          <cell r="CN88">
            <v>24.05</v>
          </cell>
          <cell r="CO88" t="str">
            <v>#N/A N/A</v>
          </cell>
          <cell r="CQ88">
            <v>7.41</v>
          </cell>
          <cell r="CR88">
            <v>40.25</v>
          </cell>
          <cell r="CS88">
            <v>1242.5</v>
          </cell>
          <cell r="CU88">
            <v>1310</v>
          </cell>
          <cell r="CW88">
            <v>50.990853658536587</v>
          </cell>
          <cell r="CX88">
            <v>523.69650000000001</v>
          </cell>
          <cell r="CZ88">
            <v>326.98</v>
          </cell>
          <cell r="DA88">
            <v>2812.9</v>
          </cell>
          <cell r="DB88">
            <v>17.96</v>
          </cell>
          <cell r="DC88">
            <v>289.3</v>
          </cell>
          <cell r="DD88">
            <v>105.3</v>
          </cell>
        </row>
        <row r="89">
          <cell r="A89">
            <v>38802</v>
          </cell>
          <cell r="C89">
            <v>120.7</v>
          </cell>
          <cell r="D89" t="str">
            <v>#N/A N/A</v>
          </cell>
          <cell r="E89" t="str">
            <v>#N/A N/A</v>
          </cell>
          <cell r="L89">
            <v>1321.23</v>
          </cell>
          <cell r="M89">
            <v>2312.8200000000002</v>
          </cell>
          <cell r="N89">
            <v>6036.3</v>
          </cell>
          <cell r="O89">
            <v>3856</v>
          </cell>
          <cell r="Q89">
            <v>525</v>
          </cell>
          <cell r="R89">
            <v>218.75</v>
          </cell>
          <cell r="S89">
            <v>342.5</v>
          </cell>
          <cell r="T89">
            <v>573.75</v>
          </cell>
          <cell r="U89">
            <v>16560.87</v>
          </cell>
          <cell r="V89">
            <v>15716.46</v>
          </cell>
          <cell r="W89">
            <v>6376.62</v>
          </cell>
          <cell r="X89">
            <v>59.85</v>
          </cell>
          <cell r="Y89">
            <v>940</v>
          </cell>
          <cell r="Z89">
            <v>1085</v>
          </cell>
          <cell r="AA89">
            <v>10950.3</v>
          </cell>
          <cell r="AB89">
            <v>5001.6000000000004</v>
          </cell>
          <cell r="AC89">
            <v>37577.050799999997</v>
          </cell>
          <cell r="AE89">
            <v>76.5</v>
          </cell>
          <cell r="AF89">
            <v>629.92999999999995</v>
          </cell>
          <cell r="AG89">
            <v>2565</v>
          </cell>
          <cell r="AH89">
            <v>790</v>
          </cell>
          <cell r="AI89">
            <v>1330</v>
          </cell>
          <cell r="AJ89">
            <v>644.57000000000005</v>
          </cell>
          <cell r="AL89">
            <v>1302.95</v>
          </cell>
          <cell r="AP89">
            <v>1294.704</v>
          </cell>
          <cell r="AV89">
            <v>44.95</v>
          </cell>
          <cell r="AZ89">
            <v>240.6</v>
          </cell>
          <cell r="BE89">
            <v>15152</v>
          </cell>
          <cell r="BG89">
            <v>51.3</v>
          </cell>
          <cell r="BH89">
            <v>263.57</v>
          </cell>
          <cell r="BY89">
            <v>504.84</v>
          </cell>
          <cell r="CD89">
            <v>329.48</v>
          </cell>
          <cell r="CE89">
            <v>327.19499999999999</v>
          </cell>
          <cell r="CF89">
            <v>302.45</v>
          </cell>
          <cell r="CG89">
            <v>1085</v>
          </cell>
          <cell r="CH89">
            <v>905</v>
          </cell>
          <cell r="CI89" t="str">
            <v>#N/A N/A</v>
          </cell>
          <cell r="CJ89">
            <v>515</v>
          </cell>
          <cell r="CK89">
            <v>1181</v>
          </cell>
          <cell r="CM89">
            <v>195.75</v>
          </cell>
          <cell r="CN89">
            <v>24.05</v>
          </cell>
          <cell r="CO89" t="str">
            <v>#N/A N/A</v>
          </cell>
          <cell r="CQ89">
            <v>7.41</v>
          </cell>
          <cell r="CR89">
            <v>40.25</v>
          </cell>
          <cell r="CS89">
            <v>1242.5</v>
          </cell>
          <cell r="CU89">
            <v>1310</v>
          </cell>
          <cell r="CW89">
            <v>50.990853658536587</v>
          </cell>
          <cell r="CX89">
            <v>523.69650000000001</v>
          </cell>
          <cell r="CZ89">
            <v>326.98</v>
          </cell>
          <cell r="DA89">
            <v>2812.9</v>
          </cell>
          <cell r="DB89">
            <v>17.96</v>
          </cell>
          <cell r="DC89">
            <v>289.3</v>
          </cell>
          <cell r="DD89">
            <v>105.3</v>
          </cell>
        </row>
        <row r="90">
          <cell r="A90">
            <v>38803</v>
          </cell>
          <cell r="C90">
            <v>120.7</v>
          </cell>
          <cell r="D90" t="str">
            <v>#N/A N/A</v>
          </cell>
          <cell r="E90" t="str">
            <v>#N/A N/A</v>
          </cell>
          <cell r="L90">
            <v>1330.34</v>
          </cell>
          <cell r="M90">
            <v>2315.58</v>
          </cell>
          <cell r="N90">
            <v>5972.2</v>
          </cell>
          <cell r="O90">
            <v>3914</v>
          </cell>
          <cell r="Q90">
            <v>525</v>
          </cell>
          <cell r="R90">
            <v>221.75</v>
          </cell>
          <cell r="S90">
            <v>339.75</v>
          </cell>
          <cell r="T90">
            <v>579.5</v>
          </cell>
          <cell r="U90">
            <v>16650.099999999999</v>
          </cell>
          <cell r="V90">
            <v>15815.87</v>
          </cell>
          <cell r="W90">
            <v>6421.85</v>
          </cell>
          <cell r="X90">
            <v>60.45</v>
          </cell>
          <cell r="Y90">
            <v>940</v>
          </cell>
          <cell r="Z90">
            <v>1085</v>
          </cell>
          <cell r="AA90">
            <v>11079.02</v>
          </cell>
          <cell r="AB90">
            <v>5045.1000000000004</v>
          </cell>
          <cell r="AC90">
            <v>37641.058599999997</v>
          </cell>
          <cell r="AE90">
            <v>75.599999999999994</v>
          </cell>
          <cell r="AF90">
            <v>629.92999999999995</v>
          </cell>
          <cell r="AG90">
            <v>2569</v>
          </cell>
          <cell r="AH90">
            <v>790</v>
          </cell>
          <cell r="AI90">
            <v>1330</v>
          </cell>
          <cell r="AJ90">
            <v>644.87</v>
          </cell>
          <cell r="AL90">
            <v>1301.6099999999999</v>
          </cell>
          <cell r="AP90">
            <v>1295.915</v>
          </cell>
          <cell r="AV90">
            <v>45.59</v>
          </cell>
          <cell r="AZ90">
            <v>242.4</v>
          </cell>
          <cell r="BE90">
            <v>15217</v>
          </cell>
          <cell r="BG90">
            <v>51.3</v>
          </cell>
          <cell r="BH90">
            <v>266.5</v>
          </cell>
          <cell r="BY90">
            <v>503.82</v>
          </cell>
          <cell r="CD90">
            <v>329.22</v>
          </cell>
          <cell r="CE90">
            <v>326.79199999999997</v>
          </cell>
          <cell r="CF90">
            <v>305.5</v>
          </cell>
          <cell r="CG90">
            <v>1085</v>
          </cell>
          <cell r="CH90">
            <v>905</v>
          </cell>
          <cell r="CI90" t="str">
            <v>#N/A N/A</v>
          </cell>
          <cell r="CJ90">
            <v>510</v>
          </cell>
          <cell r="CK90">
            <v>1156</v>
          </cell>
          <cell r="CM90">
            <v>197.2</v>
          </cell>
          <cell r="CN90">
            <v>24.17</v>
          </cell>
          <cell r="CO90" t="str">
            <v>#N/A N/A</v>
          </cell>
          <cell r="CQ90">
            <v>7.04</v>
          </cell>
          <cell r="CR90">
            <v>40.25</v>
          </cell>
          <cell r="CS90">
            <v>1242</v>
          </cell>
          <cell r="CU90">
            <v>1310</v>
          </cell>
          <cell r="CW90">
            <v>51.143292682926834</v>
          </cell>
          <cell r="CX90">
            <v>522.60900000000004</v>
          </cell>
          <cell r="CZ90">
            <v>327.71</v>
          </cell>
          <cell r="DA90">
            <v>2839.4</v>
          </cell>
          <cell r="DB90">
            <v>18.36</v>
          </cell>
          <cell r="DC90">
            <v>289.3</v>
          </cell>
          <cell r="DD90">
            <v>105.95</v>
          </cell>
        </row>
        <row r="91">
          <cell r="A91">
            <v>38804</v>
          </cell>
          <cell r="C91">
            <v>120.7</v>
          </cell>
          <cell r="D91" t="str">
            <v>#N/A N/A</v>
          </cell>
          <cell r="E91" t="str">
            <v>#N/A N/A</v>
          </cell>
          <cell r="L91">
            <v>1331.31</v>
          </cell>
          <cell r="M91">
            <v>2304.46</v>
          </cell>
          <cell r="N91">
            <v>5935.7</v>
          </cell>
          <cell r="O91">
            <v>3914</v>
          </cell>
          <cell r="Q91">
            <v>525</v>
          </cell>
          <cell r="R91">
            <v>222.25</v>
          </cell>
          <cell r="S91">
            <v>341.25</v>
          </cell>
          <cell r="T91">
            <v>581.5</v>
          </cell>
          <cell r="U91">
            <v>16690.240000000002</v>
          </cell>
          <cell r="V91">
            <v>15856.58</v>
          </cell>
          <cell r="W91">
            <v>6453.85</v>
          </cell>
          <cell r="X91">
            <v>60.15</v>
          </cell>
          <cell r="Y91">
            <v>940</v>
          </cell>
          <cell r="Z91">
            <v>1085</v>
          </cell>
          <cell r="AA91">
            <v>11086.03</v>
          </cell>
          <cell r="AB91">
            <v>5044.8</v>
          </cell>
          <cell r="AC91">
            <v>36682.210899999998</v>
          </cell>
          <cell r="AE91">
            <v>75.75</v>
          </cell>
          <cell r="AF91">
            <v>630.21</v>
          </cell>
          <cell r="AG91">
            <v>2533</v>
          </cell>
          <cell r="AH91">
            <v>790</v>
          </cell>
          <cell r="AI91">
            <v>1330</v>
          </cell>
          <cell r="AJ91">
            <v>637.41</v>
          </cell>
          <cell r="AL91">
            <v>1293.23</v>
          </cell>
          <cell r="AP91">
            <v>1298.7909999999999</v>
          </cell>
          <cell r="AV91">
            <v>45.02</v>
          </cell>
          <cell r="AZ91">
            <v>247</v>
          </cell>
          <cell r="BE91">
            <v>15097</v>
          </cell>
          <cell r="BG91">
            <v>51.3</v>
          </cell>
          <cell r="BH91">
            <v>264.95</v>
          </cell>
          <cell r="BY91">
            <v>493.51</v>
          </cell>
          <cell r="CD91">
            <v>327.86</v>
          </cell>
          <cell r="CE91">
            <v>325.54899999999998</v>
          </cell>
          <cell r="CF91">
            <v>306.12</v>
          </cell>
          <cell r="CG91">
            <v>1085</v>
          </cell>
          <cell r="CH91">
            <v>905</v>
          </cell>
          <cell r="CI91" t="str">
            <v>#N/A N/A</v>
          </cell>
          <cell r="CJ91">
            <v>510</v>
          </cell>
          <cell r="CK91">
            <v>1129</v>
          </cell>
          <cell r="CM91">
            <v>203.85</v>
          </cell>
          <cell r="CN91">
            <v>24.33</v>
          </cell>
          <cell r="CO91" t="str">
            <v>#N/A N/A</v>
          </cell>
          <cell r="CQ91">
            <v>7.14</v>
          </cell>
          <cell r="CR91">
            <v>40.25</v>
          </cell>
          <cell r="CS91">
            <v>1229.5</v>
          </cell>
          <cell r="CU91">
            <v>1310</v>
          </cell>
          <cell r="CW91">
            <v>50.990853658536587</v>
          </cell>
          <cell r="CX91">
            <v>525.34950000000003</v>
          </cell>
          <cell r="CZ91">
            <v>331.66</v>
          </cell>
          <cell r="DA91">
            <v>2833.5</v>
          </cell>
          <cell r="DB91">
            <v>19.12</v>
          </cell>
          <cell r="DC91">
            <v>289.3</v>
          </cell>
          <cell r="DD91">
            <v>105.55</v>
          </cell>
        </row>
        <row r="92">
          <cell r="A92">
            <v>38805</v>
          </cell>
          <cell r="C92">
            <v>120.7</v>
          </cell>
          <cell r="D92" t="str">
            <v>#N/A N/A</v>
          </cell>
          <cell r="E92" t="str">
            <v>#N/A N/A</v>
          </cell>
          <cell r="L92">
            <v>1332.72</v>
          </cell>
          <cell r="M92">
            <v>2337.7800000000002</v>
          </cell>
          <cell r="N92">
            <v>5959.2</v>
          </cell>
          <cell r="O92">
            <v>3920</v>
          </cell>
          <cell r="Q92">
            <v>525</v>
          </cell>
          <cell r="R92">
            <v>224.25</v>
          </cell>
          <cell r="S92">
            <v>341.75</v>
          </cell>
          <cell r="T92">
            <v>582.5</v>
          </cell>
          <cell r="U92">
            <v>16938.41</v>
          </cell>
          <cell r="V92">
            <v>15745.11</v>
          </cell>
          <cell r="W92">
            <v>6498.03</v>
          </cell>
          <cell r="X92">
            <v>61.2</v>
          </cell>
          <cell r="Y92">
            <v>940</v>
          </cell>
          <cell r="Z92">
            <v>1085</v>
          </cell>
          <cell r="AA92">
            <v>11183.48</v>
          </cell>
          <cell r="AB92">
            <v>5049.3999999999996</v>
          </cell>
          <cell r="AC92">
            <v>37491.570299999999</v>
          </cell>
          <cell r="AE92">
            <v>77</v>
          </cell>
          <cell r="AF92">
            <v>630.21</v>
          </cell>
          <cell r="AG92">
            <v>2510</v>
          </cell>
          <cell r="AH92">
            <v>790</v>
          </cell>
          <cell r="AI92">
            <v>1330</v>
          </cell>
          <cell r="AJ92">
            <v>640.04999999999995</v>
          </cell>
          <cell r="AL92">
            <v>1302.8900000000001</v>
          </cell>
          <cell r="AP92">
            <v>1305.567</v>
          </cell>
          <cell r="AV92">
            <v>45.84</v>
          </cell>
          <cell r="AZ92">
            <v>247.8</v>
          </cell>
          <cell r="BE92">
            <v>14960</v>
          </cell>
          <cell r="BG92">
            <v>51.3</v>
          </cell>
          <cell r="BH92">
            <v>265.64</v>
          </cell>
          <cell r="BY92">
            <v>505.63</v>
          </cell>
          <cell r="CD92">
            <v>328.69</v>
          </cell>
          <cell r="CE92">
            <v>326.404</v>
          </cell>
          <cell r="CF92">
            <v>306.64999999999998</v>
          </cell>
          <cell r="CG92">
            <v>1085</v>
          </cell>
          <cell r="CH92">
            <v>905</v>
          </cell>
          <cell r="CI92" t="str">
            <v>#N/A N/A</v>
          </cell>
          <cell r="CJ92">
            <v>510</v>
          </cell>
          <cell r="CK92">
            <v>1078</v>
          </cell>
          <cell r="CM92">
            <v>207.55</v>
          </cell>
          <cell r="CN92">
            <v>25.68</v>
          </cell>
          <cell r="CO92" t="str">
            <v>#N/A N/A</v>
          </cell>
          <cell r="CQ92">
            <v>7.15</v>
          </cell>
          <cell r="CR92">
            <v>40.6</v>
          </cell>
          <cell r="CS92">
            <v>1199.5</v>
          </cell>
          <cell r="CU92">
            <v>1310</v>
          </cell>
          <cell r="CW92">
            <v>51.143292682926834</v>
          </cell>
          <cell r="CX92">
            <v>523.30499999999995</v>
          </cell>
          <cell r="CZ92">
            <v>332.92</v>
          </cell>
          <cell r="DA92">
            <v>2824.7</v>
          </cell>
          <cell r="DB92">
            <v>19.18</v>
          </cell>
          <cell r="DC92">
            <v>289.3</v>
          </cell>
          <cell r="DD92">
            <v>104.35</v>
          </cell>
        </row>
        <row r="93">
          <cell r="A93">
            <v>38806</v>
          </cell>
          <cell r="C93">
            <v>120.7</v>
          </cell>
          <cell r="D93" t="str">
            <v>#N/A N/A</v>
          </cell>
          <cell r="E93" t="str">
            <v>#N/A N/A</v>
          </cell>
          <cell r="L93">
            <v>1338.14</v>
          </cell>
          <cell r="M93">
            <v>2340.8200000000002</v>
          </cell>
          <cell r="N93">
            <v>6015.2</v>
          </cell>
          <cell r="O93">
            <v>3955</v>
          </cell>
          <cell r="Q93">
            <v>525</v>
          </cell>
          <cell r="R93">
            <v>227.75</v>
          </cell>
          <cell r="S93">
            <v>344.5</v>
          </cell>
          <cell r="T93">
            <v>587.75</v>
          </cell>
          <cell r="U93">
            <v>17045.34</v>
          </cell>
          <cell r="V93">
            <v>15880.69</v>
          </cell>
          <cell r="W93">
            <v>6546.06</v>
          </cell>
          <cell r="X93">
            <v>61.3</v>
          </cell>
          <cell r="Y93">
            <v>940</v>
          </cell>
          <cell r="Z93">
            <v>1085</v>
          </cell>
          <cell r="AA93">
            <v>11307.04</v>
          </cell>
          <cell r="AB93">
            <v>5071.6000000000004</v>
          </cell>
          <cell r="AC93">
            <v>37776.761700000003</v>
          </cell>
          <cell r="AE93">
            <v>77.55</v>
          </cell>
          <cell r="AF93">
            <v>630.21</v>
          </cell>
          <cell r="AG93">
            <v>2496</v>
          </cell>
          <cell r="AH93">
            <v>790</v>
          </cell>
          <cell r="AI93">
            <v>1330</v>
          </cell>
          <cell r="AJ93">
            <v>653.04999999999995</v>
          </cell>
          <cell r="AL93">
            <v>1300.25</v>
          </cell>
          <cell r="AP93">
            <v>1294.7180000000001</v>
          </cell>
          <cell r="AV93">
            <v>45.76</v>
          </cell>
          <cell r="AZ93">
            <v>248.7</v>
          </cell>
          <cell r="BE93">
            <v>15362</v>
          </cell>
          <cell r="BG93">
            <v>51.3</v>
          </cell>
          <cell r="BH93">
            <v>269.73</v>
          </cell>
          <cell r="BY93">
            <v>505.51</v>
          </cell>
          <cell r="CD93">
            <v>331.47</v>
          </cell>
          <cell r="CE93">
            <v>329.01</v>
          </cell>
          <cell r="CF93">
            <v>308.87</v>
          </cell>
          <cell r="CG93">
            <v>1085</v>
          </cell>
          <cell r="CH93">
            <v>905</v>
          </cell>
          <cell r="CI93" t="str">
            <v>#N/A N/A</v>
          </cell>
          <cell r="CJ93">
            <v>510</v>
          </cell>
          <cell r="CK93">
            <v>1052</v>
          </cell>
          <cell r="CM93">
            <v>208.05</v>
          </cell>
          <cell r="CN93">
            <v>26.48</v>
          </cell>
          <cell r="CO93" t="str">
            <v>#N/A N/A</v>
          </cell>
          <cell r="CQ93">
            <v>7.16</v>
          </cell>
          <cell r="CR93">
            <v>40.6</v>
          </cell>
          <cell r="CS93">
            <v>1220</v>
          </cell>
          <cell r="CU93">
            <v>1310</v>
          </cell>
          <cell r="CW93">
            <v>50.762195121951223</v>
          </cell>
          <cell r="CX93">
            <v>527.74200000000008</v>
          </cell>
          <cell r="CZ93">
            <v>337.31</v>
          </cell>
          <cell r="DA93">
            <v>2863.5</v>
          </cell>
          <cell r="DB93">
            <v>19.260000000000002</v>
          </cell>
          <cell r="DC93">
            <v>289.3</v>
          </cell>
          <cell r="DD93">
            <v>108.6</v>
          </cell>
        </row>
        <row r="94">
          <cell r="A94">
            <v>38807</v>
          </cell>
          <cell r="C94">
            <v>120.7</v>
          </cell>
          <cell r="D94" t="str">
            <v>#N/A N/A</v>
          </cell>
          <cell r="E94" t="str">
            <v>#N/A N/A</v>
          </cell>
          <cell r="L94">
            <v>1359.6</v>
          </cell>
          <cell r="M94">
            <v>2339.79</v>
          </cell>
          <cell r="N94">
            <v>5964.6</v>
          </cell>
          <cell r="O94">
            <v>3956</v>
          </cell>
          <cell r="Q94">
            <v>525</v>
          </cell>
          <cell r="R94">
            <v>236</v>
          </cell>
          <cell r="S94">
            <v>347.75</v>
          </cell>
          <cell r="T94">
            <v>571.5</v>
          </cell>
          <cell r="U94">
            <v>17059.66</v>
          </cell>
          <cell r="V94">
            <v>15805.04</v>
          </cell>
          <cell r="W94">
            <v>6613.97</v>
          </cell>
          <cell r="X94">
            <v>62.25</v>
          </cell>
          <cell r="Y94">
            <v>930</v>
          </cell>
          <cell r="Z94">
            <v>1100</v>
          </cell>
          <cell r="AA94">
            <v>11279.96</v>
          </cell>
          <cell r="AB94">
            <v>5087.2</v>
          </cell>
          <cell r="AC94">
            <v>37951.968800000002</v>
          </cell>
          <cell r="AE94">
            <v>79.45</v>
          </cell>
          <cell r="AF94">
            <v>630.21</v>
          </cell>
          <cell r="AG94">
            <v>2496</v>
          </cell>
          <cell r="AH94">
            <v>790</v>
          </cell>
          <cell r="AI94">
            <v>1350</v>
          </cell>
          <cell r="AJ94">
            <v>665.21</v>
          </cell>
          <cell r="AL94">
            <v>1294.83</v>
          </cell>
          <cell r="AP94">
            <v>1298.2950000000001</v>
          </cell>
          <cell r="AV94">
            <v>46.65</v>
          </cell>
          <cell r="AZ94">
            <v>250.1</v>
          </cell>
          <cell r="BE94">
            <v>15153</v>
          </cell>
          <cell r="BG94">
            <v>51.3</v>
          </cell>
          <cell r="BH94">
            <v>270.14999999999998</v>
          </cell>
          <cell r="BY94">
            <v>499.65</v>
          </cell>
          <cell r="CD94">
            <v>329.79</v>
          </cell>
          <cell r="CE94">
            <v>327.08499999999998</v>
          </cell>
          <cell r="CF94">
            <v>311.89999999999998</v>
          </cell>
          <cell r="CG94">
            <v>1100</v>
          </cell>
          <cell r="CH94">
            <v>910</v>
          </cell>
          <cell r="CI94" t="str">
            <v>#N/A N/A</v>
          </cell>
          <cell r="CJ94">
            <v>510</v>
          </cell>
          <cell r="CK94">
            <v>1019</v>
          </cell>
          <cell r="CM94">
            <v>206.45</v>
          </cell>
          <cell r="CN94">
            <v>26.78</v>
          </cell>
          <cell r="CO94" t="str">
            <v>#N/A N/A</v>
          </cell>
          <cell r="CQ94">
            <v>6.98</v>
          </cell>
          <cell r="CR94">
            <v>40.6</v>
          </cell>
          <cell r="CS94">
            <v>1175.5</v>
          </cell>
          <cell r="CU94">
            <v>1250</v>
          </cell>
          <cell r="CW94">
            <v>51.371951219512198</v>
          </cell>
          <cell r="CX94">
            <v>528.04650000000004</v>
          </cell>
          <cell r="CZ94">
            <v>333.18</v>
          </cell>
          <cell r="DA94">
            <v>2826</v>
          </cell>
          <cell r="DB94">
            <v>19.02</v>
          </cell>
          <cell r="DC94">
            <v>289.3</v>
          </cell>
          <cell r="DD94">
            <v>107</v>
          </cell>
        </row>
        <row r="95">
          <cell r="A95">
            <v>38808</v>
          </cell>
          <cell r="C95">
            <v>120.7</v>
          </cell>
          <cell r="D95" t="str">
            <v>#N/A N/A</v>
          </cell>
          <cell r="E95" t="str">
            <v>#N/A N/A</v>
          </cell>
          <cell r="L95">
            <v>1359.6</v>
          </cell>
          <cell r="M95">
            <v>2339.79</v>
          </cell>
          <cell r="N95">
            <v>5964.6</v>
          </cell>
          <cell r="O95">
            <v>3956</v>
          </cell>
          <cell r="Q95">
            <v>525</v>
          </cell>
          <cell r="R95">
            <v>236</v>
          </cell>
          <cell r="S95">
            <v>347.75</v>
          </cell>
          <cell r="T95">
            <v>571.5</v>
          </cell>
          <cell r="U95">
            <v>17059.66</v>
          </cell>
          <cell r="V95">
            <v>15805.04</v>
          </cell>
          <cell r="W95">
            <v>6613.97</v>
          </cell>
          <cell r="X95">
            <v>62.25</v>
          </cell>
          <cell r="Y95">
            <v>930</v>
          </cell>
          <cell r="Z95">
            <v>1100</v>
          </cell>
          <cell r="AA95">
            <v>11279.96</v>
          </cell>
          <cell r="AB95">
            <v>5087.2</v>
          </cell>
          <cell r="AC95">
            <v>37951.968800000002</v>
          </cell>
          <cell r="AE95">
            <v>79.45</v>
          </cell>
          <cell r="AF95">
            <v>630.21</v>
          </cell>
          <cell r="AG95">
            <v>2496</v>
          </cell>
          <cell r="AH95">
            <v>790</v>
          </cell>
          <cell r="AI95">
            <v>1350</v>
          </cell>
          <cell r="AJ95">
            <v>665.21</v>
          </cell>
          <cell r="AL95">
            <v>1294.83</v>
          </cell>
          <cell r="AP95">
            <v>1298.2950000000001</v>
          </cell>
          <cell r="AV95">
            <v>46.65</v>
          </cell>
          <cell r="AZ95">
            <v>250.1</v>
          </cell>
          <cell r="BE95">
            <v>15153</v>
          </cell>
          <cell r="BG95">
            <v>51.3</v>
          </cell>
          <cell r="BH95">
            <v>270.14999999999998</v>
          </cell>
          <cell r="BY95">
            <v>499.65</v>
          </cell>
          <cell r="CD95">
            <v>329.79</v>
          </cell>
          <cell r="CE95">
            <v>327.08499999999998</v>
          </cell>
          <cell r="CF95">
            <v>311.89999999999998</v>
          </cell>
          <cell r="CG95">
            <v>1100</v>
          </cell>
          <cell r="CH95">
            <v>910</v>
          </cell>
          <cell r="CI95" t="str">
            <v>#N/A N/A</v>
          </cell>
          <cell r="CJ95">
            <v>510</v>
          </cell>
          <cell r="CK95">
            <v>1019</v>
          </cell>
          <cell r="CM95">
            <v>206.45</v>
          </cell>
          <cell r="CN95">
            <v>26.78</v>
          </cell>
          <cell r="CO95" t="str">
            <v>#N/A N/A</v>
          </cell>
          <cell r="CQ95">
            <v>6.98</v>
          </cell>
          <cell r="CR95">
            <v>40.6</v>
          </cell>
          <cell r="CS95">
            <v>1175.5</v>
          </cell>
          <cell r="CU95">
            <v>1250</v>
          </cell>
          <cell r="CW95">
            <v>51.371951219512198</v>
          </cell>
          <cell r="CX95">
            <v>528.04650000000004</v>
          </cell>
          <cell r="CZ95">
            <v>333.18</v>
          </cell>
          <cell r="DA95">
            <v>2826</v>
          </cell>
          <cell r="DB95">
            <v>19.02</v>
          </cell>
          <cell r="DC95">
            <v>289.3</v>
          </cell>
          <cell r="DD95">
            <v>107</v>
          </cell>
        </row>
        <row r="96">
          <cell r="A96">
            <v>38809</v>
          </cell>
          <cell r="C96">
            <v>120.7</v>
          </cell>
          <cell r="D96" t="str">
            <v>#N/A N/A</v>
          </cell>
          <cell r="E96" t="str">
            <v>#N/A N/A</v>
          </cell>
          <cell r="L96">
            <v>1359.6</v>
          </cell>
          <cell r="M96">
            <v>2339.79</v>
          </cell>
          <cell r="N96">
            <v>5964.6</v>
          </cell>
          <cell r="O96">
            <v>3956</v>
          </cell>
          <cell r="Q96">
            <v>525</v>
          </cell>
          <cell r="R96">
            <v>236</v>
          </cell>
          <cell r="S96">
            <v>347.75</v>
          </cell>
          <cell r="T96">
            <v>571.5</v>
          </cell>
          <cell r="U96">
            <v>17059.66</v>
          </cell>
          <cell r="V96">
            <v>15805.04</v>
          </cell>
          <cell r="W96">
            <v>6613.97</v>
          </cell>
          <cell r="X96">
            <v>62.25</v>
          </cell>
          <cell r="Y96">
            <v>930</v>
          </cell>
          <cell r="Z96">
            <v>1100</v>
          </cell>
          <cell r="AA96">
            <v>11279.96</v>
          </cell>
          <cell r="AB96">
            <v>5087.2</v>
          </cell>
          <cell r="AC96">
            <v>37951.968800000002</v>
          </cell>
          <cell r="AE96">
            <v>79.45</v>
          </cell>
          <cell r="AF96">
            <v>630.21</v>
          </cell>
          <cell r="AG96">
            <v>2496</v>
          </cell>
          <cell r="AH96">
            <v>790</v>
          </cell>
          <cell r="AI96">
            <v>1350</v>
          </cell>
          <cell r="AJ96">
            <v>665.21</v>
          </cell>
          <cell r="AL96">
            <v>1294.83</v>
          </cell>
          <cell r="AP96">
            <v>1298.2950000000001</v>
          </cell>
          <cell r="AV96">
            <v>46.65</v>
          </cell>
          <cell r="AZ96">
            <v>250.1</v>
          </cell>
          <cell r="BE96">
            <v>15153</v>
          </cell>
          <cell r="BG96">
            <v>51.3</v>
          </cell>
          <cell r="BH96">
            <v>270.14999999999998</v>
          </cell>
          <cell r="BY96">
            <v>499.65</v>
          </cell>
          <cell r="CD96">
            <v>329.79</v>
          </cell>
          <cell r="CE96">
            <v>327.08499999999998</v>
          </cell>
          <cell r="CF96">
            <v>311.89999999999998</v>
          </cell>
          <cell r="CG96">
            <v>1100</v>
          </cell>
          <cell r="CH96">
            <v>910</v>
          </cell>
          <cell r="CI96" t="str">
            <v>#N/A N/A</v>
          </cell>
          <cell r="CJ96">
            <v>510</v>
          </cell>
          <cell r="CK96">
            <v>1019</v>
          </cell>
          <cell r="CM96">
            <v>206.45</v>
          </cell>
          <cell r="CN96">
            <v>26.78</v>
          </cell>
          <cell r="CO96" t="str">
            <v>#N/A N/A</v>
          </cell>
          <cell r="CQ96">
            <v>6.98</v>
          </cell>
          <cell r="CR96">
            <v>40.6</v>
          </cell>
          <cell r="CS96">
            <v>1175.5</v>
          </cell>
          <cell r="CU96">
            <v>1250</v>
          </cell>
          <cell r="CW96">
            <v>51.371951219512198</v>
          </cell>
          <cell r="CX96">
            <v>528.04650000000004</v>
          </cell>
          <cell r="CZ96">
            <v>333.18</v>
          </cell>
          <cell r="DA96">
            <v>2826</v>
          </cell>
          <cell r="DB96">
            <v>19.02</v>
          </cell>
          <cell r="DC96">
            <v>289.3</v>
          </cell>
          <cell r="DD96">
            <v>107</v>
          </cell>
        </row>
        <row r="97">
          <cell r="A97">
            <v>38810</v>
          </cell>
          <cell r="C97">
            <v>120.7</v>
          </cell>
          <cell r="D97" t="str">
            <v>#N/A N/A</v>
          </cell>
          <cell r="E97" t="str">
            <v>#N/A N/A</v>
          </cell>
          <cell r="L97">
            <v>1379.75</v>
          </cell>
          <cell r="M97">
            <v>2336.7399999999998</v>
          </cell>
          <cell r="N97">
            <v>6024.3</v>
          </cell>
          <cell r="O97">
            <v>4007</v>
          </cell>
          <cell r="Q97">
            <v>525</v>
          </cell>
          <cell r="R97">
            <v>236.5</v>
          </cell>
          <cell r="S97">
            <v>342</v>
          </cell>
          <cell r="T97">
            <v>565</v>
          </cell>
          <cell r="U97">
            <v>17333.310000000001</v>
          </cell>
          <cell r="V97">
            <v>16063.75</v>
          </cell>
          <cell r="W97">
            <v>6660.76</v>
          </cell>
          <cell r="X97">
            <v>62.55</v>
          </cell>
          <cell r="Y97">
            <v>930</v>
          </cell>
          <cell r="Z97">
            <v>1100</v>
          </cell>
          <cell r="AA97">
            <v>11564.36</v>
          </cell>
          <cell r="AB97">
            <v>5133.1000000000004</v>
          </cell>
          <cell r="AC97">
            <v>38717.070299999999</v>
          </cell>
          <cell r="AE97">
            <v>79.3</v>
          </cell>
          <cell r="AF97">
            <v>630.21</v>
          </cell>
          <cell r="AG97">
            <v>2508</v>
          </cell>
          <cell r="AH97">
            <v>790</v>
          </cell>
          <cell r="AI97">
            <v>1350</v>
          </cell>
          <cell r="AJ97">
            <v>677.28</v>
          </cell>
          <cell r="AL97">
            <v>1297.81</v>
          </cell>
          <cell r="AP97">
            <v>1319.471</v>
          </cell>
          <cell r="AV97">
            <v>47.64</v>
          </cell>
          <cell r="AZ97">
            <v>255.5</v>
          </cell>
          <cell r="BE97">
            <v>15901</v>
          </cell>
          <cell r="BG97">
            <v>51.3</v>
          </cell>
          <cell r="BH97">
            <v>272.55</v>
          </cell>
          <cell r="BY97">
            <v>505.18</v>
          </cell>
          <cell r="CD97">
            <v>332.1</v>
          </cell>
          <cell r="CE97">
            <v>329.11099999999999</v>
          </cell>
          <cell r="CF97">
            <v>316.45999999999998</v>
          </cell>
          <cell r="CG97">
            <v>1100</v>
          </cell>
          <cell r="CH97">
            <v>910</v>
          </cell>
          <cell r="CI97" t="str">
            <v>#N/A N/A</v>
          </cell>
          <cell r="CJ97">
            <v>510</v>
          </cell>
          <cell r="CK97">
            <v>985</v>
          </cell>
          <cell r="CM97">
            <v>205.12</v>
          </cell>
          <cell r="CN97">
            <v>26.87</v>
          </cell>
          <cell r="CO97" t="str">
            <v>#N/A N/A</v>
          </cell>
          <cell r="CQ97">
            <v>7.17</v>
          </cell>
          <cell r="CR97">
            <v>40.6</v>
          </cell>
          <cell r="CS97">
            <v>1188</v>
          </cell>
          <cell r="CU97">
            <v>1250</v>
          </cell>
          <cell r="CW97">
            <v>52.515243902439025</v>
          </cell>
          <cell r="CX97">
            <v>527.48100000000011</v>
          </cell>
          <cell r="CZ97">
            <v>335.61</v>
          </cell>
          <cell r="DA97">
            <v>2920.9</v>
          </cell>
          <cell r="DB97">
            <v>19.28</v>
          </cell>
          <cell r="DC97">
            <v>289.3</v>
          </cell>
          <cell r="DD97">
            <v>109.45</v>
          </cell>
        </row>
        <row r="98">
          <cell r="A98">
            <v>38811</v>
          </cell>
          <cell r="C98">
            <v>120.7</v>
          </cell>
          <cell r="D98" t="str">
            <v>#N/A N/A</v>
          </cell>
          <cell r="E98" t="str">
            <v>#N/A N/A</v>
          </cell>
          <cell r="L98">
            <v>1385.64</v>
          </cell>
          <cell r="M98">
            <v>2345.36</v>
          </cell>
          <cell r="N98">
            <v>6004.7</v>
          </cell>
          <cell r="O98">
            <v>4035</v>
          </cell>
          <cell r="Q98">
            <v>525</v>
          </cell>
          <cell r="R98">
            <v>234.5</v>
          </cell>
          <cell r="S98">
            <v>342.75</v>
          </cell>
          <cell r="T98">
            <v>558.75</v>
          </cell>
          <cell r="U98">
            <v>17292.91</v>
          </cell>
          <cell r="V98">
            <v>16100.09</v>
          </cell>
          <cell r="W98">
            <v>6665.6</v>
          </cell>
          <cell r="X98">
            <v>61.25</v>
          </cell>
          <cell r="Y98">
            <v>930</v>
          </cell>
          <cell r="Z98">
            <v>1100</v>
          </cell>
          <cell r="AA98">
            <v>11638.01</v>
          </cell>
          <cell r="AB98">
            <v>5116.3</v>
          </cell>
          <cell r="AC98">
            <v>38802.261700000003</v>
          </cell>
          <cell r="AE98">
            <v>78.45</v>
          </cell>
          <cell r="AF98">
            <v>630.99</v>
          </cell>
          <cell r="AG98">
            <v>2513</v>
          </cell>
          <cell r="AH98">
            <v>790</v>
          </cell>
          <cell r="AI98">
            <v>1350</v>
          </cell>
          <cell r="AJ98">
            <v>680.35</v>
          </cell>
          <cell r="AL98">
            <v>1305.93</v>
          </cell>
          <cell r="AP98">
            <v>1329.798</v>
          </cell>
          <cell r="AV98">
            <v>48.45</v>
          </cell>
          <cell r="AZ98">
            <v>254.2</v>
          </cell>
          <cell r="BE98">
            <v>15751</v>
          </cell>
          <cell r="BG98">
            <v>51.3</v>
          </cell>
          <cell r="BH98">
            <v>272.49</v>
          </cell>
          <cell r="BY98">
            <v>504.04</v>
          </cell>
          <cell r="CD98">
            <v>333.97</v>
          </cell>
          <cell r="CE98">
            <v>330.88499999999999</v>
          </cell>
          <cell r="CF98">
            <v>319.26</v>
          </cell>
          <cell r="CG98">
            <v>1100</v>
          </cell>
          <cell r="CH98">
            <v>910</v>
          </cell>
          <cell r="CI98" t="str">
            <v>#N/A N/A</v>
          </cell>
          <cell r="CJ98">
            <v>510</v>
          </cell>
          <cell r="CK98">
            <v>960</v>
          </cell>
          <cell r="CM98">
            <v>206.25</v>
          </cell>
          <cell r="CN98">
            <v>26.87</v>
          </cell>
          <cell r="CO98" t="str">
            <v>#N/A N/A</v>
          </cell>
          <cell r="CQ98">
            <v>7.04</v>
          </cell>
          <cell r="CR98">
            <v>40.6</v>
          </cell>
          <cell r="CS98">
            <v>1149</v>
          </cell>
          <cell r="CU98">
            <v>1250</v>
          </cell>
          <cell r="CW98">
            <v>51.981707317073173</v>
          </cell>
          <cell r="CX98">
            <v>533.04899999999998</v>
          </cell>
          <cell r="CZ98">
            <v>332.43</v>
          </cell>
          <cell r="DA98">
            <v>2872.8</v>
          </cell>
          <cell r="DB98">
            <v>19.079999999999998</v>
          </cell>
          <cell r="DC98">
            <v>289.3</v>
          </cell>
          <cell r="DD98">
            <v>107.05</v>
          </cell>
        </row>
        <row r="99">
          <cell r="A99">
            <v>38812</v>
          </cell>
          <cell r="C99">
            <v>120.7</v>
          </cell>
          <cell r="D99" t="str">
            <v>#N/A N/A</v>
          </cell>
          <cell r="E99" t="str">
            <v>#N/A N/A</v>
          </cell>
          <cell r="L99">
            <v>1388.77</v>
          </cell>
          <cell r="M99">
            <v>2359.75</v>
          </cell>
          <cell r="N99">
            <v>6044.1</v>
          </cell>
          <cell r="O99">
            <v>4040</v>
          </cell>
          <cell r="Q99">
            <v>525</v>
          </cell>
          <cell r="R99">
            <v>236.25</v>
          </cell>
          <cell r="S99">
            <v>347</v>
          </cell>
          <cell r="T99">
            <v>561.5</v>
          </cell>
          <cell r="U99">
            <v>17243.98</v>
          </cell>
          <cell r="V99">
            <v>16100.09</v>
          </cell>
          <cell r="W99">
            <v>6665.6</v>
          </cell>
          <cell r="X99">
            <v>60.1</v>
          </cell>
          <cell r="Y99">
            <v>930</v>
          </cell>
          <cell r="Z99">
            <v>1100</v>
          </cell>
          <cell r="AA99">
            <v>11746.9</v>
          </cell>
          <cell r="AB99">
            <v>5159</v>
          </cell>
          <cell r="AC99">
            <v>39053.199200000003</v>
          </cell>
          <cell r="AE99">
            <v>77.849999999999994</v>
          </cell>
          <cell r="AF99">
            <v>630.99</v>
          </cell>
          <cell r="AG99">
            <v>2508</v>
          </cell>
          <cell r="AH99">
            <v>790</v>
          </cell>
          <cell r="AI99">
            <v>1350</v>
          </cell>
          <cell r="AJ99">
            <v>688.38</v>
          </cell>
          <cell r="AL99">
            <v>1311.56</v>
          </cell>
          <cell r="AP99">
            <v>1340.162</v>
          </cell>
          <cell r="AV99">
            <v>49.12</v>
          </cell>
          <cell r="AZ99">
            <v>247.1</v>
          </cell>
          <cell r="BE99">
            <v>16610</v>
          </cell>
          <cell r="BG99">
            <v>51.3</v>
          </cell>
          <cell r="BH99">
            <v>275.64</v>
          </cell>
          <cell r="BY99">
            <v>517.94000000000005</v>
          </cell>
          <cell r="CD99">
            <v>335.38</v>
          </cell>
          <cell r="CE99">
            <v>332.274</v>
          </cell>
          <cell r="CF99">
            <v>321.08</v>
          </cell>
          <cell r="CG99">
            <v>1100</v>
          </cell>
          <cell r="CH99">
            <v>910</v>
          </cell>
          <cell r="CI99" t="str">
            <v>#N/A N/A</v>
          </cell>
          <cell r="CJ99">
            <v>510</v>
          </cell>
          <cell r="CK99">
            <v>951</v>
          </cell>
          <cell r="CM99">
            <v>210.6</v>
          </cell>
          <cell r="CN99">
            <v>27.3</v>
          </cell>
          <cell r="CO99" t="str">
            <v>#N/A N/A</v>
          </cell>
          <cell r="CQ99">
            <v>6.92</v>
          </cell>
          <cell r="CR99">
            <v>41</v>
          </cell>
          <cell r="CS99">
            <v>1139</v>
          </cell>
          <cell r="CU99">
            <v>1250</v>
          </cell>
          <cell r="CW99">
            <v>50.838414634146346</v>
          </cell>
          <cell r="CX99">
            <v>534.52800000000002</v>
          </cell>
          <cell r="CZ99">
            <v>336.12</v>
          </cell>
          <cell r="DA99">
            <v>2952.3</v>
          </cell>
          <cell r="DB99">
            <v>18.86</v>
          </cell>
          <cell r="DC99">
            <v>289.3</v>
          </cell>
          <cell r="DD99">
            <v>108.05</v>
          </cell>
        </row>
        <row r="100">
          <cell r="A100">
            <v>38813</v>
          </cell>
          <cell r="C100">
            <v>120.7</v>
          </cell>
          <cell r="D100" t="str">
            <v>#N/A N/A</v>
          </cell>
          <cell r="E100" t="str">
            <v>#N/A N/A</v>
          </cell>
          <cell r="L100">
            <v>1397</v>
          </cell>
          <cell r="M100">
            <v>2361.17</v>
          </cell>
          <cell r="N100">
            <v>6045.7</v>
          </cell>
          <cell r="O100">
            <v>4035</v>
          </cell>
          <cell r="Q100">
            <v>525</v>
          </cell>
          <cell r="R100">
            <v>241.5</v>
          </cell>
          <cell r="S100">
            <v>352.5</v>
          </cell>
          <cell r="T100">
            <v>564</v>
          </cell>
          <cell r="U100">
            <v>17489.330000000002</v>
          </cell>
          <cell r="V100">
            <v>16411.13</v>
          </cell>
          <cell r="W100">
            <v>6760.82</v>
          </cell>
          <cell r="X100">
            <v>62.45</v>
          </cell>
          <cell r="Y100">
            <v>930</v>
          </cell>
          <cell r="Z100">
            <v>1100</v>
          </cell>
          <cell r="AA100">
            <v>11746.9</v>
          </cell>
          <cell r="AB100">
            <v>5190.3</v>
          </cell>
          <cell r="AC100">
            <v>39285.039100000002</v>
          </cell>
          <cell r="AE100">
            <v>79.95</v>
          </cell>
          <cell r="AF100">
            <v>630.99</v>
          </cell>
          <cell r="AG100">
            <v>2504</v>
          </cell>
          <cell r="AH100">
            <v>790</v>
          </cell>
          <cell r="AI100">
            <v>1350</v>
          </cell>
          <cell r="AJ100">
            <v>693.77</v>
          </cell>
          <cell r="AL100">
            <v>1309.04</v>
          </cell>
          <cell r="AP100">
            <v>1339.7370000000001</v>
          </cell>
          <cell r="AV100">
            <v>49.09</v>
          </cell>
          <cell r="AZ100">
            <v>251.7</v>
          </cell>
          <cell r="BE100">
            <v>16812</v>
          </cell>
          <cell r="BG100">
            <v>51.3</v>
          </cell>
          <cell r="BH100">
            <v>277.60000000000002</v>
          </cell>
          <cell r="BY100">
            <v>524.61</v>
          </cell>
          <cell r="CD100">
            <v>336.06</v>
          </cell>
          <cell r="CE100">
            <v>332.83800000000002</v>
          </cell>
          <cell r="CF100">
            <v>325.05</v>
          </cell>
          <cell r="CG100">
            <v>1100</v>
          </cell>
          <cell r="CH100">
            <v>910</v>
          </cell>
          <cell r="CI100" t="str">
            <v>#N/A N/A</v>
          </cell>
          <cell r="CJ100">
            <v>510</v>
          </cell>
          <cell r="CK100">
            <v>951</v>
          </cell>
          <cell r="CM100">
            <v>214.39</v>
          </cell>
          <cell r="CN100">
            <v>27.83</v>
          </cell>
          <cell r="CO100" t="str">
            <v>#N/A N/A</v>
          </cell>
          <cell r="CQ100">
            <v>7.06</v>
          </cell>
          <cell r="CR100">
            <v>41</v>
          </cell>
          <cell r="CS100">
            <v>1152.5</v>
          </cell>
          <cell r="CU100">
            <v>1250</v>
          </cell>
          <cell r="CW100">
            <v>51.981707317073173</v>
          </cell>
          <cell r="CX100">
            <v>531.78750000000002</v>
          </cell>
          <cell r="CZ100">
            <v>339.35</v>
          </cell>
          <cell r="DA100">
            <v>3001.1</v>
          </cell>
          <cell r="DB100">
            <v>18.75</v>
          </cell>
          <cell r="DC100">
            <v>289.3</v>
          </cell>
          <cell r="DD100">
            <v>108.85</v>
          </cell>
        </row>
        <row r="101">
          <cell r="A101">
            <v>38814</v>
          </cell>
          <cell r="C101">
            <v>120.7</v>
          </cell>
          <cell r="D101" t="str">
            <v>#N/A N/A</v>
          </cell>
          <cell r="E101" t="str">
            <v>#N/A N/A</v>
          </cell>
          <cell r="L101">
            <v>1402.36</v>
          </cell>
          <cell r="M101">
            <v>2339.02</v>
          </cell>
          <cell r="N101">
            <v>6026.1</v>
          </cell>
          <cell r="O101">
            <v>4037</v>
          </cell>
          <cell r="Q101">
            <v>525</v>
          </cell>
          <cell r="R101">
            <v>243</v>
          </cell>
          <cell r="S101">
            <v>351.25</v>
          </cell>
          <cell r="T101">
            <v>557.75</v>
          </cell>
          <cell r="U101">
            <v>17563.37</v>
          </cell>
          <cell r="V101">
            <v>16471.78</v>
          </cell>
          <cell r="W101">
            <v>6781.94</v>
          </cell>
          <cell r="X101">
            <v>62.45</v>
          </cell>
          <cell r="Y101">
            <v>930</v>
          </cell>
          <cell r="Z101">
            <v>1110</v>
          </cell>
          <cell r="AA101">
            <v>11589.44</v>
          </cell>
          <cell r="AB101">
            <v>5186.7</v>
          </cell>
          <cell r="AC101">
            <v>38926.488299999997</v>
          </cell>
          <cell r="AE101">
            <v>79.849999999999994</v>
          </cell>
          <cell r="AF101">
            <v>630.99</v>
          </cell>
          <cell r="AG101">
            <v>2514</v>
          </cell>
          <cell r="AH101">
            <v>790</v>
          </cell>
          <cell r="AI101">
            <v>1380</v>
          </cell>
          <cell r="AJ101">
            <v>694.35</v>
          </cell>
          <cell r="AL101">
            <v>1295.5</v>
          </cell>
          <cell r="AP101">
            <v>1342.9649999999999</v>
          </cell>
          <cell r="AV101">
            <v>48.75</v>
          </cell>
          <cell r="AZ101">
            <v>251.1</v>
          </cell>
          <cell r="BE101">
            <v>16710</v>
          </cell>
          <cell r="BG101">
            <v>53</v>
          </cell>
          <cell r="BH101">
            <v>275.73</v>
          </cell>
          <cell r="BY101">
            <v>514.94000000000005</v>
          </cell>
          <cell r="CD101">
            <v>333.15</v>
          </cell>
          <cell r="CE101">
            <v>329.83300000000003</v>
          </cell>
          <cell r="CF101">
            <v>325.02999999999997</v>
          </cell>
          <cell r="CG101">
            <v>1120</v>
          </cell>
          <cell r="CH101">
            <v>920</v>
          </cell>
          <cell r="CI101" t="str">
            <v>#N/A N/A</v>
          </cell>
          <cell r="CJ101">
            <v>510</v>
          </cell>
          <cell r="CK101">
            <v>956</v>
          </cell>
          <cell r="CM101">
            <v>212.51</v>
          </cell>
          <cell r="CN101">
            <v>27.83</v>
          </cell>
          <cell r="CO101" t="str">
            <v>#N/A N/A</v>
          </cell>
          <cell r="CQ101">
            <v>6.83</v>
          </cell>
          <cell r="CR101">
            <v>41</v>
          </cell>
          <cell r="CS101">
            <v>1138.5</v>
          </cell>
          <cell r="CU101">
            <v>1270</v>
          </cell>
          <cell r="CW101">
            <v>51.676829268292686</v>
          </cell>
          <cell r="CX101">
            <v>526.87200000000007</v>
          </cell>
          <cell r="CZ101">
            <v>337.18</v>
          </cell>
          <cell r="DA101">
            <v>2970.4</v>
          </cell>
          <cell r="DB101">
            <v>18.149999999999999</v>
          </cell>
          <cell r="DC101">
            <v>289.3</v>
          </cell>
          <cell r="DD101">
            <v>108.35</v>
          </cell>
        </row>
        <row r="102">
          <cell r="A102">
            <v>38815</v>
          </cell>
          <cell r="C102">
            <v>120.7</v>
          </cell>
          <cell r="D102" t="str">
            <v>#N/A N/A</v>
          </cell>
          <cell r="E102" t="str">
            <v>#N/A N/A</v>
          </cell>
          <cell r="L102">
            <v>1402.36</v>
          </cell>
          <cell r="M102">
            <v>2339.02</v>
          </cell>
          <cell r="N102">
            <v>6026.1</v>
          </cell>
          <cell r="O102">
            <v>4037</v>
          </cell>
          <cell r="Q102">
            <v>525</v>
          </cell>
          <cell r="R102">
            <v>243</v>
          </cell>
          <cell r="S102">
            <v>351.25</v>
          </cell>
          <cell r="T102">
            <v>557.75</v>
          </cell>
          <cell r="U102">
            <v>17563.37</v>
          </cell>
          <cell r="V102">
            <v>16471.78</v>
          </cell>
          <cell r="W102">
            <v>6781.94</v>
          </cell>
          <cell r="X102">
            <v>62.45</v>
          </cell>
          <cell r="Y102">
            <v>930</v>
          </cell>
          <cell r="Z102">
            <v>1110</v>
          </cell>
          <cell r="AA102">
            <v>11589.44</v>
          </cell>
          <cell r="AB102">
            <v>5186.7</v>
          </cell>
          <cell r="AC102">
            <v>38926.488299999997</v>
          </cell>
          <cell r="AE102">
            <v>79.849999999999994</v>
          </cell>
          <cell r="AF102">
            <v>630.99</v>
          </cell>
          <cell r="AG102">
            <v>2514</v>
          </cell>
          <cell r="AH102">
            <v>790</v>
          </cell>
          <cell r="AI102">
            <v>1380</v>
          </cell>
          <cell r="AJ102">
            <v>694.35</v>
          </cell>
          <cell r="AL102">
            <v>1295.5</v>
          </cell>
          <cell r="AP102">
            <v>1342.9649999999999</v>
          </cell>
          <cell r="AV102">
            <v>48.75</v>
          </cell>
          <cell r="AZ102">
            <v>251.1</v>
          </cell>
          <cell r="BE102">
            <v>16710</v>
          </cell>
          <cell r="BG102">
            <v>53</v>
          </cell>
          <cell r="BH102">
            <v>275.73</v>
          </cell>
          <cell r="BY102">
            <v>514.94000000000005</v>
          </cell>
          <cell r="CD102">
            <v>333.15</v>
          </cell>
          <cell r="CE102">
            <v>329.83300000000003</v>
          </cell>
          <cell r="CF102">
            <v>325.02999999999997</v>
          </cell>
          <cell r="CG102">
            <v>1120</v>
          </cell>
          <cell r="CH102">
            <v>920</v>
          </cell>
          <cell r="CI102" t="str">
            <v>#N/A N/A</v>
          </cell>
          <cell r="CJ102">
            <v>510</v>
          </cell>
          <cell r="CK102">
            <v>956</v>
          </cell>
          <cell r="CM102">
            <v>212.51</v>
          </cell>
          <cell r="CN102">
            <v>27.83</v>
          </cell>
          <cell r="CO102" t="str">
            <v>#N/A N/A</v>
          </cell>
          <cell r="CQ102">
            <v>6.83</v>
          </cell>
          <cell r="CR102">
            <v>41</v>
          </cell>
          <cell r="CS102">
            <v>1138.5</v>
          </cell>
          <cell r="CU102">
            <v>1270</v>
          </cell>
          <cell r="CW102">
            <v>51.676829268292686</v>
          </cell>
          <cell r="CX102">
            <v>526.87200000000007</v>
          </cell>
          <cell r="CZ102">
            <v>337.18</v>
          </cell>
          <cell r="DA102">
            <v>2970.4</v>
          </cell>
          <cell r="DB102">
            <v>18.149999999999999</v>
          </cell>
          <cell r="DC102">
            <v>289.3</v>
          </cell>
          <cell r="DD102">
            <v>108.35</v>
          </cell>
        </row>
        <row r="103">
          <cell r="A103">
            <v>38816</v>
          </cell>
          <cell r="C103">
            <v>120.7</v>
          </cell>
          <cell r="D103" t="str">
            <v>#N/A N/A</v>
          </cell>
          <cell r="E103" t="str">
            <v>#N/A N/A</v>
          </cell>
          <cell r="L103">
            <v>1402.36</v>
          </cell>
          <cell r="M103">
            <v>2339.02</v>
          </cell>
          <cell r="N103">
            <v>6026.1</v>
          </cell>
          <cell r="O103">
            <v>4037</v>
          </cell>
          <cell r="Q103">
            <v>525</v>
          </cell>
          <cell r="R103">
            <v>243</v>
          </cell>
          <cell r="S103">
            <v>351.25</v>
          </cell>
          <cell r="T103">
            <v>557.75</v>
          </cell>
          <cell r="U103">
            <v>17563.37</v>
          </cell>
          <cell r="V103">
            <v>16471.78</v>
          </cell>
          <cell r="W103">
            <v>6781.94</v>
          </cell>
          <cell r="X103">
            <v>62.45</v>
          </cell>
          <cell r="Y103">
            <v>930</v>
          </cell>
          <cell r="Z103">
            <v>1110</v>
          </cell>
          <cell r="AA103">
            <v>11589.44</v>
          </cell>
          <cell r="AB103">
            <v>5186.7</v>
          </cell>
          <cell r="AC103">
            <v>38926.488299999997</v>
          </cell>
          <cell r="AE103">
            <v>79.849999999999994</v>
          </cell>
          <cell r="AF103">
            <v>630.99</v>
          </cell>
          <cell r="AG103">
            <v>2514</v>
          </cell>
          <cell r="AH103">
            <v>790</v>
          </cell>
          <cell r="AI103">
            <v>1380</v>
          </cell>
          <cell r="AJ103">
            <v>694.35</v>
          </cell>
          <cell r="AL103">
            <v>1295.5</v>
          </cell>
          <cell r="AP103">
            <v>1342.9649999999999</v>
          </cell>
          <cell r="AV103">
            <v>48.75</v>
          </cell>
          <cell r="AZ103">
            <v>251.1</v>
          </cell>
          <cell r="BE103">
            <v>16710</v>
          </cell>
          <cell r="BG103">
            <v>53</v>
          </cell>
          <cell r="BH103">
            <v>275.73</v>
          </cell>
          <cell r="BY103">
            <v>514.94000000000005</v>
          </cell>
          <cell r="CD103">
            <v>333.15</v>
          </cell>
          <cell r="CE103">
            <v>329.83300000000003</v>
          </cell>
          <cell r="CF103">
            <v>325.02999999999997</v>
          </cell>
          <cell r="CG103">
            <v>1120</v>
          </cell>
          <cell r="CH103">
            <v>920</v>
          </cell>
          <cell r="CI103" t="str">
            <v>#N/A N/A</v>
          </cell>
          <cell r="CJ103">
            <v>510</v>
          </cell>
          <cell r="CK103">
            <v>956</v>
          </cell>
          <cell r="CM103">
            <v>212.51</v>
          </cell>
          <cell r="CN103">
            <v>27.83</v>
          </cell>
          <cell r="CO103" t="str">
            <v>#N/A N/A</v>
          </cell>
          <cell r="CQ103">
            <v>6.83</v>
          </cell>
          <cell r="CR103">
            <v>41</v>
          </cell>
          <cell r="CS103">
            <v>1138.5</v>
          </cell>
          <cell r="CU103">
            <v>1270</v>
          </cell>
          <cell r="CW103">
            <v>51.676829268292686</v>
          </cell>
          <cell r="CX103">
            <v>526.87200000000007</v>
          </cell>
          <cell r="CZ103">
            <v>337.18</v>
          </cell>
          <cell r="DA103">
            <v>2970.4</v>
          </cell>
          <cell r="DB103">
            <v>18.149999999999999</v>
          </cell>
          <cell r="DC103">
            <v>289.3</v>
          </cell>
          <cell r="DD103">
            <v>108.35</v>
          </cell>
        </row>
        <row r="104">
          <cell r="A104">
            <v>38817</v>
          </cell>
          <cell r="C104">
            <v>120.7</v>
          </cell>
          <cell r="D104" t="str">
            <v>#N/A N/A</v>
          </cell>
          <cell r="E104" t="str">
            <v>#N/A N/A</v>
          </cell>
          <cell r="L104">
            <v>1398.29</v>
          </cell>
          <cell r="M104">
            <v>2333.27</v>
          </cell>
          <cell r="N104">
            <v>6067</v>
          </cell>
          <cell r="O104">
            <v>4042</v>
          </cell>
          <cell r="Q104">
            <v>525</v>
          </cell>
          <cell r="R104">
            <v>241.25</v>
          </cell>
          <cell r="S104">
            <v>361</v>
          </cell>
          <cell r="T104">
            <v>555.25</v>
          </cell>
          <cell r="U104">
            <v>17456.580000000002</v>
          </cell>
          <cell r="V104">
            <v>16521.59</v>
          </cell>
          <cell r="W104">
            <v>6780.64</v>
          </cell>
          <cell r="X104">
            <v>63.15</v>
          </cell>
          <cell r="Y104">
            <v>930</v>
          </cell>
          <cell r="Z104">
            <v>1110</v>
          </cell>
          <cell r="AA104">
            <v>11662.55</v>
          </cell>
          <cell r="AB104">
            <v>5146.8999999999996</v>
          </cell>
          <cell r="AC104">
            <v>38474.730499999998</v>
          </cell>
          <cell r="AE104">
            <v>80.75</v>
          </cell>
          <cell r="AF104">
            <v>630.99</v>
          </cell>
          <cell r="AG104">
            <v>2516</v>
          </cell>
          <cell r="AH104">
            <v>790</v>
          </cell>
          <cell r="AI104">
            <v>1380</v>
          </cell>
          <cell r="AJ104">
            <v>695.4</v>
          </cell>
          <cell r="AL104">
            <v>1296.5999999999999</v>
          </cell>
          <cell r="AP104">
            <v>1359.0809999999999</v>
          </cell>
          <cell r="AV104">
            <v>48.72</v>
          </cell>
          <cell r="AZ104">
            <v>249.7</v>
          </cell>
          <cell r="BE104">
            <v>17282</v>
          </cell>
          <cell r="BG104">
            <v>53</v>
          </cell>
          <cell r="BH104">
            <v>276.45</v>
          </cell>
          <cell r="BY104">
            <v>510.86</v>
          </cell>
          <cell r="CD104">
            <v>333.27</v>
          </cell>
          <cell r="CE104">
            <v>330.06799999999998</v>
          </cell>
          <cell r="CF104">
            <v>323.79000000000002</v>
          </cell>
          <cell r="CG104">
            <v>1120</v>
          </cell>
          <cell r="CH104">
            <v>920</v>
          </cell>
          <cell r="CI104" t="str">
            <v>#N/A N/A</v>
          </cell>
          <cell r="CJ104">
            <v>510</v>
          </cell>
          <cell r="CK104">
            <v>955</v>
          </cell>
          <cell r="CM104">
            <v>215.14</v>
          </cell>
          <cell r="CN104">
            <v>28.25</v>
          </cell>
          <cell r="CO104" t="str">
            <v>#N/A N/A</v>
          </cell>
          <cell r="CQ104">
            <v>6.81</v>
          </cell>
          <cell r="CR104">
            <v>41</v>
          </cell>
          <cell r="CS104">
            <v>1159</v>
          </cell>
          <cell r="CU104">
            <v>1270</v>
          </cell>
          <cell r="CW104">
            <v>51.676829268292686</v>
          </cell>
          <cell r="CX104">
            <v>525.52350000000001</v>
          </cell>
          <cell r="CZ104">
            <v>339.99</v>
          </cell>
          <cell r="DA104">
            <v>3050.7</v>
          </cell>
          <cell r="DB104">
            <v>17.96</v>
          </cell>
          <cell r="DC104">
            <v>289.3</v>
          </cell>
          <cell r="DD104">
            <v>108.15</v>
          </cell>
        </row>
        <row r="105">
          <cell r="A105">
            <v>38818</v>
          </cell>
          <cell r="C105">
            <v>120.7</v>
          </cell>
          <cell r="D105" t="str">
            <v>#N/A N/A</v>
          </cell>
          <cell r="E105" t="str">
            <v>#N/A N/A</v>
          </cell>
          <cell r="L105">
            <v>1386.08</v>
          </cell>
          <cell r="M105">
            <v>2310.35</v>
          </cell>
          <cell r="N105">
            <v>6016.5</v>
          </cell>
          <cell r="O105">
            <v>4074</v>
          </cell>
          <cell r="Q105">
            <v>525</v>
          </cell>
          <cell r="R105">
            <v>242</v>
          </cell>
          <cell r="S105">
            <v>367.5</v>
          </cell>
          <cell r="T105">
            <v>562.5</v>
          </cell>
          <cell r="U105">
            <v>17418.13</v>
          </cell>
          <cell r="V105">
            <v>16475.810000000001</v>
          </cell>
          <cell r="W105">
            <v>6757.17</v>
          </cell>
          <cell r="X105">
            <v>65.150000000000006</v>
          </cell>
          <cell r="Y105">
            <v>930</v>
          </cell>
          <cell r="Z105">
            <v>1110</v>
          </cell>
          <cell r="AA105">
            <v>11662.55</v>
          </cell>
          <cell r="AB105">
            <v>5186.8</v>
          </cell>
          <cell r="AC105">
            <v>37901.191400000003</v>
          </cell>
          <cell r="AE105">
            <v>82.35</v>
          </cell>
          <cell r="AF105">
            <v>635.21</v>
          </cell>
          <cell r="AG105">
            <v>2515</v>
          </cell>
          <cell r="AH105">
            <v>790</v>
          </cell>
          <cell r="AI105">
            <v>1380</v>
          </cell>
          <cell r="AJ105">
            <v>691.96</v>
          </cell>
          <cell r="AL105">
            <v>1286.57</v>
          </cell>
          <cell r="AP105">
            <v>1362.229</v>
          </cell>
          <cell r="AV105">
            <v>47.52</v>
          </cell>
          <cell r="AZ105">
            <v>254.3</v>
          </cell>
          <cell r="BE105">
            <v>17610</v>
          </cell>
          <cell r="BG105">
            <v>53</v>
          </cell>
          <cell r="BH105">
            <v>275.11</v>
          </cell>
          <cell r="BY105">
            <v>503.34</v>
          </cell>
          <cell r="CD105">
            <v>330.88</v>
          </cell>
          <cell r="CE105">
            <v>327.61599999999999</v>
          </cell>
          <cell r="CF105">
            <v>321.99</v>
          </cell>
          <cell r="CG105">
            <v>1120</v>
          </cell>
          <cell r="CH105">
            <v>920</v>
          </cell>
          <cell r="CI105" t="str">
            <v>#N/A N/A</v>
          </cell>
          <cell r="CJ105">
            <v>510</v>
          </cell>
          <cell r="CK105">
            <v>953</v>
          </cell>
          <cell r="CM105">
            <v>219.21</v>
          </cell>
          <cell r="CN105">
            <v>29.07</v>
          </cell>
          <cell r="CO105" t="str">
            <v>#N/A N/A</v>
          </cell>
          <cell r="CQ105">
            <v>6.99</v>
          </cell>
          <cell r="CR105">
            <v>41</v>
          </cell>
          <cell r="CS105">
            <v>1138.5</v>
          </cell>
          <cell r="CU105">
            <v>1270</v>
          </cell>
          <cell r="CW105">
            <v>52.896341463414636</v>
          </cell>
          <cell r="CX105">
            <v>527.74200000000008</v>
          </cell>
          <cell r="CZ105">
            <v>340.48</v>
          </cell>
          <cell r="DA105">
            <v>3073.7</v>
          </cell>
          <cell r="DB105">
            <v>17.89</v>
          </cell>
          <cell r="DC105">
            <v>289.3</v>
          </cell>
          <cell r="DD105">
            <v>104.75</v>
          </cell>
        </row>
        <row r="106">
          <cell r="A106">
            <v>38819</v>
          </cell>
          <cell r="C106">
            <v>120.7</v>
          </cell>
          <cell r="D106" t="str">
            <v>#N/A N/A</v>
          </cell>
          <cell r="E106" t="str">
            <v>#N/A N/A</v>
          </cell>
          <cell r="L106">
            <v>1383.59</v>
          </cell>
          <cell r="M106">
            <v>2314.6799999999998</v>
          </cell>
          <cell r="N106">
            <v>6000.8</v>
          </cell>
          <cell r="O106">
            <v>4067</v>
          </cell>
          <cell r="Q106">
            <v>525</v>
          </cell>
          <cell r="R106">
            <v>237</v>
          </cell>
          <cell r="S106">
            <v>360.5</v>
          </cell>
          <cell r="T106">
            <v>560.5</v>
          </cell>
          <cell r="U106">
            <v>17162.55</v>
          </cell>
          <cell r="V106">
            <v>16310.76</v>
          </cell>
          <cell r="W106">
            <v>6808.5</v>
          </cell>
          <cell r="X106">
            <v>65.650000000000006</v>
          </cell>
          <cell r="Y106">
            <v>930</v>
          </cell>
          <cell r="Z106">
            <v>1110</v>
          </cell>
          <cell r="AA106">
            <v>11355.73</v>
          </cell>
          <cell r="AB106">
            <v>5140</v>
          </cell>
          <cell r="AC106">
            <v>38427.410199999998</v>
          </cell>
          <cell r="AE106">
            <v>82.85</v>
          </cell>
          <cell r="AF106">
            <v>635.21</v>
          </cell>
          <cell r="AG106">
            <v>2504</v>
          </cell>
          <cell r="AH106">
            <v>790</v>
          </cell>
          <cell r="AI106">
            <v>1380</v>
          </cell>
          <cell r="AJ106">
            <v>690.6</v>
          </cell>
          <cell r="AL106">
            <v>1288.1199999999999</v>
          </cell>
          <cell r="AP106">
            <v>1360.1320000000001</v>
          </cell>
          <cell r="AV106">
            <v>47.41</v>
          </cell>
          <cell r="AZ106">
            <v>252.5</v>
          </cell>
          <cell r="BE106">
            <v>17893</v>
          </cell>
          <cell r="BG106">
            <v>53</v>
          </cell>
          <cell r="BH106">
            <v>273.43</v>
          </cell>
          <cell r="BY106">
            <v>506.44</v>
          </cell>
          <cell r="CD106">
            <v>329.91</v>
          </cell>
          <cell r="CE106">
            <v>326.69900000000001</v>
          </cell>
          <cell r="CF106">
            <v>318.72000000000003</v>
          </cell>
          <cell r="CG106">
            <v>1120</v>
          </cell>
          <cell r="CH106">
            <v>920</v>
          </cell>
          <cell r="CI106" t="str">
            <v>#N/A N/A</v>
          </cell>
          <cell r="CJ106">
            <v>475</v>
          </cell>
          <cell r="CK106">
            <v>955</v>
          </cell>
          <cell r="CM106">
            <v>221.55</v>
          </cell>
          <cell r="CN106">
            <v>29.7</v>
          </cell>
          <cell r="CO106" t="str">
            <v>#N/A N/A</v>
          </cell>
          <cell r="CQ106">
            <v>6.78</v>
          </cell>
          <cell r="CR106">
            <v>41</v>
          </cell>
          <cell r="CS106">
            <v>1161.25</v>
          </cell>
          <cell r="CU106">
            <v>1270</v>
          </cell>
          <cell r="CW106">
            <v>52.591463414634148</v>
          </cell>
          <cell r="CX106">
            <v>532.70800000000008</v>
          </cell>
          <cell r="CZ106">
            <v>340.63</v>
          </cell>
          <cell r="DA106">
            <v>3141.5</v>
          </cell>
          <cell r="DB106">
            <v>17.73</v>
          </cell>
          <cell r="DC106">
            <v>289.3</v>
          </cell>
          <cell r="DD106">
            <v>104.7</v>
          </cell>
        </row>
        <row r="107">
          <cell r="A107">
            <v>38820</v>
          </cell>
          <cell r="C107">
            <v>120.7</v>
          </cell>
          <cell r="D107" t="str">
            <v>#N/A N/A</v>
          </cell>
          <cell r="E107" t="str">
            <v>#N/A N/A</v>
          </cell>
          <cell r="L107">
            <v>1405.72</v>
          </cell>
          <cell r="M107">
            <v>2326.11</v>
          </cell>
          <cell r="N107">
            <v>6029.4</v>
          </cell>
          <cell r="O107">
            <v>4064</v>
          </cell>
          <cell r="Q107">
            <v>525</v>
          </cell>
          <cell r="R107">
            <v>236.25</v>
          </cell>
          <cell r="S107">
            <v>357.5</v>
          </cell>
          <cell r="T107">
            <v>563</v>
          </cell>
          <cell r="U107">
            <v>17199.150000000001</v>
          </cell>
          <cell r="V107">
            <v>16429.45</v>
          </cell>
          <cell r="W107">
            <v>6855.74</v>
          </cell>
          <cell r="X107">
            <v>64.599999999999994</v>
          </cell>
          <cell r="Y107">
            <v>930</v>
          </cell>
          <cell r="Z107">
            <v>1110</v>
          </cell>
          <cell r="AA107">
            <v>11237.23</v>
          </cell>
          <cell r="AB107">
            <v>5132.3</v>
          </cell>
          <cell r="AC107">
            <v>38082.128900000003</v>
          </cell>
          <cell r="AE107">
            <v>83.85</v>
          </cell>
          <cell r="AF107">
            <v>635.21</v>
          </cell>
          <cell r="AG107">
            <v>2503</v>
          </cell>
          <cell r="AH107">
            <v>790</v>
          </cell>
          <cell r="AI107">
            <v>1380</v>
          </cell>
          <cell r="AJ107">
            <v>697.39</v>
          </cell>
          <cell r="AL107">
            <v>1289.1199999999999</v>
          </cell>
          <cell r="AP107">
            <v>1332.33</v>
          </cell>
          <cell r="AV107">
            <v>48.33</v>
          </cell>
          <cell r="AZ107">
            <v>248.9</v>
          </cell>
          <cell r="BE107">
            <v>17735</v>
          </cell>
          <cell r="BG107">
            <v>53</v>
          </cell>
          <cell r="BH107">
            <v>273.51</v>
          </cell>
          <cell r="BY107">
            <v>507.96</v>
          </cell>
          <cell r="CD107">
            <v>330.23</v>
          </cell>
          <cell r="CE107">
            <v>327.04399999999998</v>
          </cell>
          <cell r="CF107">
            <v>320.52</v>
          </cell>
          <cell r="CG107">
            <v>1120</v>
          </cell>
          <cell r="CH107">
            <v>920</v>
          </cell>
          <cell r="CI107" t="str">
            <v>#N/A N/A</v>
          </cell>
          <cell r="CJ107">
            <v>475</v>
          </cell>
          <cell r="CK107">
            <v>970</v>
          </cell>
          <cell r="CM107">
            <v>222.97</v>
          </cell>
          <cell r="CN107">
            <v>29.87</v>
          </cell>
          <cell r="CO107" t="str">
            <v>#N/A N/A</v>
          </cell>
          <cell r="CQ107">
            <v>6.62</v>
          </cell>
          <cell r="CR107">
            <v>41</v>
          </cell>
          <cell r="CS107">
            <v>1152</v>
          </cell>
          <cell r="CU107">
            <v>1270</v>
          </cell>
          <cell r="CW107">
            <v>52.591463414634148</v>
          </cell>
          <cell r="CX107">
            <v>532.57600000000002</v>
          </cell>
          <cell r="CZ107">
            <v>342.32</v>
          </cell>
          <cell r="DA107">
            <v>3144.2</v>
          </cell>
          <cell r="DB107">
            <v>17.37</v>
          </cell>
          <cell r="DC107">
            <v>289.3</v>
          </cell>
          <cell r="DD107">
            <v>105.25</v>
          </cell>
        </row>
        <row r="108">
          <cell r="A108">
            <v>38821</v>
          </cell>
          <cell r="C108">
            <v>120.7</v>
          </cell>
          <cell r="D108" t="str">
            <v>#N/A N/A</v>
          </cell>
          <cell r="E108" t="str">
            <v>#N/A N/A</v>
          </cell>
          <cell r="L108">
            <v>1432.72</v>
          </cell>
          <cell r="M108">
            <v>2326.11</v>
          </cell>
          <cell r="N108">
            <v>6029.4</v>
          </cell>
          <cell r="O108">
            <v>4064</v>
          </cell>
          <cell r="Q108">
            <v>525</v>
          </cell>
          <cell r="R108">
            <v>236.25</v>
          </cell>
          <cell r="S108">
            <v>357.5</v>
          </cell>
          <cell r="T108">
            <v>563</v>
          </cell>
          <cell r="U108">
            <v>17233.82</v>
          </cell>
          <cell r="V108">
            <v>16429.45</v>
          </cell>
          <cell r="W108">
            <v>6952.54</v>
          </cell>
          <cell r="X108">
            <v>64.599999999999994</v>
          </cell>
          <cell r="Y108">
            <v>930</v>
          </cell>
          <cell r="Z108">
            <v>1120</v>
          </cell>
          <cell r="AA108">
            <v>11237.23</v>
          </cell>
          <cell r="AB108">
            <v>5132.3</v>
          </cell>
          <cell r="AC108">
            <v>38082.128900000003</v>
          </cell>
          <cell r="AE108">
            <v>83.85</v>
          </cell>
          <cell r="AF108">
            <v>635.21</v>
          </cell>
          <cell r="AG108">
            <v>2503</v>
          </cell>
          <cell r="AH108">
            <v>800</v>
          </cell>
          <cell r="AI108">
            <v>1390</v>
          </cell>
          <cell r="AJ108">
            <v>704.57</v>
          </cell>
          <cell r="AL108">
            <v>1289.1199999999999</v>
          </cell>
          <cell r="AP108">
            <v>1359.538</v>
          </cell>
          <cell r="AV108">
            <v>48.33</v>
          </cell>
          <cell r="AZ108">
            <v>250</v>
          </cell>
          <cell r="BE108">
            <v>17735</v>
          </cell>
          <cell r="BG108">
            <v>53.5</v>
          </cell>
          <cell r="BH108">
            <v>271.82</v>
          </cell>
          <cell r="BY108">
            <v>507.96</v>
          </cell>
          <cell r="CD108">
            <v>330.41</v>
          </cell>
          <cell r="CE108">
            <v>327.06200000000001</v>
          </cell>
          <cell r="CF108">
            <v>324.19</v>
          </cell>
          <cell r="CG108">
            <v>1125</v>
          </cell>
          <cell r="CH108">
            <v>970</v>
          </cell>
          <cell r="CI108" t="str">
            <v>#N/A N/A</v>
          </cell>
          <cell r="CJ108">
            <v>475</v>
          </cell>
          <cell r="CK108">
            <v>970</v>
          </cell>
          <cell r="CM108">
            <v>222.97</v>
          </cell>
          <cell r="CN108">
            <v>29.87</v>
          </cell>
          <cell r="CO108" t="str">
            <v>#N/A N/A</v>
          </cell>
          <cell r="CQ108">
            <v>6.62</v>
          </cell>
          <cell r="CR108">
            <v>41</v>
          </cell>
          <cell r="CS108">
            <v>1152</v>
          </cell>
          <cell r="CU108">
            <v>1270</v>
          </cell>
          <cell r="CW108">
            <v>52.591463414634148</v>
          </cell>
          <cell r="CX108">
            <v>533.05999999999995</v>
          </cell>
          <cell r="CZ108">
            <v>342.32</v>
          </cell>
          <cell r="DA108">
            <v>3144.2</v>
          </cell>
          <cell r="DB108">
            <v>17.37</v>
          </cell>
          <cell r="DC108">
            <v>289.3</v>
          </cell>
          <cell r="DD108">
            <v>105.25</v>
          </cell>
        </row>
        <row r="109">
          <cell r="A109">
            <v>38822</v>
          </cell>
          <cell r="C109">
            <v>120.7</v>
          </cell>
          <cell r="D109" t="str">
            <v>#N/A N/A</v>
          </cell>
          <cell r="E109" t="str">
            <v>#N/A N/A</v>
          </cell>
          <cell r="L109">
            <v>1432.72</v>
          </cell>
          <cell r="M109">
            <v>2326.11</v>
          </cell>
          <cell r="N109">
            <v>6029.4</v>
          </cell>
          <cell r="O109">
            <v>4064</v>
          </cell>
          <cell r="Q109">
            <v>525</v>
          </cell>
          <cell r="R109">
            <v>236.25</v>
          </cell>
          <cell r="S109">
            <v>357.5</v>
          </cell>
          <cell r="T109">
            <v>563</v>
          </cell>
          <cell r="U109">
            <v>17233.82</v>
          </cell>
          <cell r="V109">
            <v>16429.45</v>
          </cell>
          <cell r="W109">
            <v>6952.54</v>
          </cell>
          <cell r="X109">
            <v>64.599999999999994</v>
          </cell>
          <cell r="Y109">
            <v>930</v>
          </cell>
          <cell r="Z109">
            <v>1120</v>
          </cell>
          <cell r="AA109">
            <v>11237.23</v>
          </cell>
          <cell r="AB109">
            <v>5132.3</v>
          </cell>
          <cell r="AC109">
            <v>38082.128900000003</v>
          </cell>
          <cell r="AE109">
            <v>83.85</v>
          </cell>
          <cell r="AF109">
            <v>635.21</v>
          </cell>
          <cell r="AG109">
            <v>2503</v>
          </cell>
          <cell r="AH109">
            <v>800</v>
          </cell>
          <cell r="AI109">
            <v>1390</v>
          </cell>
          <cell r="AJ109">
            <v>704.57</v>
          </cell>
          <cell r="AL109">
            <v>1289.1199999999999</v>
          </cell>
          <cell r="AP109">
            <v>1359.538</v>
          </cell>
          <cell r="AV109">
            <v>48.33</v>
          </cell>
          <cell r="AZ109">
            <v>250</v>
          </cell>
          <cell r="BE109">
            <v>17735</v>
          </cell>
          <cell r="BG109">
            <v>53.5</v>
          </cell>
          <cell r="BH109">
            <v>271.82</v>
          </cell>
          <cell r="BY109">
            <v>507.96</v>
          </cell>
          <cell r="CD109">
            <v>330.41</v>
          </cell>
          <cell r="CE109">
            <v>327.06200000000001</v>
          </cell>
          <cell r="CF109">
            <v>324.19</v>
          </cell>
          <cell r="CG109">
            <v>1125</v>
          </cell>
          <cell r="CH109">
            <v>970</v>
          </cell>
          <cell r="CI109" t="str">
            <v>#N/A N/A</v>
          </cell>
          <cell r="CJ109">
            <v>475</v>
          </cell>
          <cell r="CK109">
            <v>970</v>
          </cell>
          <cell r="CM109">
            <v>222.97</v>
          </cell>
          <cell r="CN109">
            <v>29.87</v>
          </cell>
          <cell r="CO109" t="str">
            <v>#N/A N/A</v>
          </cell>
          <cell r="CQ109">
            <v>6.62</v>
          </cell>
          <cell r="CR109">
            <v>41</v>
          </cell>
          <cell r="CS109">
            <v>1152</v>
          </cell>
          <cell r="CU109">
            <v>1270</v>
          </cell>
          <cell r="CW109">
            <v>52.591463414634148</v>
          </cell>
          <cell r="CX109">
            <v>533.05999999999995</v>
          </cell>
          <cell r="CZ109">
            <v>342.32</v>
          </cell>
          <cell r="DA109">
            <v>3144.2</v>
          </cell>
          <cell r="DB109">
            <v>17.37</v>
          </cell>
          <cell r="DC109">
            <v>289.3</v>
          </cell>
          <cell r="DD109">
            <v>105.25</v>
          </cell>
        </row>
        <row r="110">
          <cell r="A110">
            <v>38823</v>
          </cell>
          <cell r="C110">
            <v>120.7</v>
          </cell>
          <cell r="D110" t="str">
            <v>#N/A N/A</v>
          </cell>
          <cell r="E110" t="str">
            <v>#N/A N/A</v>
          </cell>
          <cell r="L110">
            <v>1432.72</v>
          </cell>
          <cell r="M110">
            <v>2326.11</v>
          </cell>
          <cell r="N110">
            <v>6029.4</v>
          </cell>
          <cell r="O110">
            <v>4064</v>
          </cell>
          <cell r="Q110">
            <v>525</v>
          </cell>
          <cell r="R110">
            <v>236.25</v>
          </cell>
          <cell r="S110">
            <v>357.5</v>
          </cell>
          <cell r="T110">
            <v>563</v>
          </cell>
          <cell r="U110">
            <v>17233.82</v>
          </cell>
          <cell r="V110">
            <v>16429.45</v>
          </cell>
          <cell r="W110">
            <v>6952.54</v>
          </cell>
          <cell r="X110">
            <v>64.599999999999994</v>
          </cell>
          <cell r="Y110">
            <v>930</v>
          </cell>
          <cell r="Z110">
            <v>1120</v>
          </cell>
          <cell r="AA110">
            <v>11237.23</v>
          </cell>
          <cell r="AB110">
            <v>5132.3</v>
          </cell>
          <cell r="AC110">
            <v>38082.128900000003</v>
          </cell>
          <cell r="AE110">
            <v>83.85</v>
          </cell>
          <cell r="AF110">
            <v>635.21</v>
          </cell>
          <cell r="AG110">
            <v>2503</v>
          </cell>
          <cell r="AH110">
            <v>800</v>
          </cell>
          <cell r="AI110">
            <v>1390</v>
          </cell>
          <cell r="AJ110">
            <v>704.57</v>
          </cell>
          <cell r="AL110">
            <v>1289.1199999999999</v>
          </cell>
          <cell r="AP110">
            <v>1359.538</v>
          </cell>
          <cell r="AV110">
            <v>48.33</v>
          </cell>
          <cell r="AZ110">
            <v>250</v>
          </cell>
          <cell r="BE110">
            <v>17735</v>
          </cell>
          <cell r="BG110">
            <v>53.5</v>
          </cell>
          <cell r="BH110">
            <v>271.82</v>
          </cell>
          <cell r="BY110">
            <v>507.96</v>
          </cell>
          <cell r="CD110">
            <v>330.41</v>
          </cell>
          <cell r="CE110">
            <v>327.06200000000001</v>
          </cell>
          <cell r="CF110">
            <v>324.19</v>
          </cell>
          <cell r="CG110">
            <v>1125</v>
          </cell>
          <cell r="CH110">
            <v>970</v>
          </cell>
          <cell r="CI110" t="str">
            <v>#N/A N/A</v>
          </cell>
          <cell r="CJ110">
            <v>475</v>
          </cell>
          <cell r="CK110">
            <v>970</v>
          </cell>
          <cell r="CM110">
            <v>222.97</v>
          </cell>
          <cell r="CN110">
            <v>29.87</v>
          </cell>
          <cell r="CO110" t="str">
            <v>#N/A N/A</v>
          </cell>
          <cell r="CQ110">
            <v>6.62</v>
          </cell>
          <cell r="CR110">
            <v>41</v>
          </cell>
          <cell r="CS110">
            <v>1152</v>
          </cell>
          <cell r="CU110">
            <v>1270</v>
          </cell>
          <cell r="CW110">
            <v>52.591463414634148</v>
          </cell>
          <cell r="CX110">
            <v>533.05999999999995</v>
          </cell>
          <cell r="CZ110">
            <v>342.32</v>
          </cell>
          <cell r="DA110">
            <v>3144.2</v>
          </cell>
          <cell r="DB110">
            <v>17.37</v>
          </cell>
          <cell r="DC110">
            <v>289.3</v>
          </cell>
          <cell r="DD110">
            <v>105.25</v>
          </cell>
        </row>
        <row r="111">
          <cell r="A111">
            <v>38824</v>
          </cell>
          <cell r="C111">
            <v>124</v>
          </cell>
          <cell r="D111" t="str">
            <v>#N/A N/A</v>
          </cell>
          <cell r="E111" t="str">
            <v>#N/A N/A</v>
          </cell>
          <cell r="L111">
            <v>1422.63</v>
          </cell>
          <cell r="M111">
            <v>2311.16</v>
          </cell>
          <cell r="N111">
            <v>6029.4</v>
          </cell>
          <cell r="O111">
            <v>4067</v>
          </cell>
          <cell r="Q111">
            <v>525</v>
          </cell>
          <cell r="R111">
            <v>236.5</v>
          </cell>
          <cell r="S111">
            <v>349.5</v>
          </cell>
          <cell r="T111">
            <v>571.5</v>
          </cell>
          <cell r="U111">
            <v>17000.36</v>
          </cell>
          <cell r="V111">
            <v>16429.45</v>
          </cell>
          <cell r="W111">
            <v>7000.09</v>
          </cell>
          <cell r="X111">
            <v>65.75</v>
          </cell>
          <cell r="Y111">
            <v>930</v>
          </cell>
          <cell r="Z111">
            <v>1120</v>
          </cell>
          <cell r="AA111">
            <v>11539.68</v>
          </cell>
          <cell r="AB111">
            <v>5132.3</v>
          </cell>
          <cell r="AC111">
            <v>38462.480499999998</v>
          </cell>
          <cell r="AE111">
            <v>85.75</v>
          </cell>
          <cell r="AF111">
            <v>635.21</v>
          </cell>
          <cell r="AG111">
            <v>2503</v>
          </cell>
          <cell r="AH111">
            <v>800</v>
          </cell>
          <cell r="AI111">
            <v>1390</v>
          </cell>
          <cell r="AJ111">
            <v>702.96</v>
          </cell>
          <cell r="AL111">
            <v>1285.33</v>
          </cell>
          <cell r="AP111">
            <v>1378.614</v>
          </cell>
          <cell r="AV111">
            <v>49.21</v>
          </cell>
          <cell r="AZ111">
            <v>251.1</v>
          </cell>
          <cell r="BE111">
            <v>17735</v>
          </cell>
          <cell r="BG111">
            <v>53.5</v>
          </cell>
          <cell r="BH111">
            <v>280.83</v>
          </cell>
          <cell r="BY111">
            <v>500.44</v>
          </cell>
          <cell r="CD111">
            <v>331.62</v>
          </cell>
          <cell r="CE111">
            <v>328.12900000000002</v>
          </cell>
          <cell r="CF111">
            <v>326.16000000000003</v>
          </cell>
          <cell r="CG111">
            <v>1125</v>
          </cell>
          <cell r="CH111">
            <v>970</v>
          </cell>
          <cell r="CI111" t="str">
            <v>#N/A N/A</v>
          </cell>
          <cell r="CJ111">
            <v>475</v>
          </cell>
          <cell r="CK111">
            <v>970</v>
          </cell>
          <cell r="CM111">
            <v>228.47</v>
          </cell>
          <cell r="CN111">
            <v>29.87</v>
          </cell>
          <cell r="CO111" t="str">
            <v>#N/A N/A</v>
          </cell>
          <cell r="CQ111">
            <v>7.2</v>
          </cell>
          <cell r="CR111">
            <v>41</v>
          </cell>
          <cell r="CS111">
            <v>1152</v>
          </cell>
          <cell r="CU111">
            <v>1270</v>
          </cell>
          <cell r="CW111">
            <v>52.743902439024396</v>
          </cell>
          <cell r="CX111">
            <v>539.70399999999995</v>
          </cell>
          <cell r="CZ111">
            <v>348.46</v>
          </cell>
          <cell r="DA111">
            <v>3144.2</v>
          </cell>
          <cell r="DB111">
            <v>17.8</v>
          </cell>
          <cell r="DC111">
            <v>289.3</v>
          </cell>
          <cell r="DD111">
            <v>106.65</v>
          </cell>
        </row>
        <row r="112">
          <cell r="A112">
            <v>38825</v>
          </cell>
          <cell r="C112">
            <v>124</v>
          </cell>
          <cell r="D112" t="str">
            <v>#N/A N/A</v>
          </cell>
          <cell r="E112" t="str">
            <v>#N/A N/A</v>
          </cell>
          <cell r="L112">
            <v>1427</v>
          </cell>
          <cell r="M112">
            <v>2356.14</v>
          </cell>
          <cell r="N112">
            <v>6044.1</v>
          </cell>
          <cell r="O112">
            <v>4057</v>
          </cell>
          <cell r="Q112">
            <v>525</v>
          </cell>
          <cell r="R112">
            <v>239.25</v>
          </cell>
          <cell r="S112">
            <v>355</v>
          </cell>
          <cell r="T112">
            <v>575.5</v>
          </cell>
          <cell r="U112">
            <v>17232.86</v>
          </cell>
          <cell r="V112">
            <v>16637.53</v>
          </cell>
          <cell r="W112">
            <v>6989.46</v>
          </cell>
          <cell r="X112">
            <v>66.900000000000006</v>
          </cell>
          <cell r="Y112">
            <v>930</v>
          </cell>
          <cell r="Z112">
            <v>1120</v>
          </cell>
          <cell r="AA112">
            <v>11821.57</v>
          </cell>
          <cell r="AB112">
            <v>5200.3</v>
          </cell>
          <cell r="AC112">
            <v>39572.468800000002</v>
          </cell>
          <cell r="AE112">
            <v>87.35</v>
          </cell>
          <cell r="AF112">
            <v>643.39</v>
          </cell>
          <cell r="AG112">
            <v>2495</v>
          </cell>
          <cell r="AH112">
            <v>800</v>
          </cell>
          <cell r="AI112">
            <v>1390</v>
          </cell>
          <cell r="AJ112">
            <v>702.84</v>
          </cell>
          <cell r="AL112">
            <v>1307.6500000000001</v>
          </cell>
          <cell r="AP112">
            <v>1385.114</v>
          </cell>
          <cell r="AV112">
            <v>50.3</v>
          </cell>
          <cell r="AZ112">
            <v>246.9</v>
          </cell>
          <cell r="BE112">
            <v>18215</v>
          </cell>
          <cell r="BG112">
            <v>53.5</v>
          </cell>
          <cell r="BH112">
            <v>308.04000000000002</v>
          </cell>
          <cell r="BY112">
            <v>517.46</v>
          </cell>
          <cell r="CD112">
            <v>335.3</v>
          </cell>
          <cell r="CE112">
            <v>331.69099999999997</v>
          </cell>
          <cell r="CF112">
            <v>329.15</v>
          </cell>
          <cell r="CG112">
            <v>1125</v>
          </cell>
          <cell r="CH112">
            <v>970</v>
          </cell>
          <cell r="CI112" t="str">
            <v>#N/A N/A</v>
          </cell>
          <cell r="CJ112">
            <v>475</v>
          </cell>
          <cell r="CK112">
            <v>1008</v>
          </cell>
          <cell r="CM112">
            <v>232.14</v>
          </cell>
          <cell r="CN112">
            <v>31.88</v>
          </cell>
          <cell r="CO112" t="str">
            <v>#N/A N/A</v>
          </cell>
          <cell r="CQ112">
            <v>7.57</v>
          </cell>
          <cell r="CR112">
            <v>41</v>
          </cell>
          <cell r="CS112">
            <v>1170</v>
          </cell>
          <cell r="CU112">
            <v>1270</v>
          </cell>
          <cell r="CW112">
            <v>53.201219512195124</v>
          </cell>
          <cell r="CX112">
            <v>540.67200000000003</v>
          </cell>
          <cell r="CZ112">
            <v>354.89</v>
          </cell>
          <cell r="DA112">
            <v>3285.5</v>
          </cell>
          <cell r="DB112">
            <v>18.28</v>
          </cell>
          <cell r="DC112">
            <v>289.3</v>
          </cell>
          <cell r="DD112">
            <v>109.2</v>
          </cell>
        </row>
        <row r="113">
          <cell r="A113">
            <v>38826</v>
          </cell>
          <cell r="C113">
            <v>124</v>
          </cell>
          <cell r="D113" t="str">
            <v>#N/A N/A</v>
          </cell>
          <cell r="E113" t="str">
            <v>#N/A N/A</v>
          </cell>
          <cell r="L113">
            <v>1437.84</v>
          </cell>
          <cell r="M113">
            <v>2370.88</v>
          </cell>
          <cell r="N113">
            <v>6089.8</v>
          </cell>
          <cell r="O113">
            <v>4048</v>
          </cell>
          <cell r="Q113">
            <v>525</v>
          </cell>
          <cell r="R113">
            <v>238.5</v>
          </cell>
          <cell r="S113">
            <v>354.75</v>
          </cell>
          <cell r="T113">
            <v>574</v>
          </cell>
          <cell r="U113">
            <v>17350.12</v>
          </cell>
          <cell r="V113">
            <v>16830.439999999999</v>
          </cell>
          <cell r="W113">
            <v>7038.78</v>
          </cell>
          <cell r="X113">
            <v>66.75</v>
          </cell>
          <cell r="Y113">
            <v>930</v>
          </cell>
          <cell r="Z113">
            <v>1120</v>
          </cell>
          <cell r="AA113">
            <v>11895.98</v>
          </cell>
          <cell r="AB113">
            <v>5233.2</v>
          </cell>
          <cell r="AC113">
            <v>39937.738299999997</v>
          </cell>
          <cell r="AE113">
            <v>88.85</v>
          </cell>
          <cell r="AF113">
            <v>643.39</v>
          </cell>
          <cell r="AG113">
            <v>2479</v>
          </cell>
          <cell r="AH113">
            <v>800</v>
          </cell>
          <cell r="AI113">
            <v>1390</v>
          </cell>
          <cell r="AJ113">
            <v>701.85</v>
          </cell>
          <cell r="AL113">
            <v>1309.93</v>
          </cell>
          <cell r="AP113">
            <v>1396.702</v>
          </cell>
          <cell r="AV113">
            <v>50.39</v>
          </cell>
          <cell r="AZ113">
            <v>247.3</v>
          </cell>
          <cell r="BE113">
            <v>18290</v>
          </cell>
          <cell r="BG113">
            <v>53.5</v>
          </cell>
          <cell r="BH113">
            <v>325.11</v>
          </cell>
          <cell r="BY113">
            <v>526.5</v>
          </cell>
          <cell r="CD113">
            <v>337.8</v>
          </cell>
          <cell r="CE113">
            <v>334.02300000000002</v>
          </cell>
          <cell r="CF113">
            <v>333.77</v>
          </cell>
          <cell r="CG113">
            <v>1125</v>
          </cell>
          <cell r="CH113">
            <v>970</v>
          </cell>
          <cell r="CI113" t="str">
            <v>#N/A N/A</v>
          </cell>
          <cell r="CJ113">
            <v>475</v>
          </cell>
          <cell r="CK113">
            <v>1044</v>
          </cell>
          <cell r="CM113">
            <v>234.69</v>
          </cell>
          <cell r="CN113">
            <v>32.450000000000003</v>
          </cell>
          <cell r="CO113" t="str">
            <v>#N/A N/A</v>
          </cell>
          <cell r="CQ113">
            <v>7.73</v>
          </cell>
          <cell r="CR113">
            <v>41.2</v>
          </cell>
          <cell r="CS113">
            <v>1174.5</v>
          </cell>
          <cell r="CU113">
            <v>1270</v>
          </cell>
          <cell r="CW113">
            <v>53.506097560975611</v>
          </cell>
          <cell r="CX113">
            <v>544.63200000000006</v>
          </cell>
          <cell r="CZ113">
            <v>357.29</v>
          </cell>
          <cell r="DA113">
            <v>3263.5</v>
          </cell>
          <cell r="DB113">
            <v>18.54</v>
          </cell>
          <cell r="DC113">
            <v>289.3</v>
          </cell>
          <cell r="DD113">
            <v>110.1</v>
          </cell>
        </row>
        <row r="114">
          <cell r="A114">
            <v>38827</v>
          </cell>
          <cell r="C114">
            <v>124</v>
          </cell>
          <cell r="D114" t="str">
            <v>#N/A N/A</v>
          </cell>
          <cell r="E114" t="str">
            <v>#N/A N/A</v>
          </cell>
          <cell r="L114">
            <v>1434.15</v>
          </cell>
          <cell r="M114">
            <v>2362.5500000000002</v>
          </cell>
          <cell r="N114">
            <v>6081.4</v>
          </cell>
          <cell r="O114">
            <v>4041</v>
          </cell>
          <cell r="Q114">
            <v>525</v>
          </cell>
          <cell r="R114">
            <v>235.75</v>
          </cell>
          <cell r="S114">
            <v>353</v>
          </cell>
          <cell r="T114">
            <v>571.25</v>
          </cell>
          <cell r="U114">
            <v>17317.53</v>
          </cell>
          <cell r="V114">
            <v>16944.34</v>
          </cell>
          <cell r="W114">
            <v>7102.74</v>
          </cell>
          <cell r="X114">
            <v>67.95</v>
          </cell>
          <cell r="Y114">
            <v>930</v>
          </cell>
          <cell r="Z114">
            <v>1120</v>
          </cell>
          <cell r="AA114">
            <v>12039.55</v>
          </cell>
          <cell r="AB114">
            <v>5225.8</v>
          </cell>
          <cell r="AC114">
            <v>39774.589800000002</v>
          </cell>
          <cell r="AE114">
            <v>90.05</v>
          </cell>
          <cell r="AF114">
            <v>643.39</v>
          </cell>
          <cell r="AG114">
            <v>2451</v>
          </cell>
          <cell r="AH114">
            <v>800</v>
          </cell>
          <cell r="AI114">
            <v>1390</v>
          </cell>
          <cell r="AJ114">
            <v>694.12</v>
          </cell>
          <cell r="AL114">
            <v>1311.46</v>
          </cell>
          <cell r="AP114">
            <v>1385.9</v>
          </cell>
          <cell r="AV114">
            <v>50.24</v>
          </cell>
          <cell r="AZ114">
            <v>252.2</v>
          </cell>
          <cell r="BE114">
            <v>18411</v>
          </cell>
          <cell r="BG114">
            <v>53.5</v>
          </cell>
          <cell r="BH114">
            <v>311.7</v>
          </cell>
          <cell r="BY114">
            <v>529.29999999999995</v>
          </cell>
          <cell r="CD114">
            <v>337.93</v>
          </cell>
          <cell r="CE114">
            <v>334.11500000000001</v>
          </cell>
          <cell r="CF114">
            <v>335.45</v>
          </cell>
          <cell r="CG114">
            <v>1125</v>
          </cell>
          <cell r="CH114">
            <v>970</v>
          </cell>
          <cell r="CI114" t="str">
            <v>#N/A N/A</v>
          </cell>
          <cell r="CJ114">
            <v>475</v>
          </cell>
          <cell r="CK114">
            <v>1059</v>
          </cell>
          <cell r="CM114">
            <v>232.2</v>
          </cell>
          <cell r="CN114">
            <v>31.27</v>
          </cell>
          <cell r="CO114" t="str">
            <v>#N/A N/A</v>
          </cell>
          <cell r="CQ114">
            <v>7.93</v>
          </cell>
          <cell r="CR114">
            <v>41.2</v>
          </cell>
          <cell r="CS114">
            <v>1163.75</v>
          </cell>
          <cell r="CU114">
            <v>1270</v>
          </cell>
          <cell r="CW114">
            <v>54.19207317073171</v>
          </cell>
          <cell r="CX114">
            <v>541.99199999999996</v>
          </cell>
          <cell r="CZ114">
            <v>353.94</v>
          </cell>
          <cell r="DA114">
            <v>3215.7</v>
          </cell>
          <cell r="DB114">
            <v>18.22</v>
          </cell>
          <cell r="DC114">
            <v>289.3</v>
          </cell>
          <cell r="DD114">
            <v>112.9</v>
          </cell>
        </row>
        <row r="115">
          <cell r="A115">
            <v>38828</v>
          </cell>
          <cell r="C115">
            <v>124</v>
          </cell>
          <cell r="D115" t="str">
            <v>#N/A N/A</v>
          </cell>
          <cell r="E115" t="str">
            <v>#N/A N/A</v>
          </cell>
          <cell r="L115">
            <v>1451.31</v>
          </cell>
          <cell r="M115">
            <v>2342.86</v>
          </cell>
          <cell r="N115">
            <v>6132.7</v>
          </cell>
          <cell r="O115">
            <v>4035</v>
          </cell>
          <cell r="Q115">
            <v>525</v>
          </cell>
          <cell r="R115">
            <v>236.5</v>
          </cell>
          <cell r="S115">
            <v>352.75</v>
          </cell>
          <cell r="T115">
            <v>569.75</v>
          </cell>
          <cell r="U115">
            <v>17403.96</v>
          </cell>
          <cell r="V115">
            <v>16912.150000000001</v>
          </cell>
          <cell r="W115">
            <v>7093.05</v>
          </cell>
          <cell r="X115">
            <v>66.25</v>
          </cell>
          <cell r="Y115">
            <v>1000</v>
          </cell>
          <cell r="Z115">
            <v>1140</v>
          </cell>
          <cell r="AA115">
            <v>12030.3</v>
          </cell>
          <cell r="AB115">
            <v>5199.1000000000004</v>
          </cell>
          <cell r="AC115">
            <v>39774.589800000002</v>
          </cell>
          <cell r="AE115">
            <v>88.15</v>
          </cell>
          <cell r="AF115">
            <v>643.39</v>
          </cell>
          <cell r="AG115">
            <v>2434</v>
          </cell>
          <cell r="AH115">
            <v>810</v>
          </cell>
          <cell r="AI115">
            <v>1400</v>
          </cell>
          <cell r="AJ115">
            <v>701.49</v>
          </cell>
          <cell r="AL115">
            <v>1311.28</v>
          </cell>
          <cell r="AP115">
            <v>1416.7929999999999</v>
          </cell>
          <cell r="AV115">
            <v>50.58</v>
          </cell>
          <cell r="AZ115">
            <v>247.5</v>
          </cell>
          <cell r="BE115">
            <v>19505</v>
          </cell>
          <cell r="BG115">
            <v>53.5</v>
          </cell>
          <cell r="BH115">
            <v>316.02999999999997</v>
          </cell>
          <cell r="BY115">
            <v>518.41999999999996</v>
          </cell>
          <cell r="CD115">
            <v>339.48</v>
          </cell>
          <cell r="CE115">
            <v>335.64499999999998</v>
          </cell>
          <cell r="CF115">
            <v>336.76</v>
          </cell>
          <cell r="CG115">
            <v>1140</v>
          </cell>
          <cell r="CH115">
            <v>1030</v>
          </cell>
          <cell r="CI115" t="str">
            <v>#N/A N/A</v>
          </cell>
          <cell r="CJ115">
            <v>475</v>
          </cell>
          <cell r="CK115">
            <v>1086</v>
          </cell>
          <cell r="CM115">
            <v>235.95</v>
          </cell>
          <cell r="CN115">
            <v>30.78</v>
          </cell>
          <cell r="CO115" t="str">
            <v>#N/A N/A</v>
          </cell>
          <cell r="CQ115">
            <v>7.66</v>
          </cell>
          <cell r="CR115">
            <v>41.2</v>
          </cell>
          <cell r="CS115">
            <v>1230.5</v>
          </cell>
          <cell r="CU115">
            <v>1300</v>
          </cell>
          <cell r="CW115">
            <v>54.03963414634147</v>
          </cell>
          <cell r="CX115">
            <v>542.78399999999999</v>
          </cell>
          <cell r="CZ115">
            <v>358.59</v>
          </cell>
          <cell r="DA115">
            <v>3429</v>
          </cell>
          <cell r="DB115">
            <v>18</v>
          </cell>
          <cell r="DC115">
            <v>289.3</v>
          </cell>
          <cell r="DD115">
            <v>112</v>
          </cell>
        </row>
        <row r="116">
          <cell r="A116">
            <v>38829</v>
          </cell>
          <cell r="C116">
            <v>124</v>
          </cell>
          <cell r="D116" t="str">
            <v>#N/A N/A</v>
          </cell>
          <cell r="E116" t="str">
            <v>#N/A N/A</v>
          </cell>
          <cell r="L116">
            <v>1451.31</v>
          </cell>
          <cell r="M116">
            <v>2342.86</v>
          </cell>
          <cell r="N116">
            <v>6132.7</v>
          </cell>
          <cell r="O116">
            <v>4035</v>
          </cell>
          <cell r="Q116">
            <v>525</v>
          </cell>
          <cell r="R116">
            <v>236.5</v>
          </cell>
          <cell r="S116">
            <v>352.75</v>
          </cell>
          <cell r="T116">
            <v>569.75</v>
          </cell>
          <cell r="U116">
            <v>17403.96</v>
          </cell>
          <cell r="V116">
            <v>16912.150000000001</v>
          </cell>
          <cell r="W116">
            <v>7093.05</v>
          </cell>
          <cell r="X116">
            <v>66.25</v>
          </cell>
          <cell r="Y116">
            <v>1000</v>
          </cell>
          <cell r="Z116">
            <v>1140</v>
          </cell>
          <cell r="AA116">
            <v>12030.3</v>
          </cell>
          <cell r="AB116">
            <v>5199.1000000000004</v>
          </cell>
          <cell r="AC116">
            <v>39774.589800000002</v>
          </cell>
          <cell r="AE116">
            <v>88.15</v>
          </cell>
          <cell r="AF116">
            <v>643.39</v>
          </cell>
          <cell r="AG116">
            <v>2434</v>
          </cell>
          <cell r="AH116">
            <v>810</v>
          </cell>
          <cell r="AI116">
            <v>1400</v>
          </cell>
          <cell r="AJ116">
            <v>701.49</v>
          </cell>
          <cell r="AL116">
            <v>1311.28</v>
          </cell>
          <cell r="AP116">
            <v>1416.7929999999999</v>
          </cell>
          <cell r="AV116">
            <v>50.58</v>
          </cell>
          <cell r="AZ116">
            <v>247.5</v>
          </cell>
          <cell r="BE116">
            <v>19505</v>
          </cell>
          <cell r="BG116">
            <v>53.5</v>
          </cell>
          <cell r="BH116">
            <v>316.02999999999997</v>
          </cell>
          <cell r="BY116">
            <v>518.41999999999996</v>
          </cell>
          <cell r="CD116">
            <v>339.48</v>
          </cell>
          <cell r="CE116">
            <v>335.64499999999998</v>
          </cell>
          <cell r="CF116">
            <v>336.76</v>
          </cell>
          <cell r="CG116">
            <v>1140</v>
          </cell>
          <cell r="CH116">
            <v>1030</v>
          </cell>
          <cell r="CI116" t="str">
            <v>#N/A N/A</v>
          </cell>
          <cell r="CJ116">
            <v>475</v>
          </cell>
          <cell r="CK116">
            <v>1086</v>
          </cell>
          <cell r="CM116">
            <v>235.95</v>
          </cell>
          <cell r="CN116">
            <v>30.78</v>
          </cell>
          <cell r="CO116" t="str">
            <v>#N/A N/A</v>
          </cell>
          <cell r="CQ116">
            <v>7.66</v>
          </cell>
          <cell r="CR116">
            <v>41.2</v>
          </cell>
          <cell r="CS116">
            <v>1230.5</v>
          </cell>
          <cell r="CU116">
            <v>1300</v>
          </cell>
          <cell r="CW116">
            <v>54.03963414634147</v>
          </cell>
          <cell r="CX116">
            <v>542.78399999999999</v>
          </cell>
          <cell r="CZ116">
            <v>358.59</v>
          </cell>
          <cell r="DA116">
            <v>3429</v>
          </cell>
          <cell r="DB116">
            <v>18</v>
          </cell>
          <cell r="DC116">
            <v>289.3</v>
          </cell>
          <cell r="DD116">
            <v>112</v>
          </cell>
        </row>
        <row r="117">
          <cell r="A117">
            <v>38830</v>
          </cell>
          <cell r="C117">
            <v>124</v>
          </cell>
          <cell r="D117" t="str">
            <v>#N/A N/A</v>
          </cell>
          <cell r="E117" t="str">
            <v>#N/A N/A</v>
          </cell>
          <cell r="L117">
            <v>1451.31</v>
          </cell>
          <cell r="M117">
            <v>2342.86</v>
          </cell>
          <cell r="N117">
            <v>6132.7</v>
          </cell>
          <cell r="O117">
            <v>4035</v>
          </cell>
          <cell r="Q117">
            <v>525</v>
          </cell>
          <cell r="R117">
            <v>236.5</v>
          </cell>
          <cell r="S117">
            <v>352.75</v>
          </cell>
          <cell r="T117">
            <v>569.75</v>
          </cell>
          <cell r="U117">
            <v>17403.96</v>
          </cell>
          <cell r="V117">
            <v>16912.150000000001</v>
          </cell>
          <cell r="W117">
            <v>7093.05</v>
          </cell>
          <cell r="X117">
            <v>66.25</v>
          </cell>
          <cell r="Y117">
            <v>1000</v>
          </cell>
          <cell r="Z117">
            <v>1140</v>
          </cell>
          <cell r="AA117">
            <v>12030.3</v>
          </cell>
          <cell r="AB117">
            <v>5199.1000000000004</v>
          </cell>
          <cell r="AC117">
            <v>39774.589800000002</v>
          </cell>
          <cell r="AE117">
            <v>88.15</v>
          </cell>
          <cell r="AF117">
            <v>643.39</v>
          </cell>
          <cell r="AG117">
            <v>2434</v>
          </cell>
          <cell r="AH117">
            <v>810</v>
          </cell>
          <cell r="AI117">
            <v>1400</v>
          </cell>
          <cell r="AJ117">
            <v>701.49</v>
          </cell>
          <cell r="AL117">
            <v>1311.28</v>
          </cell>
          <cell r="AP117">
            <v>1416.7929999999999</v>
          </cell>
          <cell r="AV117">
            <v>50.58</v>
          </cell>
          <cell r="AZ117">
            <v>247.5</v>
          </cell>
          <cell r="BE117">
            <v>19505</v>
          </cell>
          <cell r="BG117">
            <v>53.5</v>
          </cell>
          <cell r="BH117">
            <v>316.02999999999997</v>
          </cell>
          <cell r="BY117">
            <v>518.41999999999996</v>
          </cell>
          <cell r="CD117">
            <v>339.48</v>
          </cell>
          <cell r="CE117">
            <v>335.64499999999998</v>
          </cell>
          <cell r="CF117">
            <v>336.76</v>
          </cell>
          <cell r="CG117">
            <v>1140</v>
          </cell>
          <cell r="CH117">
            <v>1030</v>
          </cell>
          <cell r="CI117" t="str">
            <v>#N/A N/A</v>
          </cell>
          <cell r="CJ117">
            <v>475</v>
          </cell>
          <cell r="CK117">
            <v>1086</v>
          </cell>
          <cell r="CM117">
            <v>235.95</v>
          </cell>
          <cell r="CN117">
            <v>30.78</v>
          </cell>
          <cell r="CO117" t="str">
            <v>#N/A N/A</v>
          </cell>
          <cell r="CQ117">
            <v>7.66</v>
          </cell>
          <cell r="CR117">
            <v>41.2</v>
          </cell>
          <cell r="CS117">
            <v>1230.5</v>
          </cell>
          <cell r="CU117">
            <v>1300</v>
          </cell>
          <cell r="CW117">
            <v>54.03963414634147</v>
          </cell>
          <cell r="CX117">
            <v>542.78399999999999</v>
          </cell>
          <cell r="CZ117">
            <v>358.59</v>
          </cell>
          <cell r="DA117">
            <v>3429</v>
          </cell>
          <cell r="DB117">
            <v>18</v>
          </cell>
          <cell r="DC117">
            <v>289.3</v>
          </cell>
          <cell r="DD117">
            <v>112</v>
          </cell>
        </row>
        <row r="118">
          <cell r="A118">
            <v>38831</v>
          </cell>
          <cell r="C118">
            <v>124</v>
          </cell>
          <cell r="D118" t="str">
            <v>#N/A N/A</v>
          </cell>
          <cell r="E118" t="str">
            <v>#N/A N/A</v>
          </cell>
          <cell r="L118">
            <v>1430.94</v>
          </cell>
          <cell r="M118">
            <v>2333.38</v>
          </cell>
          <cell r="N118">
            <v>6098.7</v>
          </cell>
          <cell r="O118">
            <v>4028</v>
          </cell>
          <cell r="Q118">
            <v>525</v>
          </cell>
          <cell r="R118">
            <v>232.75</v>
          </cell>
          <cell r="S118">
            <v>350.75</v>
          </cell>
          <cell r="T118">
            <v>574.25</v>
          </cell>
          <cell r="U118">
            <v>16914.400000000001</v>
          </cell>
          <cell r="V118">
            <v>16705.669999999998</v>
          </cell>
          <cell r="W118">
            <v>7096.04</v>
          </cell>
          <cell r="X118">
            <v>67.599999999999994</v>
          </cell>
          <cell r="Y118">
            <v>1000</v>
          </cell>
          <cell r="Z118">
            <v>1140</v>
          </cell>
          <cell r="AA118">
            <v>11915.24</v>
          </cell>
          <cell r="AB118">
            <v>5217.7</v>
          </cell>
          <cell r="AC118">
            <v>39751.300799999997</v>
          </cell>
          <cell r="AE118">
            <v>89.75</v>
          </cell>
          <cell r="AF118">
            <v>643.39</v>
          </cell>
          <cell r="AG118">
            <v>2421</v>
          </cell>
          <cell r="AH118">
            <v>810</v>
          </cell>
          <cell r="AI118">
            <v>1400</v>
          </cell>
          <cell r="AJ118">
            <v>695.7</v>
          </cell>
          <cell r="AL118">
            <v>1308.1099999999999</v>
          </cell>
          <cell r="AP118">
            <v>1409.7860000000001</v>
          </cell>
          <cell r="AV118">
            <v>50.11</v>
          </cell>
          <cell r="AZ118">
            <v>246.7</v>
          </cell>
          <cell r="BE118">
            <v>19425</v>
          </cell>
          <cell r="BG118">
            <v>53.5</v>
          </cell>
          <cell r="BH118">
            <v>320.45</v>
          </cell>
          <cell r="BY118">
            <v>514.79999999999995</v>
          </cell>
          <cell r="CD118">
            <v>338.34</v>
          </cell>
          <cell r="CE118">
            <v>334.51799999999997</v>
          </cell>
          <cell r="CF118">
            <v>334.94</v>
          </cell>
          <cell r="CG118">
            <v>1140</v>
          </cell>
          <cell r="CH118">
            <v>1030</v>
          </cell>
          <cell r="CI118" t="str">
            <v>#N/A N/A</v>
          </cell>
          <cell r="CJ118">
            <v>460</v>
          </cell>
          <cell r="CK118">
            <v>1098</v>
          </cell>
          <cell r="CM118">
            <v>230.4</v>
          </cell>
          <cell r="CN118">
            <v>31.15</v>
          </cell>
          <cell r="CO118" t="str">
            <v>#N/A N/A</v>
          </cell>
          <cell r="CQ118">
            <v>7.76</v>
          </cell>
          <cell r="CR118">
            <v>41.2</v>
          </cell>
          <cell r="CS118">
            <v>1195.5</v>
          </cell>
          <cell r="CU118">
            <v>1300</v>
          </cell>
          <cell r="CW118">
            <v>54.19207317073171</v>
          </cell>
          <cell r="CX118">
            <v>545.33600000000001</v>
          </cell>
          <cell r="CZ118">
            <v>352.56</v>
          </cell>
          <cell r="DA118">
            <v>3412</v>
          </cell>
          <cell r="DB118">
            <v>18.170000000000002</v>
          </cell>
          <cell r="DC118">
            <v>289.3</v>
          </cell>
          <cell r="DD118">
            <v>111.35</v>
          </cell>
        </row>
        <row r="119">
          <cell r="A119">
            <v>38832</v>
          </cell>
          <cell r="C119">
            <v>124</v>
          </cell>
          <cell r="D119" t="str">
            <v>#N/A N/A</v>
          </cell>
          <cell r="E119" t="str">
            <v>#N/A N/A</v>
          </cell>
          <cell r="L119">
            <v>1431.15</v>
          </cell>
          <cell r="M119">
            <v>2330.3000000000002</v>
          </cell>
          <cell r="N119">
            <v>6086.6</v>
          </cell>
          <cell r="O119">
            <v>4024</v>
          </cell>
          <cell r="Q119">
            <v>525</v>
          </cell>
          <cell r="R119">
            <v>231</v>
          </cell>
          <cell r="S119">
            <v>350</v>
          </cell>
          <cell r="T119">
            <v>579.5</v>
          </cell>
          <cell r="U119">
            <v>16970.29</v>
          </cell>
          <cell r="V119">
            <v>16577.77</v>
          </cell>
          <cell r="W119">
            <v>7059.94</v>
          </cell>
          <cell r="X119">
            <v>66.45</v>
          </cell>
          <cell r="Y119">
            <v>1000</v>
          </cell>
          <cell r="Z119">
            <v>1140</v>
          </cell>
          <cell r="AA119">
            <v>11646.78</v>
          </cell>
          <cell r="AB119">
            <v>5217.7</v>
          </cell>
          <cell r="AC119">
            <v>39738.070299999999</v>
          </cell>
          <cell r="AE119">
            <v>88.85</v>
          </cell>
          <cell r="AF119">
            <v>647.01</v>
          </cell>
          <cell r="AG119">
            <v>2397</v>
          </cell>
          <cell r="AH119">
            <v>810</v>
          </cell>
          <cell r="AI119">
            <v>1400</v>
          </cell>
          <cell r="AJ119">
            <v>689.21</v>
          </cell>
          <cell r="AL119">
            <v>1301.74</v>
          </cell>
          <cell r="AP119">
            <v>1399.7670000000001</v>
          </cell>
          <cell r="AV119">
            <v>49.86</v>
          </cell>
          <cell r="AZ119">
            <v>241.4</v>
          </cell>
          <cell r="BE119">
            <v>20270</v>
          </cell>
          <cell r="BG119">
            <v>53.5</v>
          </cell>
          <cell r="BH119">
            <v>315.48</v>
          </cell>
          <cell r="BY119">
            <v>516.22</v>
          </cell>
          <cell r="CD119">
            <v>337.97</v>
          </cell>
          <cell r="CE119">
            <v>334.267</v>
          </cell>
          <cell r="CF119">
            <v>331.46</v>
          </cell>
          <cell r="CG119">
            <v>1140</v>
          </cell>
          <cell r="CH119">
            <v>1030</v>
          </cell>
          <cell r="CI119" t="str">
            <v>#N/A N/A</v>
          </cell>
          <cell r="CJ119">
            <v>460</v>
          </cell>
          <cell r="CK119">
            <v>1107</v>
          </cell>
          <cell r="CM119">
            <v>224.5</v>
          </cell>
          <cell r="CN119">
            <v>28.66</v>
          </cell>
          <cell r="CO119" t="str">
            <v>#N/A N/A</v>
          </cell>
          <cell r="CQ119">
            <v>7.36</v>
          </cell>
          <cell r="CR119">
            <v>41.2</v>
          </cell>
          <cell r="CS119">
            <v>1186</v>
          </cell>
          <cell r="CU119">
            <v>1300</v>
          </cell>
          <cell r="CW119">
            <v>54.19207317073171</v>
          </cell>
          <cell r="CX119">
            <v>545.77599999999995</v>
          </cell>
          <cell r="CZ119">
            <v>352.93</v>
          </cell>
          <cell r="DA119">
            <v>3565.4</v>
          </cell>
          <cell r="DB119">
            <v>17.989999999999998</v>
          </cell>
          <cell r="DC119">
            <v>289.3</v>
          </cell>
          <cell r="DD119">
            <v>106.7</v>
          </cell>
        </row>
        <row r="120">
          <cell r="A120">
            <v>38833</v>
          </cell>
          <cell r="C120">
            <v>124</v>
          </cell>
          <cell r="D120" t="str">
            <v>#N/A N/A</v>
          </cell>
          <cell r="E120" t="str">
            <v>#N/A N/A</v>
          </cell>
          <cell r="L120">
            <v>1451.22</v>
          </cell>
          <cell r="M120">
            <v>2333.63</v>
          </cell>
          <cell r="N120">
            <v>6104.3</v>
          </cell>
          <cell r="O120">
            <v>4028</v>
          </cell>
          <cell r="Q120">
            <v>525</v>
          </cell>
          <cell r="R120">
            <v>231.5</v>
          </cell>
          <cell r="S120">
            <v>348.5</v>
          </cell>
          <cell r="T120">
            <v>575.75</v>
          </cell>
          <cell r="U120">
            <v>17055.93</v>
          </cell>
          <cell r="V120">
            <v>16672.66</v>
          </cell>
          <cell r="W120">
            <v>7168.98</v>
          </cell>
          <cell r="X120">
            <v>66.849999999999994</v>
          </cell>
          <cell r="Y120">
            <v>1000</v>
          </cell>
          <cell r="Z120">
            <v>1140</v>
          </cell>
          <cell r="AA120">
            <v>11938.53</v>
          </cell>
          <cell r="AB120">
            <v>5272.1</v>
          </cell>
          <cell r="AC120">
            <v>40410.058599999997</v>
          </cell>
          <cell r="AE120">
            <v>89.95</v>
          </cell>
          <cell r="AF120">
            <v>647.01</v>
          </cell>
          <cell r="AG120">
            <v>2378</v>
          </cell>
          <cell r="AH120">
            <v>810</v>
          </cell>
          <cell r="AI120">
            <v>1400</v>
          </cell>
          <cell r="AJ120">
            <v>693.22</v>
          </cell>
          <cell r="AL120">
            <v>1305.4100000000001</v>
          </cell>
          <cell r="AP120">
            <v>1417.4770000000001</v>
          </cell>
          <cell r="AV120">
            <v>50.97</v>
          </cell>
          <cell r="AZ120">
            <v>244.3</v>
          </cell>
          <cell r="BE120">
            <v>19810</v>
          </cell>
          <cell r="BG120">
            <v>53.5</v>
          </cell>
          <cell r="BH120">
            <v>312.23</v>
          </cell>
          <cell r="BY120">
            <v>513.48</v>
          </cell>
          <cell r="CD120">
            <v>339.4</v>
          </cell>
          <cell r="CE120">
            <v>335.52199999999999</v>
          </cell>
          <cell r="CF120">
            <v>336.42</v>
          </cell>
          <cell r="CG120">
            <v>1140</v>
          </cell>
          <cell r="CH120">
            <v>1030</v>
          </cell>
          <cell r="CI120" t="str">
            <v>#N/A N/A</v>
          </cell>
          <cell r="CJ120">
            <v>460</v>
          </cell>
          <cell r="CK120">
            <v>1110</v>
          </cell>
          <cell r="CM120">
            <v>225.1</v>
          </cell>
          <cell r="CN120">
            <v>24.74</v>
          </cell>
          <cell r="CO120" t="str">
            <v>#N/A N/A</v>
          </cell>
          <cell r="CQ120">
            <v>7.19</v>
          </cell>
          <cell r="CR120">
            <v>41.2</v>
          </cell>
          <cell r="CS120">
            <v>1196</v>
          </cell>
          <cell r="CU120">
            <v>1300</v>
          </cell>
          <cell r="CW120">
            <v>53.963414634146346</v>
          </cell>
          <cell r="CX120">
            <v>548.41599999999994</v>
          </cell>
          <cell r="CZ120">
            <v>352.57</v>
          </cell>
          <cell r="DA120">
            <v>3594.2</v>
          </cell>
          <cell r="DB120">
            <v>18.100000000000001</v>
          </cell>
          <cell r="DC120">
            <v>289.3</v>
          </cell>
          <cell r="DD120">
            <v>109</v>
          </cell>
        </row>
        <row r="121">
          <cell r="A121">
            <v>38834</v>
          </cell>
          <cell r="C121">
            <v>124</v>
          </cell>
          <cell r="D121" t="str">
            <v>#N/A N/A</v>
          </cell>
          <cell r="E121" t="str">
            <v>#N/A N/A</v>
          </cell>
          <cell r="L121">
            <v>1452.53</v>
          </cell>
          <cell r="M121">
            <v>2344.9499999999998</v>
          </cell>
          <cell r="N121">
            <v>6060</v>
          </cell>
          <cell r="O121">
            <v>4023</v>
          </cell>
          <cell r="Q121">
            <v>525</v>
          </cell>
          <cell r="R121">
            <v>231.25</v>
          </cell>
          <cell r="S121">
            <v>342.5</v>
          </cell>
          <cell r="T121">
            <v>575.25</v>
          </cell>
          <cell r="U121">
            <v>17114.54</v>
          </cell>
          <cell r="V121">
            <v>16742.849999999999</v>
          </cell>
          <cell r="W121">
            <v>7136.21</v>
          </cell>
          <cell r="X121">
            <v>65.55</v>
          </cell>
          <cell r="Y121">
            <v>1000</v>
          </cell>
          <cell r="Z121">
            <v>1140</v>
          </cell>
          <cell r="AA121">
            <v>11835.02</v>
          </cell>
          <cell r="AB121">
            <v>5246.9</v>
          </cell>
          <cell r="AC121">
            <v>39751.441400000003</v>
          </cell>
          <cell r="AE121">
            <v>88.7</v>
          </cell>
          <cell r="AF121">
            <v>647.01</v>
          </cell>
          <cell r="AG121">
            <v>2370</v>
          </cell>
          <cell r="AH121">
            <v>810</v>
          </cell>
          <cell r="AI121">
            <v>1400</v>
          </cell>
          <cell r="AJ121">
            <v>693.37</v>
          </cell>
          <cell r="AL121">
            <v>1309.72</v>
          </cell>
          <cell r="AP121">
            <v>1416.732</v>
          </cell>
          <cell r="AV121">
            <v>50.54</v>
          </cell>
          <cell r="AZ121">
            <v>242</v>
          </cell>
          <cell r="BE121">
            <v>18925</v>
          </cell>
          <cell r="BG121">
            <v>53.5</v>
          </cell>
          <cell r="BH121">
            <v>313.23</v>
          </cell>
          <cell r="BY121">
            <v>520.15</v>
          </cell>
          <cell r="CD121">
            <v>340.39</v>
          </cell>
          <cell r="CE121">
            <v>336.75400000000002</v>
          </cell>
          <cell r="CF121">
            <v>335.96</v>
          </cell>
          <cell r="CG121">
            <v>1140</v>
          </cell>
          <cell r="CH121">
            <v>1030</v>
          </cell>
          <cell r="CI121" t="str">
            <v>#N/A N/A</v>
          </cell>
          <cell r="CJ121">
            <v>460</v>
          </cell>
          <cell r="CK121">
            <v>1116</v>
          </cell>
          <cell r="CM121">
            <v>216.69</v>
          </cell>
          <cell r="CN121">
            <v>21.69</v>
          </cell>
          <cell r="CO121" t="str">
            <v>#N/A N/A</v>
          </cell>
          <cell r="CQ121">
            <v>6.94</v>
          </cell>
          <cell r="CR121">
            <v>41.2</v>
          </cell>
          <cell r="CS121">
            <v>1193.5</v>
          </cell>
          <cell r="CU121">
            <v>1300</v>
          </cell>
          <cell r="CW121">
            <v>53.506097560975611</v>
          </cell>
          <cell r="CX121">
            <v>551.98</v>
          </cell>
          <cell r="CZ121">
            <v>345.69</v>
          </cell>
          <cell r="DA121">
            <v>3467.2</v>
          </cell>
          <cell r="DB121">
            <v>18.170000000000002</v>
          </cell>
          <cell r="DC121">
            <v>289.3</v>
          </cell>
          <cell r="DD121">
            <v>105.5</v>
          </cell>
        </row>
        <row r="122">
          <cell r="A122">
            <v>38835</v>
          </cell>
          <cell r="C122">
            <v>124</v>
          </cell>
          <cell r="D122" t="str">
            <v>#N/A N/A</v>
          </cell>
          <cell r="E122" t="str">
            <v>#N/A N/A</v>
          </cell>
          <cell r="L122">
            <v>1419.73</v>
          </cell>
          <cell r="M122">
            <v>2322.5700000000002</v>
          </cell>
          <cell r="N122">
            <v>6023.1</v>
          </cell>
          <cell r="O122">
            <v>4026</v>
          </cell>
          <cell r="Q122">
            <v>525</v>
          </cell>
          <cell r="R122">
            <v>238.25</v>
          </cell>
          <cell r="S122">
            <v>346.25</v>
          </cell>
          <cell r="T122">
            <v>587.25</v>
          </cell>
          <cell r="U122">
            <v>16906.23</v>
          </cell>
          <cell r="V122">
            <v>16661.3</v>
          </cell>
          <cell r="W122">
            <v>7171.77</v>
          </cell>
          <cell r="X122">
            <v>65.55</v>
          </cell>
          <cell r="Y122">
            <v>1050</v>
          </cell>
          <cell r="Z122">
            <v>1150</v>
          </cell>
          <cell r="AA122">
            <v>11851.93</v>
          </cell>
          <cell r="AB122">
            <v>5207</v>
          </cell>
          <cell r="AC122">
            <v>40363.421900000001</v>
          </cell>
          <cell r="AE122">
            <v>86.45</v>
          </cell>
          <cell r="AF122">
            <v>647.01</v>
          </cell>
          <cell r="AG122">
            <v>2368</v>
          </cell>
          <cell r="AH122">
            <v>810</v>
          </cell>
          <cell r="AI122">
            <v>1420</v>
          </cell>
          <cell r="AJ122">
            <v>685.44</v>
          </cell>
          <cell r="AL122">
            <v>1310.6099999999999</v>
          </cell>
          <cell r="AP122">
            <v>1440.223</v>
          </cell>
          <cell r="AV122">
            <v>49.6</v>
          </cell>
          <cell r="AZ122">
            <v>242.1</v>
          </cell>
          <cell r="BE122">
            <v>19365</v>
          </cell>
          <cell r="BG122">
            <v>53.5</v>
          </cell>
          <cell r="BH122">
            <v>314.06</v>
          </cell>
          <cell r="BY122">
            <v>516.91</v>
          </cell>
          <cell r="CD122">
            <v>340.19</v>
          </cell>
          <cell r="CE122">
            <v>336.47199999999998</v>
          </cell>
          <cell r="CF122">
            <v>333.37</v>
          </cell>
          <cell r="CG122">
            <v>1160</v>
          </cell>
          <cell r="CH122">
            <v>1070</v>
          </cell>
          <cell r="CI122" t="str">
            <v>#N/A N/A</v>
          </cell>
          <cell r="CJ122">
            <v>460</v>
          </cell>
          <cell r="CK122">
            <v>1106</v>
          </cell>
          <cell r="CM122">
            <v>221</v>
          </cell>
          <cell r="CN122">
            <v>19.05</v>
          </cell>
          <cell r="CO122" t="str">
            <v>#N/A N/A</v>
          </cell>
          <cell r="CQ122">
            <v>6.64</v>
          </cell>
          <cell r="CR122">
            <v>41.2</v>
          </cell>
          <cell r="CS122">
            <v>1182.5</v>
          </cell>
          <cell r="CU122">
            <v>1330</v>
          </cell>
          <cell r="CW122">
            <v>53.506097560975611</v>
          </cell>
          <cell r="CX122">
            <v>555.67600000000004</v>
          </cell>
          <cell r="CZ122">
            <v>349.89</v>
          </cell>
          <cell r="DA122">
            <v>3462</v>
          </cell>
          <cell r="DB122">
            <v>18.190000000000001</v>
          </cell>
          <cell r="DC122">
            <v>289.3</v>
          </cell>
          <cell r="DD122">
            <v>107.2</v>
          </cell>
        </row>
        <row r="123">
          <cell r="A123">
            <v>38836</v>
          </cell>
          <cell r="C123">
            <v>124</v>
          </cell>
          <cell r="D123" t="str">
            <v>#N/A N/A</v>
          </cell>
          <cell r="E123" t="str">
            <v>#N/A N/A</v>
          </cell>
          <cell r="L123">
            <v>1419.73</v>
          </cell>
          <cell r="M123">
            <v>2322.5700000000002</v>
          </cell>
          <cell r="N123">
            <v>6023.1</v>
          </cell>
          <cell r="O123">
            <v>4026</v>
          </cell>
          <cell r="Q123">
            <v>525</v>
          </cell>
          <cell r="R123">
            <v>238.25</v>
          </cell>
          <cell r="S123">
            <v>346.25</v>
          </cell>
          <cell r="T123">
            <v>587.25</v>
          </cell>
          <cell r="U123">
            <v>16906.23</v>
          </cell>
          <cell r="V123">
            <v>16661.3</v>
          </cell>
          <cell r="W123">
            <v>7171.77</v>
          </cell>
          <cell r="X123">
            <v>65.55</v>
          </cell>
          <cell r="Y123">
            <v>1050</v>
          </cell>
          <cell r="Z123">
            <v>1150</v>
          </cell>
          <cell r="AA123">
            <v>12042.56</v>
          </cell>
          <cell r="AB123">
            <v>5207</v>
          </cell>
          <cell r="AC123">
            <v>40363.421900000001</v>
          </cell>
          <cell r="AE123">
            <v>86.45</v>
          </cell>
          <cell r="AF123">
            <v>647.01</v>
          </cell>
          <cell r="AG123">
            <v>2368</v>
          </cell>
          <cell r="AH123">
            <v>810</v>
          </cell>
          <cell r="AI123">
            <v>1420</v>
          </cell>
          <cell r="AJ123">
            <v>685.44</v>
          </cell>
          <cell r="AL123">
            <v>1310.6099999999999</v>
          </cell>
          <cell r="AP123">
            <v>1440.223</v>
          </cell>
          <cell r="AV123">
            <v>49.6</v>
          </cell>
          <cell r="AZ123">
            <v>242.1</v>
          </cell>
          <cell r="BE123">
            <v>19365</v>
          </cell>
          <cell r="BG123">
            <v>53.5</v>
          </cell>
          <cell r="BH123">
            <v>314.06</v>
          </cell>
          <cell r="BY123">
            <v>516.91</v>
          </cell>
          <cell r="CD123">
            <v>340.19</v>
          </cell>
          <cell r="CE123">
            <v>336.47199999999998</v>
          </cell>
          <cell r="CF123">
            <v>333.37</v>
          </cell>
          <cell r="CG123">
            <v>1160</v>
          </cell>
          <cell r="CH123">
            <v>1070</v>
          </cell>
          <cell r="CI123" t="str">
            <v>#N/A N/A</v>
          </cell>
          <cell r="CJ123">
            <v>460</v>
          </cell>
          <cell r="CK123">
            <v>1106</v>
          </cell>
          <cell r="CM123">
            <v>221</v>
          </cell>
          <cell r="CN123">
            <v>19.05</v>
          </cell>
          <cell r="CO123" t="str">
            <v>#N/A N/A</v>
          </cell>
          <cell r="CQ123">
            <v>6.64</v>
          </cell>
          <cell r="CR123">
            <v>41.2</v>
          </cell>
          <cell r="CS123">
            <v>1182.5</v>
          </cell>
          <cell r="CU123">
            <v>1330</v>
          </cell>
          <cell r="CW123">
            <v>53.506097560975611</v>
          </cell>
          <cell r="CX123">
            <v>555.67600000000004</v>
          </cell>
          <cell r="CZ123">
            <v>349.89</v>
          </cell>
          <cell r="DA123">
            <v>3462</v>
          </cell>
          <cell r="DB123">
            <v>18.190000000000001</v>
          </cell>
          <cell r="DC123">
            <v>289.3</v>
          </cell>
          <cell r="DD123">
            <v>107.2</v>
          </cell>
        </row>
        <row r="124">
          <cell r="A124">
            <v>38837</v>
          </cell>
          <cell r="C124">
            <v>124</v>
          </cell>
          <cell r="D124" t="str">
            <v>#N/A N/A</v>
          </cell>
          <cell r="E124" t="str">
            <v>#N/A N/A</v>
          </cell>
          <cell r="L124">
            <v>1419.73</v>
          </cell>
          <cell r="M124">
            <v>2322.5700000000002</v>
          </cell>
          <cell r="N124">
            <v>6023.1</v>
          </cell>
          <cell r="O124">
            <v>4026</v>
          </cell>
          <cell r="Q124">
            <v>525</v>
          </cell>
          <cell r="R124">
            <v>238.25</v>
          </cell>
          <cell r="S124">
            <v>346.25</v>
          </cell>
          <cell r="T124">
            <v>587.25</v>
          </cell>
          <cell r="U124">
            <v>16906.23</v>
          </cell>
          <cell r="V124">
            <v>16661.3</v>
          </cell>
          <cell r="W124">
            <v>7171.77</v>
          </cell>
          <cell r="X124">
            <v>65.55</v>
          </cell>
          <cell r="Y124">
            <v>1050</v>
          </cell>
          <cell r="Z124">
            <v>1150</v>
          </cell>
          <cell r="AA124">
            <v>12042.56</v>
          </cell>
          <cell r="AB124">
            <v>5207</v>
          </cell>
          <cell r="AC124">
            <v>40363.421900000001</v>
          </cell>
          <cell r="AE124">
            <v>86.45</v>
          </cell>
          <cell r="AF124">
            <v>647.01</v>
          </cell>
          <cell r="AG124">
            <v>2368</v>
          </cell>
          <cell r="AH124">
            <v>810</v>
          </cell>
          <cell r="AI124">
            <v>1420</v>
          </cell>
          <cell r="AJ124">
            <v>685.44</v>
          </cell>
          <cell r="AL124">
            <v>1310.6099999999999</v>
          </cell>
          <cell r="AP124">
            <v>1440.223</v>
          </cell>
          <cell r="AV124">
            <v>49.6</v>
          </cell>
          <cell r="AZ124">
            <v>242.1</v>
          </cell>
          <cell r="BE124">
            <v>19365</v>
          </cell>
          <cell r="BG124">
            <v>53.5</v>
          </cell>
          <cell r="BH124">
            <v>314.06</v>
          </cell>
          <cell r="BY124">
            <v>516.91</v>
          </cell>
          <cell r="CD124">
            <v>340.19</v>
          </cell>
          <cell r="CE124">
            <v>336.47199999999998</v>
          </cell>
          <cell r="CF124">
            <v>333.37</v>
          </cell>
          <cell r="CG124">
            <v>1160</v>
          </cell>
          <cell r="CH124">
            <v>1070</v>
          </cell>
          <cell r="CI124" t="str">
            <v>#N/A N/A</v>
          </cell>
          <cell r="CJ124">
            <v>460</v>
          </cell>
          <cell r="CK124">
            <v>1106</v>
          </cell>
          <cell r="CM124">
            <v>221</v>
          </cell>
          <cell r="CN124">
            <v>19.05</v>
          </cell>
          <cell r="CO124" t="str">
            <v>#N/A N/A</v>
          </cell>
          <cell r="CQ124">
            <v>6.64</v>
          </cell>
          <cell r="CR124">
            <v>41.2</v>
          </cell>
          <cell r="CS124">
            <v>1182.5</v>
          </cell>
          <cell r="CU124">
            <v>1330</v>
          </cell>
          <cell r="CW124">
            <v>53.506097560975611</v>
          </cell>
          <cell r="CX124">
            <v>555.67600000000004</v>
          </cell>
          <cell r="CZ124">
            <v>349.89</v>
          </cell>
          <cell r="DA124">
            <v>3462</v>
          </cell>
          <cell r="DB124">
            <v>18.190000000000001</v>
          </cell>
          <cell r="DC124">
            <v>289.3</v>
          </cell>
          <cell r="DD124">
            <v>107.2</v>
          </cell>
        </row>
        <row r="125">
          <cell r="A125">
            <v>38838</v>
          </cell>
          <cell r="C125">
            <v>124</v>
          </cell>
          <cell r="D125" t="str">
            <v>#N/A N/A</v>
          </cell>
          <cell r="E125" t="str">
            <v>#N/A N/A</v>
          </cell>
          <cell r="L125">
            <v>1419.73</v>
          </cell>
          <cell r="M125">
            <v>2304.79</v>
          </cell>
          <cell r="N125">
            <v>6023.1</v>
          </cell>
          <cell r="O125">
            <v>4026</v>
          </cell>
          <cell r="Q125">
            <v>525</v>
          </cell>
          <cell r="R125">
            <v>248</v>
          </cell>
          <cell r="S125">
            <v>365</v>
          </cell>
          <cell r="T125">
            <v>606.75</v>
          </cell>
          <cell r="U125">
            <v>16925.71</v>
          </cell>
          <cell r="V125">
            <v>16661.3</v>
          </cell>
          <cell r="W125">
            <v>7171.77</v>
          </cell>
          <cell r="X125">
            <v>65.55</v>
          </cell>
          <cell r="Y125">
            <v>1050</v>
          </cell>
          <cell r="Z125">
            <v>1150</v>
          </cell>
          <cell r="AA125">
            <v>12042.56</v>
          </cell>
          <cell r="AB125">
            <v>5255.2</v>
          </cell>
          <cell r="AC125">
            <v>40363.421900000001</v>
          </cell>
          <cell r="AE125">
            <v>86.45</v>
          </cell>
          <cell r="AF125">
            <v>647.01</v>
          </cell>
          <cell r="AG125">
            <v>2368</v>
          </cell>
          <cell r="AH125">
            <v>810</v>
          </cell>
          <cell r="AI125">
            <v>1420</v>
          </cell>
          <cell r="AJ125">
            <v>685.44</v>
          </cell>
          <cell r="AL125">
            <v>1305.19</v>
          </cell>
          <cell r="AP125">
            <v>1440.223</v>
          </cell>
          <cell r="AV125">
            <v>49.9</v>
          </cell>
          <cell r="AZ125">
            <v>250.8</v>
          </cell>
          <cell r="BE125">
            <v>19365</v>
          </cell>
          <cell r="BG125">
            <v>53.5</v>
          </cell>
          <cell r="BH125">
            <v>321.89</v>
          </cell>
          <cell r="BY125">
            <v>512.01</v>
          </cell>
          <cell r="CD125">
            <v>340.71</v>
          </cell>
          <cell r="CE125">
            <v>336.91899999999998</v>
          </cell>
          <cell r="CF125">
            <v>334.32</v>
          </cell>
          <cell r="CG125">
            <v>1160</v>
          </cell>
          <cell r="CH125">
            <v>1070</v>
          </cell>
          <cell r="CI125" t="str">
            <v>#N/A N/A</v>
          </cell>
          <cell r="CJ125">
            <v>460</v>
          </cell>
          <cell r="CK125">
            <v>1106</v>
          </cell>
          <cell r="CM125">
            <v>227.56</v>
          </cell>
          <cell r="CN125">
            <v>19.05</v>
          </cell>
          <cell r="CO125" t="str">
            <v>#N/A N/A</v>
          </cell>
          <cell r="CQ125">
            <v>6.54</v>
          </cell>
          <cell r="CR125">
            <v>41.2</v>
          </cell>
          <cell r="CS125">
            <v>1182.5</v>
          </cell>
          <cell r="CU125">
            <v>1330</v>
          </cell>
          <cell r="CW125">
            <v>53.506097560975611</v>
          </cell>
          <cell r="CX125">
            <v>555.19200000000001</v>
          </cell>
          <cell r="CZ125">
            <v>355.22</v>
          </cell>
          <cell r="DA125">
            <v>3462</v>
          </cell>
          <cell r="DB125">
            <v>18.73</v>
          </cell>
          <cell r="DC125">
            <v>386.25</v>
          </cell>
          <cell r="DD125">
            <v>109.6</v>
          </cell>
        </row>
        <row r="126">
          <cell r="A126">
            <v>38839</v>
          </cell>
          <cell r="C126">
            <v>124</v>
          </cell>
          <cell r="D126" t="str">
            <v>#N/A N/A</v>
          </cell>
          <cell r="E126" t="str">
            <v>#N/A N/A</v>
          </cell>
          <cell r="L126">
            <v>1434.9</v>
          </cell>
          <cell r="M126">
            <v>2309.84</v>
          </cell>
          <cell r="N126">
            <v>6082.1</v>
          </cell>
          <cell r="O126">
            <v>4026</v>
          </cell>
          <cell r="Q126">
            <v>525</v>
          </cell>
          <cell r="R126">
            <v>243.5</v>
          </cell>
          <cell r="S126">
            <v>366.5</v>
          </cell>
          <cell r="T126">
            <v>603</v>
          </cell>
          <cell r="U126">
            <v>17153.77</v>
          </cell>
          <cell r="V126">
            <v>16868.04</v>
          </cell>
          <cell r="W126">
            <v>7199.6</v>
          </cell>
          <cell r="X126">
            <v>69.349999999999994</v>
          </cell>
          <cell r="Y126">
            <v>1050</v>
          </cell>
          <cell r="Z126">
            <v>1150</v>
          </cell>
          <cell r="AA126">
            <v>12218.78</v>
          </cell>
          <cell r="AB126">
            <v>5222.3999999999996</v>
          </cell>
          <cell r="AC126">
            <v>41016.578099999999</v>
          </cell>
          <cell r="AE126">
            <v>89.45</v>
          </cell>
          <cell r="AF126">
            <v>648.23</v>
          </cell>
          <cell r="AG126">
            <v>2364</v>
          </cell>
          <cell r="AH126">
            <v>810</v>
          </cell>
          <cell r="AI126">
            <v>1420</v>
          </cell>
          <cell r="AJ126">
            <v>687.84</v>
          </cell>
          <cell r="AL126">
            <v>1313.21</v>
          </cell>
          <cell r="AP126">
            <v>1440.223</v>
          </cell>
          <cell r="AV126">
            <v>50.68</v>
          </cell>
          <cell r="AZ126">
            <v>250.2</v>
          </cell>
          <cell r="BE126">
            <v>19065</v>
          </cell>
          <cell r="BG126">
            <v>53.5</v>
          </cell>
          <cell r="BH126">
            <v>331.27</v>
          </cell>
          <cell r="BY126">
            <v>513.71</v>
          </cell>
          <cell r="CD126">
            <v>343.41</v>
          </cell>
          <cell r="CE126">
            <v>339.423</v>
          </cell>
          <cell r="CF126">
            <v>338.49</v>
          </cell>
          <cell r="CG126">
            <v>1160</v>
          </cell>
          <cell r="CH126">
            <v>1070</v>
          </cell>
          <cell r="CI126" t="str">
            <v>#N/A N/A</v>
          </cell>
          <cell r="CJ126">
            <v>460</v>
          </cell>
          <cell r="CK126">
            <v>1090</v>
          </cell>
          <cell r="CM126">
            <v>232.5</v>
          </cell>
          <cell r="CN126">
            <v>18.63</v>
          </cell>
          <cell r="CO126" t="str">
            <v>#N/A N/A</v>
          </cell>
          <cell r="CQ126">
            <v>6.68</v>
          </cell>
          <cell r="CR126">
            <v>41.2</v>
          </cell>
          <cell r="CS126">
            <v>1177.5</v>
          </cell>
          <cell r="CU126">
            <v>1330</v>
          </cell>
          <cell r="CW126">
            <v>55.335365853658537</v>
          </cell>
          <cell r="CX126">
            <v>554.8839999999999</v>
          </cell>
          <cell r="CZ126">
            <v>357.02</v>
          </cell>
          <cell r="DA126">
            <v>3515.4</v>
          </cell>
          <cell r="DB126">
            <v>18.82</v>
          </cell>
          <cell r="DC126">
            <v>386.35</v>
          </cell>
          <cell r="DD126">
            <v>112.75</v>
          </cell>
        </row>
        <row r="127">
          <cell r="A127">
            <v>38840</v>
          </cell>
          <cell r="C127">
            <v>124</v>
          </cell>
          <cell r="D127" t="str">
            <v>#N/A N/A</v>
          </cell>
          <cell r="E127" t="str">
            <v>#N/A N/A</v>
          </cell>
          <cell r="L127">
            <v>1435.17</v>
          </cell>
          <cell r="M127">
            <v>2303.9699999999998</v>
          </cell>
          <cell r="N127">
            <v>6010</v>
          </cell>
          <cell r="O127">
            <v>4026</v>
          </cell>
          <cell r="Q127">
            <v>525</v>
          </cell>
          <cell r="R127">
            <v>242.5</v>
          </cell>
          <cell r="S127">
            <v>365</v>
          </cell>
          <cell r="T127">
            <v>605.5</v>
          </cell>
          <cell r="U127">
            <v>17153.77</v>
          </cell>
          <cell r="V127">
            <v>17026.98</v>
          </cell>
          <cell r="W127">
            <v>7242.37</v>
          </cell>
          <cell r="X127">
            <v>69.650000000000006</v>
          </cell>
          <cell r="Y127">
            <v>1050</v>
          </cell>
          <cell r="Z127">
            <v>1150</v>
          </cell>
          <cell r="AA127">
            <v>12310.72</v>
          </cell>
          <cell r="AB127">
            <v>5224.8999999999996</v>
          </cell>
          <cell r="AC127">
            <v>40919.761700000003</v>
          </cell>
          <cell r="AE127">
            <v>89.95</v>
          </cell>
          <cell r="AF127">
            <v>648.23</v>
          </cell>
          <cell r="AG127">
            <v>2365</v>
          </cell>
          <cell r="AH127">
            <v>810</v>
          </cell>
          <cell r="AI127">
            <v>1420</v>
          </cell>
          <cell r="AJ127">
            <v>689.89</v>
          </cell>
          <cell r="AL127">
            <v>1307.8499999999999</v>
          </cell>
          <cell r="AP127">
            <v>1440.223</v>
          </cell>
          <cell r="AV127">
            <v>50.64</v>
          </cell>
          <cell r="AZ127">
            <v>250.2</v>
          </cell>
          <cell r="BE127">
            <v>19105</v>
          </cell>
          <cell r="BG127">
            <v>53.5</v>
          </cell>
          <cell r="BH127">
            <v>334.47</v>
          </cell>
          <cell r="BY127">
            <v>520.05999999999995</v>
          </cell>
          <cell r="CD127">
            <v>341.71</v>
          </cell>
          <cell r="CE127">
            <v>337.49900000000002</v>
          </cell>
          <cell r="CF127">
            <v>340.89</v>
          </cell>
          <cell r="CG127">
            <v>1160</v>
          </cell>
          <cell r="CH127">
            <v>1070</v>
          </cell>
          <cell r="CI127" t="str">
            <v>#N/A N/A</v>
          </cell>
          <cell r="CJ127">
            <v>460</v>
          </cell>
          <cell r="CK127">
            <v>1086</v>
          </cell>
          <cell r="CM127">
            <v>228.25</v>
          </cell>
          <cell r="CN127">
            <v>19.7</v>
          </cell>
          <cell r="CO127" t="str">
            <v>#N/A N/A</v>
          </cell>
          <cell r="CQ127">
            <v>6.56</v>
          </cell>
          <cell r="CR127">
            <v>41.5</v>
          </cell>
          <cell r="CS127">
            <v>1165.25</v>
          </cell>
          <cell r="CU127">
            <v>1330</v>
          </cell>
          <cell r="CW127">
            <v>55.640243902439025</v>
          </cell>
          <cell r="CX127">
            <v>556.11599999999999</v>
          </cell>
          <cell r="CZ127">
            <v>352.2</v>
          </cell>
          <cell r="DA127">
            <v>3485.7</v>
          </cell>
          <cell r="DB127">
            <v>18.84</v>
          </cell>
          <cell r="DC127">
            <v>382.35</v>
          </cell>
          <cell r="DD127">
            <v>111.35</v>
          </cell>
        </row>
        <row r="128">
          <cell r="A128">
            <v>38841</v>
          </cell>
          <cell r="C128">
            <v>124</v>
          </cell>
          <cell r="D128" t="str">
            <v>#N/A N/A</v>
          </cell>
          <cell r="E128" t="str">
            <v>#N/A N/A</v>
          </cell>
          <cell r="L128">
            <v>1441.02</v>
          </cell>
          <cell r="M128">
            <v>2323.9</v>
          </cell>
          <cell r="N128">
            <v>6036.9</v>
          </cell>
          <cell r="O128">
            <v>4026</v>
          </cell>
          <cell r="Q128">
            <v>525</v>
          </cell>
          <cell r="R128">
            <v>239.25</v>
          </cell>
          <cell r="S128">
            <v>362.5</v>
          </cell>
          <cell r="T128">
            <v>603.75</v>
          </cell>
          <cell r="U128">
            <v>17153.77</v>
          </cell>
          <cell r="V128">
            <v>17013.93</v>
          </cell>
          <cell r="W128">
            <v>7345.04</v>
          </cell>
          <cell r="X128">
            <v>66.849999999999994</v>
          </cell>
          <cell r="Y128">
            <v>1050</v>
          </cell>
          <cell r="Z128">
            <v>1150</v>
          </cell>
          <cell r="AA128">
            <v>12347.63</v>
          </cell>
          <cell r="AB128">
            <v>5146.7</v>
          </cell>
          <cell r="AC128">
            <v>40975.781300000002</v>
          </cell>
          <cell r="AE128">
            <v>87.35</v>
          </cell>
          <cell r="AF128">
            <v>648.23</v>
          </cell>
          <cell r="AG128">
            <v>2372</v>
          </cell>
          <cell r="AH128">
            <v>810</v>
          </cell>
          <cell r="AI128">
            <v>1420</v>
          </cell>
          <cell r="AJ128">
            <v>689.89</v>
          </cell>
          <cell r="AL128">
            <v>1312.25</v>
          </cell>
          <cell r="AP128">
            <v>1440.223</v>
          </cell>
          <cell r="AV128">
            <v>51.08</v>
          </cell>
          <cell r="AZ128">
            <v>250.2</v>
          </cell>
          <cell r="BE128">
            <v>19680</v>
          </cell>
          <cell r="BG128">
            <v>53.5</v>
          </cell>
          <cell r="BH128">
            <v>334.69</v>
          </cell>
          <cell r="BY128">
            <v>525.89</v>
          </cell>
          <cell r="CD128">
            <v>343.31</v>
          </cell>
          <cell r="CE128">
            <v>339.06099999999998</v>
          </cell>
          <cell r="CF128">
            <v>342.52</v>
          </cell>
          <cell r="CG128">
            <v>1160</v>
          </cell>
          <cell r="CH128">
            <v>1070</v>
          </cell>
          <cell r="CI128" t="str">
            <v>#N/A N/A</v>
          </cell>
          <cell r="CJ128">
            <v>460</v>
          </cell>
          <cell r="CK128">
            <v>1102</v>
          </cell>
          <cell r="CM128">
            <v>217.36</v>
          </cell>
          <cell r="CN128">
            <v>21.49</v>
          </cell>
          <cell r="CO128" t="str">
            <v>#N/A N/A</v>
          </cell>
          <cell r="CQ128">
            <v>6.47</v>
          </cell>
          <cell r="CR128">
            <v>41.5</v>
          </cell>
          <cell r="CS128">
            <v>1209.25</v>
          </cell>
          <cell r="CU128">
            <v>1330</v>
          </cell>
          <cell r="CW128">
            <v>54.420731707317074</v>
          </cell>
          <cell r="CX128">
            <v>558.096</v>
          </cell>
          <cell r="CZ128">
            <v>349.89</v>
          </cell>
          <cell r="DA128">
            <v>3699.2</v>
          </cell>
          <cell r="DB128">
            <v>18.260000000000002</v>
          </cell>
          <cell r="DC128">
            <v>380.25</v>
          </cell>
          <cell r="DD128">
            <v>109.55</v>
          </cell>
        </row>
        <row r="129">
          <cell r="A129">
            <v>38842</v>
          </cell>
          <cell r="C129">
            <v>124</v>
          </cell>
          <cell r="D129" t="str">
            <v>#N/A N/A</v>
          </cell>
          <cell r="E129" t="str">
            <v>#N/A N/A</v>
          </cell>
          <cell r="L129">
            <v>1441.02</v>
          </cell>
          <cell r="M129">
            <v>2342.5700000000002</v>
          </cell>
          <cell r="N129">
            <v>6091.7</v>
          </cell>
          <cell r="O129">
            <v>4026</v>
          </cell>
          <cell r="Q129">
            <v>525</v>
          </cell>
          <cell r="R129">
            <v>240.5</v>
          </cell>
          <cell r="S129">
            <v>372.25</v>
          </cell>
          <cell r="T129">
            <v>606.5</v>
          </cell>
          <cell r="U129">
            <v>17153.77</v>
          </cell>
          <cell r="V129">
            <v>17013.93</v>
          </cell>
          <cell r="W129">
            <v>7370.44</v>
          </cell>
          <cell r="X129">
            <v>64.650000000000006</v>
          </cell>
          <cell r="Y129">
            <v>1060</v>
          </cell>
          <cell r="Z129">
            <v>1165</v>
          </cell>
          <cell r="AA129">
            <v>12359.7</v>
          </cell>
          <cell r="AB129">
            <v>5209.5</v>
          </cell>
          <cell r="AC129">
            <v>41417.269500000002</v>
          </cell>
          <cell r="AE129">
            <v>85</v>
          </cell>
          <cell r="AF129">
            <v>648.23</v>
          </cell>
          <cell r="AG129">
            <v>2383</v>
          </cell>
          <cell r="AH129">
            <v>820</v>
          </cell>
          <cell r="AI129">
            <v>1440</v>
          </cell>
          <cell r="AJ129">
            <v>689.89</v>
          </cell>
          <cell r="AL129">
            <v>1325.76</v>
          </cell>
          <cell r="AP129">
            <v>1440.223</v>
          </cell>
          <cell r="AV129">
            <v>51.5</v>
          </cell>
          <cell r="AZ129">
            <v>250.2</v>
          </cell>
          <cell r="BE129">
            <v>19558</v>
          </cell>
          <cell r="BG129">
            <v>52.6</v>
          </cell>
          <cell r="BH129">
            <v>339</v>
          </cell>
          <cell r="BY129">
            <v>528.94000000000005</v>
          </cell>
          <cell r="CD129">
            <v>347.07</v>
          </cell>
          <cell r="CE129">
            <v>342.89600000000002</v>
          </cell>
          <cell r="CF129">
            <v>343.48</v>
          </cell>
          <cell r="CG129">
            <v>1180</v>
          </cell>
          <cell r="CH129">
            <v>1075</v>
          </cell>
          <cell r="CI129" t="str">
            <v>#N/A N/A</v>
          </cell>
          <cell r="CJ129">
            <v>460</v>
          </cell>
          <cell r="CK129">
            <v>1113</v>
          </cell>
          <cell r="CM129">
            <v>226.73</v>
          </cell>
          <cell r="CN129">
            <v>20.309999999999999</v>
          </cell>
          <cell r="CO129" t="str">
            <v>#N/A N/A</v>
          </cell>
          <cell r="CQ129">
            <v>6.79</v>
          </cell>
          <cell r="CR129">
            <v>41.5</v>
          </cell>
          <cell r="CS129">
            <v>1188.25</v>
          </cell>
          <cell r="CU129">
            <v>1330</v>
          </cell>
          <cell r="CW129">
            <v>53.810975609756099</v>
          </cell>
          <cell r="CX129">
            <v>560.78</v>
          </cell>
          <cell r="CZ129">
            <v>351.92</v>
          </cell>
          <cell r="DA129">
            <v>3715.8</v>
          </cell>
          <cell r="DB129">
            <v>18.28</v>
          </cell>
          <cell r="DC129">
            <v>378.75</v>
          </cell>
          <cell r="DD129">
            <v>108.25</v>
          </cell>
        </row>
        <row r="130">
          <cell r="A130">
            <v>38843</v>
          </cell>
          <cell r="C130">
            <v>124</v>
          </cell>
          <cell r="D130" t="str">
            <v>#N/A N/A</v>
          </cell>
          <cell r="E130" t="str">
            <v>#N/A N/A</v>
          </cell>
          <cell r="L130">
            <v>1441.02</v>
          </cell>
          <cell r="M130">
            <v>2342.5700000000002</v>
          </cell>
          <cell r="N130">
            <v>6091.7</v>
          </cell>
          <cell r="O130">
            <v>4026</v>
          </cell>
          <cell r="Q130">
            <v>525</v>
          </cell>
          <cell r="R130">
            <v>240.5</v>
          </cell>
          <cell r="S130">
            <v>372.25</v>
          </cell>
          <cell r="T130">
            <v>606.5</v>
          </cell>
          <cell r="U130">
            <v>17153.77</v>
          </cell>
          <cell r="V130">
            <v>17013.93</v>
          </cell>
          <cell r="W130">
            <v>7370.44</v>
          </cell>
          <cell r="X130">
            <v>64.650000000000006</v>
          </cell>
          <cell r="Y130">
            <v>1060</v>
          </cell>
          <cell r="Z130">
            <v>1165</v>
          </cell>
          <cell r="AA130">
            <v>12359.7</v>
          </cell>
          <cell r="AB130">
            <v>5209.5</v>
          </cell>
          <cell r="AC130">
            <v>41417.269500000002</v>
          </cell>
          <cell r="AE130">
            <v>85</v>
          </cell>
          <cell r="AF130">
            <v>648.23</v>
          </cell>
          <cell r="AG130">
            <v>2383</v>
          </cell>
          <cell r="AH130">
            <v>820</v>
          </cell>
          <cell r="AI130">
            <v>1440</v>
          </cell>
          <cell r="AJ130">
            <v>689.89</v>
          </cell>
          <cell r="AL130">
            <v>1325.76</v>
          </cell>
          <cell r="AP130">
            <v>1440.223</v>
          </cell>
          <cell r="AV130">
            <v>51.5</v>
          </cell>
          <cell r="AZ130">
            <v>250.2</v>
          </cell>
          <cell r="BE130">
            <v>19558</v>
          </cell>
          <cell r="BG130">
            <v>52.6</v>
          </cell>
          <cell r="BH130">
            <v>339</v>
          </cell>
          <cell r="BY130">
            <v>528.94000000000005</v>
          </cell>
          <cell r="CD130">
            <v>347.07</v>
          </cell>
          <cell r="CE130">
            <v>342.89600000000002</v>
          </cell>
          <cell r="CF130">
            <v>343.48</v>
          </cell>
          <cell r="CG130">
            <v>1180</v>
          </cell>
          <cell r="CH130">
            <v>1075</v>
          </cell>
          <cell r="CI130" t="str">
            <v>#N/A N/A</v>
          </cell>
          <cell r="CJ130">
            <v>460</v>
          </cell>
          <cell r="CK130">
            <v>1113</v>
          </cell>
          <cell r="CM130">
            <v>226.73</v>
          </cell>
          <cell r="CN130">
            <v>20.309999999999999</v>
          </cell>
          <cell r="CO130" t="str">
            <v>#N/A N/A</v>
          </cell>
          <cell r="CQ130">
            <v>6.79</v>
          </cell>
          <cell r="CR130">
            <v>41.5</v>
          </cell>
          <cell r="CS130">
            <v>1188.25</v>
          </cell>
          <cell r="CU130">
            <v>1330</v>
          </cell>
          <cell r="CW130">
            <v>53.810975609756099</v>
          </cell>
          <cell r="CX130">
            <v>560.78</v>
          </cell>
          <cell r="CZ130">
            <v>351.92</v>
          </cell>
          <cell r="DA130">
            <v>3715.8</v>
          </cell>
          <cell r="DB130">
            <v>18.28</v>
          </cell>
          <cell r="DC130">
            <v>378.75</v>
          </cell>
          <cell r="DD130">
            <v>108.25</v>
          </cell>
        </row>
        <row r="131">
          <cell r="A131">
            <v>38844</v>
          </cell>
          <cell r="C131">
            <v>124</v>
          </cell>
          <cell r="D131" t="str">
            <v>#N/A N/A</v>
          </cell>
          <cell r="E131" t="str">
            <v>#N/A N/A</v>
          </cell>
          <cell r="L131">
            <v>1441.02</v>
          </cell>
          <cell r="M131">
            <v>2342.5700000000002</v>
          </cell>
          <cell r="N131">
            <v>6091.7</v>
          </cell>
          <cell r="O131">
            <v>4026</v>
          </cell>
          <cell r="Q131">
            <v>525</v>
          </cell>
          <cell r="R131">
            <v>240.5</v>
          </cell>
          <cell r="S131">
            <v>372.25</v>
          </cell>
          <cell r="T131">
            <v>606.5</v>
          </cell>
          <cell r="U131">
            <v>17153.77</v>
          </cell>
          <cell r="V131">
            <v>17013.93</v>
          </cell>
          <cell r="W131">
            <v>7370.44</v>
          </cell>
          <cell r="X131">
            <v>64.650000000000006</v>
          </cell>
          <cell r="Y131">
            <v>1060</v>
          </cell>
          <cell r="Z131">
            <v>1165</v>
          </cell>
          <cell r="AA131">
            <v>12359.7</v>
          </cell>
          <cell r="AB131">
            <v>5209.5</v>
          </cell>
          <cell r="AC131">
            <v>41417.269500000002</v>
          </cell>
          <cell r="AE131">
            <v>85</v>
          </cell>
          <cell r="AF131">
            <v>648.23</v>
          </cell>
          <cell r="AG131">
            <v>2383</v>
          </cell>
          <cell r="AH131">
            <v>820</v>
          </cell>
          <cell r="AI131">
            <v>1440</v>
          </cell>
          <cell r="AJ131">
            <v>689.89</v>
          </cell>
          <cell r="AL131">
            <v>1325.76</v>
          </cell>
          <cell r="AP131">
            <v>1440.223</v>
          </cell>
          <cell r="AV131">
            <v>51.5</v>
          </cell>
          <cell r="AZ131">
            <v>250.2</v>
          </cell>
          <cell r="BE131">
            <v>19558</v>
          </cell>
          <cell r="BG131">
            <v>52.6</v>
          </cell>
          <cell r="BH131">
            <v>339</v>
          </cell>
          <cell r="BY131">
            <v>528.94000000000005</v>
          </cell>
          <cell r="CD131">
            <v>347.07</v>
          </cell>
          <cell r="CE131">
            <v>342.89600000000002</v>
          </cell>
          <cell r="CF131">
            <v>343.48</v>
          </cell>
          <cell r="CG131">
            <v>1180</v>
          </cell>
          <cell r="CH131">
            <v>1075</v>
          </cell>
          <cell r="CI131" t="str">
            <v>#N/A N/A</v>
          </cell>
          <cell r="CJ131">
            <v>460</v>
          </cell>
          <cell r="CK131">
            <v>1113</v>
          </cell>
          <cell r="CM131">
            <v>226.73</v>
          </cell>
          <cell r="CN131">
            <v>20.309999999999999</v>
          </cell>
          <cell r="CO131" t="str">
            <v>#N/A N/A</v>
          </cell>
          <cell r="CQ131">
            <v>6.79</v>
          </cell>
          <cell r="CR131">
            <v>41.5</v>
          </cell>
          <cell r="CS131">
            <v>1188.25</v>
          </cell>
          <cell r="CU131">
            <v>1330</v>
          </cell>
          <cell r="CW131">
            <v>53.810975609756099</v>
          </cell>
          <cell r="CX131">
            <v>560.78</v>
          </cell>
          <cell r="CZ131">
            <v>351.92</v>
          </cell>
          <cell r="DA131">
            <v>3715.8</v>
          </cell>
          <cell r="DB131">
            <v>18.28</v>
          </cell>
          <cell r="DC131">
            <v>378.75</v>
          </cell>
          <cell r="DD131">
            <v>108.25</v>
          </cell>
        </row>
        <row r="132">
          <cell r="A132">
            <v>38845</v>
          </cell>
          <cell r="C132">
            <v>124</v>
          </cell>
          <cell r="D132" t="str">
            <v>#N/A N/A</v>
          </cell>
          <cell r="E132" t="str">
            <v>#N/A N/A</v>
          </cell>
          <cell r="L132">
            <v>1452.23</v>
          </cell>
          <cell r="M132">
            <v>2344.9899999999998</v>
          </cell>
          <cell r="N132">
            <v>6067.1</v>
          </cell>
          <cell r="O132">
            <v>4026</v>
          </cell>
          <cell r="Q132">
            <v>525</v>
          </cell>
          <cell r="R132">
            <v>237</v>
          </cell>
          <cell r="S132">
            <v>375.5</v>
          </cell>
          <cell r="T132">
            <v>599.5</v>
          </cell>
          <cell r="U132">
            <v>17291.669999999998</v>
          </cell>
          <cell r="V132">
            <v>17301.79</v>
          </cell>
          <cell r="W132">
            <v>7474.05</v>
          </cell>
          <cell r="X132">
            <v>64.8</v>
          </cell>
          <cell r="Y132">
            <v>1060</v>
          </cell>
          <cell r="Z132">
            <v>1165</v>
          </cell>
          <cell r="AA132">
            <v>12462.47</v>
          </cell>
          <cell r="AB132">
            <v>5273.5</v>
          </cell>
          <cell r="AC132">
            <v>41515.488299999997</v>
          </cell>
          <cell r="AE132">
            <v>85.45</v>
          </cell>
          <cell r="AF132">
            <v>648.23</v>
          </cell>
          <cell r="AG132">
            <v>2399</v>
          </cell>
          <cell r="AH132">
            <v>820</v>
          </cell>
          <cell r="AI132">
            <v>1440</v>
          </cell>
          <cell r="AJ132">
            <v>691.89</v>
          </cell>
          <cell r="AL132">
            <v>1324.66</v>
          </cell>
          <cell r="AP132">
            <v>1497.104</v>
          </cell>
          <cell r="AV132">
            <v>52.15</v>
          </cell>
          <cell r="AZ132">
            <v>249.4</v>
          </cell>
          <cell r="BE132">
            <v>20025</v>
          </cell>
          <cell r="BG132">
            <v>52.6</v>
          </cell>
          <cell r="BH132">
            <v>343.14</v>
          </cell>
          <cell r="BY132">
            <v>525.37</v>
          </cell>
          <cell r="CD132">
            <v>348</v>
          </cell>
          <cell r="CE132">
            <v>343.53</v>
          </cell>
          <cell r="CF132">
            <v>350.94</v>
          </cell>
          <cell r="CG132">
            <v>1180</v>
          </cell>
          <cell r="CH132">
            <v>1075</v>
          </cell>
          <cell r="CI132" t="str">
            <v>#N/A N/A</v>
          </cell>
          <cell r="CJ132">
            <v>460</v>
          </cell>
          <cell r="CK132">
            <v>1127</v>
          </cell>
          <cell r="CM132">
            <v>224.86</v>
          </cell>
          <cell r="CN132">
            <v>19.989999999999998</v>
          </cell>
          <cell r="CO132" t="str">
            <v>#N/A N/A</v>
          </cell>
          <cell r="CQ132">
            <v>6.53</v>
          </cell>
          <cell r="CR132">
            <v>41.5</v>
          </cell>
          <cell r="CS132">
            <v>1208.5</v>
          </cell>
          <cell r="CU132">
            <v>1330</v>
          </cell>
          <cell r="CW132">
            <v>52.896341463414636</v>
          </cell>
          <cell r="CX132">
            <v>559.41599999999994</v>
          </cell>
          <cell r="CZ132">
            <v>350.35</v>
          </cell>
          <cell r="DA132">
            <v>3710.7</v>
          </cell>
          <cell r="DB132">
            <v>18.190000000000001</v>
          </cell>
          <cell r="DC132">
            <v>375.25</v>
          </cell>
          <cell r="DD132">
            <v>107.6</v>
          </cell>
        </row>
        <row r="133">
          <cell r="A133">
            <v>38846</v>
          </cell>
          <cell r="C133">
            <v>124</v>
          </cell>
          <cell r="D133" t="str">
            <v>#N/A N/A</v>
          </cell>
          <cell r="E133" t="str">
            <v>#N/A N/A</v>
          </cell>
          <cell r="L133">
            <v>1450.44</v>
          </cell>
          <cell r="M133">
            <v>2338.25</v>
          </cell>
          <cell r="N133">
            <v>6105.6</v>
          </cell>
          <cell r="O133">
            <v>4077</v>
          </cell>
          <cell r="Q133">
            <v>525</v>
          </cell>
          <cell r="R133">
            <v>238</v>
          </cell>
          <cell r="S133">
            <v>384.75</v>
          </cell>
          <cell r="T133">
            <v>604.5</v>
          </cell>
          <cell r="U133">
            <v>17190.91</v>
          </cell>
          <cell r="V133">
            <v>17133.990000000002</v>
          </cell>
          <cell r="W133">
            <v>7388.94</v>
          </cell>
          <cell r="X133">
            <v>65.349999999999994</v>
          </cell>
          <cell r="Y133">
            <v>1060</v>
          </cell>
          <cell r="Z133">
            <v>1165</v>
          </cell>
          <cell r="AA133">
            <v>12513.86</v>
          </cell>
          <cell r="AB133">
            <v>5275.9</v>
          </cell>
          <cell r="AC133">
            <v>41979.289100000002</v>
          </cell>
          <cell r="AE133">
            <v>85.15</v>
          </cell>
          <cell r="AF133">
            <v>651.71</v>
          </cell>
          <cell r="AG133">
            <v>2414</v>
          </cell>
          <cell r="AH133">
            <v>820</v>
          </cell>
          <cell r="AI133">
            <v>1440</v>
          </cell>
          <cell r="AJ133">
            <v>686.12</v>
          </cell>
          <cell r="AL133">
            <v>1325.14</v>
          </cell>
          <cell r="AP133">
            <v>1531.1610000000001</v>
          </cell>
          <cell r="AV133">
            <v>51.7</v>
          </cell>
          <cell r="AZ133">
            <v>257.39999999999998</v>
          </cell>
          <cell r="BE133">
            <v>20255</v>
          </cell>
          <cell r="BG133">
            <v>52.6</v>
          </cell>
          <cell r="BH133">
            <v>345.74</v>
          </cell>
          <cell r="BY133">
            <v>520</v>
          </cell>
          <cell r="CD133">
            <v>348.92</v>
          </cell>
          <cell r="CE133">
            <v>344.53</v>
          </cell>
          <cell r="CF133">
            <v>348.89</v>
          </cell>
          <cell r="CG133">
            <v>1180</v>
          </cell>
          <cell r="CH133">
            <v>1075</v>
          </cell>
          <cell r="CI133" t="str">
            <v>#N/A N/A</v>
          </cell>
          <cell r="CJ133">
            <v>450</v>
          </cell>
          <cell r="CK133">
            <v>1138</v>
          </cell>
          <cell r="CM133">
            <v>235.1</v>
          </cell>
          <cell r="CN133">
            <v>19.16</v>
          </cell>
          <cell r="CO133" t="str">
            <v>#N/A N/A</v>
          </cell>
          <cell r="CQ133">
            <v>6.56</v>
          </cell>
          <cell r="CR133">
            <v>41.5</v>
          </cell>
          <cell r="CS133">
            <v>1262.5</v>
          </cell>
          <cell r="CU133">
            <v>1330</v>
          </cell>
          <cell r="CW133">
            <v>53.506097560975611</v>
          </cell>
          <cell r="CX133">
            <v>561.26400000000001</v>
          </cell>
          <cell r="CZ133">
            <v>354.93</v>
          </cell>
          <cell r="DA133">
            <v>3804.8</v>
          </cell>
          <cell r="DB133">
            <v>18.2</v>
          </cell>
          <cell r="DC133">
            <v>394.9</v>
          </cell>
          <cell r="DD133">
            <v>108.9</v>
          </cell>
        </row>
        <row r="134">
          <cell r="A134">
            <v>38847</v>
          </cell>
          <cell r="C134">
            <v>124</v>
          </cell>
          <cell r="D134" t="str">
            <v>#N/A N/A</v>
          </cell>
          <cell r="E134" t="str">
            <v>#N/A N/A</v>
          </cell>
          <cell r="L134">
            <v>1451.09</v>
          </cell>
          <cell r="M134">
            <v>2320.7399999999998</v>
          </cell>
          <cell r="N134">
            <v>6083.4</v>
          </cell>
          <cell r="O134">
            <v>4096</v>
          </cell>
          <cell r="Q134">
            <v>525</v>
          </cell>
          <cell r="R134">
            <v>240</v>
          </cell>
          <cell r="S134">
            <v>384.5</v>
          </cell>
          <cell r="T134">
            <v>606</v>
          </cell>
          <cell r="U134">
            <v>16951.93</v>
          </cell>
          <cell r="V134">
            <v>17080.59</v>
          </cell>
          <cell r="W134">
            <v>7324.71</v>
          </cell>
          <cell r="X134">
            <v>66.25</v>
          </cell>
          <cell r="Y134">
            <v>1060</v>
          </cell>
          <cell r="Z134">
            <v>1165</v>
          </cell>
          <cell r="AA134">
            <v>12612.38</v>
          </cell>
          <cell r="AB134">
            <v>5305.3</v>
          </cell>
          <cell r="AC134">
            <v>41751.5</v>
          </cell>
          <cell r="AE134">
            <v>85.05</v>
          </cell>
          <cell r="AF134">
            <v>651.71</v>
          </cell>
          <cell r="AG134">
            <v>2440</v>
          </cell>
          <cell r="AH134">
            <v>820</v>
          </cell>
          <cell r="AI134">
            <v>1440</v>
          </cell>
          <cell r="AJ134">
            <v>683.37</v>
          </cell>
          <cell r="AL134">
            <v>1322.85</v>
          </cell>
          <cell r="AP134">
            <v>1545.6869999999999</v>
          </cell>
          <cell r="AV134">
            <v>51.73</v>
          </cell>
          <cell r="AZ134">
            <v>264.2</v>
          </cell>
          <cell r="BE134">
            <v>20815</v>
          </cell>
          <cell r="BG134">
            <v>52.6</v>
          </cell>
          <cell r="BH134">
            <v>347.41</v>
          </cell>
          <cell r="BY134">
            <v>507.05</v>
          </cell>
          <cell r="CD134">
            <v>348.01</v>
          </cell>
          <cell r="CE134">
            <v>343.61700000000002</v>
          </cell>
          <cell r="CF134">
            <v>348.68</v>
          </cell>
          <cell r="CG134">
            <v>1180</v>
          </cell>
          <cell r="CH134">
            <v>1075</v>
          </cell>
          <cell r="CI134" t="str">
            <v>#N/A N/A</v>
          </cell>
          <cell r="CJ134">
            <v>450</v>
          </cell>
          <cell r="CK134">
            <v>1170</v>
          </cell>
          <cell r="CM134">
            <v>245.94</v>
          </cell>
          <cell r="CN134">
            <v>19.260000000000002</v>
          </cell>
          <cell r="CO134" t="str">
            <v>#N/A N/A</v>
          </cell>
          <cell r="CQ134">
            <v>6.51</v>
          </cell>
          <cell r="CR134">
            <v>41.5</v>
          </cell>
          <cell r="CS134">
            <v>1303.75</v>
          </cell>
          <cell r="CU134">
            <v>1330</v>
          </cell>
          <cell r="CW134">
            <v>53.506097560975611</v>
          </cell>
          <cell r="CX134">
            <v>562.54</v>
          </cell>
          <cell r="CZ134">
            <v>360.21</v>
          </cell>
          <cell r="DA134">
            <v>3937</v>
          </cell>
          <cell r="DB134">
            <v>18.39</v>
          </cell>
          <cell r="DC134">
            <v>390.2</v>
          </cell>
          <cell r="DD134">
            <v>109</v>
          </cell>
        </row>
        <row r="135">
          <cell r="A135">
            <v>38848</v>
          </cell>
          <cell r="C135">
            <v>124</v>
          </cell>
          <cell r="D135" t="str">
            <v>#N/A N/A</v>
          </cell>
          <cell r="E135" t="str">
            <v>#N/A N/A</v>
          </cell>
          <cell r="L135">
            <v>1464.7</v>
          </cell>
          <cell r="M135">
            <v>2272.6999999999998</v>
          </cell>
          <cell r="N135">
            <v>6042</v>
          </cell>
          <cell r="O135">
            <v>4096</v>
          </cell>
          <cell r="Q135">
            <v>525</v>
          </cell>
          <cell r="R135">
            <v>247</v>
          </cell>
          <cell r="S135">
            <v>392</v>
          </cell>
          <cell r="T135">
            <v>613</v>
          </cell>
          <cell r="U135">
            <v>16862.14</v>
          </cell>
          <cell r="V135">
            <v>17140.78</v>
          </cell>
          <cell r="W135">
            <v>7361.45</v>
          </cell>
          <cell r="X135">
            <v>67.75</v>
          </cell>
          <cell r="Y135">
            <v>1060</v>
          </cell>
          <cell r="Z135">
            <v>1165</v>
          </cell>
          <cell r="AA135">
            <v>12435.41</v>
          </cell>
          <cell r="AB135">
            <v>5318.2</v>
          </cell>
          <cell r="AC135">
            <v>40847.070299999999</v>
          </cell>
          <cell r="AE135">
            <v>87.25</v>
          </cell>
          <cell r="AF135">
            <v>651.71</v>
          </cell>
          <cell r="AG135">
            <v>2472</v>
          </cell>
          <cell r="AH135">
            <v>820</v>
          </cell>
          <cell r="AI135">
            <v>1440</v>
          </cell>
          <cell r="AJ135">
            <v>689.97</v>
          </cell>
          <cell r="AL135">
            <v>1305.92</v>
          </cell>
          <cell r="AP135">
            <v>1537.377</v>
          </cell>
          <cell r="AV135">
            <v>50.76</v>
          </cell>
          <cell r="AZ135">
            <v>266.3</v>
          </cell>
          <cell r="BE135">
            <v>21525</v>
          </cell>
          <cell r="BG135">
            <v>52.6</v>
          </cell>
          <cell r="BH135">
            <v>350.07</v>
          </cell>
          <cell r="BY135">
            <v>495.5</v>
          </cell>
          <cell r="CD135">
            <v>345.22</v>
          </cell>
          <cell r="CE135">
            <v>340.82499999999999</v>
          </cell>
          <cell r="CF135">
            <v>348.03</v>
          </cell>
          <cell r="CG135">
            <v>1180</v>
          </cell>
          <cell r="CH135">
            <v>1075</v>
          </cell>
          <cell r="CI135" t="str">
            <v>#N/A N/A</v>
          </cell>
          <cell r="CJ135">
            <v>450</v>
          </cell>
          <cell r="CK135">
            <v>1175</v>
          </cell>
          <cell r="CM135">
            <v>248.95</v>
          </cell>
          <cell r="CN135">
            <v>19.8</v>
          </cell>
          <cell r="CO135" t="str">
            <v>#N/A N/A</v>
          </cell>
          <cell r="CQ135">
            <v>6.82</v>
          </cell>
          <cell r="CR135">
            <v>41.5</v>
          </cell>
          <cell r="CS135">
            <v>1304.25</v>
          </cell>
          <cell r="CU135">
            <v>1330</v>
          </cell>
          <cell r="CW135">
            <v>54.420731707317074</v>
          </cell>
          <cell r="CX135">
            <v>565.97199999999998</v>
          </cell>
          <cell r="CZ135">
            <v>365.35</v>
          </cell>
          <cell r="DA135">
            <v>4111.2</v>
          </cell>
          <cell r="DB135">
            <v>18.46</v>
          </cell>
          <cell r="DC135">
            <v>400</v>
          </cell>
          <cell r="DD135">
            <v>104.45</v>
          </cell>
        </row>
        <row r="136">
          <cell r="A136">
            <v>38849</v>
          </cell>
          <cell r="C136">
            <v>124</v>
          </cell>
          <cell r="D136" t="str">
            <v>#N/A N/A</v>
          </cell>
          <cell r="E136" t="str">
            <v>#N/A N/A</v>
          </cell>
          <cell r="L136">
            <v>1445.2</v>
          </cell>
          <cell r="M136">
            <v>2243.7800000000002</v>
          </cell>
          <cell r="N136">
            <v>5912.1</v>
          </cell>
          <cell r="O136">
            <v>4114</v>
          </cell>
          <cell r="Q136">
            <v>525</v>
          </cell>
          <cell r="R136">
            <v>258.25</v>
          </cell>
          <cell r="S136">
            <v>401.5</v>
          </cell>
          <cell r="T136">
            <v>613</v>
          </cell>
          <cell r="U136">
            <v>16601.78</v>
          </cell>
          <cell r="V136">
            <v>16901.849999999999</v>
          </cell>
          <cell r="W136">
            <v>7278.96</v>
          </cell>
          <cell r="X136">
            <v>67.75</v>
          </cell>
          <cell r="Y136">
            <v>1065</v>
          </cell>
          <cell r="Z136">
            <v>1180</v>
          </cell>
          <cell r="AA136">
            <v>12285.11</v>
          </cell>
          <cell r="AB136">
            <v>5285.5</v>
          </cell>
          <cell r="AC136">
            <v>40211.968800000002</v>
          </cell>
          <cell r="AE136">
            <v>87.25</v>
          </cell>
          <cell r="AF136">
            <v>651.71</v>
          </cell>
          <cell r="AG136">
            <v>2491</v>
          </cell>
          <cell r="AH136">
            <v>830</v>
          </cell>
          <cell r="AI136">
            <v>1470</v>
          </cell>
          <cell r="AJ136">
            <v>686.01</v>
          </cell>
          <cell r="AL136">
            <v>1291.24</v>
          </cell>
          <cell r="AP136">
            <v>1602.8320000000001</v>
          </cell>
          <cell r="AV136">
            <v>49.82</v>
          </cell>
          <cell r="AZ136">
            <v>264.60000000000002</v>
          </cell>
          <cell r="BE136">
            <v>21570</v>
          </cell>
          <cell r="BG136">
            <v>52.6</v>
          </cell>
          <cell r="BH136">
            <v>339.59</v>
          </cell>
          <cell r="BY136">
            <v>491.62</v>
          </cell>
          <cell r="CD136">
            <v>340.59</v>
          </cell>
          <cell r="CE136">
            <v>336.40800000000002</v>
          </cell>
          <cell r="CF136">
            <v>343.89</v>
          </cell>
          <cell r="CG136">
            <v>1200</v>
          </cell>
          <cell r="CH136">
            <v>1085</v>
          </cell>
          <cell r="CI136" t="str">
            <v>#N/A N/A</v>
          </cell>
          <cell r="CJ136">
            <v>450</v>
          </cell>
          <cell r="CK136">
            <v>1185</v>
          </cell>
          <cell r="CM136">
            <v>242.56</v>
          </cell>
          <cell r="CN136">
            <v>17.32</v>
          </cell>
          <cell r="CO136" t="str">
            <v>#N/A N/A</v>
          </cell>
          <cell r="CQ136">
            <v>6.26</v>
          </cell>
          <cell r="CR136">
            <v>41.5</v>
          </cell>
          <cell r="CS136">
            <v>1267</v>
          </cell>
          <cell r="CU136">
            <v>1350</v>
          </cell>
          <cell r="CW136">
            <v>54.420731707317074</v>
          </cell>
          <cell r="CX136">
            <v>567.33600000000001</v>
          </cell>
          <cell r="CZ136">
            <v>361.75</v>
          </cell>
          <cell r="DA136">
            <v>4025.4</v>
          </cell>
          <cell r="DB136">
            <v>18.670000000000002</v>
          </cell>
          <cell r="DC136">
            <v>398.35</v>
          </cell>
          <cell r="DD136">
            <v>103.6</v>
          </cell>
        </row>
        <row r="137">
          <cell r="A137">
            <v>38850</v>
          </cell>
          <cell r="C137">
            <v>124</v>
          </cell>
          <cell r="D137" t="str">
            <v>#N/A N/A</v>
          </cell>
          <cell r="E137" t="str">
            <v>#N/A N/A</v>
          </cell>
          <cell r="L137">
            <v>1445.2</v>
          </cell>
          <cell r="M137">
            <v>2243.7800000000002</v>
          </cell>
          <cell r="N137">
            <v>5912.1</v>
          </cell>
          <cell r="O137">
            <v>4114</v>
          </cell>
          <cell r="Q137">
            <v>525</v>
          </cell>
          <cell r="R137">
            <v>258.25</v>
          </cell>
          <cell r="S137">
            <v>401.5</v>
          </cell>
          <cell r="T137">
            <v>613</v>
          </cell>
          <cell r="U137">
            <v>16601.78</v>
          </cell>
          <cell r="V137">
            <v>16901.849999999999</v>
          </cell>
          <cell r="W137">
            <v>7278.96</v>
          </cell>
          <cell r="X137">
            <v>67.75</v>
          </cell>
          <cell r="Y137">
            <v>1065</v>
          </cell>
          <cell r="Z137">
            <v>1180</v>
          </cell>
          <cell r="AA137">
            <v>12285.11</v>
          </cell>
          <cell r="AB137">
            <v>5285.5</v>
          </cell>
          <cell r="AC137">
            <v>40211.968800000002</v>
          </cell>
          <cell r="AE137">
            <v>87.25</v>
          </cell>
          <cell r="AF137">
            <v>651.71</v>
          </cell>
          <cell r="AG137">
            <v>2491</v>
          </cell>
          <cell r="AH137">
            <v>830</v>
          </cell>
          <cell r="AI137">
            <v>1470</v>
          </cell>
          <cell r="AJ137">
            <v>686.01</v>
          </cell>
          <cell r="AL137">
            <v>1291.24</v>
          </cell>
          <cell r="AP137">
            <v>1602.8320000000001</v>
          </cell>
          <cell r="AV137">
            <v>49.82</v>
          </cell>
          <cell r="AZ137">
            <v>264.60000000000002</v>
          </cell>
          <cell r="BE137">
            <v>21570</v>
          </cell>
          <cell r="BG137">
            <v>52.6</v>
          </cell>
          <cell r="BH137">
            <v>339.59</v>
          </cell>
          <cell r="BY137">
            <v>491.62</v>
          </cell>
          <cell r="CD137">
            <v>340.59</v>
          </cell>
          <cell r="CE137">
            <v>336.40800000000002</v>
          </cell>
          <cell r="CF137">
            <v>343.89</v>
          </cell>
          <cell r="CG137">
            <v>1200</v>
          </cell>
          <cell r="CH137">
            <v>1085</v>
          </cell>
          <cell r="CI137" t="str">
            <v>#N/A N/A</v>
          </cell>
          <cell r="CJ137">
            <v>450</v>
          </cell>
          <cell r="CK137">
            <v>1185</v>
          </cell>
          <cell r="CM137">
            <v>242.56</v>
          </cell>
          <cell r="CN137">
            <v>17.32</v>
          </cell>
          <cell r="CO137" t="str">
            <v>#N/A N/A</v>
          </cell>
          <cell r="CQ137">
            <v>6.26</v>
          </cell>
          <cell r="CR137">
            <v>41.5</v>
          </cell>
          <cell r="CS137">
            <v>1267</v>
          </cell>
          <cell r="CU137">
            <v>1350</v>
          </cell>
          <cell r="CW137">
            <v>54.420731707317074</v>
          </cell>
          <cell r="CX137">
            <v>567.33600000000001</v>
          </cell>
          <cell r="CZ137">
            <v>361.75</v>
          </cell>
          <cell r="DA137">
            <v>4025.4</v>
          </cell>
          <cell r="DB137">
            <v>18.670000000000002</v>
          </cell>
          <cell r="DC137">
            <v>398.35</v>
          </cell>
          <cell r="DD137">
            <v>103.6</v>
          </cell>
        </row>
        <row r="138">
          <cell r="A138">
            <v>38851</v>
          </cell>
          <cell r="C138">
            <v>124</v>
          </cell>
          <cell r="D138" t="str">
            <v>#N/A N/A</v>
          </cell>
          <cell r="E138" t="str">
            <v>#N/A N/A</v>
          </cell>
          <cell r="L138">
            <v>1445.2</v>
          </cell>
          <cell r="M138">
            <v>2243.7800000000002</v>
          </cell>
          <cell r="N138">
            <v>5912.1</v>
          </cell>
          <cell r="O138">
            <v>4114</v>
          </cell>
          <cell r="Q138">
            <v>525</v>
          </cell>
          <cell r="R138">
            <v>258.25</v>
          </cell>
          <cell r="S138">
            <v>401.5</v>
          </cell>
          <cell r="T138">
            <v>613</v>
          </cell>
          <cell r="U138">
            <v>16601.78</v>
          </cell>
          <cell r="V138">
            <v>16901.849999999999</v>
          </cell>
          <cell r="W138">
            <v>7278.96</v>
          </cell>
          <cell r="X138">
            <v>67.75</v>
          </cell>
          <cell r="Y138">
            <v>1065</v>
          </cell>
          <cell r="Z138">
            <v>1180</v>
          </cell>
          <cell r="AA138">
            <v>12285.11</v>
          </cell>
          <cell r="AB138">
            <v>5285.5</v>
          </cell>
          <cell r="AC138">
            <v>40211.968800000002</v>
          </cell>
          <cell r="AE138">
            <v>87.25</v>
          </cell>
          <cell r="AF138">
            <v>651.71</v>
          </cell>
          <cell r="AG138">
            <v>2491</v>
          </cell>
          <cell r="AH138">
            <v>830</v>
          </cell>
          <cell r="AI138">
            <v>1470</v>
          </cell>
          <cell r="AJ138">
            <v>686.01</v>
          </cell>
          <cell r="AL138">
            <v>1291.24</v>
          </cell>
          <cell r="AP138">
            <v>1602.8320000000001</v>
          </cell>
          <cell r="AV138">
            <v>49.82</v>
          </cell>
          <cell r="AZ138">
            <v>264.60000000000002</v>
          </cell>
          <cell r="BE138">
            <v>21570</v>
          </cell>
          <cell r="BG138">
            <v>52.6</v>
          </cell>
          <cell r="BH138">
            <v>339.59</v>
          </cell>
          <cell r="BY138">
            <v>491.62</v>
          </cell>
          <cell r="CD138">
            <v>340.59</v>
          </cell>
          <cell r="CE138">
            <v>336.40800000000002</v>
          </cell>
          <cell r="CF138">
            <v>343.89</v>
          </cell>
          <cell r="CG138">
            <v>1200</v>
          </cell>
          <cell r="CH138">
            <v>1085</v>
          </cell>
          <cell r="CI138" t="str">
            <v>#N/A N/A</v>
          </cell>
          <cell r="CJ138">
            <v>450</v>
          </cell>
          <cell r="CK138">
            <v>1185</v>
          </cell>
          <cell r="CM138">
            <v>242.56</v>
          </cell>
          <cell r="CN138">
            <v>17.32</v>
          </cell>
          <cell r="CO138" t="str">
            <v>#N/A N/A</v>
          </cell>
          <cell r="CQ138">
            <v>6.26</v>
          </cell>
          <cell r="CR138">
            <v>41.5</v>
          </cell>
          <cell r="CS138">
            <v>1267</v>
          </cell>
          <cell r="CU138">
            <v>1350</v>
          </cell>
          <cell r="CW138">
            <v>54.420731707317074</v>
          </cell>
          <cell r="CX138">
            <v>567.33600000000001</v>
          </cell>
          <cell r="CZ138">
            <v>361.75</v>
          </cell>
          <cell r="DA138">
            <v>4025.4</v>
          </cell>
          <cell r="DB138">
            <v>18.670000000000002</v>
          </cell>
          <cell r="DC138">
            <v>398.35</v>
          </cell>
          <cell r="DD138">
            <v>103.6</v>
          </cell>
        </row>
        <row r="139">
          <cell r="A139">
            <v>38852</v>
          </cell>
          <cell r="C139">
            <v>124</v>
          </cell>
          <cell r="D139" t="str">
            <v>#N/A N/A</v>
          </cell>
          <cell r="E139" t="str">
            <v>#N/A N/A</v>
          </cell>
          <cell r="L139">
            <v>1413.98</v>
          </cell>
          <cell r="M139">
            <v>2238.52</v>
          </cell>
          <cell r="N139">
            <v>5841.3</v>
          </cell>
          <cell r="O139">
            <v>4149</v>
          </cell>
          <cell r="Q139">
            <v>525</v>
          </cell>
          <cell r="R139">
            <v>260</v>
          </cell>
          <cell r="S139">
            <v>399.5</v>
          </cell>
          <cell r="T139">
            <v>604.5</v>
          </cell>
          <cell r="U139">
            <v>16486.91</v>
          </cell>
          <cell r="V139">
            <v>16494.84</v>
          </cell>
          <cell r="W139">
            <v>7176.35</v>
          </cell>
          <cell r="X139">
            <v>64.95</v>
          </cell>
          <cell r="Y139">
            <v>1065</v>
          </cell>
          <cell r="Z139">
            <v>1180</v>
          </cell>
          <cell r="AA139">
            <v>11822.2</v>
          </cell>
          <cell r="AB139">
            <v>5192.3999999999996</v>
          </cell>
          <cell r="AC139">
            <v>39271.449200000003</v>
          </cell>
          <cell r="AE139">
            <v>86.3</v>
          </cell>
          <cell r="AF139">
            <v>651.71</v>
          </cell>
          <cell r="AG139">
            <v>2501</v>
          </cell>
          <cell r="AH139">
            <v>830</v>
          </cell>
          <cell r="AI139">
            <v>1470</v>
          </cell>
          <cell r="AJ139">
            <v>675.3</v>
          </cell>
          <cell r="AL139">
            <v>1294.5</v>
          </cell>
          <cell r="AP139">
            <v>1664.088</v>
          </cell>
          <cell r="AV139">
            <v>48.77</v>
          </cell>
          <cell r="AZ139">
            <v>270.60000000000002</v>
          </cell>
          <cell r="BE139">
            <v>20145</v>
          </cell>
          <cell r="BG139">
            <v>52.6</v>
          </cell>
          <cell r="BH139">
            <v>329.25</v>
          </cell>
          <cell r="BY139">
            <v>486.97</v>
          </cell>
          <cell r="CD139">
            <v>337.33</v>
          </cell>
          <cell r="CE139">
            <v>334.10399999999998</v>
          </cell>
          <cell r="CF139">
            <v>332.23</v>
          </cell>
          <cell r="CG139">
            <v>1200</v>
          </cell>
          <cell r="CH139">
            <v>1085</v>
          </cell>
          <cell r="CI139" t="str">
            <v>#N/A N/A</v>
          </cell>
          <cell r="CJ139">
            <v>450</v>
          </cell>
          <cell r="CK139">
            <v>1188</v>
          </cell>
          <cell r="CM139">
            <v>226.8</v>
          </cell>
          <cell r="CN139">
            <v>20.97</v>
          </cell>
          <cell r="CO139" t="str">
            <v>#N/A N/A</v>
          </cell>
          <cell r="CQ139">
            <v>5.9</v>
          </cell>
          <cell r="CR139">
            <v>41.5</v>
          </cell>
          <cell r="CS139">
            <v>1189</v>
          </cell>
          <cell r="CU139">
            <v>1350</v>
          </cell>
          <cell r="CW139">
            <v>52.896341463414636</v>
          </cell>
          <cell r="CX139">
            <v>562.84799999999996</v>
          </cell>
          <cell r="CZ139">
            <v>352.06</v>
          </cell>
          <cell r="DA139">
            <v>3853.4</v>
          </cell>
          <cell r="DB139">
            <v>18.329999999999998</v>
          </cell>
          <cell r="DC139">
            <v>374.75</v>
          </cell>
          <cell r="DD139">
            <v>101.6</v>
          </cell>
        </row>
        <row r="140">
          <cell r="A140">
            <v>38853</v>
          </cell>
          <cell r="C140">
            <v>116.8</v>
          </cell>
          <cell r="D140" t="str">
            <v>#N/A N/A</v>
          </cell>
          <cell r="E140" t="str">
            <v>#N/A N/A</v>
          </cell>
          <cell r="L140">
            <v>1382.11</v>
          </cell>
          <cell r="M140">
            <v>2229.13</v>
          </cell>
          <cell r="N140">
            <v>5846.2</v>
          </cell>
          <cell r="O140">
            <v>4182</v>
          </cell>
          <cell r="Q140">
            <v>525</v>
          </cell>
          <cell r="R140">
            <v>259</v>
          </cell>
          <cell r="S140">
            <v>403.5</v>
          </cell>
          <cell r="T140">
            <v>602.75</v>
          </cell>
          <cell r="U140">
            <v>16158.42</v>
          </cell>
          <cell r="V140">
            <v>16393.11</v>
          </cell>
          <cell r="W140">
            <v>7069.9</v>
          </cell>
          <cell r="X140">
            <v>64.25</v>
          </cell>
          <cell r="Y140">
            <v>1065</v>
          </cell>
          <cell r="Z140">
            <v>1180</v>
          </cell>
          <cell r="AA140">
            <v>11873.73</v>
          </cell>
          <cell r="AB140">
            <v>5170.2</v>
          </cell>
          <cell r="AC140">
            <v>39416.441400000003</v>
          </cell>
          <cell r="AE140">
            <v>82.65</v>
          </cell>
          <cell r="AF140">
            <v>654.49</v>
          </cell>
          <cell r="AG140">
            <v>2502</v>
          </cell>
          <cell r="AH140">
            <v>830</v>
          </cell>
          <cell r="AI140">
            <v>1470</v>
          </cell>
          <cell r="AJ140">
            <v>662.14</v>
          </cell>
          <cell r="AL140">
            <v>1292.08</v>
          </cell>
          <cell r="AP140">
            <v>1613.251</v>
          </cell>
          <cell r="AV140">
            <v>48.45</v>
          </cell>
          <cell r="AZ140">
            <v>267.7</v>
          </cell>
          <cell r="BE140">
            <v>20600</v>
          </cell>
          <cell r="BG140">
            <v>52.6</v>
          </cell>
          <cell r="BH140">
            <v>310</v>
          </cell>
          <cell r="BY140">
            <v>484.26</v>
          </cell>
          <cell r="CD140">
            <v>336.52</v>
          </cell>
          <cell r="CE140">
            <v>333.334</v>
          </cell>
          <cell r="CF140">
            <v>327.45</v>
          </cell>
          <cell r="CG140">
            <v>1200</v>
          </cell>
          <cell r="CH140">
            <v>1085</v>
          </cell>
          <cell r="CI140" t="str">
            <v>#N/A N/A</v>
          </cell>
          <cell r="CJ140">
            <v>450</v>
          </cell>
          <cell r="CK140">
            <v>1204</v>
          </cell>
          <cell r="CM140">
            <v>222.58</v>
          </cell>
          <cell r="CN140">
            <v>21.51</v>
          </cell>
          <cell r="CO140" t="str">
            <v>#N/A N/A</v>
          </cell>
          <cell r="CQ140">
            <v>5.97</v>
          </cell>
          <cell r="CR140">
            <v>41.5</v>
          </cell>
          <cell r="CS140">
            <v>1195.5</v>
          </cell>
          <cell r="CU140">
            <v>1350</v>
          </cell>
          <cell r="CW140">
            <v>52.210365853658537</v>
          </cell>
          <cell r="CX140">
            <v>564.29999999999995</v>
          </cell>
          <cell r="CZ140">
            <v>353.2</v>
          </cell>
          <cell r="DA140">
            <v>3906.8</v>
          </cell>
          <cell r="DB140">
            <v>18.329999999999998</v>
          </cell>
          <cell r="DC140">
            <v>377</v>
          </cell>
          <cell r="DD140">
            <v>102.6</v>
          </cell>
        </row>
        <row r="141">
          <cell r="A141">
            <v>38854</v>
          </cell>
          <cell r="C141">
            <v>116.8</v>
          </cell>
          <cell r="D141" t="str">
            <v>#N/A N/A</v>
          </cell>
          <cell r="E141" t="str">
            <v>#N/A N/A</v>
          </cell>
          <cell r="L141">
            <v>1401.47</v>
          </cell>
          <cell r="M141">
            <v>2195.8000000000002</v>
          </cell>
          <cell r="N141">
            <v>5675.5</v>
          </cell>
          <cell r="O141">
            <v>4188</v>
          </cell>
          <cell r="Q141">
            <v>525</v>
          </cell>
          <cell r="R141">
            <v>263</v>
          </cell>
          <cell r="S141">
            <v>423</v>
          </cell>
          <cell r="T141">
            <v>604</v>
          </cell>
          <cell r="U141">
            <v>16307.67</v>
          </cell>
          <cell r="V141">
            <v>16615.55</v>
          </cell>
          <cell r="W141">
            <v>7116.83</v>
          </cell>
          <cell r="X141">
            <v>65.599999999999994</v>
          </cell>
          <cell r="Y141">
            <v>1065</v>
          </cell>
          <cell r="Z141">
            <v>1180</v>
          </cell>
          <cell r="AA141">
            <v>12217.81</v>
          </cell>
          <cell r="AB141">
            <v>5172.1000000000004</v>
          </cell>
          <cell r="AC141">
            <v>38290.679700000001</v>
          </cell>
          <cell r="AE141">
            <v>84.55</v>
          </cell>
          <cell r="AF141">
            <v>654.49</v>
          </cell>
          <cell r="AG141">
            <v>2492</v>
          </cell>
          <cell r="AH141">
            <v>830</v>
          </cell>
          <cell r="AI141">
            <v>1470</v>
          </cell>
          <cell r="AJ141">
            <v>671.24</v>
          </cell>
          <cell r="AL141">
            <v>1270.32</v>
          </cell>
          <cell r="AP141">
            <v>1625.146</v>
          </cell>
          <cell r="AV141">
            <v>47.47</v>
          </cell>
          <cell r="AZ141">
            <v>275.39999999999998</v>
          </cell>
          <cell r="BE141">
            <v>21190</v>
          </cell>
          <cell r="BG141">
            <v>52.6</v>
          </cell>
          <cell r="BH141">
            <v>319.33</v>
          </cell>
          <cell r="BY141">
            <v>478.68</v>
          </cell>
          <cell r="CD141">
            <v>330.89</v>
          </cell>
          <cell r="CE141">
            <v>327.351</v>
          </cell>
          <cell r="CF141">
            <v>334.07</v>
          </cell>
          <cell r="CG141">
            <v>1200</v>
          </cell>
          <cell r="CH141">
            <v>1085</v>
          </cell>
          <cell r="CI141" t="str">
            <v>#N/A N/A</v>
          </cell>
          <cell r="CJ141">
            <v>450</v>
          </cell>
          <cell r="CK141">
            <v>1219</v>
          </cell>
          <cell r="CM141">
            <v>216</v>
          </cell>
          <cell r="CN141">
            <v>21.9</v>
          </cell>
          <cell r="CO141" t="str">
            <v>#N/A N/A</v>
          </cell>
          <cell r="CQ141">
            <v>6.11</v>
          </cell>
          <cell r="CR141">
            <v>42.75</v>
          </cell>
          <cell r="CS141">
            <v>1184.75</v>
          </cell>
          <cell r="CU141">
            <v>1350</v>
          </cell>
          <cell r="CW141">
            <v>52.743902439024396</v>
          </cell>
          <cell r="CX141">
            <v>560.95600000000002</v>
          </cell>
          <cell r="CZ141">
            <v>349.38</v>
          </cell>
          <cell r="DA141">
            <v>3838</v>
          </cell>
          <cell r="DB141">
            <v>18.04</v>
          </cell>
          <cell r="DC141">
            <v>383.1</v>
          </cell>
          <cell r="DD141">
            <v>101.4</v>
          </cell>
        </row>
        <row r="142">
          <cell r="A142">
            <v>38855</v>
          </cell>
          <cell r="C142">
            <v>116.8</v>
          </cell>
          <cell r="D142" t="str">
            <v>#N/A N/A</v>
          </cell>
          <cell r="E142" t="str">
            <v>#N/A N/A</v>
          </cell>
          <cell r="L142">
            <v>1365.15</v>
          </cell>
          <cell r="M142">
            <v>2180.3200000000002</v>
          </cell>
          <cell r="N142">
            <v>5671.6</v>
          </cell>
          <cell r="O142">
            <v>4188</v>
          </cell>
          <cell r="Q142">
            <v>525</v>
          </cell>
          <cell r="R142">
            <v>260.25</v>
          </cell>
          <cell r="S142">
            <v>418.5</v>
          </cell>
          <cell r="T142">
            <v>598</v>
          </cell>
          <cell r="U142">
            <v>16087.18</v>
          </cell>
          <cell r="V142">
            <v>16266.52</v>
          </cell>
          <cell r="W142">
            <v>7034.03</v>
          </cell>
          <cell r="X142">
            <v>63.85</v>
          </cell>
          <cell r="Y142">
            <v>1065</v>
          </cell>
          <cell r="Z142">
            <v>1180</v>
          </cell>
          <cell r="AA142">
            <v>11391.43</v>
          </cell>
          <cell r="AB142">
            <v>5076.2</v>
          </cell>
          <cell r="AC142">
            <v>37807.148399999998</v>
          </cell>
          <cell r="AE142">
            <v>82.4</v>
          </cell>
          <cell r="AF142">
            <v>654.49</v>
          </cell>
          <cell r="AG142">
            <v>2482</v>
          </cell>
          <cell r="AH142">
            <v>830</v>
          </cell>
          <cell r="AI142">
            <v>1470</v>
          </cell>
          <cell r="AJ142">
            <v>650.9</v>
          </cell>
          <cell r="AL142">
            <v>1261.81</v>
          </cell>
          <cell r="AP142">
            <v>1617.2809999999999</v>
          </cell>
          <cell r="AV142">
            <v>46.99</v>
          </cell>
          <cell r="AZ142">
            <v>276.10000000000002</v>
          </cell>
          <cell r="BE142">
            <v>21535</v>
          </cell>
          <cell r="BG142">
            <v>52.6</v>
          </cell>
          <cell r="BH142">
            <v>311.23</v>
          </cell>
          <cell r="BY142">
            <v>474.41</v>
          </cell>
          <cell r="CD142">
            <v>327.61</v>
          </cell>
          <cell r="CE142">
            <v>324.63600000000002</v>
          </cell>
          <cell r="CF142">
            <v>321.79000000000002</v>
          </cell>
          <cell r="CG142">
            <v>1200</v>
          </cell>
          <cell r="CH142">
            <v>1085</v>
          </cell>
          <cell r="CI142" t="str">
            <v>#N/A N/A</v>
          </cell>
          <cell r="CJ142">
            <v>450</v>
          </cell>
          <cell r="CK142">
            <v>1218</v>
          </cell>
          <cell r="CM142">
            <v>217.5</v>
          </cell>
          <cell r="CN142">
            <v>22.1</v>
          </cell>
          <cell r="CO142" t="str">
            <v>#N/A N/A</v>
          </cell>
          <cell r="CQ142">
            <v>5.77</v>
          </cell>
          <cell r="CR142">
            <v>42.75</v>
          </cell>
          <cell r="CS142">
            <v>1175.5</v>
          </cell>
          <cell r="CU142">
            <v>1350</v>
          </cell>
          <cell r="CW142">
            <v>51.753048780487809</v>
          </cell>
          <cell r="CX142">
            <v>564.38800000000003</v>
          </cell>
          <cell r="CZ142">
            <v>348.65</v>
          </cell>
          <cell r="DA142">
            <v>3818.3</v>
          </cell>
          <cell r="DB142">
            <v>17.38</v>
          </cell>
          <cell r="DC142">
            <v>372.5</v>
          </cell>
          <cell r="DD142">
            <v>102.15</v>
          </cell>
        </row>
        <row r="143">
          <cell r="A143">
            <v>38856</v>
          </cell>
          <cell r="C143">
            <v>116.8</v>
          </cell>
          <cell r="D143" t="str">
            <v>#N/A N/A</v>
          </cell>
          <cell r="E143" t="str">
            <v>#N/A N/A</v>
          </cell>
          <cell r="L143">
            <v>1372.29</v>
          </cell>
          <cell r="M143">
            <v>2193.88</v>
          </cell>
          <cell r="N143">
            <v>5657.4</v>
          </cell>
          <cell r="O143">
            <v>4153</v>
          </cell>
          <cell r="Q143">
            <v>620</v>
          </cell>
          <cell r="R143">
            <v>252.75</v>
          </cell>
          <cell r="S143">
            <v>416.25</v>
          </cell>
          <cell r="T143">
            <v>587</v>
          </cell>
          <cell r="U143">
            <v>16155.45</v>
          </cell>
          <cell r="V143">
            <v>16313.36</v>
          </cell>
          <cell r="W143">
            <v>7074.15</v>
          </cell>
          <cell r="X143">
            <v>64.75</v>
          </cell>
          <cell r="Y143">
            <v>1110</v>
          </cell>
          <cell r="Z143">
            <v>1200</v>
          </cell>
          <cell r="AA143">
            <v>10938.61</v>
          </cell>
          <cell r="AB143">
            <v>5061.2</v>
          </cell>
          <cell r="AC143">
            <v>37732.859400000001</v>
          </cell>
          <cell r="AE143">
            <v>84.3</v>
          </cell>
          <cell r="AF143">
            <v>654.49</v>
          </cell>
          <cell r="AG143">
            <v>2479</v>
          </cell>
          <cell r="AH143">
            <v>850</v>
          </cell>
          <cell r="AI143">
            <v>1490</v>
          </cell>
          <cell r="AJ143">
            <v>658.56</v>
          </cell>
          <cell r="AL143">
            <v>1267.03</v>
          </cell>
          <cell r="AP143">
            <v>1659.5450000000001</v>
          </cell>
          <cell r="AV143">
            <v>47.85</v>
          </cell>
          <cell r="AZ143">
            <v>278.5</v>
          </cell>
          <cell r="BE143">
            <v>20810</v>
          </cell>
          <cell r="BG143">
            <v>52.5</v>
          </cell>
          <cell r="BH143">
            <v>305.37</v>
          </cell>
          <cell r="BY143">
            <v>489.67</v>
          </cell>
          <cell r="CD143">
            <v>326.75</v>
          </cell>
          <cell r="CE143">
            <v>323.87900000000002</v>
          </cell>
          <cell r="CF143">
            <v>321.12</v>
          </cell>
          <cell r="CG143">
            <v>1230</v>
          </cell>
          <cell r="CH143">
            <v>1045</v>
          </cell>
          <cell r="CI143" t="str">
            <v>#N/A N/A</v>
          </cell>
          <cell r="CJ143">
            <v>450</v>
          </cell>
          <cell r="CK143">
            <v>1230</v>
          </cell>
          <cell r="CM143">
            <v>218.5</v>
          </cell>
          <cell r="CN143">
            <v>22.25</v>
          </cell>
          <cell r="CO143" t="str">
            <v>#N/A N/A</v>
          </cell>
          <cell r="CQ143">
            <v>5.76</v>
          </cell>
          <cell r="CR143">
            <v>42.75</v>
          </cell>
          <cell r="CS143">
            <v>1120</v>
          </cell>
          <cell r="CU143">
            <v>1340</v>
          </cell>
          <cell r="CW143">
            <v>52.515243902439025</v>
          </cell>
          <cell r="CX143">
            <v>561.35199999999998</v>
          </cell>
          <cell r="CZ143">
            <v>338.64</v>
          </cell>
          <cell r="DA143">
            <v>3596.5</v>
          </cell>
          <cell r="DB143">
            <v>17.190000000000001</v>
          </cell>
          <cell r="DC143">
            <v>351.8</v>
          </cell>
          <cell r="DD143">
            <v>100.65</v>
          </cell>
        </row>
        <row r="144">
          <cell r="A144">
            <v>38857</v>
          </cell>
          <cell r="C144">
            <v>116.8</v>
          </cell>
          <cell r="D144" t="str">
            <v>#N/A N/A</v>
          </cell>
          <cell r="E144" t="str">
            <v>#N/A N/A</v>
          </cell>
          <cell r="L144">
            <v>1372.29</v>
          </cell>
          <cell r="M144">
            <v>2193.88</v>
          </cell>
          <cell r="N144">
            <v>5657.4</v>
          </cell>
          <cell r="O144">
            <v>4153</v>
          </cell>
          <cell r="Q144">
            <v>620</v>
          </cell>
          <cell r="R144">
            <v>252.75</v>
          </cell>
          <cell r="S144">
            <v>416.25</v>
          </cell>
          <cell r="T144">
            <v>587</v>
          </cell>
          <cell r="U144">
            <v>16155.45</v>
          </cell>
          <cell r="V144">
            <v>16313.36</v>
          </cell>
          <cell r="W144">
            <v>7074.15</v>
          </cell>
          <cell r="X144">
            <v>64.75</v>
          </cell>
          <cell r="Y144">
            <v>1110</v>
          </cell>
          <cell r="Z144">
            <v>1200</v>
          </cell>
          <cell r="AA144">
            <v>10938.61</v>
          </cell>
          <cell r="AB144">
            <v>5061.2</v>
          </cell>
          <cell r="AC144">
            <v>37732.859400000001</v>
          </cell>
          <cell r="AE144">
            <v>84.3</v>
          </cell>
          <cell r="AF144">
            <v>654.49</v>
          </cell>
          <cell r="AG144">
            <v>2479</v>
          </cell>
          <cell r="AH144">
            <v>850</v>
          </cell>
          <cell r="AI144">
            <v>1490</v>
          </cell>
          <cell r="AJ144">
            <v>658.56</v>
          </cell>
          <cell r="AL144">
            <v>1267.03</v>
          </cell>
          <cell r="AP144">
            <v>1659.5450000000001</v>
          </cell>
          <cell r="AV144">
            <v>47.85</v>
          </cell>
          <cell r="AZ144">
            <v>278.5</v>
          </cell>
          <cell r="BE144">
            <v>20810</v>
          </cell>
          <cell r="BG144">
            <v>52.5</v>
          </cell>
          <cell r="BH144">
            <v>305.37</v>
          </cell>
          <cell r="BY144">
            <v>489.67</v>
          </cell>
          <cell r="CD144">
            <v>326.75</v>
          </cell>
          <cell r="CE144">
            <v>323.87900000000002</v>
          </cell>
          <cell r="CF144">
            <v>321.12</v>
          </cell>
          <cell r="CG144">
            <v>1230</v>
          </cell>
          <cell r="CH144">
            <v>1045</v>
          </cell>
          <cell r="CI144" t="str">
            <v>#N/A N/A</v>
          </cell>
          <cell r="CJ144">
            <v>450</v>
          </cell>
          <cell r="CK144">
            <v>1230</v>
          </cell>
          <cell r="CM144">
            <v>218.5</v>
          </cell>
          <cell r="CN144">
            <v>22.25</v>
          </cell>
          <cell r="CO144" t="str">
            <v>#N/A N/A</v>
          </cell>
          <cell r="CQ144">
            <v>5.76</v>
          </cell>
          <cell r="CR144">
            <v>42.75</v>
          </cell>
          <cell r="CS144">
            <v>1120</v>
          </cell>
          <cell r="CU144">
            <v>1340</v>
          </cell>
          <cell r="CW144">
            <v>52.515243902439025</v>
          </cell>
          <cell r="CX144">
            <v>561.35199999999998</v>
          </cell>
          <cell r="CZ144">
            <v>338.64</v>
          </cell>
          <cell r="DA144">
            <v>3596.5</v>
          </cell>
          <cell r="DB144">
            <v>17.190000000000001</v>
          </cell>
          <cell r="DC144">
            <v>351.8</v>
          </cell>
          <cell r="DD144">
            <v>100.65</v>
          </cell>
        </row>
        <row r="145">
          <cell r="A145">
            <v>38858</v>
          </cell>
          <cell r="C145">
            <v>116.8</v>
          </cell>
          <cell r="D145" t="str">
            <v>#N/A N/A</v>
          </cell>
          <cell r="E145" t="str">
            <v>#N/A N/A</v>
          </cell>
          <cell r="L145">
            <v>1372.29</v>
          </cell>
          <cell r="M145">
            <v>2193.88</v>
          </cell>
          <cell r="N145">
            <v>5657.4</v>
          </cell>
          <cell r="O145">
            <v>4153</v>
          </cell>
          <cell r="Q145">
            <v>620</v>
          </cell>
          <cell r="R145">
            <v>252.75</v>
          </cell>
          <cell r="S145">
            <v>416.25</v>
          </cell>
          <cell r="T145">
            <v>587</v>
          </cell>
          <cell r="U145">
            <v>16155.45</v>
          </cell>
          <cell r="V145">
            <v>16313.36</v>
          </cell>
          <cell r="W145">
            <v>7074.15</v>
          </cell>
          <cell r="X145">
            <v>64.75</v>
          </cell>
          <cell r="Y145">
            <v>1110</v>
          </cell>
          <cell r="Z145">
            <v>1200</v>
          </cell>
          <cell r="AA145">
            <v>10938.61</v>
          </cell>
          <cell r="AB145">
            <v>5061.2</v>
          </cell>
          <cell r="AC145">
            <v>37732.859400000001</v>
          </cell>
          <cell r="AE145">
            <v>84.3</v>
          </cell>
          <cell r="AF145">
            <v>654.49</v>
          </cell>
          <cell r="AG145">
            <v>2479</v>
          </cell>
          <cell r="AH145">
            <v>850</v>
          </cell>
          <cell r="AI145">
            <v>1490</v>
          </cell>
          <cell r="AJ145">
            <v>658.56</v>
          </cell>
          <cell r="AL145">
            <v>1267.03</v>
          </cell>
          <cell r="AP145">
            <v>1659.5450000000001</v>
          </cell>
          <cell r="AV145">
            <v>47.85</v>
          </cell>
          <cell r="AZ145">
            <v>278.5</v>
          </cell>
          <cell r="BE145">
            <v>20810</v>
          </cell>
          <cell r="BG145">
            <v>52.5</v>
          </cell>
          <cell r="BH145">
            <v>305.37</v>
          </cell>
          <cell r="BY145">
            <v>489.67</v>
          </cell>
          <cell r="CD145">
            <v>326.75</v>
          </cell>
          <cell r="CE145">
            <v>323.87900000000002</v>
          </cell>
          <cell r="CF145">
            <v>321.12</v>
          </cell>
          <cell r="CG145">
            <v>1230</v>
          </cell>
          <cell r="CH145">
            <v>1045</v>
          </cell>
          <cell r="CI145" t="str">
            <v>#N/A N/A</v>
          </cell>
          <cell r="CJ145">
            <v>450</v>
          </cell>
          <cell r="CK145">
            <v>1230</v>
          </cell>
          <cell r="CM145">
            <v>218.5</v>
          </cell>
          <cell r="CN145">
            <v>22.25</v>
          </cell>
          <cell r="CO145" t="str">
            <v>#N/A N/A</v>
          </cell>
          <cell r="CQ145">
            <v>5.76</v>
          </cell>
          <cell r="CR145">
            <v>42.75</v>
          </cell>
          <cell r="CS145">
            <v>1120</v>
          </cell>
          <cell r="CU145">
            <v>1340</v>
          </cell>
          <cell r="CW145">
            <v>52.515243902439025</v>
          </cell>
          <cell r="CX145">
            <v>561.35199999999998</v>
          </cell>
          <cell r="CZ145">
            <v>338.64</v>
          </cell>
          <cell r="DA145">
            <v>3596.5</v>
          </cell>
          <cell r="DB145">
            <v>17.190000000000001</v>
          </cell>
          <cell r="DC145">
            <v>351.8</v>
          </cell>
          <cell r="DD145">
            <v>100.65</v>
          </cell>
        </row>
        <row r="146">
          <cell r="A146">
            <v>38859</v>
          </cell>
          <cell r="C146">
            <v>116.8</v>
          </cell>
          <cell r="D146" t="str">
            <v>#N/A N/A</v>
          </cell>
          <cell r="E146" t="str">
            <v>#N/A N/A</v>
          </cell>
          <cell r="L146">
            <v>1338.59</v>
          </cell>
          <cell r="M146">
            <v>2172.86</v>
          </cell>
          <cell r="N146">
            <v>5532.7</v>
          </cell>
          <cell r="O146">
            <v>4152</v>
          </cell>
          <cell r="Q146">
            <v>620</v>
          </cell>
          <cell r="R146">
            <v>254.5</v>
          </cell>
          <cell r="S146">
            <v>426.25</v>
          </cell>
          <cell r="T146">
            <v>582.5</v>
          </cell>
          <cell r="U146">
            <v>15857.87</v>
          </cell>
          <cell r="V146">
            <v>15805.52</v>
          </cell>
          <cell r="W146">
            <v>6938.26</v>
          </cell>
          <cell r="X146">
            <v>63.4</v>
          </cell>
          <cell r="Y146">
            <v>1110</v>
          </cell>
          <cell r="Z146">
            <v>1200</v>
          </cell>
          <cell r="AA146">
            <v>10481.77</v>
          </cell>
          <cell r="AB146">
            <v>4987.3</v>
          </cell>
          <cell r="AC146">
            <v>36496.921900000001</v>
          </cell>
          <cell r="AE146">
            <v>83.1</v>
          </cell>
          <cell r="AF146">
            <v>654.49</v>
          </cell>
          <cell r="AG146">
            <v>2476</v>
          </cell>
          <cell r="AH146">
            <v>850</v>
          </cell>
          <cell r="AI146">
            <v>1490</v>
          </cell>
          <cell r="AJ146">
            <v>643.70000000000005</v>
          </cell>
          <cell r="AL146">
            <v>1262.07</v>
          </cell>
          <cell r="AP146">
            <v>1657.6890000000001</v>
          </cell>
          <cell r="AV146">
            <v>45.63</v>
          </cell>
          <cell r="AZ146">
            <v>275.39999999999998</v>
          </cell>
          <cell r="BE146">
            <v>21300</v>
          </cell>
          <cell r="BG146">
            <v>52.5</v>
          </cell>
          <cell r="BH146">
            <v>294.72000000000003</v>
          </cell>
          <cell r="BY146">
            <v>469.16</v>
          </cell>
          <cell r="CD146">
            <v>322.5</v>
          </cell>
          <cell r="CE146">
            <v>320.51</v>
          </cell>
          <cell r="CF146">
            <v>309.82</v>
          </cell>
          <cell r="CG146">
            <v>1230</v>
          </cell>
          <cell r="CH146">
            <v>1045</v>
          </cell>
          <cell r="CI146" t="str">
            <v>#N/A N/A</v>
          </cell>
          <cell r="CJ146">
            <v>450</v>
          </cell>
          <cell r="CK146">
            <v>1237</v>
          </cell>
          <cell r="CM146">
            <v>217.22</v>
          </cell>
          <cell r="CN146">
            <v>23.05</v>
          </cell>
          <cell r="CO146" t="str">
            <v>#N/A N/A</v>
          </cell>
          <cell r="CQ146">
            <v>5.89</v>
          </cell>
          <cell r="CR146">
            <v>42.75</v>
          </cell>
          <cell r="CS146">
            <v>1104</v>
          </cell>
          <cell r="CU146">
            <v>1340</v>
          </cell>
          <cell r="CW146">
            <v>52.362804878048784</v>
          </cell>
          <cell r="CX146">
            <v>564.82799999999997</v>
          </cell>
          <cell r="CZ146">
            <v>344.21</v>
          </cell>
          <cell r="DA146">
            <v>3636.2</v>
          </cell>
          <cell r="DB146">
            <v>17.23</v>
          </cell>
          <cell r="DC146">
            <v>341.75</v>
          </cell>
          <cell r="DD146">
            <v>99.6</v>
          </cell>
        </row>
        <row r="147">
          <cell r="A147">
            <v>38860</v>
          </cell>
          <cell r="C147">
            <v>116.8</v>
          </cell>
          <cell r="D147" t="str">
            <v>#N/A N/A</v>
          </cell>
          <cell r="E147" t="str">
            <v>#N/A N/A</v>
          </cell>
          <cell r="L147">
            <v>1329.86</v>
          </cell>
          <cell r="M147">
            <v>2158.7600000000002</v>
          </cell>
          <cell r="N147">
            <v>5678.7</v>
          </cell>
          <cell r="O147">
            <v>4168</v>
          </cell>
          <cell r="Q147">
            <v>620</v>
          </cell>
          <cell r="R147">
            <v>253</v>
          </cell>
          <cell r="S147">
            <v>419.75</v>
          </cell>
          <cell r="T147">
            <v>586.75</v>
          </cell>
          <cell r="U147">
            <v>15599.2</v>
          </cell>
          <cell r="V147">
            <v>15864.56</v>
          </cell>
          <cell r="W147">
            <v>6843.98</v>
          </cell>
          <cell r="X147">
            <v>65.3</v>
          </cell>
          <cell r="Y147">
            <v>1110</v>
          </cell>
          <cell r="Z147">
            <v>1200</v>
          </cell>
          <cell r="AA147">
            <v>10822.78</v>
          </cell>
          <cell r="AB147">
            <v>4966.3</v>
          </cell>
          <cell r="AC147">
            <v>36110</v>
          </cell>
          <cell r="AE147">
            <v>84.55</v>
          </cell>
          <cell r="AF147">
            <v>654.82000000000005</v>
          </cell>
          <cell r="AG147">
            <v>2468</v>
          </cell>
          <cell r="AH147">
            <v>850</v>
          </cell>
          <cell r="AI147">
            <v>1490</v>
          </cell>
          <cell r="AJ147">
            <v>640.34</v>
          </cell>
          <cell r="AL147">
            <v>1256.58</v>
          </cell>
          <cell r="AP147">
            <v>1604.5519999999999</v>
          </cell>
          <cell r="AV147">
            <v>45.85</v>
          </cell>
          <cell r="AZ147">
            <v>283.2</v>
          </cell>
          <cell r="BE147">
            <v>22715</v>
          </cell>
          <cell r="BG147">
            <v>52.5</v>
          </cell>
          <cell r="BH147">
            <v>298.20999999999998</v>
          </cell>
          <cell r="BY147">
            <v>461.58</v>
          </cell>
          <cell r="CD147">
            <v>324.29000000000002</v>
          </cell>
          <cell r="CE147">
            <v>321.99799999999999</v>
          </cell>
          <cell r="CF147">
            <v>311.39999999999998</v>
          </cell>
          <cell r="CG147">
            <v>1230</v>
          </cell>
          <cell r="CH147">
            <v>1045</v>
          </cell>
          <cell r="CI147" t="str">
            <v>#N/A N/A</v>
          </cell>
          <cell r="CJ147">
            <v>440</v>
          </cell>
          <cell r="CK147">
            <v>1246</v>
          </cell>
          <cell r="CM147">
            <v>225</v>
          </cell>
          <cell r="CN147">
            <v>24.4</v>
          </cell>
          <cell r="CO147" t="str">
            <v>#N/A N/A</v>
          </cell>
          <cell r="CQ147">
            <v>6.28</v>
          </cell>
          <cell r="CR147">
            <v>42.75</v>
          </cell>
          <cell r="CS147">
            <v>1137.5</v>
          </cell>
          <cell r="CU147">
            <v>1340</v>
          </cell>
          <cell r="CW147">
            <v>52.896341463414636</v>
          </cell>
          <cell r="CX147">
            <v>565.53199999999993</v>
          </cell>
          <cell r="CZ147">
            <v>352.37</v>
          </cell>
          <cell r="DA147">
            <v>3946.3</v>
          </cell>
          <cell r="DB147">
            <v>17.57</v>
          </cell>
          <cell r="DC147">
            <v>363.35</v>
          </cell>
          <cell r="DD147">
            <v>101.4</v>
          </cell>
        </row>
        <row r="148">
          <cell r="A148">
            <v>38861</v>
          </cell>
          <cell r="C148">
            <v>116.8</v>
          </cell>
          <cell r="D148" t="str">
            <v>#N/A N/A</v>
          </cell>
          <cell r="E148" t="str">
            <v>#N/A N/A</v>
          </cell>
          <cell r="L148">
            <v>1333.38</v>
          </cell>
          <cell r="M148">
            <v>2169.17</v>
          </cell>
          <cell r="N148">
            <v>5587.1</v>
          </cell>
          <cell r="O148">
            <v>4189</v>
          </cell>
          <cell r="Q148">
            <v>620</v>
          </cell>
          <cell r="R148">
            <v>249.5</v>
          </cell>
          <cell r="S148">
            <v>411.75</v>
          </cell>
          <cell r="T148">
            <v>582.5</v>
          </cell>
          <cell r="U148">
            <v>15907.2</v>
          </cell>
          <cell r="V148">
            <v>15822.64</v>
          </cell>
          <cell r="W148">
            <v>6877.01</v>
          </cell>
          <cell r="X148">
            <v>65.900000000000006</v>
          </cell>
          <cell r="Y148">
            <v>1110</v>
          </cell>
          <cell r="Z148">
            <v>1200</v>
          </cell>
          <cell r="AA148">
            <v>10573.15</v>
          </cell>
          <cell r="AB148">
            <v>4995</v>
          </cell>
          <cell r="AC148">
            <v>35791.960899999998</v>
          </cell>
          <cell r="AE148">
            <v>85.85</v>
          </cell>
          <cell r="AF148">
            <v>654.82000000000005</v>
          </cell>
          <cell r="AG148">
            <v>2453</v>
          </cell>
          <cell r="AH148">
            <v>850</v>
          </cell>
          <cell r="AI148">
            <v>1490</v>
          </cell>
          <cell r="AJ148">
            <v>636.98</v>
          </cell>
          <cell r="AL148">
            <v>1258.57</v>
          </cell>
          <cell r="AP148">
            <v>1590.924</v>
          </cell>
          <cell r="AV148">
            <v>45.65</v>
          </cell>
          <cell r="AZ148">
            <v>291.2</v>
          </cell>
          <cell r="BE148">
            <v>22350</v>
          </cell>
          <cell r="BG148">
            <v>52.5</v>
          </cell>
          <cell r="BH148">
            <v>294.85000000000002</v>
          </cell>
          <cell r="BY148">
            <v>465.04</v>
          </cell>
          <cell r="CD148">
            <v>322.08999999999997</v>
          </cell>
          <cell r="CE148">
            <v>320.11799999999999</v>
          </cell>
          <cell r="CF148">
            <v>309.7</v>
          </cell>
          <cell r="CG148">
            <v>1230</v>
          </cell>
          <cell r="CH148">
            <v>1045</v>
          </cell>
          <cell r="CI148" t="str">
            <v>#N/A N/A</v>
          </cell>
          <cell r="CJ148">
            <v>440</v>
          </cell>
          <cell r="CK148">
            <v>1251</v>
          </cell>
          <cell r="CM148">
            <v>215.67</v>
          </cell>
          <cell r="CN148">
            <v>23.56</v>
          </cell>
          <cell r="CO148" t="str">
            <v>#N/A N/A</v>
          </cell>
          <cell r="CQ148">
            <v>6.01</v>
          </cell>
          <cell r="CR148">
            <v>43</v>
          </cell>
          <cell r="CS148">
            <v>1079.5</v>
          </cell>
          <cell r="CU148">
            <v>1340</v>
          </cell>
          <cell r="CW148">
            <v>52.896341463414636</v>
          </cell>
          <cell r="CX148">
            <v>599.48500000000001</v>
          </cell>
          <cell r="CZ148">
            <v>342.51</v>
          </cell>
          <cell r="DA148">
            <v>3724.7</v>
          </cell>
          <cell r="DB148">
            <v>17.18</v>
          </cell>
          <cell r="DC148">
            <v>354.75</v>
          </cell>
          <cell r="DD148">
            <v>99.8</v>
          </cell>
        </row>
        <row r="149">
          <cell r="A149">
            <v>38862</v>
          </cell>
          <cell r="C149">
            <v>116.8</v>
          </cell>
          <cell r="D149" t="str">
            <v>#N/A N/A</v>
          </cell>
          <cell r="E149" t="str">
            <v>#N/A N/A</v>
          </cell>
          <cell r="L149">
            <v>1295.76</v>
          </cell>
          <cell r="M149">
            <v>2198.2399999999998</v>
          </cell>
          <cell r="N149">
            <v>5677.7</v>
          </cell>
          <cell r="O149">
            <v>4223</v>
          </cell>
          <cell r="Q149">
            <v>620</v>
          </cell>
          <cell r="R149">
            <v>253.25</v>
          </cell>
          <cell r="S149">
            <v>409.5</v>
          </cell>
          <cell r="T149">
            <v>584.25</v>
          </cell>
          <cell r="U149">
            <v>15693.75</v>
          </cell>
          <cell r="V149">
            <v>15696.89</v>
          </cell>
          <cell r="W149">
            <v>6861.65</v>
          </cell>
          <cell r="X149">
            <v>64.7</v>
          </cell>
          <cell r="Y149">
            <v>1110</v>
          </cell>
          <cell r="Z149">
            <v>1200</v>
          </cell>
          <cell r="AA149">
            <v>10666.32</v>
          </cell>
          <cell r="AB149">
            <v>4939.3999999999996</v>
          </cell>
          <cell r="AC149">
            <v>37568.660199999998</v>
          </cell>
          <cell r="AE149">
            <v>84.25</v>
          </cell>
          <cell r="AF149">
            <v>654.82000000000005</v>
          </cell>
          <cell r="AG149">
            <v>2442</v>
          </cell>
          <cell r="AH149">
            <v>850</v>
          </cell>
          <cell r="AI149">
            <v>1490</v>
          </cell>
          <cell r="AJ149">
            <v>620.20000000000005</v>
          </cell>
          <cell r="AL149">
            <v>1272.8800000000001</v>
          </cell>
          <cell r="AP149">
            <v>1591.425</v>
          </cell>
          <cell r="AV149">
            <v>46.01</v>
          </cell>
          <cell r="AZ149">
            <v>295.5</v>
          </cell>
          <cell r="BE149">
            <v>22500</v>
          </cell>
          <cell r="BG149">
            <v>52.5</v>
          </cell>
          <cell r="BH149">
            <v>302.54000000000002</v>
          </cell>
          <cell r="BY149">
            <v>462.99</v>
          </cell>
          <cell r="CD149">
            <v>325.16000000000003</v>
          </cell>
          <cell r="CE149">
            <v>323.33</v>
          </cell>
          <cell r="CF149">
            <v>305.13</v>
          </cell>
          <cell r="CG149">
            <v>1230</v>
          </cell>
          <cell r="CH149">
            <v>1045</v>
          </cell>
          <cell r="CI149" t="str">
            <v>#N/A N/A</v>
          </cell>
          <cell r="CJ149">
            <v>440</v>
          </cell>
          <cell r="CK149">
            <v>1236</v>
          </cell>
          <cell r="CM149">
            <v>224</v>
          </cell>
          <cell r="CN149">
            <v>24.07</v>
          </cell>
          <cell r="CO149" t="str">
            <v>#N/A N/A</v>
          </cell>
          <cell r="CQ149">
            <v>5.85</v>
          </cell>
          <cell r="CR149">
            <v>43</v>
          </cell>
          <cell r="CS149">
            <v>1068.5</v>
          </cell>
          <cell r="CU149">
            <v>1340</v>
          </cell>
          <cell r="CW149">
            <v>51.981707317073173</v>
          </cell>
          <cell r="CX149">
            <v>600.00199999999995</v>
          </cell>
          <cell r="CZ149">
            <v>346.35</v>
          </cell>
          <cell r="DA149">
            <v>3806.2</v>
          </cell>
          <cell r="DB149">
            <v>17.260000000000002</v>
          </cell>
          <cell r="DC149">
            <v>352</v>
          </cell>
          <cell r="DD149">
            <v>98.65</v>
          </cell>
        </row>
        <row r="150">
          <cell r="A150">
            <v>38863</v>
          </cell>
          <cell r="C150">
            <v>116.8</v>
          </cell>
          <cell r="D150" t="str">
            <v>#N/A N/A</v>
          </cell>
          <cell r="E150" t="str">
            <v>#N/A N/A</v>
          </cell>
          <cell r="L150">
            <v>1322.43</v>
          </cell>
          <cell r="M150">
            <v>2210.37</v>
          </cell>
          <cell r="N150">
            <v>5791</v>
          </cell>
          <cell r="O150">
            <v>4235</v>
          </cell>
          <cell r="Q150">
            <v>620</v>
          </cell>
          <cell r="R150">
            <v>254</v>
          </cell>
          <cell r="S150">
            <v>415.5</v>
          </cell>
          <cell r="T150">
            <v>582.5</v>
          </cell>
          <cell r="U150">
            <v>15970.76</v>
          </cell>
          <cell r="V150">
            <v>15895.1</v>
          </cell>
          <cell r="W150">
            <v>6879.51</v>
          </cell>
          <cell r="X150">
            <v>66.25</v>
          </cell>
          <cell r="Y150">
            <v>1120</v>
          </cell>
          <cell r="Z150">
            <v>1260</v>
          </cell>
          <cell r="AA150">
            <v>10809.35</v>
          </cell>
          <cell r="AB150">
            <v>5014.7</v>
          </cell>
          <cell r="AC150">
            <v>38629.710899999998</v>
          </cell>
          <cell r="AE150">
            <v>86.45</v>
          </cell>
          <cell r="AF150">
            <v>654.82000000000005</v>
          </cell>
          <cell r="AG150">
            <v>2432</v>
          </cell>
          <cell r="AH150">
            <v>860</v>
          </cell>
          <cell r="AI150">
            <v>1500</v>
          </cell>
          <cell r="AJ150">
            <v>633.91</v>
          </cell>
          <cell r="AL150">
            <v>1280.1600000000001</v>
          </cell>
          <cell r="AP150">
            <v>1613.894</v>
          </cell>
          <cell r="AV150">
            <v>46.54</v>
          </cell>
          <cell r="AZ150">
            <v>304.3</v>
          </cell>
          <cell r="BE150">
            <v>23970</v>
          </cell>
          <cell r="BG150">
            <v>52.5</v>
          </cell>
          <cell r="BH150">
            <v>307.06</v>
          </cell>
          <cell r="BY150">
            <v>466.77</v>
          </cell>
          <cell r="CD150">
            <v>328.64</v>
          </cell>
          <cell r="CE150">
            <v>326.43700000000001</v>
          </cell>
          <cell r="CF150">
            <v>309.76</v>
          </cell>
          <cell r="CG150">
            <v>1250</v>
          </cell>
          <cell r="CH150">
            <v>1020</v>
          </cell>
          <cell r="CI150" t="str">
            <v>#N/A N/A</v>
          </cell>
          <cell r="CJ150">
            <v>440</v>
          </cell>
          <cell r="CK150">
            <v>1202</v>
          </cell>
          <cell r="CM150">
            <v>231</v>
          </cell>
          <cell r="CN150">
            <v>23.85</v>
          </cell>
          <cell r="CO150" t="str">
            <v>#N/A N/A</v>
          </cell>
          <cell r="CQ150">
            <v>5.77</v>
          </cell>
          <cell r="CR150">
            <v>43</v>
          </cell>
          <cell r="CS150">
            <v>1080</v>
          </cell>
          <cell r="CU150">
            <v>1350</v>
          </cell>
          <cell r="CW150">
            <v>52.515243902439025</v>
          </cell>
          <cell r="CX150">
            <v>597.74599999999998</v>
          </cell>
          <cell r="CZ150">
            <v>347.82</v>
          </cell>
          <cell r="DA150">
            <v>3898.9</v>
          </cell>
          <cell r="DB150">
            <v>16.87</v>
          </cell>
          <cell r="DC150">
            <v>355.1</v>
          </cell>
          <cell r="DD150">
            <v>98.1</v>
          </cell>
        </row>
        <row r="151">
          <cell r="A151">
            <v>38864</v>
          </cell>
          <cell r="C151">
            <v>116.8</v>
          </cell>
          <cell r="D151" t="str">
            <v>#N/A N/A</v>
          </cell>
          <cell r="E151" t="str">
            <v>#N/A N/A</v>
          </cell>
          <cell r="L151">
            <v>1322.43</v>
          </cell>
          <cell r="M151">
            <v>2210.37</v>
          </cell>
          <cell r="N151">
            <v>5791</v>
          </cell>
          <cell r="O151">
            <v>4235</v>
          </cell>
          <cell r="Q151">
            <v>620</v>
          </cell>
          <cell r="R151">
            <v>254</v>
          </cell>
          <cell r="S151">
            <v>415.5</v>
          </cell>
          <cell r="T151">
            <v>582.5</v>
          </cell>
          <cell r="U151">
            <v>15970.76</v>
          </cell>
          <cell r="V151">
            <v>15895.1</v>
          </cell>
          <cell r="W151">
            <v>6879.51</v>
          </cell>
          <cell r="X151">
            <v>66.25</v>
          </cell>
          <cell r="Y151">
            <v>1120</v>
          </cell>
          <cell r="Z151">
            <v>1260</v>
          </cell>
          <cell r="AA151">
            <v>10809.35</v>
          </cell>
          <cell r="AB151">
            <v>5014.7</v>
          </cell>
          <cell r="AC151">
            <v>38629.710899999998</v>
          </cell>
          <cell r="AE151">
            <v>86.45</v>
          </cell>
          <cell r="AF151">
            <v>654.82000000000005</v>
          </cell>
          <cell r="AG151">
            <v>2432</v>
          </cell>
          <cell r="AH151">
            <v>860</v>
          </cell>
          <cell r="AI151">
            <v>1500</v>
          </cell>
          <cell r="AJ151">
            <v>633.91</v>
          </cell>
          <cell r="AL151">
            <v>1280.1600000000001</v>
          </cell>
          <cell r="AP151">
            <v>1613.894</v>
          </cell>
          <cell r="AV151">
            <v>46.54</v>
          </cell>
          <cell r="AZ151">
            <v>304.3</v>
          </cell>
          <cell r="BE151">
            <v>23970</v>
          </cell>
          <cell r="BG151">
            <v>52.5</v>
          </cell>
          <cell r="BH151">
            <v>307.06</v>
          </cell>
          <cell r="BY151">
            <v>466.77</v>
          </cell>
          <cell r="CD151">
            <v>328.64</v>
          </cell>
          <cell r="CE151">
            <v>326.43700000000001</v>
          </cell>
          <cell r="CF151">
            <v>309.76</v>
          </cell>
          <cell r="CG151">
            <v>1250</v>
          </cell>
          <cell r="CH151">
            <v>1020</v>
          </cell>
          <cell r="CI151" t="str">
            <v>#N/A N/A</v>
          </cell>
          <cell r="CJ151">
            <v>440</v>
          </cell>
          <cell r="CK151">
            <v>1202</v>
          </cell>
          <cell r="CM151">
            <v>231</v>
          </cell>
          <cell r="CN151">
            <v>23.85</v>
          </cell>
          <cell r="CO151" t="str">
            <v>#N/A N/A</v>
          </cell>
          <cell r="CQ151">
            <v>5.77</v>
          </cell>
          <cell r="CR151">
            <v>43</v>
          </cell>
          <cell r="CS151">
            <v>1080</v>
          </cell>
          <cell r="CU151">
            <v>1350</v>
          </cell>
          <cell r="CW151">
            <v>52.515243902439025</v>
          </cell>
          <cell r="CX151">
            <v>597.74599999999998</v>
          </cell>
          <cell r="CZ151">
            <v>347.82</v>
          </cell>
          <cell r="DA151">
            <v>3898.9</v>
          </cell>
          <cell r="DB151">
            <v>16.87</v>
          </cell>
          <cell r="DC151">
            <v>355.1</v>
          </cell>
          <cell r="DD151">
            <v>98.1</v>
          </cell>
        </row>
        <row r="152">
          <cell r="A152">
            <v>38865</v>
          </cell>
          <cell r="C152">
            <v>116.8</v>
          </cell>
          <cell r="D152" t="str">
            <v>#N/A N/A</v>
          </cell>
          <cell r="E152" t="str">
            <v>#N/A N/A</v>
          </cell>
          <cell r="L152">
            <v>1322.43</v>
          </cell>
          <cell r="M152">
            <v>2210.37</v>
          </cell>
          <cell r="N152">
            <v>5791</v>
          </cell>
          <cell r="O152">
            <v>4235</v>
          </cell>
          <cell r="Q152">
            <v>620</v>
          </cell>
          <cell r="R152">
            <v>254</v>
          </cell>
          <cell r="S152">
            <v>415.5</v>
          </cell>
          <cell r="T152">
            <v>582.5</v>
          </cell>
          <cell r="U152">
            <v>15970.76</v>
          </cell>
          <cell r="V152">
            <v>15895.1</v>
          </cell>
          <cell r="W152">
            <v>6879.51</v>
          </cell>
          <cell r="X152">
            <v>66.25</v>
          </cell>
          <cell r="Y152">
            <v>1120</v>
          </cell>
          <cell r="Z152">
            <v>1260</v>
          </cell>
          <cell r="AA152">
            <v>10809.35</v>
          </cell>
          <cell r="AB152">
            <v>5014.7</v>
          </cell>
          <cell r="AC152">
            <v>38629.710899999998</v>
          </cell>
          <cell r="AE152">
            <v>86.45</v>
          </cell>
          <cell r="AF152">
            <v>654.82000000000005</v>
          </cell>
          <cell r="AG152">
            <v>2432</v>
          </cell>
          <cell r="AH152">
            <v>860</v>
          </cell>
          <cell r="AI152">
            <v>1500</v>
          </cell>
          <cell r="AJ152">
            <v>633.91</v>
          </cell>
          <cell r="AL152">
            <v>1280.1600000000001</v>
          </cell>
          <cell r="AP152">
            <v>1613.894</v>
          </cell>
          <cell r="AV152">
            <v>46.54</v>
          </cell>
          <cell r="AZ152">
            <v>304.3</v>
          </cell>
          <cell r="BE152">
            <v>23970</v>
          </cell>
          <cell r="BG152">
            <v>52.5</v>
          </cell>
          <cell r="BH152">
            <v>307.06</v>
          </cell>
          <cell r="BY152">
            <v>466.77</v>
          </cell>
          <cell r="CD152">
            <v>328.64</v>
          </cell>
          <cell r="CE152">
            <v>326.43700000000001</v>
          </cell>
          <cell r="CF152">
            <v>309.76</v>
          </cell>
          <cell r="CG152">
            <v>1250</v>
          </cell>
          <cell r="CH152">
            <v>1020</v>
          </cell>
          <cell r="CI152" t="str">
            <v>#N/A N/A</v>
          </cell>
          <cell r="CJ152">
            <v>440</v>
          </cell>
          <cell r="CK152">
            <v>1202</v>
          </cell>
          <cell r="CM152">
            <v>231</v>
          </cell>
          <cell r="CN152">
            <v>23.85</v>
          </cell>
          <cell r="CO152" t="str">
            <v>#N/A N/A</v>
          </cell>
          <cell r="CQ152">
            <v>5.77</v>
          </cell>
          <cell r="CR152">
            <v>43</v>
          </cell>
          <cell r="CS152">
            <v>1080</v>
          </cell>
          <cell r="CU152">
            <v>1350</v>
          </cell>
          <cell r="CW152">
            <v>52.515243902439025</v>
          </cell>
          <cell r="CX152">
            <v>597.74599999999998</v>
          </cell>
          <cell r="CZ152">
            <v>347.82</v>
          </cell>
          <cell r="DA152">
            <v>3898.9</v>
          </cell>
          <cell r="DB152">
            <v>16.87</v>
          </cell>
          <cell r="DC152">
            <v>355.1</v>
          </cell>
          <cell r="DD152">
            <v>98.1</v>
          </cell>
        </row>
        <row r="153">
          <cell r="A153">
            <v>38866</v>
          </cell>
          <cell r="C153">
            <v>116.8</v>
          </cell>
          <cell r="D153" t="str">
            <v>#N/A N/A</v>
          </cell>
          <cell r="E153" t="str">
            <v>#N/A N/A</v>
          </cell>
          <cell r="L153">
            <v>1329.22</v>
          </cell>
          <cell r="M153">
            <v>2210.37</v>
          </cell>
          <cell r="N153">
            <v>5791</v>
          </cell>
          <cell r="O153">
            <v>4277</v>
          </cell>
          <cell r="Q153">
            <v>620</v>
          </cell>
          <cell r="R153">
            <v>254</v>
          </cell>
          <cell r="S153">
            <v>415.5</v>
          </cell>
          <cell r="T153">
            <v>582.5</v>
          </cell>
          <cell r="U153">
            <v>15915.68</v>
          </cell>
          <cell r="V153">
            <v>15963.77</v>
          </cell>
          <cell r="W153">
            <v>6878.88</v>
          </cell>
          <cell r="X153">
            <v>65.95</v>
          </cell>
          <cell r="Y153">
            <v>1120</v>
          </cell>
          <cell r="Z153">
            <v>1260</v>
          </cell>
          <cell r="AA153">
            <v>10853.14</v>
          </cell>
          <cell r="AB153">
            <v>5069.8999999999996</v>
          </cell>
          <cell r="AC153">
            <v>38145.148399999998</v>
          </cell>
          <cell r="AE153">
            <v>85.75</v>
          </cell>
          <cell r="AF153">
            <v>654.82000000000005</v>
          </cell>
          <cell r="AG153">
            <v>2432</v>
          </cell>
          <cell r="AH153">
            <v>860</v>
          </cell>
          <cell r="AI153">
            <v>1500</v>
          </cell>
          <cell r="AJ153">
            <v>638.27</v>
          </cell>
          <cell r="AL153">
            <v>1280.1600000000001</v>
          </cell>
          <cell r="AP153">
            <v>1648.538</v>
          </cell>
          <cell r="AV153">
            <v>46.54</v>
          </cell>
          <cell r="AZ153">
            <v>313.60000000000002</v>
          </cell>
          <cell r="BE153">
            <v>23970</v>
          </cell>
          <cell r="BG153">
            <v>52.5</v>
          </cell>
          <cell r="BH153">
            <v>308.52999999999997</v>
          </cell>
          <cell r="BY153">
            <v>466.77</v>
          </cell>
          <cell r="CD153">
            <v>329.25</v>
          </cell>
          <cell r="CE153">
            <v>326.96300000000002</v>
          </cell>
          <cell r="CF153">
            <v>311.02</v>
          </cell>
          <cell r="CG153">
            <v>1250</v>
          </cell>
          <cell r="CH153">
            <v>1020</v>
          </cell>
          <cell r="CI153" t="str">
            <v>#N/A N/A</v>
          </cell>
          <cell r="CJ153">
            <v>440</v>
          </cell>
          <cell r="CK153">
            <v>1202</v>
          </cell>
          <cell r="CM153">
            <v>231</v>
          </cell>
          <cell r="CN153">
            <v>23.96</v>
          </cell>
          <cell r="CO153" t="str">
            <v>#N/A N/A</v>
          </cell>
          <cell r="CQ153">
            <v>5.77</v>
          </cell>
          <cell r="CR153">
            <v>43</v>
          </cell>
          <cell r="CS153">
            <v>1080</v>
          </cell>
          <cell r="CU153">
            <v>1350</v>
          </cell>
          <cell r="CW153">
            <v>51.981707317073173</v>
          </cell>
          <cell r="CX153">
            <v>599.29700000000003</v>
          </cell>
          <cell r="CZ153">
            <v>347.82</v>
          </cell>
          <cell r="DA153">
            <v>3898.9</v>
          </cell>
          <cell r="DB153">
            <v>16.87</v>
          </cell>
          <cell r="DC153">
            <v>355.1</v>
          </cell>
          <cell r="DD153">
            <v>98.1</v>
          </cell>
        </row>
        <row r="154">
          <cell r="A154">
            <v>38867</v>
          </cell>
          <cell r="C154">
            <v>116.8</v>
          </cell>
          <cell r="D154" t="str">
            <v>#N/A N/A</v>
          </cell>
          <cell r="E154" t="str">
            <v>#N/A N/A</v>
          </cell>
          <cell r="L154">
            <v>1317.7</v>
          </cell>
          <cell r="M154">
            <v>2164.7399999999998</v>
          </cell>
          <cell r="N154">
            <v>5652</v>
          </cell>
          <cell r="O154">
            <v>4326</v>
          </cell>
          <cell r="Q154">
            <v>620</v>
          </cell>
          <cell r="R154">
            <v>254.5</v>
          </cell>
          <cell r="S154">
            <v>412</v>
          </cell>
          <cell r="T154">
            <v>583.5</v>
          </cell>
          <cell r="U154">
            <v>15859.45</v>
          </cell>
          <cell r="V154">
            <v>15857.89</v>
          </cell>
          <cell r="W154">
            <v>6846.95</v>
          </cell>
          <cell r="X154">
            <v>65.8</v>
          </cell>
          <cell r="Y154">
            <v>1120</v>
          </cell>
          <cell r="Z154">
            <v>1260</v>
          </cell>
          <cell r="AA154">
            <v>10786.63</v>
          </cell>
          <cell r="AB154">
            <v>5066.8</v>
          </cell>
          <cell r="AC154">
            <v>36412.511700000003</v>
          </cell>
          <cell r="AE154">
            <v>85.95</v>
          </cell>
          <cell r="AF154">
            <v>654.20000000000005</v>
          </cell>
          <cell r="AG154">
            <v>2416</v>
          </cell>
          <cell r="AH154">
            <v>860</v>
          </cell>
          <cell r="AI154">
            <v>1500</v>
          </cell>
          <cell r="AJ154">
            <v>630.5</v>
          </cell>
          <cell r="AL154">
            <v>1259.8399999999999</v>
          </cell>
          <cell r="AP154">
            <v>1657.288</v>
          </cell>
          <cell r="AV154">
            <v>44.44</v>
          </cell>
          <cell r="AZ154">
            <v>306.3</v>
          </cell>
          <cell r="BE154">
            <v>22450</v>
          </cell>
          <cell r="BG154">
            <v>52.5</v>
          </cell>
          <cell r="BH154">
            <v>304.97000000000003</v>
          </cell>
          <cell r="BY154">
            <v>456.67</v>
          </cell>
          <cell r="CD154">
            <v>325.36</v>
          </cell>
          <cell r="CE154">
            <v>323.33300000000003</v>
          </cell>
          <cell r="CF154">
            <v>308.35000000000002</v>
          </cell>
          <cell r="CG154">
            <v>1250</v>
          </cell>
          <cell r="CH154">
            <v>1020</v>
          </cell>
          <cell r="CI154" t="str">
            <v>#N/A N/A</v>
          </cell>
          <cell r="CJ154">
            <v>440</v>
          </cell>
          <cell r="CK154">
            <v>1173</v>
          </cell>
          <cell r="CM154">
            <v>233.47</v>
          </cell>
          <cell r="CN154">
            <v>23.28</v>
          </cell>
          <cell r="CO154" t="str">
            <v>#N/A N/A</v>
          </cell>
          <cell r="CQ154">
            <v>6.19</v>
          </cell>
          <cell r="CR154">
            <v>43</v>
          </cell>
          <cell r="CS154">
            <v>1059</v>
          </cell>
          <cell r="CU154">
            <v>1350</v>
          </cell>
          <cell r="CW154">
            <v>51.981707317073173</v>
          </cell>
          <cell r="CX154">
            <v>605.59500000000003</v>
          </cell>
          <cell r="CZ154">
            <v>347.88</v>
          </cell>
          <cell r="DA154">
            <v>3767.4</v>
          </cell>
          <cell r="DB154">
            <v>16.87</v>
          </cell>
          <cell r="DC154">
            <v>355.45</v>
          </cell>
          <cell r="DD154">
            <v>98.75</v>
          </cell>
        </row>
        <row r="155">
          <cell r="A155">
            <v>38868</v>
          </cell>
          <cell r="C155">
            <v>116.8</v>
          </cell>
          <cell r="D155" t="str">
            <v>#N/A N/A</v>
          </cell>
          <cell r="E155" t="str">
            <v>#N/A N/A</v>
          </cell>
          <cell r="L155">
            <v>1317.7</v>
          </cell>
          <cell r="M155">
            <v>2178.88</v>
          </cell>
          <cell r="N155">
            <v>5723.8</v>
          </cell>
          <cell r="O155">
            <v>4373</v>
          </cell>
          <cell r="Q155">
            <v>620</v>
          </cell>
          <cell r="R155">
            <v>251.25</v>
          </cell>
          <cell r="S155">
            <v>393.5</v>
          </cell>
          <cell r="T155">
            <v>579.5</v>
          </cell>
          <cell r="U155">
            <v>15467.33</v>
          </cell>
          <cell r="V155">
            <v>15857.89</v>
          </cell>
          <cell r="W155">
            <v>6846.95</v>
          </cell>
          <cell r="X155">
            <v>65.55</v>
          </cell>
          <cell r="Y155">
            <v>1120</v>
          </cell>
          <cell r="Z155">
            <v>1260</v>
          </cell>
          <cell r="AA155">
            <v>10398.61</v>
          </cell>
          <cell r="AB155">
            <v>4972.3</v>
          </cell>
          <cell r="AC155">
            <v>36530.039100000002</v>
          </cell>
          <cell r="AE155">
            <v>86.4</v>
          </cell>
          <cell r="AF155">
            <v>654.20000000000005</v>
          </cell>
          <cell r="AG155">
            <v>2436</v>
          </cell>
          <cell r="AH155">
            <v>860</v>
          </cell>
          <cell r="AI155">
            <v>1500</v>
          </cell>
          <cell r="AJ155">
            <v>630.5</v>
          </cell>
          <cell r="AL155">
            <v>1270.0899999999999</v>
          </cell>
          <cell r="AP155">
            <v>1641.3</v>
          </cell>
          <cell r="AV155">
            <v>45.3</v>
          </cell>
          <cell r="AZ155">
            <v>307.2</v>
          </cell>
          <cell r="BE155">
            <v>22595</v>
          </cell>
          <cell r="BG155">
            <v>52.5</v>
          </cell>
          <cell r="BH155">
            <v>308.23</v>
          </cell>
          <cell r="BY155">
            <v>464.74</v>
          </cell>
          <cell r="CD155">
            <v>325.74</v>
          </cell>
          <cell r="CE155">
            <v>323.94299999999998</v>
          </cell>
          <cell r="CF155">
            <v>306.85000000000002</v>
          </cell>
          <cell r="CG155">
            <v>1250</v>
          </cell>
          <cell r="CH155">
            <v>1020</v>
          </cell>
          <cell r="CI155" t="str">
            <v>#N/A N/A</v>
          </cell>
          <cell r="CJ155">
            <v>440</v>
          </cell>
          <cell r="CK155">
            <v>1159</v>
          </cell>
          <cell r="CM155">
            <v>228.73</v>
          </cell>
          <cell r="CN155">
            <v>22.1</v>
          </cell>
          <cell r="CO155" t="str">
            <v>#N/A N/A</v>
          </cell>
          <cell r="CQ155">
            <v>5.97</v>
          </cell>
          <cell r="CR155">
            <v>43</v>
          </cell>
          <cell r="CS155">
            <v>1038</v>
          </cell>
          <cell r="CU155">
            <v>1350</v>
          </cell>
          <cell r="CW155">
            <v>51.753048780487809</v>
          </cell>
          <cell r="CX155">
            <v>602.96299999999997</v>
          </cell>
          <cell r="CZ155">
            <v>344.87</v>
          </cell>
          <cell r="DA155">
            <v>3732.1</v>
          </cell>
          <cell r="DB155">
            <v>16.57</v>
          </cell>
          <cell r="DC155">
            <v>347.25</v>
          </cell>
          <cell r="DD155">
            <v>98.95</v>
          </cell>
        </row>
        <row r="156">
          <cell r="A156">
            <v>38869</v>
          </cell>
          <cell r="C156">
            <v>112.4</v>
          </cell>
          <cell r="D156" t="str">
            <v>#N/A N/A</v>
          </cell>
          <cell r="E156" t="str">
            <v>#N/A N/A</v>
          </cell>
          <cell r="L156">
            <v>1295.0899999999999</v>
          </cell>
          <cell r="M156">
            <v>2219.86</v>
          </cell>
          <cell r="N156">
            <v>5749.7</v>
          </cell>
          <cell r="O156">
            <v>4446</v>
          </cell>
          <cell r="Q156">
            <v>620</v>
          </cell>
          <cell r="R156">
            <v>254.5</v>
          </cell>
          <cell r="S156">
            <v>392</v>
          </cell>
          <cell r="T156">
            <v>586.75</v>
          </cell>
          <cell r="U156">
            <v>15503.74</v>
          </cell>
          <cell r="V156">
            <v>15645.27</v>
          </cell>
          <cell r="W156">
            <v>6872.84</v>
          </cell>
          <cell r="X156">
            <v>65.95</v>
          </cell>
          <cell r="Y156">
            <v>1120</v>
          </cell>
          <cell r="Z156">
            <v>1260</v>
          </cell>
          <cell r="AA156">
            <v>10071.42</v>
          </cell>
          <cell r="AB156">
            <v>5026.1000000000004</v>
          </cell>
          <cell r="AC156">
            <v>37748.300799999997</v>
          </cell>
          <cell r="AE156">
            <v>85.8</v>
          </cell>
          <cell r="AF156">
            <v>654.20000000000005</v>
          </cell>
          <cell r="AG156">
            <v>2478</v>
          </cell>
          <cell r="AH156">
            <v>860</v>
          </cell>
          <cell r="AI156">
            <v>1500</v>
          </cell>
          <cell r="AJ156">
            <v>612.79999999999995</v>
          </cell>
          <cell r="AL156">
            <v>1285.71</v>
          </cell>
          <cell r="AP156">
            <v>1684.1949999999999</v>
          </cell>
          <cell r="AV156">
            <v>45.82</v>
          </cell>
          <cell r="AZ156">
            <v>302.5</v>
          </cell>
          <cell r="BE156">
            <v>21115</v>
          </cell>
          <cell r="BG156">
            <v>52.5</v>
          </cell>
          <cell r="BH156">
            <v>291.26</v>
          </cell>
          <cell r="BY156">
            <v>475.36</v>
          </cell>
          <cell r="CD156">
            <v>328</v>
          </cell>
          <cell r="CE156">
            <v>326.33800000000002</v>
          </cell>
          <cell r="CF156">
            <v>303.12</v>
          </cell>
          <cell r="CG156">
            <v>1250</v>
          </cell>
          <cell r="CH156">
            <v>1020</v>
          </cell>
          <cell r="CI156" t="str">
            <v>#N/A N/A</v>
          </cell>
          <cell r="CJ156">
            <v>440</v>
          </cell>
          <cell r="CK156">
            <v>1154</v>
          </cell>
          <cell r="CM156">
            <v>227.46</v>
          </cell>
          <cell r="CN156">
            <v>21.6</v>
          </cell>
          <cell r="CO156" t="str">
            <v>#N/A N/A</v>
          </cell>
          <cell r="CQ156">
            <v>6.25</v>
          </cell>
          <cell r="CR156">
            <v>43</v>
          </cell>
          <cell r="CS156">
            <v>1008</v>
          </cell>
          <cell r="CU156">
            <v>1350</v>
          </cell>
          <cell r="CW156">
            <v>51.143292682926834</v>
          </cell>
          <cell r="CX156">
            <v>602.2109999999999</v>
          </cell>
          <cell r="CZ156">
            <v>343.12</v>
          </cell>
          <cell r="DA156">
            <v>3628.5</v>
          </cell>
          <cell r="DB156">
            <v>16.28</v>
          </cell>
          <cell r="DC156">
            <v>347.25</v>
          </cell>
          <cell r="DD156">
            <v>99.95</v>
          </cell>
        </row>
        <row r="157">
          <cell r="A157">
            <v>38870</v>
          </cell>
          <cell r="C157">
            <v>112.4</v>
          </cell>
          <cell r="D157" t="str">
            <v>#N/A N/A</v>
          </cell>
          <cell r="E157" t="str">
            <v>#N/A N/A</v>
          </cell>
          <cell r="L157">
            <v>1309.04</v>
          </cell>
          <cell r="M157">
            <v>2219.41</v>
          </cell>
          <cell r="N157">
            <v>5764.6</v>
          </cell>
          <cell r="O157">
            <v>4540</v>
          </cell>
          <cell r="Q157">
            <v>620</v>
          </cell>
          <cell r="R157">
            <v>259.5</v>
          </cell>
          <cell r="S157">
            <v>403.75</v>
          </cell>
          <cell r="T157">
            <v>609</v>
          </cell>
          <cell r="U157">
            <v>15789.31</v>
          </cell>
          <cell r="V157">
            <v>15912.71</v>
          </cell>
          <cell r="W157">
            <v>6959.64</v>
          </cell>
          <cell r="X157">
            <v>66.849999999999994</v>
          </cell>
          <cell r="Y157">
            <v>1120</v>
          </cell>
          <cell r="Z157">
            <v>1240</v>
          </cell>
          <cell r="AA157">
            <v>10451.33</v>
          </cell>
          <cell r="AB157">
            <v>5040.3999999999996</v>
          </cell>
          <cell r="AC157">
            <v>37942.179700000001</v>
          </cell>
          <cell r="AE157">
            <v>86.55</v>
          </cell>
          <cell r="AF157">
            <v>654.20000000000005</v>
          </cell>
          <cell r="AG157">
            <v>2514</v>
          </cell>
          <cell r="AH157">
            <v>860</v>
          </cell>
          <cell r="AI157">
            <v>1500</v>
          </cell>
          <cell r="AJ157">
            <v>612.84</v>
          </cell>
          <cell r="AL157">
            <v>1288.22</v>
          </cell>
          <cell r="AP157">
            <v>1669.3989999999999</v>
          </cell>
          <cell r="AV157">
            <v>45.86</v>
          </cell>
          <cell r="AZ157">
            <v>304.2</v>
          </cell>
          <cell r="BE157">
            <v>21805</v>
          </cell>
          <cell r="BG157">
            <v>52.5</v>
          </cell>
          <cell r="BH157">
            <v>314.48</v>
          </cell>
          <cell r="BY157">
            <v>474.65</v>
          </cell>
          <cell r="CD157">
            <v>330.93</v>
          </cell>
          <cell r="CE157">
            <v>328.97</v>
          </cell>
          <cell r="CF157">
            <v>308.69</v>
          </cell>
          <cell r="CG157">
            <v>1250</v>
          </cell>
          <cell r="CH157">
            <v>1000</v>
          </cell>
          <cell r="CI157" t="str">
            <v>#N/A N/A</v>
          </cell>
          <cell r="CJ157">
            <v>440</v>
          </cell>
          <cell r="CK157">
            <v>1165</v>
          </cell>
          <cell r="CM157">
            <v>236.25</v>
          </cell>
          <cell r="CN157">
            <v>21.36</v>
          </cell>
          <cell r="CO157" t="str">
            <v>#N/A N/A</v>
          </cell>
          <cell r="CQ157">
            <v>6.22</v>
          </cell>
          <cell r="CR157">
            <v>43</v>
          </cell>
          <cell r="CS157">
            <v>1000</v>
          </cell>
          <cell r="CU157">
            <v>1345</v>
          </cell>
          <cell r="CW157">
            <v>51.06707317073171</v>
          </cell>
          <cell r="CX157">
            <v>607.89800000000002</v>
          </cell>
          <cell r="CZ157">
            <v>350.05</v>
          </cell>
          <cell r="DA157">
            <v>3699.9</v>
          </cell>
          <cell r="DB157">
            <v>16.32</v>
          </cell>
          <cell r="DC157">
            <v>347.25</v>
          </cell>
          <cell r="DD157">
            <v>101.25</v>
          </cell>
        </row>
        <row r="158">
          <cell r="A158">
            <v>38871</v>
          </cell>
          <cell r="C158">
            <v>112.4</v>
          </cell>
          <cell r="D158" t="str">
            <v>#N/A N/A</v>
          </cell>
          <cell r="E158" t="str">
            <v>#N/A N/A</v>
          </cell>
          <cell r="L158">
            <v>1309.04</v>
          </cell>
          <cell r="M158">
            <v>2219.41</v>
          </cell>
          <cell r="N158">
            <v>5764.6</v>
          </cell>
          <cell r="O158">
            <v>4540</v>
          </cell>
          <cell r="Q158">
            <v>620</v>
          </cell>
          <cell r="R158">
            <v>259.5</v>
          </cell>
          <cell r="S158">
            <v>403.75</v>
          </cell>
          <cell r="T158">
            <v>609</v>
          </cell>
          <cell r="U158">
            <v>15789.31</v>
          </cell>
          <cell r="V158">
            <v>15912.71</v>
          </cell>
          <cell r="W158">
            <v>6959.64</v>
          </cell>
          <cell r="X158">
            <v>66.849999999999994</v>
          </cell>
          <cell r="Y158">
            <v>1120</v>
          </cell>
          <cell r="Z158">
            <v>1240</v>
          </cell>
          <cell r="AA158">
            <v>10451.33</v>
          </cell>
          <cell r="AB158">
            <v>5040.3999999999996</v>
          </cell>
          <cell r="AC158">
            <v>37942.179700000001</v>
          </cell>
          <cell r="AE158">
            <v>86.55</v>
          </cell>
          <cell r="AF158">
            <v>654.20000000000005</v>
          </cell>
          <cell r="AG158">
            <v>2514</v>
          </cell>
          <cell r="AH158">
            <v>860</v>
          </cell>
          <cell r="AI158">
            <v>1500</v>
          </cell>
          <cell r="AJ158">
            <v>612.84</v>
          </cell>
          <cell r="AL158">
            <v>1288.22</v>
          </cell>
          <cell r="AP158">
            <v>1669.3989999999999</v>
          </cell>
          <cell r="AV158">
            <v>45.86</v>
          </cell>
          <cell r="AZ158">
            <v>304.2</v>
          </cell>
          <cell r="BE158">
            <v>21805</v>
          </cell>
          <cell r="BG158">
            <v>52.5</v>
          </cell>
          <cell r="BH158">
            <v>314.48</v>
          </cell>
          <cell r="BY158">
            <v>474.65</v>
          </cell>
          <cell r="CD158">
            <v>330.93</v>
          </cell>
          <cell r="CE158">
            <v>328.97</v>
          </cell>
          <cell r="CF158">
            <v>308.69</v>
          </cell>
          <cell r="CG158">
            <v>1250</v>
          </cell>
          <cell r="CH158">
            <v>1000</v>
          </cell>
          <cell r="CI158" t="str">
            <v>#N/A N/A</v>
          </cell>
          <cell r="CJ158">
            <v>440</v>
          </cell>
          <cell r="CK158">
            <v>1165</v>
          </cell>
          <cell r="CM158">
            <v>236.25</v>
          </cell>
          <cell r="CN158">
            <v>21.36</v>
          </cell>
          <cell r="CO158" t="str">
            <v>#N/A N/A</v>
          </cell>
          <cell r="CQ158">
            <v>6.22</v>
          </cell>
          <cell r="CR158">
            <v>43</v>
          </cell>
          <cell r="CS158">
            <v>1000</v>
          </cell>
          <cell r="CU158">
            <v>1345</v>
          </cell>
          <cell r="CW158">
            <v>51.06707317073171</v>
          </cell>
          <cell r="CX158">
            <v>607.89800000000002</v>
          </cell>
          <cell r="CZ158">
            <v>350.05</v>
          </cell>
          <cell r="DA158">
            <v>3699.9</v>
          </cell>
          <cell r="DB158">
            <v>16.32</v>
          </cell>
          <cell r="DC158">
            <v>347.25</v>
          </cell>
          <cell r="DD158">
            <v>101.25</v>
          </cell>
        </row>
        <row r="159">
          <cell r="A159">
            <v>38872</v>
          </cell>
          <cell r="C159">
            <v>112.4</v>
          </cell>
          <cell r="D159" t="str">
            <v>#N/A N/A</v>
          </cell>
          <cell r="E159" t="str">
            <v>#N/A N/A</v>
          </cell>
          <cell r="L159">
            <v>1309.04</v>
          </cell>
          <cell r="M159">
            <v>2219.41</v>
          </cell>
          <cell r="N159">
            <v>5764.6</v>
          </cell>
          <cell r="O159">
            <v>4540</v>
          </cell>
          <cell r="Q159">
            <v>620</v>
          </cell>
          <cell r="R159">
            <v>259.5</v>
          </cell>
          <cell r="S159">
            <v>403.75</v>
          </cell>
          <cell r="T159">
            <v>609</v>
          </cell>
          <cell r="U159">
            <v>15789.31</v>
          </cell>
          <cell r="V159">
            <v>15912.71</v>
          </cell>
          <cell r="W159">
            <v>6959.64</v>
          </cell>
          <cell r="X159">
            <v>66.849999999999994</v>
          </cell>
          <cell r="Y159">
            <v>1120</v>
          </cell>
          <cell r="Z159">
            <v>1240</v>
          </cell>
          <cell r="AA159">
            <v>10451.33</v>
          </cell>
          <cell r="AB159">
            <v>5040.3999999999996</v>
          </cell>
          <cell r="AC159">
            <v>37942.179700000001</v>
          </cell>
          <cell r="AE159">
            <v>86.55</v>
          </cell>
          <cell r="AF159">
            <v>654.20000000000005</v>
          </cell>
          <cell r="AG159">
            <v>2514</v>
          </cell>
          <cell r="AH159">
            <v>860</v>
          </cell>
          <cell r="AI159">
            <v>1500</v>
          </cell>
          <cell r="AJ159">
            <v>612.84</v>
          </cell>
          <cell r="AL159">
            <v>1288.22</v>
          </cell>
          <cell r="AP159">
            <v>1669.3989999999999</v>
          </cell>
          <cell r="AV159">
            <v>45.86</v>
          </cell>
          <cell r="AZ159">
            <v>304.2</v>
          </cell>
          <cell r="BE159">
            <v>21805</v>
          </cell>
          <cell r="BG159">
            <v>52.5</v>
          </cell>
          <cell r="BH159">
            <v>314.48</v>
          </cell>
          <cell r="BY159">
            <v>474.65</v>
          </cell>
          <cell r="CD159">
            <v>330.93</v>
          </cell>
          <cell r="CE159">
            <v>328.97</v>
          </cell>
          <cell r="CF159">
            <v>308.69</v>
          </cell>
          <cell r="CG159">
            <v>1250</v>
          </cell>
          <cell r="CH159">
            <v>1000</v>
          </cell>
          <cell r="CI159" t="str">
            <v>#N/A N/A</v>
          </cell>
          <cell r="CJ159">
            <v>440</v>
          </cell>
          <cell r="CK159">
            <v>1165</v>
          </cell>
          <cell r="CM159">
            <v>236.25</v>
          </cell>
          <cell r="CN159">
            <v>21.36</v>
          </cell>
          <cell r="CO159" t="str">
            <v>#N/A N/A</v>
          </cell>
          <cell r="CQ159">
            <v>6.22</v>
          </cell>
          <cell r="CR159">
            <v>43</v>
          </cell>
          <cell r="CS159">
            <v>1000</v>
          </cell>
          <cell r="CU159">
            <v>1345</v>
          </cell>
          <cell r="CW159">
            <v>51.06707317073171</v>
          </cell>
          <cell r="CX159">
            <v>607.89800000000002</v>
          </cell>
          <cell r="CZ159">
            <v>350.05</v>
          </cell>
          <cell r="DA159">
            <v>3699.9</v>
          </cell>
          <cell r="DB159">
            <v>16.32</v>
          </cell>
          <cell r="DC159">
            <v>347.25</v>
          </cell>
          <cell r="DD159">
            <v>101.25</v>
          </cell>
        </row>
        <row r="160">
          <cell r="A160">
            <v>38873</v>
          </cell>
          <cell r="C160">
            <v>112.4</v>
          </cell>
          <cell r="D160" t="str">
            <v>#N/A N/A</v>
          </cell>
          <cell r="E160" t="str">
            <v>#N/A N/A</v>
          </cell>
          <cell r="L160">
            <v>1301.6199999999999</v>
          </cell>
          <cell r="M160">
            <v>2169.62</v>
          </cell>
          <cell r="N160">
            <v>5762.1</v>
          </cell>
          <cell r="O160">
            <v>4581</v>
          </cell>
          <cell r="Q160">
            <v>620</v>
          </cell>
          <cell r="R160">
            <v>253</v>
          </cell>
          <cell r="S160">
            <v>398.5</v>
          </cell>
          <cell r="T160">
            <v>603.25</v>
          </cell>
          <cell r="U160">
            <v>15668.31</v>
          </cell>
          <cell r="V160">
            <v>16016.23</v>
          </cell>
          <cell r="W160">
            <v>6715.27</v>
          </cell>
          <cell r="X160">
            <v>68.75</v>
          </cell>
          <cell r="Y160">
            <v>1120</v>
          </cell>
          <cell r="Z160">
            <v>1240</v>
          </cell>
          <cell r="AA160">
            <v>10213.48</v>
          </cell>
          <cell r="AB160">
            <v>5082.1000000000004</v>
          </cell>
          <cell r="AC160">
            <v>36739.859400000001</v>
          </cell>
          <cell r="AE160">
            <v>87.95</v>
          </cell>
          <cell r="AF160">
            <v>654.20000000000005</v>
          </cell>
          <cell r="AG160">
            <v>2551</v>
          </cell>
          <cell r="AH160">
            <v>860</v>
          </cell>
          <cell r="AI160">
            <v>1500</v>
          </cell>
          <cell r="AJ160">
            <v>598.71</v>
          </cell>
          <cell r="AL160">
            <v>1265.29</v>
          </cell>
          <cell r="AP160">
            <v>1684.624</v>
          </cell>
          <cell r="AV160">
            <v>44.45</v>
          </cell>
          <cell r="AZ160">
            <v>310</v>
          </cell>
          <cell r="BE160">
            <v>21880</v>
          </cell>
          <cell r="BG160">
            <v>52.5</v>
          </cell>
          <cell r="BH160">
            <v>305.76</v>
          </cell>
          <cell r="BY160">
            <v>460.42</v>
          </cell>
          <cell r="CD160">
            <v>326.89999999999998</v>
          </cell>
          <cell r="CE160">
            <v>324.89999999999998</v>
          </cell>
          <cell r="CF160">
            <v>305.8</v>
          </cell>
          <cell r="CG160">
            <v>1250</v>
          </cell>
          <cell r="CH160">
            <v>1000</v>
          </cell>
          <cell r="CI160" t="str">
            <v>#N/A N/A</v>
          </cell>
          <cell r="CJ160">
            <v>440</v>
          </cell>
          <cell r="CK160">
            <v>1172</v>
          </cell>
          <cell r="CM160">
            <v>233.67</v>
          </cell>
          <cell r="CN160">
            <v>21.36</v>
          </cell>
          <cell r="CO160" t="str">
            <v>#N/A N/A</v>
          </cell>
          <cell r="CQ160">
            <v>6.35</v>
          </cell>
          <cell r="CR160">
            <v>43</v>
          </cell>
          <cell r="CS160">
            <v>1010.5</v>
          </cell>
          <cell r="CU160">
            <v>1345</v>
          </cell>
          <cell r="CW160">
            <v>52.286585365853661</v>
          </cell>
          <cell r="CX160">
            <v>609.26099999999997</v>
          </cell>
          <cell r="CZ160">
            <v>348.78</v>
          </cell>
          <cell r="DA160">
            <v>3652.2</v>
          </cell>
          <cell r="DB160">
            <v>16.38</v>
          </cell>
          <cell r="DC160">
            <v>347.25</v>
          </cell>
          <cell r="DD160">
            <v>98.45</v>
          </cell>
        </row>
        <row r="161">
          <cell r="A161">
            <v>38874</v>
          </cell>
          <cell r="C161">
            <v>112.4</v>
          </cell>
          <cell r="D161" t="str">
            <v>#N/A N/A</v>
          </cell>
          <cell r="E161" t="str">
            <v>#N/A N/A</v>
          </cell>
          <cell r="L161">
            <v>1301.6199999999999</v>
          </cell>
          <cell r="M161">
            <v>2162.7800000000002</v>
          </cell>
          <cell r="N161">
            <v>5669.8</v>
          </cell>
          <cell r="O161">
            <v>4627</v>
          </cell>
          <cell r="Q161">
            <v>620</v>
          </cell>
          <cell r="R161">
            <v>247.75</v>
          </cell>
          <cell r="S161">
            <v>385</v>
          </cell>
          <cell r="T161">
            <v>593.5</v>
          </cell>
          <cell r="U161">
            <v>15384.86</v>
          </cell>
          <cell r="V161">
            <v>15973.11</v>
          </cell>
          <cell r="W161">
            <v>6730.27</v>
          </cell>
          <cell r="X161">
            <v>67.900000000000006</v>
          </cell>
          <cell r="Y161">
            <v>1120</v>
          </cell>
          <cell r="Z161">
            <v>1240</v>
          </cell>
          <cell r="AA161">
            <v>9957.32</v>
          </cell>
          <cell r="AB161">
            <v>5004.5</v>
          </cell>
          <cell r="AC161">
            <v>36557.800799999997</v>
          </cell>
          <cell r="AE161">
            <v>87.25</v>
          </cell>
          <cell r="AF161">
            <v>659.96</v>
          </cell>
          <cell r="AG161">
            <v>2580</v>
          </cell>
          <cell r="AH161">
            <v>860</v>
          </cell>
          <cell r="AI161">
            <v>1500</v>
          </cell>
          <cell r="AJ161">
            <v>598.71</v>
          </cell>
          <cell r="AL161">
            <v>1263.8499999999999</v>
          </cell>
          <cell r="AP161">
            <v>1679.126</v>
          </cell>
          <cell r="AV161">
            <v>44.3</v>
          </cell>
          <cell r="AZ161">
            <v>308.8</v>
          </cell>
          <cell r="BE161">
            <v>21390</v>
          </cell>
          <cell r="BG161">
            <v>52.5</v>
          </cell>
          <cell r="BH161">
            <v>300.33</v>
          </cell>
          <cell r="BY161">
            <v>458.36</v>
          </cell>
          <cell r="CD161">
            <v>321.81</v>
          </cell>
          <cell r="CE161">
            <v>319.96499999999997</v>
          </cell>
          <cell r="CF161">
            <v>304.42</v>
          </cell>
          <cell r="CG161">
            <v>1250</v>
          </cell>
          <cell r="CH161">
            <v>1000</v>
          </cell>
          <cell r="CI161" t="str">
            <v>#N/A N/A</v>
          </cell>
          <cell r="CJ161">
            <v>440</v>
          </cell>
          <cell r="CK161">
            <v>1170</v>
          </cell>
          <cell r="CM161">
            <v>234.64</v>
          </cell>
          <cell r="CN161">
            <v>20.95</v>
          </cell>
          <cell r="CO161" t="str">
            <v>#N/A N/A</v>
          </cell>
          <cell r="CQ161">
            <v>6.1</v>
          </cell>
          <cell r="CR161">
            <v>43</v>
          </cell>
          <cell r="CS161">
            <v>1007</v>
          </cell>
          <cell r="CU161">
            <v>1345</v>
          </cell>
          <cell r="CW161">
            <v>51.829268292682933</v>
          </cell>
          <cell r="CX161">
            <v>602.96299999999997</v>
          </cell>
          <cell r="CZ161">
            <v>344.78</v>
          </cell>
          <cell r="DA161">
            <v>3552.9</v>
          </cell>
          <cell r="DB161">
            <v>16.010000000000002</v>
          </cell>
          <cell r="DC161">
            <v>347.25</v>
          </cell>
          <cell r="DD161">
            <v>96.1</v>
          </cell>
        </row>
        <row r="162">
          <cell r="A162">
            <v>38875</v>
          </cell>
          <cell r="C162">
            <v>112.4</v>
          </cell>
          <cell r="D162" t="str">
            <v>#N/A N/A</v>
          </cell>
          <cell r="E162" t="str">
            <v>#N/A N/A</v>
          </cell>
          <cell r="L162">
            <v>1266.8399999999999</v>
          </cell>
          <cell r="M162">
            <v>2151.8000000000002</v>
          </cell>
          <cell r="N162">
            <v>5706.3</v>
          </cell>
          <cell r="O162">
            <v>4647</v>
          </cell>
          <cell r="Q162">
            <v>620</v>
          </cell>
          <cell r="R162">
            <v>251</v>
          </cell>
          <cell r="S162">
            <v>387.75</v>
          </cell>
          <cell r="T162">
            <v>597</v>
          </cell>
          <cell r="U162">
            <v>15096.01</v>
          </cell>
          <cell r="V162">
            <v>15816.55</v>
          </cell>
          <cell r="W162">
            <v>6612.74</v>
          </cell>
          <cell r="X162">
            <v>67.75</v>
          </cell>
          <cell r="Y162">
            <v>1120</v>
          </cell>
          <cell r="Z162">
            <v>1240</v>
          </cell>
          <cell r="AA162">
            <v>9756.76</v>
          </cell>
          <cell r="AB162">
            <v>4991.8999999999996</v>
          </cell>
          <cell r="AC162">
            <v>35264</v>
          </cell>
          <cell r="AE162">
            <v>87.7</v>
          </cell>
          <cell r="AF162">
            <v>659.96</v>
          </cell>
          <cell r="AG162">
            <v>2599</v>
          </cell>
          <cell r="AH162">
            <v>860</v>
          </cell>
          <cell r="AI162">
            <v>1500</v>
          </cell>
          <cell r="AJ162">
            <v>562.91</v>
          </cell>
          <cell r="AL162">
            <v>1256.1500000000001</v>
          </cell>
          <cell r="AP162">
            <v>1589.5450000000001</v>
          </cell>
          <cell r="AV162">
            <v>43.59</v>
          </cell>
          <cell r="AZ162">
            <v>312.8</v>
          </cell>
          <cell r="BE162">
            <v>21820</v>
          </cell>
          <cell r="BG162">
            <v>52.5</v>
          </cell>
          <cell r="BH162">
            <v>288.32</v>
          </cell>
          <cell r="BY162">
            <v>447.55</v>
          </cell>
          <cell r="CD162">
            <v>319.45</v>
          </cell>
          <cell r="CE162">
            <v>318.03399999999999</v>
          </cell>
          <cell r="CF162">
            <v>296.54000000000002</v>
          </cell>
          <cell r="CG162">
            <v>1250</v>
          </cell>
          <cell r="CH162">
            <v>1000</v>
          </cell>
          <cell r="CI162" t="str">
            <v>#N/A N/A</v>
          </cell>
          <cell r="CJ162">
            <v>440</v>
          </cell>
          <cell r="CK162">
            <v>1173</v>
          </cell>
          <cell r="CM162">
            <v>226.25</v>
          </cell>
          <cell r="CN162">
            <v>20.21</v>
          </cell>
          <cell r="CO162" t="str">
            <v>#N/A N/A</v>
          </cell>
          <cell r="CQ162">
            <v>5.81</v>
          </cell>
          <cell r="CR162">
            <v>43</v>
          </cell>
          <cell r="CS162">
            <v>1019</v>
          </cell>
          <cell r="CU162">
            <v>1345</v>
          </cell>
          <cell r="CW162">
            <v>50.762195121951223</v>
          </cell>
          <cell r="CX162">
            <v>601.64700000000005</v>
          </cell>
          <cell r="CZ162">
            <v>343.22</v>
          </cell>
          <cell r="DA162">
            <v>3664.9</v>
          </cell>
          <cell r="DB162">
            <v>15.92</v>
          </cell>
          <cell r="DC162">
            <v>347.25</v>
          </cell>
          <cell r="DD162">
            <v>96</v>
          </cell>
        </row>
        <row r="163">
          <cell r="A163">
            <v>38876</v>
          </cell>
          <cell r="C163">
            <v>112.4</v>
          </cell>
          <cell r="D163" t="str">
            <v>#N/A N/A</v>
          </cell>
          <cell r="E163" t="str">
            <v>#N/A N/A</v>
          </cell>
          <cell r="L163">
            <v>1223.1300000000001</v>
          </cell>
          <cell r="M163">
            <v>2145.3200000000002</v>
          </cell>
          <cell r="N163">
            <v>5562.9</v>
          </cell>
          <cell r="O163">
            <v>4670</v>
          </cell>
          <cell r="Q163">
            <v>620</v>
          </cell>
          <cell r="R163">
            <v>245.5</v>
          </cell>
          <cell r="S163">
            <v>383.5</v>
          </cell>
          <cell r="T163">
            <v>587.75</v>
          </cell>
          <cell r="U163">
            <v>14633.03</v>
          </cell>
          <cell r="V163">
            <v>15450.11</v>
          </cell>
          <cell r="W163">
            <v>6331.81</v>
          </cell>
          <cell r="X163">
            <v>65.650000000000006</v>
          </cell>
          <cell r="Y163">
            <v>1120</v>
          </cell>
          <cell r="Z163">
            <v>1240</v>
          </cell>
          <cell r="AA163">
            <v>9295.81</v>
          </cell>
          <cell r="AB163">
            <v>4878.5</v>
          </cell>
          <cell r="AC163">
            <v>35437.781300000002</v>
          </cell>
          <cell r="AE163">
            <v>85.1</v>
          </cell>
          <cell r="AF163">
            <v>659.96</v>
          </cell>
          <cell r="AG163">
            <v>2631</v>
          </cell>
          <cell r="AH163">
            <v>860</v>
          </cell>
          <cell r="AI163">
            <v>1500</v>
          </cell>
          <cell r="AJ163">
            <v>559.41</v>
          </cell>
          <cell r="AL163">
            <v>1257.93</v>
          </cell>
          <cell r="AP163">
            <v>1591.49</v>
          </cell>
          <cell r="AV163">
            <v>42.28</v>
          </cell>
          <cell r="AZ163">
            <v>315.10000000000002</v>
          </cell>
          <cell r="BE163">
            <v>20745</v>
          </cell>
          <cell r="BG163">
            <v>52.5</v>
          </cell>
          <cell r="BH163">
            <v>284.39</v>
          </cell>
          <cell r="BY163">
            <v>446.76</v>
          </cell>
          <cell r="CD163">
            <v>313.5</v>
          </cell>
          <cell r="CE163">
            <v>312.63</v>
          </cell>
          <cell r="CF163">
            <v>283.56</v>
          </cell>
          <cell r="CG163">
            <v>1250</v>
          </cell>
          <cell r="CH163">
            <v>1000</v>
          </cell>
          <cell r="CI163" t="str">
            <v>#N/A N/A</v>
          </cell>
          <cell r="CJ163">
            <v>440</v>
          </cell>
          <cell r="CK163">
            <v>1175</v>
          </cell>
          <cell r="CM163">
            <v>227.87</v>
          </cell>
          <cell r="CN163">
            <v>19.55</v>
          </cell>
          <cell r="CO163" t="str">
            <v>#N/A N/A</v>
          </cell>
          <cell r="CQ163">
            <v>5.83</v>
          </cell>
          <cell r="CR163">
            <v>43</v>
          </cell>
          <cell r="CS163">
            <v>980.25</v>
          </cell>
          <cell r="CU163">
            <v>1345</v>
          </cell>
          <cell r="CW163">
            <v>50.609756097560975</v>
          </cell>
          <cell r="CX163">
            <v>594.73800000000006</v>
          </cell>
          <cell r="CZ163">
            <v>339.23</v>
          </cell>
          <cell r="DA163">
            <v>3454.9</v>
          </cell>
          <cell r="DB163">
            <v>15.92</v>
          </cell>
          <cell r="DC163">
            <v>347.25</v>
          </cell>
          <cell r="DD163">
            <v>96.45</v>
          </cell>
        </row>
        <row r="164">
          <cell r="A164">
            <v>38877</v>
          </cell>
          <cell r="C164">
            <v>112.4</v>
          </cell>
          <cell r="D164" t="str">
            <v>#N/A N/A</v>
          </cell>
          <cell r="E164" t="str">
            <v>#N/A N/A</v>
          </cell>
          <cell r="L164">
            <v>1235.6500000000001</v>
          </cell>
          <cell r="M164">
            <v>2135.06</v>
          </cell>
          <cell r="N164">
            <v>5655.2</v>
          </cell>
          <cell r="O164">
            <v>4678</v>
          </cell>
          <cell r="Q164">
            <v>620</v>
          </cell>
          <cell r="R164">
            <v>242</v>
          </cell>
          <cell r="S164">
            <v>372.5</v>
          </cell>
          <cell r="T164">
            <v>585.75</v>
          </cell>
          <cell r="U164">
            <v>14750.84</v>
          </cell>
          <cell r="V164">
            <v>15628.69</v>
          </cell>
          <cell r="W164">
            <v>6444.63</v>
          </cell>
          <cell r="X164">
            <v>67.25</v>
          </cell>
          <cell r="Y164">
            <v>1120</v>
          </cell>
          <cell r="Z164">
            <v>1260</v>
          </cell>
          <cell r="AA164">
            <v>9810.4599999999991</v>
          </cell>
          <cell r="AB164">
            <v>4926.8</v>
          </cell>
          <cell r="AC164">
            <v>35074.628900000003</v>
          </cell>
          <cell r="AE164">
            <v>85.65</v>
          </cell>
          <cell r="AF164">
            <v>659.96</v>
          </cell>
          <cell r="AG164">
            <v>2653</v>
          </cell>
          <cell r="AH164">
            <v>860</v>
          </cell>
          <cell r="AI164">
            <v>1530</v>
          </cell>
          <cell r="AJ164">
            <v>578.71</v>
          </cell>
          <cell r="AL164">
            <v>1252.3</v>
          </cell>
          <cell r="AP164">
            <v>1551.384</v>
          </cell>
          <cell r="AV164">
            <v>41.99</v>
          </cell>
          <cell r="AZ164">
            <v>316</v>
          </cell>
          <cell r="BE164">
            <v>20355</v>
          </cell>
          <cell r="BG164">
            <v>52.5</v>
          </cell>
          <cell r="BH164">
            <v>280.72000000000003</v>
          </cell>
          <cell r="BY164">
            <v>444.16</v>
          </cell>
          <cell r="CD164">
            <v>315.56</v>
          </cell>
          <cell r="CE164">
            <v>314.536</v>
          </cell>
          <cell r="CF164">
            <v>287.77999999999997</v>
          </cell>
          <cell r="CG164">
            <v>1280</v>
          </cell>
          <cell r="CH164">
            <v>1010</v>
          </cell>
          <cell r="CI164" t="str">
            <v>#N/A N/A</v>
          </cell>
          <cell r="CJ164">
            <v>425</v>
          </cell>
          <cell r="CK164">
            <v>1180</v>
          </cell>
          <cell r="CM164">
            <v>230.53</v>
          </cell>
          <cell r="CN164">
            <v>19.09</v>
          </cell>
          <cell r="CO164" t="str">
            <v>#N/A N/A</v>
          </cell>
          <cell r="CQ164">
            <v>6.08</v>
          </cell>
          <cell r="CR164">
            <v>43</v>
          </cell>
          <cell r="CS164">
            <v>981.5</v>
          </cell>
          <cell r="CU164">
            <v>1360</v>
          </cell>
          <cell r="CW164">
            <v>50.457317073170735</v>
          </cell>
          <cell r="CX164">
            <v>594.31500000000005</v>
          </cell>
          <cell r="CZ164">
            <v>340.09</v>
          </cell>
          <cell r="DA164">
            <v>3431.8</v>
          </cell>
          <cell r="DB164">
            <v>15.99</v>
          </cell>
          <cell r="DC164">
            <v>347.25</v>
          </cell>
          <cell r="DD164">
            <v>95.9</v>
          </cell>
        </row>
        <row r="165">
          <cell r="A165">
            <v>38878</v>
          </cell>
          <cell r="C165">
            <v>112.4</v>
          </cell>
          <cell r="D165" t="str">
            <v>#N/A N/A</v>
          </cell>
          <cell r="E165" t="str">
            <v>#N/A N/A</v>
          </cell>
          <cell r="L165">
            <v>1235.6500000000001</v>
          </cell>
          <cell r="M165">
            <v>2135.06</v>
          </cell>
          <cell r="N165">
            <v>5655.2</v>
          </cell>
          <cell r="O165">
            <v>4678</v>
          </cell>
          <cell r="Q165">
            <v>620</v>
          </cell>
          <cell r="R165">
            <v>242</v>
          </cell>
          <cell r="S165">
            <v>372.5</v>
          </cell>
          <cell r="T165">
            <v>585.75</v>
          </cell>
          <cell r="U165">
            <v>14750.84</v>
          </cell>
          <cell r="V165">
            <v>15628.69</v>
          </cell>
          <cell r="W165">
            <v>6444.63</v>
          </cell>
          <cell r="X165">
            <v>67.25</v>
          </cell>
          <cell r="Y165">
            <v>1120</v>
          </cell>
          <cell r="Z165">
            <v>1260</v>
          </cell>
          <cell r="AA165">
            <v>9810.4599999999991</v>
          </cell>
          <cell r="AB165">
            <v>4926.8</v>
          </cell>
          <cell r="AC165">
            <v>35074.628900000003</v>
          </cell>
          <cell r="AE165">
            <v>85.65</v>
          </cell>
          <cell r="AF165">
            <v>659.96</v>
          </cell>
          <cell r="AG165">
            <v>2653</v>
          </cell>
          <cell r="AH165">
            <v>860</v>
          </cell>
          <cell r="AI165">
            <v>1530</v>
          </cell>
          <cell r="AJ165">
            <v>578.71</v>
          </cell>
          <cell r="AL165">
            <v>1252.3</v>
          </cell>
          <cell r="AP165">
            <v>1551.384</v>
          </cell>
          <cell r="AV165">
            <v>41.99</v>
          </cell>
          <cell r="AZ165">
            <v>316</v>
          </cell>
          <cell r="BE165">
            <v>20355</v>
          </cell>
          <cell r="BG165">
            <v>52.5</v>
          </cell>
          <cell r="BH165">
            <v>280.72000000000003</v>
          </cell>
          <cell r="BY165">
            <v>444.16</v>
          </cell>
          <cell r="CD165">
            <v>315.56</v>
          </cell>
          <cell r="CE165">
            <v>314.536</v>
          </cell>
          <cell r="CF165">
            <v>287.77999999999997</v>
          </cell>
          <cell r="CG165">
            <v>1280</v>
          </cell>
          <cell r="CH165">
            <v>1010</v>
          </cell>
          <cell r="CI165" t="str">
            <v>#N/A N/A</v>
          </cell>
          <cell r="CJ165">
            <v>425</v>
          </cell>
          <cell r="CK165">
            <v>1180</v>
          </cell>
          <cell r="CM165">
            <v>230.53</v>
          </cell>
          <cell r="CN165">
            <v>19.09</v>
          </cell>
          <cell r="CO165" t="str">
            <v>#N/A N/A</v>
          </cell>
          <cell r="CQ165">
            <v>6.08</v>
          </cell>
          <cell r="CR165">
            <v>43</v>
          </cell>
          <cell r="CS165">
            <v>981.5</v>
          </cell>
          <cell r="CU165">
            <v>1360</v>
          </cell>
          <cell r="CW165">
            <v>50.457317073170735</v>
          </cell>
          <cell r="CX165">
            <v>594.31500000000005</v>
          </cell>
          <cell r="CZ165">
            <v>340.09</v>
          </cell>
          <cell r="DA165">
            <v>3431.8</v>
          </cell>
          <cell r="DB165">
            <v>15.99</v>
          </cell>
          <cell r="DC165">
            <v>347.25</v>
          </cell>
          <cell r="DD165">
            <v>95.9</v>
          </cell>
        </row>
        <row r="166">
          <cell r="A166">
            <v>38879</v>
          </cell>
          <cell r="C166">
            <v>112.4</v>
          </cell>
          <cell r="D166" t="str">
            <v>#N/A N/A</v>
          </cell>
          <cell r="E166" t="str">
            <v>#N/A N/A</v>
          </cell>
          <cell r="L166">
            <v>1235.6500000000001</v>
          </cell>
          <cell r="M166">
            <v>2135.06</v>
          </cell>
          <cell r="N166">
            <v>5655.2</v>
          </cell>
          <cell r="O166">
            <v>4678</v>
          </cell>
          <cell r="Q166">
            <v>620</v>
          </cell>
          <cell r="R166">
            <v>242</v>
          </cell>
          <cell r="S166">
            <v>372.5</v>
          </cell>
          <cell r="T166">
            <v>585.75</v>
          </cell>
          <cell r="U166">
            <v>14750.84</v>
          </cell>
          <cell r="V166">
            <v>15628.69</v>
          </cell>
          <cell r="W166">
            <v>6444.63</v>
          </cell>
          <cell r="X166">
            <v>67.25</v>
          </cell>
          <cell r="Y166">
            <v>1120</v>
          </cell>
          <cell r="Z166">
            <v>1260</v>
          </cell>
          <cell r="AA166">
            <v>9810.4599999999991</v>
          </cell>
          <cell r="AB166">
            <v>4926.8</v>
          </cell>
          <cell r="AC166">
            <v>35074.628900000003</v>
          </cell>
          <cell r="AE166">
            <v>85.65</v>
          </cell>
          <cell r="AF166">
            <v>659.96</v>
          </cell>
          <cell r="AG166">
            <v>2653</v>
          </cell>
          <cell r="AH166">
            <v>860</v>
          </cell>
          <cell r="AI166">
            <v>1530</v>
          </cell>
          <cell r="AJ166">
            <v>578.71</v>
          </cell>
          <cell r="AL166">
            <v>1252.3</v>
          </cell>
          <cell r="AP166">
            <v>1551.384</v>
          </cell>
          <cell r="AV166">
            <v>41.99</v>
          </cell>
          <cell r="AZ166">
            <v>316</v>
          </cell>
          <cell r="BE166">
            <v>20355</v>
          </cell>
          <cell r="BG166">
            <v>52.5</v>
          </cell>
          <cell r="BH166">
            <v>280.72000000000003</v>
          </cell>
          <cell r="BY166">
            <v>444.16</v>
          </cell>
          <cell r="CD166">
            <v>315.56</v>
          </cell>
          <cell r="CE166">
            <v>314.536</v>
          </cell>
          <cell r="CF166">
            <v>287.77999999999997</v>
          </cell>
          <cell r="CG166">
            <v>1280</v>
          </cell>
          <cell r="CH166">
            <v>1010</v>
          </cell>
          <cell r="CI166" t="str">
            <v>#N/A N/A</v>
          </cell>
          <cell r="CJ166">
            <v>425</v>
          </cell>
          <cell r="CK166">
            <v>1180</v>
          </cell>
          <cell r="CM166">
            <v>230.53</v>
          </cell>
          <cell r="CN166">
            <v>19.09</v>
          </cell>
          <cell r="CO166" t="str">
            <v>#N/A N/A</v>
          </cell>
          <cell r="CQ166">
            <v>6.08</v>
          </cell>
          <cell r="CR166">
            <v>43</v>
          </cell>
          <cell r="CS166">
            <v>981.5</v>
          </cell>
          <cell r="CU166">
            <v>1360</v>
          </cell>
          <cell r="CW166">
            <v>50.457317073170735</v>
          </cell>
          <cell r="CX166">
            <v>594.31500000000005</v>
          </cell>
          <cell r="CZ166">
            <v>340.09</v>
          </cell>
          <cell r="DA166">
            <v>3431.8</v>
          </cell>
          <cell r="DB166">
            <v>15.99</v>
          </cell>
          <cell r="DC166">
            <v>347.25</v>
          </cell>
          <cell r="DD166">
            <v>95.9</v>
          </cell>
        </row>
        <row r="167">
          <cell r="A167">
            <v>38880</v>
          </cell>
          <cell r="C167">
            <v>112.4</v>
          </cell>
          <cell r="D167" t="str">
            <v>#N/A N/A</v>
          </cell>
          <cell r="E167" t="str">
            <v>#N/A N/A</v>
          </cell>
          <cell r="L167">
            <v>1239.8399999999999</v>
          </cell>
          <cell r="M167">
            <v>2091.3200000000002</v>
          </cell>
          <cell r="N167">
            <v>5620.9</v>
          </cell>
          <cell r="O167">
            <v>4668</v>
          </cell>
          <cell r="Q167">
            <v>620</v>
          </cell>
          <cell r="R167">
            <v>247.5</v>
          </cell>
          <cell r="S167">
            <v>373.75</v>
          </cell>
          <cell r="T167">
            <v>600</v>
          </cell>
          <cell r="U167">
            <v>14833.01</v>
          </cell>
          <cell r="V167">
            <v>15621.44</v>
          </cell>
          <cell r="W167">
            <v>6442.9</v>
          </cell>
          <cell r="X167">
            <v>68.95</v>
          </cell>
          <cell r="Y167">
            <v>1120</v>
          </cell>
          <cell r="Z167">
            <v>1260</v>
          </cell>
          <cell r="AA167">
            <v>9476.15</v>
          </cell>
          <cell r="AB167">
            <v>4926.8</v>
          </cell>
          <cell r="AC167">
            <v>33554.519500000002</v>
          </cell>
          <cell r="AE167">
            <v>87.95</v>
          </cell>
          <cell r="AF167">
            <v>659.96</v>
          </cell>
          <cell r="AG167">
            <v>2672</v>
          </cell>
          <cell r="AH167">
            <v>860</v>
          </cell>
          <cell r="AI167">
            <v>1530</v>
          </cell>
          <cell r="AJ167">
            <v>585.66</v>
          </cell>
          <cell r="AL167">
            <v>1236.4000000000001</v>
          </cell>
          <cell r="AP167">
            <v>1552.798</v>
          </cell>
          <cell r="AV167">
            <v>41.4</v>
          </cell>
          <cell r="AZ167">
            <v>323.89999999999998</v>
          </cell>
          <cell r="BE167">
            <v>19645</v>
          </cell>
          <cell r="BG167">
            <v>52.5</v>
          </cell>
          <cell r="BH167">
            <v>272.31</v>
          </cell>
          <cell r="BY167">
            <v>435.69</v>
          </cell>
          <cell r="CD167">
            <v>311.95</v>
          </cell>
          <cell r="CE167">
            <v>311.04399999999998</v>
          </cell>
          <cell r="CF167">
            <v>285.99</v>
          </cell>
          <cell r="CG167">
            <v>1280</v>
          </cell>
          <cell r="CH167">
            <v>1010</v>
          </cell>
          <cell r="CI167" t="str">
            <v>#N/A N/A</v>
          </cell>
          <cell r="CJ167">
            <v>425</v>
          </cell>
          <cell r="CK167">
            <v>1166</v>
          </cell>
          <cell r="CM167">
            <v>225.99</v>
          </cell>
          <cell r="CN167">
            <v>19.8</v>
          </cell>
          <cell r="CO167" t="str">
            <v>#N/A N/A</v>
          </cell>
          <cell r="CQ167">
            <v>6</v>
          </cell>
          <cell r="CR167">
            <v>43</v>
          </cell>
          <cell r="CS167">
            <v>991.25</v>
          </cell>
          <cell r="CU167">
            <v>1360</v>
          </cell>
          <cell r="CW167">
            <v>50.838414634146346</v>
          </cell>
          <cell r="CX167">
            <v>592.01200000000006</v>
          </cell>
          <cell r="CZ167">
            <v>338.39</v>
          </cell>
          <cell r="DA167">
            <v>3362.2</v>
          </cell>
          <cell r="DB167">
            <v>15.66</v>
          </cell>
          <cell r="DC167">
            <v>347.25</v>
          </cell>
          <cell r="DD167">
            <v>95.65</v>
          </cell>
        </row>
        <row r="168">
          <cell r="A168">
            <v>38881</v>
          </cell>
          <cell r="C168">
            <v>112.4</v>
          </cell>
          <cell r="D168" t="str">
            <v>#N/A N/A</v>
          </cell>
          <cell r="E168" t="str">
            <v>#N/A N/A</v>
          </cell>
          <cell r="L168">
            <v>1203.8599999999999</v>
          </cell>
          <cell r="M168">
            <v>2072.4699999999998</v>
          </cell>
          <cell r="N168">
            <v>5519.6</v>
          </cell>
          <cell r="O168">
            <v>4666</v>
          </cell>
          <cell r="Q168">
            <v>620</v>
          </cell>
          <cell r="R168">
            <v>243.25</v>
          </cell>
          <cell r="S168">
            <v>369.75</v>
          </cell>
          <cell r="T168">
            <v>595.75</v>
          </cell>
          <cell r="U168">
            <v>14218.6</v>
          </cell>
          <cell r="V168">
            <v>15234.42</v>
          </cell>
          <cell r="W168">
            <v>6337.21</v>
          </cell>
          <cell r="X168">
            <v>66.400000000000006</v>
          </cell>
          <cell r="Y168">
            <v>1120</v>
          </cell>
          <cell r="Z168">
            <v>1260</v>
          </cell>
          <cell r="AA168">
            <v>9062.65</v>
          </cell>
          <cell r="AB168">
            <v>4807.2</v>
          </cell>
          <cell r="AC168">
            <v>32847.609400000001</v>
          </cell>
          <cell r="AE168">
            <v>86.3</v>
          </cell>
          <cell r="AF168">
            <v>666.49</v>
          </cell>
          <cell r="AG168">
            <v>2699</v>
          </cell>
          <cell r="AH168">
            <v>860</v>
          </cell>
          <cell r="AI168">
            <v>1530</v>
          </cell>
          <cell r="AJ168">
            <v>568.64</v>
          </cell>
          <cell r="AL168">
            <v>1223.69</v>
          </cell>
          <cell r="AP168">
            <v>1548.4949999999999</v>
          </cell>
          <cell r="AV168">
            <v>40.06</v>
          </cell>
          <cell r="AZ168">
            <v>321.5</v>
          </cell>
          <cell r="BE168">
            <v>18015</v>
          </cell>
          <cell r="BG168">
            <v>52.5</v>
          </cell>
          <cell r="BH168">
            <v>263.91000000000003</v>
          </cell>
          <cell r="BY168">
            <v>433.39</v>
          </cell>
          <cell r="CD168">
            <v>305.16000000000003</v>
          </cell>
          <cell r="CE168">
            <v>304.75900000000001</v>
          </cell>
          <cell r="CF168">
            <v>276.87</v>
          </cell>
          <cell r="CG168">
            <v>1280</v>
          </cell>
          <cell r="CH168">
            <v>1010</v>
          </cell>
          <cell r="CI168" t="str">
            <v>#N/A N/A</v>
          </cell>
          <cell r="CJ168">
            <v>425</v>
          </cell>
          <cell r="CK168">
            <v>1183</v>
          </cell>
          <cell r="CM168">
            <v>217.1</v>
          </cell>
          <cell r="CN168">
            <v>19.8</v>
          </cell>
          <cell r="CO168" t="str">
            <v>#N/A N/A</v>
          </cell>
          <cell r="CQ168">
            <v>5.95</v>
          </cell>
          <cell r="CR168">
            <v>43</v>
          </cell>
          <cell r="CS168">
            <v>966.75</v>
          </cell>
          <cell r="CU168">
            <v>1360</v>
          </cell>
          <cell r="CW168">
            <v>49.314024390243908</v>
          </cell>
          <cell r="CX168">
            <v>590.69599999999991</v>
          </cell>
          <cell r="CZ168">
            <v>330.23</v>
          </cell>
          <cell r="DA168">
            <v>3173.6</v>
          </cell>
          <cell r="DB168">
            <v>15.62</v>
          </cell>
          <cell r="DC168">
            <v>347.25</v>
          </cell>
          <cell r="DD168">
            <v>95.3</v>
          </cell>
        </row>
        <row r="169">
          <cell r="A169">
            <v>38882</v>
          </cell>
          <cell r="C169">
            <v>112.4</v>
          </cell>
          <cell r="D169" t="str">
            <v>#N/A N/A</v>
          </cell>
          <cell r="E169" t="str">
            <v>#N/A N/A</v>
          </cell>
          <cell r="L169">
            <v>1221.73</v>
          </cell>
          <cell r="M169">
            <v>2086</v>
          </cell>
          <cell r="N169">
            <v>5506.8</v>
          </cell>
          <cell r="O169">
            <v>4658</v>
          </cell>
          <cell r="Q169">
            <v>620</v>
          </cell>
          <cell r="R169">
            <v>237</v>
          </cell>
          <cell r="S169">
            <v>361.25</v>
          </cell>
          <cell r="T169">
            <v>589.5</v>
          </cell>
          <cell r="U169">
            <v>14309.56</v>
          </cell>
          <cell r="V169">
            <v>15247.92</v>
          </cell>
          <cell r="W169">
            <v>6469.01</v>
          </cell>
          <cell r="X169">
            <v>66.349999999999994</v>
          </cell>
          <cell r="Y169">
            <v>1120</v>
          </cell>
          <cell r="Z169">
            <v>1260</v>
          </cell>
          <cell r="AA169">
            <v>8929.44</v>
          </cell>
          <cell r="AB169">
            <v>4815</v>
          </cell>
          <cell r="AC169">
            <v>32941.460899999998</v>
          </cell>
          <cell r="AE169">
            <v>86.1</v>
          </cell>
          <cell r="AF169">
            <v>666.49</v>
          </cell>
          <cell r="AG169">
            <v>2715</v>
          </cell>
          <cell r="AH169">
            <v>860</v>
          </cell>
          <cell r="AI169">
            <v>1530</v>
          </cell>
          <cell r="AJ169">
            <v>577.35</v>
          </cell>
          <cell r="AL169">
            <v>1230.04</v>
          </cell>
          <cell r="AP169">
            <v>1531.327</v>
          </cell>
          <cell r="AV169">
            <v>41.68</v>
          </cell>
          <cell r="AZ169">
            <v>313.5</v>
          </cell>
          <cell r="BE169">
            <v>18610</v>
          </cell>
          <cell r="BG169">
            <v>52.5</v>
          </cell>
          <cell r="BH169">
            <v>261.91000000000003</v>
          </cell>
          <cell r="BY169">
            <v>439.33</v>
          </cell>
          <cell r="CD169">
            <v>306.99</v>
          </cell>
          <cell r="CE169">
            <v>306.459</v>
          </cell>
          <cell r="CF169">
            <v>278.39</v>
          </cell>
          <cell r="CG169">
            <v>1280</v>
          </cell>
          <cell r="CH169">
            <v>1010</v>
          </cell>
          <cell r="CI169" t="str">
            <v>#N/A N/A</v>
          </cell>
          <cell r="CJ169">
            <v>425</v>
          </cell>
          <cell r="CK169">
            <v>1199</v>
          </cell>
          <cell r="CM169">
            <v>218.22</v>
          </cell>
          <cell r="CN169">
            <v>19.46</v>
          </cell>
          <cell r="CO169" t="str">
            <v>#N/A N/A</v>
          </cell>
          <cell r="CQ169">
            <v>6.08</v>
          </cell>
          <cell r="CR169">
            <v>43</v>
          </cell>
          <cell r="CS169">
            <v>933</v>
          </cell>
          <cell r="CU169">
            <v>1360</v>
          </cell>
          <cell r="CW169">
            <v>49.161585365853661</v>
          </cell>
          <cell r="CX169">
            <v>618.77199999999993</v>
          </cell>
          <cell r="CZ169">
            <v>332.03</v>
          </cell>
          <cell r="DA169">
            <v>3219.7</v>
          </cell>
          <cell r="DB169">
            <v>15.63</v>
          </cell>
          <cell r="DC169">
            <v>347.25</v>
          </cell>
          <cell r="DD169">
            <v>96.05</v>
          </cell>
        </row>
        <row r="170">
          <cell r="A170">
            <v>38883</v>
          </cell>
          <cell r="C170">
            <v>112.4</v>
          </cell>
          <cell r="D170" t="str">
            <v>#N/A N/A</v>
          </cell>
          <cell r="E170" t="str">
            <v>#N/A N/A</v>
          </cell>
          <cell r="L170">
            <v>1219.4000000000001</v>
          </cell>
          <cell r="M170">
            <v>2144.15</v>
          </cell>
          <cell r="N170">
            <v>5619.3</v>
          </cell>
          <cell r="O170">
            <v>4637</v>
          </cell>
          <cell r="Q170">
            <v>620</v>
          </cell>
          <cell r="R170">
            <v>233</v>
          </cell>
          <cell r="S170">
            <v>361.5</v>
          </cell>
          <cell r="T170">
            <v>592.5</v>
          </cell>
          <cell r="U170">
            <v>14470.76</v>
          </cell>
          <cell r="V170">
            <v>15435.08</v>
          </cell>
          <cell r="W170">
            <v>6426.39</v>
          </cell>
          <cell r="X170">
            <v>67.05</v>
          </cell>
          <cell r="Y170">
            <v>1120</v>
          </cell>
          <cell r="Z170">
            <v>1260</v>
          </cell>
          <cell r="AA170">
            <v>9545.06</v>
          </cell>
          <cell r="AB170">
            <v>4835.5</v>
          </cell>
          <cell r="AC170">
            <v>32941.460899999998</v>
          </cell>
          <cell r="AE170">
            <v>86.35</v>
          </cell>
          <cell r="AF170">
            <v>666.49</v>
          </cell>
          <cell r="AG170">
            <v>2723</v>
          </cell>
          <cell r="AH170">
            <v>860</v>
          </cell>
          <cell r="AI170">
            <v>1530</v>
          </cell>
          <cell r="AJ170">
            <v>575.67999999999995</v>
          </cell>
          <cell r="AL170">
            <v>1256.1600000000001</v>
          </cell>
          <cell r="AP170">
            <v>1533.98</v>
          </cell>
          <cell r="AV170">
            <v>43.2</v>
          </cell>
          <cell r="AZ170">
            <v>302.10000000000002</v>
          </cell>
          <cell r="BE170">
            <v>19765</v>
          </cell>
          <cell r="BG170">
            <v>52.5</v>
          </cell>
          <cell r="BH170">
            <v>276.55</v>
          </cell>
          <cell r="BY170">
            <v>457.58</v>
          </cell>
          <cell r="CD170">
            <v>313.47000000000003</v>
          </cell>
          <cell r="CE170">
            <v>312.87299999999999</v>
          </cell>
          <cell r="CF170">
            <v>281.42</v>
          </cell>
          <cell r="CG170">
            <v>1280</v>
          </cell>
          <cell r="CH170">
            <v>1010</v>
          </cell>
          <cell r="CI170" t="str">
            <v>#N/A N/A</v>
          </cell>
          <cell r="CJ170">
            <v>425</v>
          </cell>
          <cell r="CK170">
            <v>1215</v>
          </cell>
          <cell r="CM170">
            <v>220.19</v>
          </cell>
          <cell r="CN170">
            <v>19.3</v>
          </cell>
          <cell r="CO170" t="str">
            <v>#N/A N/A</v>
          </cell>
          <cell r="CQ170">
            <v>6.45</v>
          </cell>
          <cell r="CR170">
            <v>43</v>
          </cell>
          <cell r="CS170">
            <v>939</v>
          </cell>
          <cell r="CU170">
            <v>1360</v>
          </cell>
          <cell r="CW170">
            <v>49.466463414634148</v>
          </cell>
          <cell r="CX170">
            <v>618.18400000000008</v>
          </cell>
          <cell r="CZ170">
            <v>337.56</v>
          </cell>
          <cell r="DA170">
            <v>3347.9</v>
          </cell>
          <cell r="DB170">
            <v>15.67</v>
          </cell>
          <cell r="DC170">
            <v>347.25</v>
          </cell>
          <cell r="DD170">
            <v>96.55</v>
          </cell>
        </row>
        <row r="171">
          <cell r="A171">
            <v>38884</v>
          </cell>
          <cell r="C171">
            <v>104.4</v>
          </cell>
          <cell r="D171" t="str">
            <v>#N/A N/A</v>
          </cell>
          <cell r="E171" t="str">
            <v>#N/A N/A</v>
          </cell>
          <cell r="L171">
            <v>1262.19</v>
          </cell>
          <cell r="M171">
            <v>2129.9499999999998</v>
          </cell>
          <cell r="N171">
            <v>5597.4</v>
          </cell>
          <cell r="O171">
            <v>4628</v>
          </cell>
          <cell r="Q171">
            <v>620</v>
          </cell>
          <cell r="R171">
            <v>235.5</v>
          </cell>
          <cell r="S171">
            <v>359</v>
          </cell>
          <cell r="T171">
            <v>600.25</v>
          </cell>
          <cell r="U171">
            <v>14879.34</v>
          </cell>
          <cell r="V171">
            <v>15842.65</v>
          </cell>
          <cell r="W171">
            <v>6575.77</v>
          </cell>
          <cell r="X171">
            <v>67.849999999999994</v>
          </cell>
          <cell r="Y171">
            <v>1160</v>
          </cell>
          <cell r="Z171">
            <v>1270</v>
          </cell>
          <cell r="AA171">
            <v>9884.51</v>
          </cell>
          <cell r="AB171">
            <v>4932.2</v>
          </cell>
          <cell r="AC171">
            <v>34398.921900000001</v>
          </cell>
          <cell r="AE171">
            <v>86.15</v>
          </cell>
          <cell r="AF171">
            <v>666.49</v>
          </cell>
          <cell r="AG171">
            <v>2725</v>
          </cell>
          <cell r="AH171">
            <v>870</v>
          </cell>
          <cell r="AI171">
            <v>1540</v>
          </cell>
          <cell r="AJ171">
            <v>587.08000000000004</v>
          </cell>
          <cell r="AL171">
            <v>1251.54</v>
          </cell>
          <cell r="AP171">
            <v>1574.4670000000001</v>
          </cell>
          <cell r="AV171">
            <v>42.93</v>
          </cell>
          <cell r="AZ171">
            <v>294.10000000000002</v>
          </cell>
          <cell r="BE171">
            <v>19890</v>
          </cell>
          <cell r="BG171">
            <v>52.4</v>
          </cell>
          <cell r="BH171">
            <v>276.92</v>
          </cell>
          <cell r="BY171">
            <v>453.53</v>
          </cell>
          <cell r="CD171">
            <v>314.27</v>
          </cell>
          <cell r="CE171">
            <v>313.12700000000001</v>
          </cell>
          <cell r="CF171">
            <v>292.13</v>
          </cell>
          <cell r="CG171">
            <v>1300</v>
          </cell>
          <cell r="CH171">
            <v>1015</v>
          </cell>
          <cell r="CI171" t="str">
            <v>#N/A N/A</v>
          </cell>
          <cell r="CJ171">
            <v>425</v>
          </cell>
          <cell r="CK171">
            <v>1228</v>
          </cell>
          <cell r="CM171">
            <v>220.48</v>
          </cell>
          <cell r="CN171">
            <v>19.420000000000002</v>
          </cell>
          <cell r="CO171" t="str">
            <v>#N/A N/A</v>
          </cell>
          <cell r="CQ171">
            <v>7.04</v>
          </cell>
          <cell r="CR171">
            <v>45</v>
          </cell>
          <cell r="CS171">
            <v>934.75</v>
          </cell>
          <cell r="CU171">
            <v>1370</v>
          </cell>
          <cell r="CW171">
            <v>49.618902439024396</v>
          </cell>
          <cell r="CX171">
            <v>618.625</v>
          </cell>
          <cell r="CZ171">
            <v>339.22</v>
          </cell>
          <cell r="DA171">
            <v>3345.8</v>
          </cell>
          <cell r="DB171">
            <v>15.8</v>
          </cell>
          <cell r="DC171">
            <v>347.25</v>
          </cell>
          <cell r="DD171">
            <v>95.25</v>
          </cell>
        </row>
        <row r="172">
          <cell r="A172">
            <v>38885</v>
          </cell>
          <cell r="C172">
            <v>104.4</v>
          </cell>
          <cell r="D172" t="str">
            <v>#N/A N/A</v>
          </cell>
          <cell r="E172" t="str">
            <v>#N/A N/A</v>
          </cell>
          <cell r="L172">
            <v>1262.19</v>
          </cell>
          <cell r="M172">
            <v>2129.9499999999998</v>
          </cell>
          <cell r="N172">
            <v>5597.4</v>
          </cell>
          <cell r="O172">
            <v>4628</v>
          </cell>
          <cell r="Q172">
            <v>620</v>
          </cell>
          <cell r="R172">
            <v>235.5</v>
          </cell>
          <cell r="S172">
            <v>359</v>
          </cell>
          <cell r="T172">
            <v>600.25</v>
          </cell>
          <cell r="U172">
            <v>14879.34</v>
          </cell>
          <cell r="V172">
            <v>15842.65</v>
          </cell>
          <cell r="W172">
            <v>6575.77</v>
          </cell>
          <cell r="X172">
            <v>67.849999999999994</v>
          </cell>
          <cell r="Y172">
            <v>1160</v>
          </cell>
          <cell r="Z172">
            <v>1270</v>
          </cell>
          <cell r="AA172">
            <v>9884.51</v>
          </cell>
          <cell r="AB172">
            <v>4932.2</v>
          </cell>
          <cell r="AC172">
            <v>34398.921900000001</v>
          </cell>
          <cell r="AE172">
            <v>86.15</v>
          </cell>
          <cell r="AF172">
            <v>666.49</v>
          </cell>
          <cell r="AG172">
            <v>2725</v>
          </cell>
          <cell r="AH172">
            <v>870</v>
          </cell>
          <cell r="AI172">
            <v>1540</v>
          </cell>
          <cell r="AJ172">
            <v>587.08000000000004</v>
          </cell>
          <cell r="AL172">
            <v>1251.54</v>
          </cell>
          <cell r="AP172">
            <v>1574.4670000000001</v>
          </cell>
          <cell r="AV172">
            <v>42.93</v>
          </cell>
          <cell r="AZ172">
            <v>294.10000000000002</v>
          </cell>
          <cell r="BE172">
            <v>19890</v>
          </cell>
          <cell r="BG172">
            <v>52.4</v>
          </cell>
          <cell r="BH172">
            <v>276.92</v>
          </cell>
          <cell r="BY172">
            <v>453.53</v>
          </cell>
          <cell r="CD172">
            <v>314.27</v>
          </cell>
          <cell r="CE172">
            <v>313.12700000000001</v>
          </cell>
          <cell r="CF172">
            <v>292.13</v>
          </cell>
          <cell r="CG172">
            <v>1300</v>
          </cell>
          <cell r="CH172">
            <v>1015</v>
          </cell>
          <cell r="CI172" t="str">
            <v>#N/A N/A</v>
          </cell>
          <cell r="CJ172">
            <v>425</v>
          </cell>
          <cell r="CK172">
            <v>1228</v>
          </cell>
          <cell r="CM172">
            <v>220.48</v>
          </cell>
          <cell r="CN172">
            <v>19.420000000000002</v>
          </cell>
          <cell r="CO172" t="str">
            <v>#N/A N/A</v>
          </cell>
          <cell r="CQ172">
            <v>7.04</v>
          </cell>
          <cell r="CR172">
            <v>45</v>
          </cell>
          <cell r="CS172">
            <v>934.75</v>
          </cell>
          <cell r="CU172">
            <v>1370</v>
          </cell>
          <cell r="CW172">
            <v>49.618902439024396</v>
          </cell>
          <cell r="CX172">
            <v>618.625</v>
          </cell>
          <cell r="CZ172">
            <v>339.22</v>
          </cell>
          <cell r="DA172">
            <v>3345.8</v>
          </cell>
          <cell r="DB172">
            <v>15.8</v>
          </cell>
          <cell r="DC172">
            <v>347.25</v>
          </cell>
          <cell r="DD172">
            <v>95.25</v>
          </cell>
        </row>
        <row r="173">
          <cell r="A173">
            <v>38886</v>
          </cell>
          <cell r="C173">
            <v>104.4</v>
          </cell>
          <cell r="D173" t="str">
            <v>#N/A N/A</v>
          </cell>
          <cell r="E173" t="str">
            <v>#N/A N/A</v>
          </cell>
          <cell r="L173">
            <v>1262.19</v>
          </cell>
          <cell r="M173">
            <v>2129.9499999999998</v>
          </cell>
          <cell r="N173">
            <v>5597.4</v>
          </cell>
          <cell r="O173">
            <v>4628</v>
          </cell>
          <cell r="Q173">
            <v>620</v>
          </cell>
          <cell r="R173">
            <v>235.5</v>
          </cell>
          <cell r="S173">
            <v>359</v>
          </cell>
          <cell r="T173">
            <v>600.25</v>
          </cell>
          <cell r="U173">
            <v>14879.34</v>
          </cell>
          <cell r="V173">
            <v>15842.65</v>
          </cell>
          <cell r="W173">
            <v>6575.77</v>
          </cell>
          <cell r="X173">
            <v>67.849999999999994</v>
          </cell>
          <cell r="Y173">
            <v>1160</v>
          </cell>
          <cell r="Z173">
            <v>1270</v>
          </cell>
          <cell r="AA173">
            <v>9884.51</v>
          </cell>
          <cell r="AB173">
            <v>4932.2</v>
          </cell>
          <cell r="AC173">
            <v>34398.921900000001</v>
          </cell>
          <cell r="AE173">
            <v>86.15</v>
          </cell>
          <cell r="AF173">
            <v>666.49</v>
          </cell>
          <cell r="AG173">
            <v>2725</v>
          </cell>
          <cell r="AH173">
            <v>870</v>
          </cell>
          <cell r="AI173">
            <v>1540</v>
          </cell>
          <cell r="AJ173">
            <v>587.08000000000004</v>
          </cell>
          <cell r="AL173">
            <v>1251.54</v>
          </cell>
          <cell r="AP173">
            <v>1574.4670000000001</v>
          </cell>
          <cell r="AV173">
            <v>42.93</v>
          </cell>
          <cell r="AZ173">
            <v>294.10000000000002</v>
          </cell>
          <cell r="BE173">
            <v>19890</v>
          </cell>
          <cell r="BG173">
            <v>52.4</v>
          </cell>
          <cell r="BH173">
            <v>276.92</v>
          </cell>
          <cell r="BY173">
            <v>453.53</v>
          </cell>
          <cell r="CD173">
            <v>314.27</v>
          </cell>
          <cell r="CE173">
            <v>313.12700000000001</v>
          </cell>
          <cell r="CF173">
            <v>292.13</v>
          </cell>
          <cell r="CG173">
            <v>1300</v>
          </cell>
          <cell r="CH173">
            <v>1015</v>
          </cell>
          <cell r="CI173" t="str">
            <v>#N/A N/A</v>
          </cell>
          <cell r="CJ173">
            <v>425</v>
          </cell>
          <cell r="CK173">
            <v>1228</v>
          </cell>
          <cell r="CM173">
            <v>220.48</v>
          </cell>
          <cell r="CN173">
            <v>19.420000000000002</v>
          </cell>
          <cell r="CO173" t="str">
            <v>#N/A N/A</v>
          </cell>
          <cell r="CQ173">
            <v>7.04</v>
          </cell>
          <cell r="CR173">
            <v>45</v>
          </cell>
          <cell r="CS173">
            <v>934.75</v>
          </cell>
          <cell r="CU173">
            <v>1370</v>
          </cell>
          <cell r="CW173">
            <v>49.618902439024396</v>
          </cell>
          <cell r="CX173">
            <v>618.625</v>
          </cell>
          <cell r="CZ173">
            <v>339.22</v>
          </cell>
          <cell r="DA173">
            <v>3345.8</v>
          </cell>
          <cell r="DB173">
            <v>15.8</v>
          </cell>
          <cell r="DC173">
            <v>347.25</v>
          </cell>
          <cell r="DD173">
            <v>95.25</v>
          </cell>
        </row>
        <row r="174">
          <cell r="A174">
            <v>38887</v>
          </cell>
          <cell r="C174">
            <v>104.4</v>
          </cell>
          <cell r="D174" t="str">
            <v>#N/A N/A</v>
          </cell>
          <cell r="E174" t="str">
            <v>#N/A N/A</v>
          </cell>
          <cell r="L174">
            <v>1251.67</v>
          </cell>
          <cell r="M174">
            <v>2110.42</v>
          </cell>
          <cell r="N174">
            <v>5626.1</v>
          </cell>
          <cell r="O174">
            <v>4640</v>
          </cell>
          <cell r="Q174">
            <v>620</v>
          </cell>
          <cell r="R174">
            <v>229.75</v>
          </cell>
          <cell r="S174">
            <v>358.5</v>
          </cell>
          <cell r="T174">
            <v>584.5</v>
          </cell>
          <cell r="U174">
            <v>14860.35</v>
          </cell>
          <cell r="V174">
            <v>15768.86</v>
          </cell>
          <cell r="W174">
            <v>6583.04</v>
          </cell>
          <cell r="X174">
            <v>67.650000000000006</v>
          </cell>
          <cell r="Y174">
            <v>1160</v>
          </cell>
          <cell r="Z174">
            <v>1270</v>
          </cell>
          <cell r="AA174">
            <v>9997.84</v>
          </cell>
          <cell r="AB174">
            <v>4869.8999999999996</v>
          </cell>
          <cell r="AC174">
            <v>33897.351600000002</v>
          </cell>
          <cell r="AE174">
            <v>84.75</v>
          </cell>
          <cell r="AF174">
            <v>666.49</v>
          </cell>
          <cell r="AG174">
            <v>2728</v>
          </cell>
          <cell r="AH174">
            <v>870</v>
          </cell>
          <cell r="AI174">
            <v>1540</v>
          </cell>
          <cell r="AJ174">
            <v>578.11</v>
          </cell>
          <cell r="AL174">
            <v>1240.1400000000001</v>
          </cell>
          <cell r="AP174">
            <v>1586.2860000000001</v>
          </cell>
          <cell r="AV174">
            <v>41.99</v>
          </cell>
          <cell r="AZ174">
            <v>302.10000000000002</v>
          </cell>
          <cell r="BE174">
            <v>19425</v>
          </cell>
          <cell r="BG174">
            <v>52.4</v>
          </cell>
          <cell r="BH174">
            <v>269.13</v>
          </cell>
          <cell r="BY174">
            <v>449.18</v>
          </cell>
          <cell r="CD174">
            <v>312.06</v>
          </cell>
          <cell r="CE174">
            <v>310.92099999999999</v>
          </cell>
          <cell r="CF174">
            <v>289.61</v>
          </cell>
          <cell r="CG174">
            <v>1300</v>
          </cell>
          <cell r="CH174">
            <v>1015</v>
          </cell>
          <cell r="CI174" t="str">
            <v>#N/A N/A</v>
          </cell>
          <cell r="CJ174">
            <v>425</v>
          </cell>
          <cell r="CK174">
            <v>1239</v>
          </cell>
          <cell r="CM174">
            <v>216.37</v>
          </cell>
          <cell r="CN174">
            <v>20</v>
          </cell>
          <cell r="CO174" t="str">
            <v>#N/A N/A</v>
          </cell>
          <cell r="CQ174">
            <v>6.71</v>
          </cell>
          <cell r="CR174">
            <v>45</v>
          </cell>
          <cell r="CS174">
            <v>922.5</v>
          </cell>
          <cell r="CU174">
            <v>1370</v>
          </cell>
          <cell r="CW174">
            <v>49.009146341463421</v>
          </cell>
          <cell r="CX174">
            <v>616.07699999999988</v>
          </cell>
          <cell r="CZ174">
            <v>333.57</v>
          </cell>
          <cell r="DA174">
            <v>3253.5</v>
          </cell>
          <cell r="DB174">
            <v>15.8</v>
          </cell>
          <cell r="DC174">
            <v>347.25</v>
          </cell>
          <cell r="DD174">
            <v>94.95</v>
          </cell>
        </row>
        <row r="175">
          <cell r="A175">
            <v>38888</v>
          </cell>
          <cell r="C175">
            <v>104.4</v>
          </cell>
          <cell r="D175" t="str">
            <v>#N/A N/A</v>
          </cell>
          <cell r="E175" t="str">
            <v>#N/A N/A</v>
          </cell>
          <cell r="L175">
            <v>1225.83</v>
          </cell>
          <cell r="M175">
            <v>2107.06</v>
          </cell>
          <cell r="N175">
            <v>5658.2</v>
          </cell>
          <cell r="O175">
            <v>4633</v>
          </cell>
          <cell r="Q175">
            <v>620</v>
          </cell>
          <cell r="R175">
            <v>229.75</v>
          </cell>
          <cell r="S175">
            <v>367</v>
          </cell>
          <cell r="T175">
            <v>585.25</v>
          </cell>
          <cell r="U175">
            <v>14648.41</v>
          </cell>
          <cell r="V175">
            <v>15608.97</v>
          </cell>
          <cell r="W175">
            <v>6363.55</v>
          </cell>
          <cell r="X175">
            <v>67.849999999999994</v>
          </cell>
          <cell r="Y175">
            <v>1160</v>
          </cell>
          <cell r="Z175">
            <v>1270</v>
          </cell>
          <cell r="AA175">
            <v>9822.52</v>
          </cell>
          <cell r="AB175">
            <v>4830.8</v>
          </cell>
          <cell r="AC175">
            <v>33632.140599999999</v>
          </cell>
          <cell r="AE175">
            <v>83.9</v>
          </cell>
          <cell r="AF175">
            <v>677.38</v>
          </cell>
          <cell r="AG175">
            <v>2729</v>
          </cell>
          <cell r="AH175">
            <v>870</v>
          </cell>
          <cell r="AI175">
            <v>1540</v>
          </cell>
          <cell r="AJ175">
            <v>564.78</v>
          </cell>
          <cell r="AL175">
            <v>1240.1199999999999</v>
          </cell>
          <cell r="AP175">
            <v>1592.3320000000001</v>
          </cell>
          <cell r="AV175">
            <v>41.58</v>
          </cell>
          <cell r="AZ175">
            <v>308.2</v>
          </cell>
          <cell r="BE175">
            <v>19925</v>
          </cell>
          <cell r="BG175">
            <v>52.4</v>
          </cell>
          <cell r="BH175">
            <v>265.58999999999997</v>
          </cell>
          <cell r="BY175">
            <v>446.05</v>
          </cell>
          <cell r="CD175">
            <v>312.06</v>
          </cell>
          <cell r="CE175">
            <v>311.226</v>
          </cell>
          <cell r="CF175">
            <v>283.38</v>
          </cell>
          <cell r="CG175">
            <v>1300</v>
          </cell>
          <cell r="CH175">
            <v>1015</v>
          </cell>
          <cell r="CI175" t="str">
            <v>#N/A N/A</v>
          </cell>
          <cell r="CJ175">
            <v>425</v>
          </cell>
          <cell r="CK175">
            <v>1268</v>
          </cell>
          <cell r="CM175">
            <v>216.68</v>
          </cell>
          <cell r="CN175">
            <v>20.45</v>
          </cell>
          <cell r="CO175" t="str">
            <v>#N/A N/A</v>
          </cell>
          <cell r="CQ175">
            <v>6.62</v>
          </cell>
          <cell r="CR175">
            <v>45</v>
          </cell>
          <cell r="CS175">
            <v>917.5</v>
          </cell>
          <cell r="CU175">
            <v>1370</v>
          </cell>
          <cell r="CW175">
            <v>48.323170731707322</v>
          </cell>
          <cell r="CX175">
            <v>616.81200000000001</v>
          </cell>
          <cell r="CZ175">
            <v>333.1</v>
          </cell>
          <cell r="DA175">
            <v>3240.4</v>
          </cell>
          <cell r="DB175">
            <v>15.8</v>
          </cell>
          <cell r="DC175">
            <v>347.25</v>
          </cell>
          <cell r="DD175">
            <v>95.45</v>
          </cell>
        </row>
        <row r="176">
          <cell r="A176">
            <v>38889</v>
          </cell>
          <cell r="C176">
            <v>104.4</v>
          </cell>
          <cell r="D176" t="str">
            <v>#N/A N/A</v>
          </cell>
          <cell r="E176" t="str">
            <v>#N/A N/A</v>
          </cell>
          <cell r="L176">
            <v>1227.19</v>
          </cell>
          <cell r="M176">
            <v>2141.1999999999998</v>
          </cell>
          <cell r="N176">
            <v>5665</v>
          </cell>
          <cell r="O176">
            <v>4624</v>
          </cell>
          <cell r="Q176">
            <v>620</v>
          </cell>
          <cell r="R176">
            <v>232.75</v>
          </cell>
          <cell r="S176">
            <v>372</v>
          </cell>
          <cell r="T176">
            <v>586.25</v>
          </cell>
          <cell r="U176">
            <v>14644.26</v>
          </cell>
          <cell r="V176">
            <v>15659.36</v>
          </cell>
          <cell r="W176">
            <v>6299.59</v>
          </cell>
          <cell r="X176">
            <v>67.599999999999994</v>
          </cell>
          <cell r="Y176">
            <v>1160</v>
          </cell>
          <cell r="Z176">
            <v>1270</v>
          </cell>
          <cell r="AA176">
            <v>10040.14</v>
          </cell>
          <cell r="AB176">
            <v>4884.3999999999996</v>
          </cell>
          <cell r="AC176">
            <v>34546.640599999999</v>
          </cell>
          <cell r="AE176">
            <v>83.65</v>
          </cell>
          <cell r="AF176">
            <v>677.38</v>
          </cell>
          <cell r="AG176">
            <v>2739</v>
          </cell>
          <cell r="AH176">
            <v>870</v>
          </cell>
          <cell r="AI176">
            <v>1540</v>
          </cell>
          <cell r="AJ176">
            <v>566.30999999999995</v>
          </cell>
          <cell r="AL176">
            <v>1252.2</v>
          </cell>
          <cell r="AP176">
            <v>1598.116</v>
          </cell>
          <cell r="AV176">
            <v>42.5</v>
          </cell>
          <cell r="AZ176">
            <v>310.2</v>
          </cell>
          <cell r="BE176">
            <v>20900</v>
          </cell>
          <cell r="BG176">
            <v>52.4</v>
          </cell>
          <cell r="BH176">
            <v>270.98</v>
          </cell>
          <cell r="BY176">
            <v>455.37</v>
          </cell>
          <cell r="CD176">
            <v>314.47000000000003</v>
          </cell>
          <cell r="CE176">
            <v>313.63099999999997</v>
          </cell>
          <cell r="CF176">
            <v>284.14</v>
          </cell>
          <cell r="CG176">
            <v>1300</v>
          </cell>
          <cell r="CH176">
            <v>1015</v>
          </cell>
          <cell r="CI176" t="str">
            <v>#N/A N/A</v>
          </cell>
          <cell r="CJ176">
            <v>400</v>
          </cell>
          <cell r="CK176">
            <v>1299</v>
          </cell>
          <cell r="CM176">
            <v>223.02</v>
          </cell>
          <cell r="CN176">
            <v>20.03</v>
          </cell>
          <cell r="CO176" t="str">
            <v>#N/A N/A</v>
          </cell>
          <cell r="CQ176">
            <v>6.51</v>
          </cell>
          <cell r="CR176">
            <v>45</v>
          </cell>
          <cell r="CS176">
            <v>920.5</v>
          </cell>
          <cell r="CU176">
            <v>1370</v>
          </cell>
          <cell r="CW176">
            <v>48.628048780487809</v>
          </cell>
          <cell r="CX176">
            <v>620.43799999999999</v>
          </cell>
          <cell r="CZ176">
            <v>336.75</v>
          </cell>
          <cell r="DA176">
            <v>3276.9</v>
          </cell>
          <cell r="DB176">
            <v>16.309999999999999</v>
          </cell>
          <cell r="DC176">
            <v>347.25</v>
          </cell>
          <cell r="DD176">
            <v>95.1</v>
          </cell>
        </row>
        <row r="177">
          <cell r="A177">
            <v>38890</v>
          </cell>
          <cell r="C177">
            <v>104.4</v>
          </cell>
          <cell r="D177" t="str">
            <v>#N/A N/A</v>
          </cell>
          <cell r="E177" t="str">
            <v>#N/A N/A</v>
          </cell>
          <cell r="L177">
            <v>1238.83</v>
          </cell>
          <cell r="M177">
            <v>2122.98</v>
          </cell>
          <cell r="N177">
            <v>5684.1</v>
          </cell>
          <cell r="O177">
            <v>4604</v>
          </cell>
          <cell r="Q177">
            <v>620</v>
          </cell>
          <cell r="R177">
            <v>230.5</v>
          </cell>
          <cell r="S177">
            <v>365.5</v>
          </cell>
          <cell r="T177">
            <v>583</v>
          </cell>
          <cell r="U177">
            <v>15135.69</v>
          </cell>
          <cell r="V177">
            <v>15826.7</v>
          </cell>
          <cell r="W177">
            <v>6485.15</v>
          </cell>
          <cell r="X177">
            <v>69.349999999999994</v>
          </cell>
          <cell r="Y177">
            <v>1160</v>
          </cell>
          <cell r="Z177">
            <v>1270</v>
          </cell>
          <cell r="AA177">
            <v>10275.879999999999</v>
          </cell>
          <cell r="AB177">
            <v>4968.1000000000004</v>
          </cell>
          <cell r="AC177">
            <v>34316.769500000002</v>
          </cell>
          <cell r="AE177">
            <v>86.15</v>
          </cell>
          <cell r="AF177">
            <v>677.38</v>
          </cell>
          <cell r="AG177">
            <v>2774</v>
          </cell>
          <cell r="AH177">
            <v>870</v>
          </cell>
          <cell r="AI177">
            <v>1540</v>
          </cell>
          <cell r="AJ177">
            <v>564.23</v>
          </cell>
          <cell r="AL177">
            <v>1245.5999999999999</v>
          </cell>
          <cell r="AP177">
            <v>1596.066</v>
          </cell>
          <cell r="AV177">
            <v>41.95</v>
          </cell>
          <cell r="AZ177">
            <v>318.2</v>
          </cell>
          <cell r="BE177">
            <v>20405</v>
          </cell>
          <cell r="BG177">
            <v>52.4</v>
          </cell>
          <cell r="BH177">
            <v>270.27</v>
          </cell>
          <cell r="BY177">
            <v>449.19</v>
          </cell>
          <cell r="CD177">
            <v>314.48</v>
          </cell>
          <cell r="CE177">
            <v>313.488</v>
          </cell>
          <cell r="CF177">
            <v>289.64999999999998</v>
          </cell>
          <cell r="CG177">
            <v>1300</v>
          </cell>
          <cell r="CH177">
            <v>1015</v>
          </cell>
          <cell r="CI177" t="str">
            <v>#N/A N/A</v>
          </cell>
          <cell r="CJ177">
            <v>400</v>
          </cell>
          <cell r="CK177">
            <v>1332</v>
          </cell>
          <cell r="CM177">
            <v>227.52</v>
          </cell>
          <cell r="CN177">
            <v>20.09</v>
          </cell>
          <cell r="CO177" t="str">
            <v>#N/A N/A</v>
          </cell>
          <cell r="CQ177">
            <v>6.51</v>
          </cell>
          <cell r="CR177">
            <v>45</v>
          </cell>
          <cell r="CS177">
            <v>934</v>
          </cell>
          <cell r="CU177">
            <v>1370</v>
          </cell>
          <cell r="CW177">
            <v>49.542682926829272</v>
          </cell>
          <cell r="CX177">
            <v>616.02800000000002</v>
          </cell>
          <cell r="CZ177">
            <v>336.13</v>
          </cell>
          <cell r="DA177">
            <v>3247.6</v>
          </cell>
          <cell r="DB177">
            <v>16.63</v>
          </cell>
          <cell r="DC177">
            <v>347.25</v>
          </cell>
          <cell r="DD177">
            <v>95.7</v>
          </cell>
        </row>
        <row r="178">
          <cell r="A178">
            <v>38891</v>
          </cell>
          <cell r="C178">
            <v>104.4</v>
          </cell>
          <cell r="D178" t="str">
            <v>#N/A N/A</v>
          </cell>
          <cell r="E178" t="str">
            <v>#N/A N/A</v>
          </cell>
          <cell r="L178">
            <v>1228.6199999999999</v>
          </cell>
          <cell r="M178">
            <v>2121.4699999999998</v>
          </cell>
          <cell r="N178">
            <v>5692.1</v>
          </cell>
          <cell r="O178">
            <v>4601</v>
          </cell>
          <cell r="Q178">
            <v>620</v>
          </cell>
          <cell r="R178">
            <v>228.25</v>
          </cell>
          <cell r="S178">
            <v>363.25</v>
          </cell>
          <cell r="T178">
            <v>580.5</v>
          </cell>
          <cell r="U178">
            <v>15124.04</v>
          </cell>
          <cell r="V178">
            <v>15808.81</v>
          </cell>
          <cell r="W178">
            <v>6452.31</v>
          </cell>
          <cell r="X178">
            <v>68.55</v>
          </cell>
          <cell r="Y178">
            <v>1200</v>
          </cell>
          <cell r="Z178">
            <v>1280</v>
          </cell>
          <cell r="AA178">
            <v>10401.299999999999</v>
          </cell>
          <cell r="AB178">
            <v>4925.8</v>
          </cell>
          <cell r="AC178">
            <v>34661.218800000002</v>
          </cell>
          <cell r="AE178">
            <v>85.85</v>
          </cell>
          <cell r="AF178">
            <v>677.38</v>
          </cell>
          <cell r="AG178">
            <v>2808</v>
          </cell>
          <cell r="AH178">
            <v>870</v>
          </cell>
          <cell r="AI178">
            <v>1540</v>
          </cell>
          <cell r="AJ178">
            <v>559.37</v>
          </cell>
          <cell r="AL178">
            <v>1244.5</v>
          </cell>
          <cell r="AP178">
            <v>1605.711</v>
          </cell>
          <cell r="AV178">
            <v>42.05</v>
          </cell>
          <cell r="AZ178">
            <v>319.3</v>
          </cell>
          <cell r="BE178">
            <v>20120</v>
          </cell>
          <cell r="BG178">
            <v>52.9</v>
          </cell>
          <cell r="BH178">
            <v>276.26</v>
          </cell>
          <cell r="BY178">
            <v>445.41</v>
          </cell>
          <cell r="CD178">
            <v>313.89</v>
          </cell>
          <cell r="CE178">
            <v>312.96300000000002</v>
          </cell>
          <cell r="CF178">
            <v>288.39999999999998</v>
          </cell>
          <cell r="CG178">
            <v>1300</v>
          </cell>
          <cell r="CH178">
            <v>1020</v>
          </cell>
          <cell r="CI178" t="str">
            <v>#N/A N/A</v>
          </cell>
          <cell r="CJ178">
            <v>400</v>
          </cell>
          <cell r="CK178">
            <v>1374</v>
          </cell>
          <cell r="CM178">
            <v>229.47</v>
          </cell>
          <cell r="CN178">
            <v>19.7</v>
          </cell>
          <cell r="CO178" t="str">
            <v>#N/A N/A</v>
          </cell>
          <cell r="CQ178">
            <v>6.14</v>
          </cell>
          <cell r="CR178">
            <v>45</v>
          </cell>
          <cell r="CS178">
            <v>934.75</v>
          </cell>
          <cell r="CU178">
            <v>1400</v>
          </cell>
          <cell r="CW178">
            <v>49.542682926829272</v>
          </cell>
          <cell r="CX178">
            <v>613.82299999999998</v>
          </cell>
          <cell r="CZ178">
            <v>335.04</v>
          </cell>
          <cell r="DA178">
            <v>3238.9</v>
          </cell>
          <cell r="DB178">
            <v>16.18</v>
          </cell>
          <cell r="DC178">
            <v>347.25</v>
          </cell>
          <cell r="DD178">
            <v>95.3</v>
          </cell>
        </row>
        <row r="179">
          <cell r="A179">
            <v>38892</v>
          </cell>
          <cell r="C179">
            <v>104.4</v>
          </cell>
          <cell r="D179" t="str">
            <v>#N/A N/A</v>
          </cell>
          <cell r="E179" t="str">
            <v>#N/A N/A</v>
          </cell>
          <cell r="L179">
            <v>1228.6199999999999</v>
          </cell>
          <cell r="M179">
            <v>2121.4699999999998</v>
          </cell>
          <cell r="N179">
            <v>5692.1</v>
          </cell>
          <cell r="O179">
            <v>4601</v>
          </cell>
          <cell r="Q179">
            <v>620</v>
          </cell>
          <cell r="R179">
            <v>228.25</v>
          </cell>
          <cell r="S179">
            <v>363.25</v>
          </cell>
          <cell r="T179">
            <v>580.5</v>
          </cell>
          <cell r="U179">
            <v>15124.04</v>
          </cell>
          <cell r="V179">
            <v>15808.81</v>
          </cell>
          <cell r="W179">
            <v>6452.31</v>
          </cell>
          <cell r="X179">
            <v>68.55</v>
          </cell>
          <cell r="Y179">
            <v>1200</v>
          </cell>
          <cell r="Z179">
            <v>1280</v>
          </cell>
          <cell r="AA179">
            <v>10401.299999999999</v>
          </cell>
          <cell r="AB179">
            <v>4925.8</v>
          </cell>
          <cell r="AC179">
            <v>34661.218800000002</v>
          </cell>
          <cell r="AE179">
            <v>85.85</v>
          </cell>
          <cell r="AF179">
            <v>677.38</v>
          </cell>
          <cell r="AG179">
            <v>2808</v>
          </cell>
          <cell r="AH179">
            <v>870</v>
          </cell>
          <cell r="AI179">
            <v>1540</v>
          </cell>
          <cell r="AJ179">
            <v>559.37</v>
          </cell>
          <cell r="AL179">
            <v>1244.5</v>
          </cell>
          <cell r="AP179">
            <v>1605.711</v>
          </cell>
          <cell r="AV179">
            <v>42.05</v>
          </cell>
          <cell r="AZ179">
            <v>319.3</v>
          </cell>
          <cell r="BE179">
            <v>20120</v>
          </cell>
          <cell r="BG179">
            <v>52.9</v>
          </cell>
          <cell r="BH179">
            <v>276.26</v>
          </cell>
          <cell r="BY179">
            <v>445.41</v>
          </cell>
          <cell r="CD179">
            <v>313.89</v>
          </cell>
          <cell r="CE179">
            <v>312.96300000000002</v>
          </cell>
          <cell r="CF179">
            <v>288.39999999999998</v>
          </cell>
          <cell r="CG179">
            <v>1300</v>
          </cell>
          <cell r="CH179">
            <v>1020</v>
          </cell>
          <cell r="CI179" t="str">
            <v>#N/A N/A</v>
          </cell>
          <cell r="CJ179">
            <v>400</v>
          </cell>
          <cell r="CK179">
            <v>1374</v>
          </cell>
          <cell r="CM179">
            <v>229.47</v>
          </cell>
          <cell r="CN179">
            <v>19.7</v>
          </cell>
          <cell r="CO179" t="str">
            <v>#N/A N/A</v>
          </cell>
          <cell r="CQ179">
            <v>6.14</v>
          </cell>
          <cell r="CR179">
            <v>45</v>
          </cell>
          <cell r="CS179">
            <v>934.75</v>
          </cell>
          <cell r="CU179">
            <v>1400</v>
          </cell>
          <cell r="CW179">
            <v>49.542682926829272</v>
          </cell>
          <cell r="CX179">
            <v>613.82299999999998</v>
          </cell>
          <cell r="CZ179">
            <v>335.04</v>
          </cell>
          <cell r="DA179">
            <v>3238.9</v>
          </cell>
          <cell r="DB179">
            <v>16.18</v>
          </cell>
          <cell r="DC179">
            <v>347.25</v>
          </cell>
          <cell r="DD179">
            <v>95.3</v>
          </cell>
        </row>
        <row r="180">
          <cell r="A180">
            <v>38893</v>
          </cell>
          <cell r="C180">
            <v>104.4</v>
          </cell>
          <cell r="D180" t="str">
            <v>#N/A N/A</v>
          </cell>
          <cell r="E180" t="str">
            <v>#N/A N/A</v>
          </cell>
          <cell r="L180">
            <v>1228.6199999999999</v>
          </cell>
          <cell r="M180">
            <v>2121.4699999999998</v>
          </cell>
          <cell r="N180">
            <v>5692.1</v>
          </cell>
          <cell r="O180">
            <v>4601</v>
          </cell>
          <cell r="Q180">
            <v>620</v>
          </cell>
          <cell r="R180">
            <v>228.25</v>
          </cell>
          <cell r="S180">
            <v>363.25</v>
          </cell>
          <cell r="T180">
            <v>580.5</v>
          </cell>
          <cell r="U180">
            <v>15124.04</v>
          </cell>
          <cell r="V180">
            <v>15808.81</v>
          </cell>
          <cell r="W180">
            <v>6452.31</v>
          </cell>
          <cell r="X180">
            <v>68.55</v>
          </cell>
          <cell r="Y180">
            <v>1200</v>
          </cell>
          <cell r="Z180">
            <v>1280</v>
          </cell>
          <cell r="AA180">
            <v>10412.93</v>
          </cell>
          <cell r="AB180">
            <v>4925.8</v>
          </cell>
          <cell r="AC180">
            <v>34661.218800000002</v>
          </cell>
          <cell r="AE180">
            <v>85.85</v>
          </cell>
          <cell r="AF180">
            <v>677.38</v>
          </cell>
          <cell r="AG180">
            <v>2808</v>
          </cell>
          <cell r="AH180">
            <v>870</v>
          </cell>
          <cell r="AI180">
            <v>1540</v>
          </cell>
          <cell r="AJ180">
            <v>559.37</v>
          </cell>
          <cell r="AL180">
            <v>1244.5</v>
          </cell>
          <cell r="AP180">
            <v>1605.711</v>
          </cell>
          <cell r="AV180">
            <v>42.05</v>
          </cell>
          <cell r="AZ180">
            <v>319.3</v>
          </cell>
          <cell r="BE180">
            <v>20120</v>
          </cell>
          <cell r="BG180">
            <v>52.9</v>
          </cell>
          <cell r="BH180">
            <v>276.26</v>
          </cell>
          <cell r="BY180">
            <v>445.41</v>
          </cell>
          <cell r="CD180">
            <v>313.89</v>
          </cell>
          <cell r="CE180">
            <v>312.96300000000002</v>
          </cell>
          <cell r="CF180">
            <v>288.39999999999998</v>
          </cell>
          <cell r="CG180">
            <v>1300</v>
          </cell>
          <cell r="CH180">
            <v>1020</v>
          </cell>
          <cell r="CI180" t="str">
            <v>#N/A N/A</v>
          </cell>
          <cell r="CJ180">
            <v>400</v>
          </cell>
          <cell r="CK180">
            <v>1374</v>
          </cell>
          <cell r="CM180">
            <v>229.47</v>
          </cell>
          <cell r="CN180">
            <v>19.7</v>
          </cell>
          <cell r="CO180" t="str">
            <v>#N/A N/A</v>
          </cell>
          <cell r="CQ180">
            <v>6.14</v>
          </cell>
          <cell r="CR180">
            <v>45</v>
          </cell>
          <cell r="CS180">
            <v>934.75</v>
          </cell>
          <cell r="CU180">
            <v>1400</v>
          </cell>
          <cell r="CW180">
            <v>49.542682926829272</v>
          </cell>
          <cell r="CX180">
            <v>613.82299999999998</v>
          </cell>
          <cell r="CZ180">
            <v>335.04</v>
          </cell>
          <cell r="DA180">
            <v>3238.9</v>
          </cell>
          <cell r="DB180">
            <v>16.18</v>
          </cell>
          <cell r="DC180">
            <v>347.25</v>
          </cell>
          <cell r="DD180">
            <v>95.3</v>
          </cell>
        </row>
        <row r="181">
          <cell r="A181">
            <v>38894</v>
          </cell>
          <cell r="C181">
            <v>104.4</v>
          </cell>
          <cell r="D181" t="str">
            <v>#N/A N/A</v>
          </cell>
          <cell r="E181" t="str">
            <v>#N/A N/A</v>
          </cell>
          <cell r="L181">
            <v>1238.05</v>
          </cell>
          <cell r="M181">
            <v>2133.67</v>
          </cell>
          <cell r="N181">
            <v>5681.2</v>
          </cell>
          <cell r="O181">
            <v>4589</v>
          </cell>
          <cell r="Q181">
            <v>620</v>
          </cell>
          <cell r="R181">
            <v>223</v>
          </cell>
          <cell r="S181">
            <v>368.5</v>
          </cell>
          <cell r="T181">
            <v>569.5</v>
          </cell>
          <cell r="U181">
            <v>15152.4</v>
          </cell>
          <cell r="V181">
            <v>15804.81</v>
          </cell>
          <cell r="W181">
            <v>6523.68</v>
          </cell>
          <cell r="X181">
            <v>69.150000000000006</v>
          </cell>
          <cell r="Y181">
            <v>1200</v>
          </cell>
          <cell r="Z181">
            <v>1280</v>
          </cell>
          <cell r="AA181">
            <v>10042.06</v>
          </cell>
          <cell r="AB181">
            <v>4926.2</v>
          </cell>
          <cell r="AC181">
            <v>34631.238299999997</v>
          </cell>
          <cell r="AE181">
            <v>85.6</v>
          </cell>
          <cell r="AF181">
            <v>677.38</v>
          </cell>
          <cell r="AG181">
            <v>2829</v>
          </cell>
          <cell r="AH181">
            <v>870</v>
          </cell>
          <cell r="AI181">
            <v>1540</v>
          </cell>
          <cell r="AJ181">
            <v>560.91999999999996</v>
          </cell>
          <cell r="AL181">
            <v>1250.56</v>
          </cell>
          <cell r="AP181">
            <v>1633.4490000000001</v>
          </cell>
          <cell r="AV181">
            <v>42.1</v>
          </cell>
          <cell r="AZ181">
            <v>321.5</v>
          </cell>
          <cell r="BE181">
            <v>20840</v>
          </cell>
          <cell r="BG181">
            <v>52.9</v>
          </cell>
          <cell r="BH181">
            <v>279.73</v>
          </cell>
          <cell r="BY181">
            <v>448.31</v>
          </cell>
          <cell r="CD181">
            <v>314.76</v>
          </cell>
          <cell r="CE181">
            <v>313.887</v>
          </cell>
          <cell r="CF181">
            <v>288.73</v>
          </cell>
          <cell r="CG181">
            <v>1300</v>
          </cell>
          <cell r="CH181">
            <v>1020</v>
          </cell>
          <cell r="CI181" t="str">
            <v>#N/A N/A</v>
          </cell>
          <cell r="CJ181">
            <v>400</v>
          </cell>
          <cell r="CK181">
            <v>1365</v>
          </cell>
          <cell r="CM181">
            <v>234.33</v>
          </cell>
          <cell r="CN181">
            <v>19.7</v>
          </cell>
          <cell r="CO181" t="str">
            <v>#N/A N/A</v>
          </cell>
          <cell r="CQ181">
            <v>5.89</v>
          </cell>
          <cell r="CR181">
            <v>45</v>
          </cell>
          <cell r="CS181">
            <v>951</v>
          </cell>
          <cell r="CU181">
            <v>1400</v>
          </cell>
          <cell r="CW181">
            <v>49.237804878048784</v>
          </cell>
          <cell r="CX181">
            <v>615.63599999999997</v>
          </cell>
          <cell r="CZ181">
            <v>337.37</v>
          </cell>
          <cell r="DA181">
            <v>3356.5</v>
          </cell>
          <cell r="DB181">
            <v>16.97</v>
          </cell>
          <cell r="DC181">
            <v>347.25</v>
          </cell>
          <cell r="DD181">
            <v>94.6</v>
          </cell>
        </row>
        <row r="182">
          <cell r="A182">
            <v>38895</v>
          </cell>
          <cell r="C182">
            <v>104.4</v>
          </cell>
          <cell r="D182" t="str">
            <v>#N/A N/A</v>
          </cell>
          <cell r="E182" t="str">
            <v>#N/A N/A</v>
          </cell>
          <cell r="L182">
            <v>1247.54</v>
          </cell>
          <cell r="M182">
            <v>2100.25</v>
          </cell>
          <cell r="N182">
            <v>5652.3</v>
          </cell>
          <cell r="O182">
            <v>4570</v>
          </cell>
          <cell r="Q182">
            <v>620</v>
          </cell>
          <cell r="R182">
            <v>225.25</v>
          </cell>
          <cell r="S182">
            <v>378.25</v>
          </cell>
          <cell r="T182">
            <v>578</v>
          </cell>
          <cell r="U182">
            <v>15171.81</v>
          </cell>
          <cell r="V182">
            <v>15774.7</v>
          </cell>
          <cell r="W182">
            <v>6572.39</v>
          </cell>
          <cell r="X182">
            <v>70.349999999999994</v>
          </cell>
          <cell r="Y182">
            <v>1200</v>
          </cell>
          <cell r="Z182">
            <v>1280</v>
          </cell>
          <cell r="AA182">
            <v>10151.01</v>
          </cell>
          <cell r="AB182">
            <v>4958</v>
          </cell>
          <cell r="AC182">
            <v>34375.730499999998</v>
          </cell>
          <cell r="AE182">
            <v>86.8</v>
          </cell>
          <cell r="AF182">
            <v>683.45</v>
          </cell>
          <cell r="AG182">
            <v>2862</v>
          </cell>
          <cell r="AH182">
            <v>870</v>
          </cell>
          <cell r="AI182">
            <v>1540</v>
          </cell>
          <cell r="AJ182">
            <v>566.22</v>
          </cell>
          <cell r="AL182">
            <v>1239.2</v>
          </cell>
          <cell r="AP182">
            <v>1639.5509999999999</v>
          </cell>
          <cell r="AV182">
            <v>41.59</v>
          </cell>
          <cell r="AZ182">
            <v>321.3</v>
          </cell>
          <cell r="BE182">
            <v>20750</v>
          </cell>
          <cell r="BG182">
            <v>52.9</v>
          </cell>
          <cell r="BH182">
            <v>279.63</v>
          </cell>
          <cell r="BY182">
            <v>431.52</v>
          </cell>
          <cell r="CD182">
            <v>313.39</v>
          </cell>
          <cell r="CE182">
            <v>312.2</v>
          </cell>
          <cell r="CF182">
            <v>291.27</v>
          </cell>
          <cell r="CG182">
            <v>1300</v>
          </cell>
          <cell r="CH182">
            <v>1020</v>
          </cell>
          <cell r="CI182" t="str">
            <v>#N/A N/A</v>
          </cell>
          <cell r="CJ182">
            <v>400</v>
          </cell>
          <cell r="CK182">
            <v>1373</v>
          </cell>
          <cell r="CM182">
            <v>232.89</v>
          </cell>
          <cell r="CN182">
            <v>19.579999999999998</v>
          </cell>
          <cell r="CO182" t="str">
            <v>#N/A N/A</v>
          </cell>
          <cell r="CQ182">
            <v>5.97</v>
          </cell>
          <cell r="CR182">
            <v>45</v>
          </cell>
          <cell r="CS182">
            <v>939.5</v>
          </cell>
          <cell r="CU182">
            <v>1400</v>
          </cell>
          <cell r="CW182">
            <v>50.152439024390247</v>
          </cell>
          <cell r="CX182">
            <v>617.00799999999992</v>
          </cell>
          <cell r="CZ182">
            <v>337.07</v>
          </cell>
          <cell r="DA182">
            <v>3261.4</v>
          </cell>
          <cell r="DB182">
            <v>16.7</v>
          </cell>
          <cell r="DC182">
            <v>347.25</v>
          </cell>
          <cell r="DD182">
            <v>95.35</v>
          </cell>
        </row>
        <row r="183">
          <cell r="A183">
            <v>38896</v>
          </cell>
          <cell r="C183">
            <v>104.4</v>
          </cell>
          <cell r="D183" t="str">
            <v>#N/A N/A</v>
          </cell>
          <cell r="E183" t="str">
            <v>#N/A N/A</v>
          </cell>
          <cell r="L183">
            <v>1238.71</v>
          </cell>
          <cell r="M183">
            <v>2111.84</v>
          </cell>
          <cell r="N183">
            <v>5678.6</v>
          </cell>
          <cell r="O183">
            <v>4541</v>
          </cell>
          <cell r="Q183">
            <v>620</v>
          </cell>
          <cell r="R183">
            <v>226</v>
          </cell>
          <cell r="S183">
            <v>372</v>
          </cell>
          <cell r="T183">
            <v>578.5</v>
          </cell>
          <cell r="U183">
            <v>14886.11</v>
          </cell>
          <cell r="V183">
            <v>15742.66</v>
          </cell>
          <cell r="W183">
            <v>6540.93</v>
          </cell>
          <cell r="X183">
            <v>70.25</v>
          </cell>
          <cell r="Y183">
            <v>1200</v>
          </cell>
          <cell r="Z183">
            <v>1280</v>
          </cell>
          <cell r="AA183">
            <v>10129.700000000001</v>
          </cell>
          <cell r="AB183">
            <v>4909.2</v>
          </cell>
          <cell r="AC183">
            <v>34834.648399999998</v>
          </cell>
          <cell r="AE183">
            <v>85.6</v>
          </cell>
          <cell r="AF183">
            <v>683.45</v>
          </cell>
          <cell r="AG183">
            <v>2898</v>
          </cell>
          <cell r="AH183">
            <v>870</v>
          </cell>
          <cell r="AI183">
            <v>1540</v>
          </cell>
          <cell r="AJ183">
            <v>563.61</v>
          </cell>
          <cell r="AL183">
            <v>1246</v>
          </cell>
          <cell r="AP183">
            <v>1639.2860000000001</v>
          </cell>
          <cell r="AV183">
            <v>42.4</v>
          </cell>
          <cell r="AZ183">
            <v>318.7</v>
          </cell>
          <cell r="BE183">
            <v>21330</v>
          </cell>
          <cell r="BG183">
            <v>52.9</v>
          </cell>
          <cell r="BH183">
            <v>280.56</v>
          </cell>
          <cell r="BY183">
            <v>429.06</v>
          </cell>
          <cell r="CD183">
            <v>313.24</v>
          </cell>
          <cell r="CE183">
            <v>311.96800000000002</v>
          </cell>
          <cell r="CF183">
            <v>290.22000000000003</v>
          </cell>
          <cell r="CG183">
            <v>1300</v>
          </cell>
          <cell r="CH183">
            <v>1020</v>
          </cell>
          <cell r="CI183" t="str">
            <v>#N/A N/A</v>
          </cell>
          <cell r="CJ183">
            <v>400</v>
          </cell>
          <cell r="CK183">
            <v>1367</v>
          </cell>
          <cell r="CM183">
            <v>231.85</v>
          </cell>
          <cell r="CN183">
            <v>19.600000000000001</v>
          </cell>
          <cell r="CO183" t="str">
            <v>#N/A N/A</v>
          </cell>
          <cell r="CQ183">
            <v>6.04</v>
          </cell>
          <cell r="CR183">
            <v>45.25</v>
          </cell>
          <cell r="CS183">
            <v>942.5</v>
          </cell>
          <cell r="CU183">
            <v>1400</v>
          </cell>
          <cell r="CW183">
            <v>50.762195121951223</v>
          </cell>
          <cell r="CX183">
            <v>614.36199999999997</v>
          </cell>
          <cell r="CZ183">
            <v>338.19</v>
          </cell>
          <cell r="DA183">
            <v>3311.3</v>
          </cell>
          <cell r="DB183">
            <v>16.82</v>
          </cell>
          <cell r="DC183">
            <v>347.25</v>
          </cell>
          <cell r="DD183">
            <v>97.7</v>
          </cell>
        </row>
        <row r="184">
          <cell r="A184">
            <v>38897</v>
          </cell>
          <cell r="C184">
            <v>104.4</v>
          </cell>
          <cell r="D184" t="str">
            <v>#N/A N/A</v>
          </cell>
          <cell r="E184" t="str">
            <v>#N/A N/A</v>
          </cell>
          <cell r="L184">
            <v>1263.02</v>
          </cell>
          <cell r="M184">
            <v>2174.38</v>
          </cell>
          <cell r="N184">
            <v>5791.5</v>
          </cell>
          <cell r="O184">
            <v>4528</v>
          </cell>
          <cell r="Q184">
            <v>620</v>
          </cell>
          <cell r="R184">
            <v>228.5</v>
          </cell>
          <cell r="S184">
            <v>374</v>
          </cell>
          <cell r="T184">
            <v>581.75</v>
          </cell>
          <cell r="U184">
            <v>15121.15</v>
          </cell>
          <cell r="V184">
            <v>15865.22</v>
          </cell>
          <cell r="W184">
            <v>6607.39</v>
          </cell>
          <cell r="X184">
            <v>70.349999999999994</v>
          </cell>
          <cell r="Y184">
            <v>1200</v>
          </cell>
          <cell r="Z184">
            <v>1280</v>
          </cell>
          <cell r="AA184">
            <v>10162.16</v>
          </cell>
          <cell r="AB184">
            <v>4957.8999999999996</v>
          </cell>
          <cell r="AC184">
            <v>36486.671900000001</v>
          </cell>
          <cell r="AE184">
            <v>85.85</v>
          </cell>
          <cell r="AF184">
            <v>683.45</v>
          </cell>
          <cell r="AG184">
            <v>2935</v>
          </cell>
          <cell r="AH184">
            <v>870</v>
          </cell>
          <cell r="AI184">
            <v>1540</v>
          </cell>
          <cell r="AJ184">
            <v>576.91999999999996</v>
          </cell>
          <cell r="AL184">
            <v>1272.8699999999999</v>
          </cell>
          <cell r="AP184">
            <v>1671.6179999999999</v>
          </cell>
          <cell r="AV184">
            <v>44.54</v>
          </cell>
          <cell r="AZ184">
            <v>322</v>
          </cell>
          <cell r="BE184">
            <v>21835</v>
          </cell>
          <cell r="BG184">
            <v>52.9</v>
          </cell>
          <cell r="BH184">
            <v>289.98</v>
          </cell>
          <cell r="BY184">
            <v>446.17</v>
          </cell>
          <cell r="CD184">
            <v>319.61</v>
          </cell>
          <cell r="CE184">
            <v>318.28800000000001</v>
          </cell>
          <cell r="CF184">
            <v>293.7</v>
          </cell>
          <cell r="CG184">
            <v>1300</v>
          </cell>
          <cell r="CH184">
            <v>1020</v>
          </cell>
          <cell r="CI184" t="str">
            <v>#N/A N/A</v>
          </cell>
          <cell r="CJ184">
            <v>400</v>
          </cell>
          <cell r="CK184">
            <v>1366</v>
          </cell>
          <cell r="CM184">
            <v>236.65</v>
          </cell>
          <cell r="CN184">
            <v>19.649999999999999</v>
          </cell>
          <cell r="CO184" t="str">
            <v>#N/A N/A</v>
          </cell>
          <cell r="CQ184">
            <v>6.1</v>
          </cell>
          <cell r="CR184">
            <v>45.25</v>
          </cell>
          <cell r="CS184">
            <v>974.75</v>
          </cell>
          <cell r="CU184">
            <v>1400</v>
          </cell>
          <cell r="CW184">
            <v>51.06707317073171</v>
          </cell>
          <cell r="CX184">
            <v>614.46</v>
          </cell>
          <cell r="CZ184">
            <v>342.3</v>
          </cell>
          <cell r="DA184">
            <v>3460.6</v>
          </cell>
          <cell r="DB184">
            <v>16.79</v>
          </cell>
          <cell r="DC184">
            <v>347.25</v>
          </cell>
          <cell r="DD184">
            <v>97.5</v>
          </cell>
        </row>
        <row r="185">
          <cell r="A185">
            <v>38898</v>
          </cell>
          <cell r="C185">
            <v>104.4</v>
          </cell>
          <cell r="D185" t="str">
            <v>#N/A N/A</v>
          </cell>
          <cell r="E185" t="str">
            <v>#N/A N/A</v>
          </cell>
          <cell r="L185">
            <v>1295.1500000000001</v>
          </cell>
          <cell r="M185">
            <v>2172.09</v>
          </cell>
          <cell r="N185">
            <v>5833.4</v>
          </cell>
          <cell r="O185">
            <v>4508</v>
          </cell>
          <cell r="Q185">
            <v>640</v>
          </cell>
          <cell r="R185">
            <v>235.5</v>
          </cell>
          <cell r="S185">
            <v>371.5</v>
          </cell>
          <cell r="T185">
            <v>594.75</v>
          </cell>
          <cell r="U185">
            <v>15505.18</v>
          </cell>
          <cell r="V185">
            <v>16267.62</v>
          </cell>
          <cell r="W185">
            <v>6704.41</v>
          </cell>
          <cell r="X185">
            <v>71.5</v>
          </cell>
          <cell r="Y185">
            <v>1225</v>
          </cell>
          <cell r="Z185">
            <v>1275</v>
          </cell>
          <cell r="AA185">
            <v>10609.25</v>
          </cell>
          <cell r="AB185">
            <v>5034</v>
          </cell>
          <cell r="AC185">
            <v>36630.660199999998</v>
          </cell>
          <cell r="AE185">
            <v>87.15</v>
          </cell>
          <cell r="AF185">
            <v>683.45</v>
          </cell>
          <cell r="AG185">
            <v>2964</v>
          </cell>
          <cell r="AH185">
            <v>870</v>
          </cell>
          <cell r="AI185">
            <v>1530</v>
          </cell>
          <cell r="AJ185">
            <v>590.67999999999995</v>
          </cell>
          <cell r="AL185">
            <v>1270.2</v>
          </cell>
          <cell r="AP185">
            <v>1672.211</v>
          </cell>
          <cell r="AV185">
            <v>45.12</v>
          </cell>
          <cell r="AZ185">
            <v>322.89999999999998</v>
          </cell>
          <cell r="BE185">
            <v>22325</v>
          </cell>
          <cell r="BG185">
            <v>51.75</v>
          </cell>
          <cell r="BH185">
            <v>290.69</v>
          </cell>
          <cell r="BY185">
            <v>441.72</v>
          </cell>
          <cell r="CD185">
            <v>325.11</v>
          </cell>
          <cell r="CE185">
            <v>323.37700000000001</v>
          </cell>
          <cell r="CF185">
            <v>303.67</v>
          </cell>
          <cell r="CG185">
            <v>1280</v>
          </cell>
          <cell r="CH185">
            <v>1030</v>
          </cell>
          <cell r="CI185" t="str">
            <v>#N/A N/A</v>
          </cell>
          <cell r="CJ185">
            <v>400</v>
          </cell>
          <cell r="CK185">
            <v>1375</v>
          </cell>
          <cell r="CM185">
            <v>239.31</v>
          </cell>
          <cell r="CN185">
            <v>19.46</v>
          </cell>
          <cell r="CO185" t="str">
            <v>#N/A N/A</v>
          </cell>
          <cell r="CQ185">
            <v>5.83</v>
          </cell>
          <cell r="CR185">
            <v>45.25</v>
          </cell>
          <cell r="CS185">
            <v>991.5</v>
          </cell>
          <cell r="CU185">
            <v>1410</v>
          </cell>
          <cell r="CW185">
            <v>51.371951219512198</v>
          </cell>
          <cell r="CX185">
            <v>626.46500000000003</v>
          </cell>
          <cell r="CZ185">
            <v>346.39</v>
          </cell>
          <cell r="DA185">
            <v>3513.6</v>
          </cell>
          <cell r="DB185">
            <v>17.05</v>
          </cell>
          <cell r="DC185">
            <v>347.25</v>
          </cell>
          <cell r="DD185">
            <v>99.5</v>
          </cell>
        </row>
        <row r="186">
          <cell r="A186">
            <v>38899</v>
          </cell>
          <cell r="C186">
            <v>104.4</v>
          </cell>
          <cell r="D186" t="str">
            <v>#N/A N/A</v>
          </cell>
          <cell r="E186" t="str">
            <v>#N/A N/A</v>
          </cell>
          <cell r="L186">
            <v>1295.1500000000001</v>
          </cell>
          <cell r="M186">
            <v>2172.09</v>
          </cell>
          <cell r="N186">
            <v>5833.4</v>
          </cell>
          <cell r="O186">
            <v>4508</v>
          </cell>
          <cell r="Q186">
            <v>640</v>
          </cell>
          <cell r="R186">
            <v>235.5</v>
          </cell>
          <cell r="S186">
            <v>371.5</v>
          </cell>
          <cell r="T186">
            <v>594.75</v>
          </cell>
          <cell r="U186">
            <v>15505.18</v>
          </cell>
          <cell r="V186">
            <v>16267.62</v>
          </cell>
          <cell r="W186">
            <v>6704.41</v>
          </cell>
          <cell r="X186">
            <v>71.5</v>
          </cell>
          <cell r="Y186">
            <v>1225</v>
          </cell>
          <cell r="Z186">
            <v>1275</v>
          </cell>
          <cell r="AA186">
            <v>10609.25</v>
          </cell>
          <cell r="AB186">
            <v>5034</v>
          </cell>
          <cell r="AC186">
            <v>36630.660199999998</v>
          </cell>
          <cell r="AE186">
            <v>87.15</v>
          </cell>
          <cell r="AF186">
            <v>683.45</v>
          </cell>
          <cell r="AG186">
            <v>2964</v>
          </cell>
          <cell r="AH186">
            <v>870</v>
          </cell>
          <cell r="AI186">
            <v>1530</v>
          </cell>
          <cell r="AJ186">
            <v>590.67999999999995</v>
          </cell>
          <cell r="AL186">
            <v>1270.2</v>
          </cell>
          <cell r="AP186">
            <v>1672.211</v>
          </cell>
          <cell r="AV186">
            <v>45.12</v>
          </cell>
          <cell r="AZ186">
            <v>322.89999999999998</v>
          </cell>
          <cell r="BE186">
            <v>22325</v>
          </cell>
          <cell r="BG186">
            <v>51.75</v>
          </cell>
          <cell r="BH186">
            <v>290.69</v>
          </cell>
          <cell r="BY186">
            <v>441.72</v>
          </cell>
          <cell r="CD186">
            <v>325.11</v>
          </cell>
          <cell r="CE186">
            <v>323.37700000000001</v>
          </cell>
          <cell r="CF186">
            <v>303.67</v>
          </cell>
          <cell r="CG186">
            <v>1280</v>
          </cell>
          <cell r="CH186">
            <v>1030</v>
          </cell>
          <cell r="CI186" t="str">
            <v>#N/A N/A</v>
          </cell>
          <cell r="CJ186">
            <v>400</v>
          </cell>
          <cell r="CK186">
            <v>1375</v>
          </cell>
          <cell r="CM186">
            <v>239.31</v>
          </cell>
          <cell r="CN186">
            <v>19.46</v>
          </cell>
          <cell r="CO186" t="str">
            <v>#N/A N/A</v>
          </cell>
          <cell r="CQ186">
            <v>5.83</v>
          </cell>
          <cell r="CR186">
            <v>45.25</v>
          </cell>
          <cell r="CS186">
            <v>991.5</v>
          </cell>
          <cell r="CU186">
            <v>1410</v>
          </cell>
          <cell r="CW186">
            <v>51.371951219512198</v>
          </cell>
          <cell r="CX186">
            <v>626.46500000000003</v>
          </cell>
          <cell r="CZ186">
            <v>346.39</v>
          </cell>
          <cell r="DA186">
            <v>3513.6</v>
          </cell>
          <cell r="DB186">
            <v>17.05</v>
          </cell>
          <cell r="DC186">
            <v>347.25</v>
          </cell>
          <cell r="DD186">
            <v>99.5</v>
          </cell>
        </row>
        <row r="187">
          <cell r="A187">
            <v>38900</v>
          </cell>
          <cell r="C187">
            <v>104.4</v>
          </cell>
          <cell r="D187" t="str">
            <v>#N/A N/A</v>
          </cell>
          <cell r="E187" t="str">
            <v>#N/A N/A</v>
          </cell>
          <cell r="L187">
            <v>1295.1500000000001</v>
          </cell>
          <cell r="M187">
            <v>2172.09</v>
          </cell>
          <cell r="N187">
            <v>5833.4</v>
          </cell>
          <cell r="O187">
            <v>4508</v>
          </cell>
          <cell r="Q187">
            <v>640</v>
          </cell>
          <cell r="R187">
            <v>235.5</v>
          </cell>
          <cell r="S187">
            <v>371.5</v>
          </cell>
          <cell r="T187">
            <v>594.75</v>
          </cell>
          <cell r="U187">
            <v>15505.18</v>
          </cell>
          <cell r="V187">
            <v>16267.62</v>
          </cell>
          <cell r="W187">
            <v>6704.41</v>
          </cell>
          <cell r="X187">
            <v>71.5</v>
          </cell>
          <cell r="Y187">
            <v>1225</v>
          </cell>
          <cell r="Z187">
            <v>1275</v>
          </cell>
          <cell r="AA187">
            <v>10609.25</v>
          </cell>
          <cell r="AB187">
            <v>5034</v>
          </cell>
          <cell r="AC187">
            <v>36630.660199999998</v>
          </cell>
          <cell r="AE187">
            <v>87.15</v>
          </cell>
          <cell r="AF187">
            <v>683.45</v>
          </cell>
          <cell r="AG187">
            <v>2964</v>
          </cell>
          <cell r="AH187">
            <v>870</v>
          </cell>
          <cell r="AI187">
            <v>1530</v>
          </cell>
          <cell r="AJ187">
            <v>590.67999999999995</v>
          </cell>
          <cell r="AL187">
            <v>1270.2</v>
          </cell>
          <cell r="AP187">
            <v>1672.211</v>
          </cell>
          <cell r="AV187">
            <v>45.12</v>
          </cell>
          <cell r="AZ187">
            <v>322.89999999999998</v>
          </cell>
          <cell r="BE187">
            <v>22325</v>
          </cell>
          <cell r="BG187">
            <v>51.75</v>
          </cell>
          <cell r="BH187">
            <v>290.69</v>
          </cell>
          <cell r="BY187">
            <v>441.72</v>
          </cell>
          <cell r="CD187">
            <v>325.11</v>
          </cell>
          <cell r="CE187">
            <v>323.37700000000001</v>
          </cell>
          <cell r="CF187">
            <v>303.67</v>
          </cell>
          <cell r="CG187">
            <v>1280</v>
          </cell>
          <cell r="CH187">
            <v>1030</v>
          </cell>
          <cell r="CI187" t="str">
            <v>#N/A N/A</v>
          </cell>
          <cell r="CJ187">
            <v>400</v>
          </cell>
          <cell r="CK187">
            <v>1375</v>
          </cell>
          <cell r="CM187">
            <v>239.31</v>
          </cell>
          <cell r="CN187">
            <v>19.46</v>
          </cell>
          <cell r="CO187" t="str">
            <v>#N/A N/A</v>
          </cell>
          <cell r="CQ187">
            <v>5.83</v>
          </cell>
          <cell r="CR187">
            <v>45.25</v>
          </cell>
          <cell r="CS187">
            <v>991.5</v>
          </cell>
          <cell r="CU187">
            <v>1410</v>
          </cell>
          <cell r="CW187">
            <v>51.371951219512198</v>
          </cell>
          <cell r="CX187">
            <v>626.46500000000003</v>
          </cell>
          <cell r="CZ187">
            <v>346.39</v>
          </cell>
          <cell r="DA187">
            <v>3513.6</v>
          </cell>
          <cell r="DB187">
            <v>17.05</v>
          </cell>
          <cell r="DC187">
            <v>347.25</v>
          </cell>
          <cell r="DD187">
            <v>99.5</v>
          </cell>
        </row>
        <row r="188">
          <cell r="A188">
            <v>38901</v>
          </cell>
          <cell r="C188">
            <v>104.4</v>
          </cell>
          <cell r="D188" t="str">
            <v>#N/A N/A</v>
          </cell>
          <cell r="E188" t="str">
            <v>#N/A N/A</v>
          </cell>
          <cell r="L188">
            <v>1294.6099999999999</v>
          </cell>
          <cell r="M188">
            <v>2190.4299999999998</v>
          </cell>
          <cell r="N188">
            <v>5884.4</v>
          </cell>
          <cell r="O188">
            <v>4508</v>
          </cell>
          <cell r="Q188">
            <v>640</v>
          </cell>
          <cell r="R188">
            <v>253.5</v>
          </cell>
          <cell r="S188">
            <v>402</v>
          </cell>
          <cell r="T188">
            <v>608.5</v>
          </cell>
          <cell r="U188">
            <v>15571.62</v>
          </cell>
          <cell r="V188">
            <v>16326.66</v>
          </cell>
          <cell r="W188">
            <v>6718.5</v>
          </cell>
          <cell r="X188">
            <v>72.05</v>
          </cell>
          <cell r="Y188">
            <v>1225</v>
          </cell>
          <cell r="Z188">
            <v>1275</v>
          </cell>
          <cell r="AA188">
            <v>10695.26</v>
          </cell>
          <cell r="AB188">
            <v>5049.8999999999996</v>
          </cell>
          <cell r="AC188">
            <v>37357.199200000003</v>
          </cell>
          <cell r="AE188">
            <v>87.45</v>
          </cell>
          <cell r="AF188">
            <v>683.45</v>
          </cell>
          <cell r="AG188">
            <v>2983</v>
          </cell>
          <cell r="AH188">
            <v>870</v>
          </cell>
          <cell r="AI188">
            <v>1530</v>
          </cell>
          <cell r="AJ188">
            <v>589.22</v>
          </cell>
          <cell r="AL188">
            <v>1280.19</v>
          </cell>
          <cell r="AP188">
            <v>1697.2819999999999</v>
          </cell>
          <cell r="AV188">
            <v>45.8</v>
          </cell>
          <cell r="AZ188">
            <v>316.89999999999998</v>
          </cell>
          <cell r="BE188">
            <v>22735</v>
          </cell>
          <cell r="BG188">
            <v>51.75</v>
          </cell>
          <cell r="BH188">
            <v>293.55</v>
          </cell>
          <cell r="BY188">
            <v>446.01</v>
          </cell>
          <cell r="CD188">
            <v>327.3</v>
          </cell>
          <cell r="CE188">
            <v>325.34300000000002</v>
          </cell>
          <cell r="CF188">
            <v>305.31</v>
          </cell>
          <cell r="CG188">
            <v>1280</v>
          </cell>
          <cell r="CH188">
            <v>1030</v>
          </cell>
          <cell r="CI188" t="str">
            <v>#N/A N/A</v>
          </cell>
          <cell r="CJ188">
            <v>400</v>
          </cell>
          <cell r="CK188">
            <v>1377</v>
          </cell>
          <cell r="CM188">
            <v>238.46</v>
          </cell>
          <cell r="CN188">
            <v>19.489999999999998</v>
          </cell>
          <cell r="CO188" t="str">
            <v>#N/A N/A</v>
          </cell>
          <cell r="CQ188">
            <v>5.83</v>
          </cell>
          <cell r="CR188">
            <v>45.25</v>
          </cell>
          <cell r="CS188">
            <v>981.25</v>
          </cell>
          <cell r="CU188">
            <v>1410</v>
          </cell>
          <cell r="CW188">
            <v>51.06707317073171</v>
          </cell>
          <cell r="CX188">
            <v>627.00400000000002</v>
          </cell>
          <cell r="CZ188">
            <v>348.13</v>
          </cell>
          <cell r="DA188">
            <v>3500.3</v>
          </cell>
          <cell r="DB188">
            <v>17.12</v>
          </cell>
          <cell r="DC188">
            <v>347.25</v>
          </cell>
          <cell r="DD188">
            <v>103.5</v>
          </cell>
        </row>
        <row r="189">
          <cell r="A189">
            <v>38902</v>
          </cell>
          <cell r="C189">
            <v>104.4</v>
          </cell>
          <cell r="D189" t="str">
            <v>#N/A N/A</v>
          </cell>
          <cell r="E189" t="str">
            <v>#N/A N/A</v>
          </cell>
          <cell r="L189">
            <v>1285.92</v>
          </cell>
          <cell r="M189">
            <v>2190.4299999999998</v>
          </cell>
          <cell r="N189">
            <v>5883.5</v>
          </cell>
          <cell r="O189">
            <v>4485</v>
          </cell>
          <cell r="Q189">
            <v>640</v>
          </cell>
          <cell r="R189">
            <v>253.5</v>
          </cell>
          <cell r="S189">
            <v>402</v>
          </cell>
          <cell r="T189">
            <v>608.5</v>
          </cell>
          <cell r="U189">
            <v>15638.5</v>
          </cell>
          <cell r="V189">
            <v>16368.98</v>
          </cell>
          <cell r="W189">
            <v>6734.51</v>
          </cell>
          <cell r="X189">
            <v>71.25</v>
          </cell>
          <cell r="Y189">
            <v>1225</v>
          </cell>
          <cell r="Z189">
            <v>1275</v>
          </cell>
          <cell r="AA189">
            <v>10662.22</v>
          </cell>
          <cell r="AB189">
            <v>5060.7</v>
          </cell>
          <cell r="AC189">
            <v>37367.339800000002</v>
          </cell>
          <cell r="AE189">
            <v>86.75</v>
          </cell>
          <cell r="AF189">
            <v>686.64</v>
          </cell>
          <cell r="AG189">
            <v>2965</v>
          </cell>
          <cell r="AH189">
            <v>870</v>
          </cell>
          <cell r="AI189">
            <v>1530</v>
          </cell>
          <cell r="AJ189">
            <v>585.83000000000004</v>
          </cell>
          <cell r="AL189">
            <v>1280.19</v>
          </cell>
          <cell r="AP189">
            <v>1681.547</v>
          </cell>
          <cell r="AV189">
            <v>45.8</v>
          </cell>
          <cell r="AZ189">
            <v>307.8</v>
          </cell>
          <cell r="BE189">
            <v>23650</v>
          </cell>
          <cell r="BG189">
            <v>51.75</v>
          </cell>
          <cell r="BH189">
            <v>295.08999999999997</v>
          </cell>
          <cell r="BY189">
            <v>446.01</v>
          </cell>
          <cell r="CD189">
            <v>328.05</v>
          </cell>
          <cell r="CE189">
            <v>326.012</v>
          </cell>
          <cell r="CF189">
            <v>306.12</v>
          </cell>
          <cell r="CG189">
            <v>1280</v>
          </cell>
          <cell r="CH189">
            <v>1030</v>
          </cell>
          <cell r="CI189" t="str">
            <v>#N/A N/A</v>
          </cell>
          <cell r="CJ189">
            <v>400</v>
          </cell>
          <cell r="CK189">
            <v>1367</v>
          </cell>
          <cell r="CM189">
            <v>238.46</v>
          </cell>
          <cell r="CN189">
            <v>18.829999999999998</v>
          </cell>
          <cell r="CO189" t="str">
            <v>#N/A N/A</v>
          </cell>
          <cell r="CQ189">
            <v>5.83</v>
          </cell>
          <cell r="CR189">
            <v>45.25</v>
          </cell>
          <cell r="CS189">
            <v>991.5</v>
          </cell>
          <cell r="CU189">
            <v>1410</v>
          </cell>
          <cell r="CW189">
            <v>51.600609756097562</v>
          </cell>
          <cell r="CX189">
            <v>627.10199999999998</v>
          </cell>
          <cell r="CZ189">
            <v>348.15</v>
          </cell>
          <cell r="DA189">
            <v>3556.1</v>
          </cell>
          <cell r="DB189">
            <v>17.12</v>
          </cell>
          <cell r="DC189">
            <v>347.25</v>
          </cell>
          <cell r="DD189">
            <v>103.5</v>
          </cell>
        </row>
        <row r="190">
          <cell r="A190">
            <v>38903</v>
          </cell>
          <cell r="C190">
            <v>104.4</v>
          </cell>
          <cell r="D190" t="str">
            <v>#N/A N/A</v>
          </cell>
          <cell r="E190" t="str">
            <v>#N/A N/A</v>
          </cell>
          <cell r="L190">
            <v>1279.8499999999999</v>
          </cell>
          <cell r="M190">
            <v>2153.34</v>
          </cell>
          <cell r="N190">
            <v>5826.7</v>
          </cell>
          <cell r="O190">
            <v>4411</v>
          </cell>
          <cell r="Q190">
            <v>640</v>
          </cell>
          <cell r="R190">
            <v>249.5</v>
          </cell>
          <cell r="S190">
            <v>404.75</v>
          </cell>
          <cell r="T190">
            <v>600.5</v>
          </cell>
          <cell r="U190">
            <v>15523.94</v>
          </cell>
          <cell r="V190">
            <v>16267.18</v>
          </cell>
          <cell r="W190">
            <v>6659.96</v>
          </cell>
          <cell r="X190">
            <v>70.349999999999994</v>
          </cell>
          <cell r="Y190">
            <v>1225</v>
          </cell>
          <cell r="Z190">
            <v>1275</v>
          </cell>
          <cell r="AA190">
            <v>10919.64</v>
          </cell>
          <cell r="AB190">
            <v>5054.3</v>
          </cell>
          <cell r="AC190">
            <v>36378.031300000002</v>
          </cell>
          <cell r="AE190">
            <v>86.15</v>
          </cell>
          <cell r="AF190">
            <v>686.64</v>
          </cell>
          <cell r="AG190">
            <v>2926</v>
          </cell>
          <cell r="AH190">
            <v>870</v>
          </cell>
          <cell r="AI190">
            <v>1530</v>
          </cell>
          <cell r="AJ190">
            <v>575.98</v>
          </cell>
          <cell r="AL190">
            <v>1270.9100000000001</v>
          </cell>
          <cell r="AP190">
            <v>1718.5550000000001</v>
          </cell>
          <cell r="AV190">
            <v>44.05</v>
          </cell>
          <cell r="AZ190">
            <v>303</v>
          </cell>
          <cell r="BE190">
            <v>23960</v>
          </cell>
          <cell r="BG190">
            <v>51.75</v>
          </cell>
          <cell r="BH190">
            <v>292.56</v>
          </cell>
          <cell r="BY190">
            <v>431.9</v>
          </cell>
          <cell r="CD190">
            <v>323.69</v>
          </cell>
          <cell r="CE190">
            <v>321.91699999999997</v>
          </cell>
          <cell r="CF190">
            <v>303.33</v>
          </cell>
          <cell r="CG190">
            <v>1280</v>
          </cell>
          <cell r="CH190">
            <v>1030</v>
          </cell>
          <cell r="CI190" t="str">
            <v>#N/A N/A</v>
          </cell>
          <cell r="CJ190">
            <v>400</v>
          </cell>
          <cell r="CK190">
            <v>1363</v>
          </cell>
          <cell r="CM190">
            <v>241.42</v>
          </cell>
          <cell r="CN190">
            <v>18.97</v>
          </cell>
          <cell r="CO190" t="str">
            <v>#N/A N/A</v>
          </cell>
          <cell r="CQ190">
            <v>5.58</v>
          </cell>
          <cell r="CR190">
            <v>46</v>
          </cell>
          <cell r="CS190">
            <v>990</v>
          </cell>
          <cell r="CU190">
            <v>1410</v>
          </cell>
          <cell r="CW190">
            <v>50.990853658536587</v>
          </cell>
          <cell r="CX190">
            <v>623.476</v>
          </cell>
          <cell r="CZ190">
            <v>349.86</v>
          </cell>
          <cell r="DA190">
            <v>3508.6</v>
          </cell>
          <cell r="DB190">
            <v>17.54</v>
          </cell>
          <cell r="DC190">
            <v>347.25</v>
          </cell>
          <cell r="DD190">
            <v>103.45</v>
          </cell>
        </row>
        <row r="191">
          <cell r="A191">
            <v>38904</v>
          </cell>
          <cell r="C191">
            <v>104.4</v>
          </cell>
          <cell r="D191" t="str">
            <v>#N/A N/A</v>
          </cell>
          <cell r="E191" t="str">
            <v>#N/A N/A</v>
          </cell>
          <cell r="L191">
            <v>1263.96</v>
          </cell>
          <cell r="M191">
            <v>2155.09</v>
          </cell>
          <cell r="N191">
            <v>5890</v>
          </cell>
          <cell r="O191">
            <v>4374</v>
          </cell>
          <cell r="Q191">
            <v>640</v>
          </cell>
          <cell r="R191">
            <v>255</v>
          </cell>
          <cell r="S191">
            <v>407.25</v>
          </cell>
          <cell r="T191">
            <v>613.5</v>
          </cell>
          <cell r="U191">
            <v>15321.4</v>
          </cell>
          <cell r="V191">
            <v>16440.990000000002</v>
          </cell>
          <cell r="W191">
            <v>6659.07</v>
          </cell>
          <cell r="X191">
            <v>71.25</v>
          </cell>
          <cell r="Y191">
            <v>1225</v>
          </cell>
          <cell r="Z191">
            <v>1275</v>
          </cell>
          <cell r="AA191">
            <v>10767.97</v>
          </cell>
          <cell r="AB191">
            <v>5078.1000000000004</v>
          </cell>
          <cell r="AC191">
            <v>36533.128900000003</v>
          </cell>
          <cell r="AE191">
            <v>87.25</v>
          </cell>
          <cell r="AF191">
            <v>686.64</v>
          </cell>
          <cell r="AG191">
            <v>2894</v>
          </cell>
          <cell r="AH191">
            <v>870</v>
          </cell>
          <cell r="AI191">
            <v>1530</v>
          </cell>
          <cell r="AJ191">
            <v>570.07000000000005</v>
          </cell>
          <cell r="AL191">
            <v>1274.08</v>
          </cell>
          <cell r="AP191">
            <v>1741.47</v>
          </cell>
          <cell r="AV191">
            <v>44.28</v>
          </cell>
          <cell r="AZ191">
            <v>303.7</v>
          </cell>
          <cell r="BE191">
            <v>24890</v>
          </cell>
          <cell r="BG191">
            <v>51.75</v>
          </cell>
          <cell r="BH191">
            <v>297.18</v>
          </cell>
          <cell r="BY191">
            <v>430.78</v>
          </cell>
          <cell r="CD191">
            <v>325.19</v>
          </cell>
          <cell r="CE191">
            <v>323.39800000000002</v>
          </cell>
          <cell r="CF191">
            <v>301.68</v>
          </cell>
          <cell r="CG191">
            <v>1280</v>
          </cell>
          <cell r="CH191">
            <v>1030</v>
          </cell>
          <cell r="CI191" t="str">
            <v>#N/A N/A</v>
          </cell>
          <cell r="CJ191">
            <v>380</v>
          </cell>
          <cell r="CK191">
            <v>1369</v>
          </cell>
          <cell r="CM191">
            <v>240.55</v>
          </cell>
          <cell r="CN191">
            <v>19.25</v>
          </cell>
          <cell r="CO191" t="str">
            <v>#N/A N/A</v>
          </cell>
          <cell r="CQ191">
            <v>5.28</v>
          </cell>
          <cell r="CR191">
            <v>46</v>
          </cell>
          <cell r="CS191">
            <v>1011</v>
          </cell>
          <cell r="CU191">
            <v>1410</v>
          </cell>
          <cell r="CW191">
            <v>52.515243902439025</v>
          </cell>
          <cell r="CX191">
            <v>625.19100000000003</v>
          </cell>
          <cell r="CZ191">
            <v>352.86</v>
          </cell>
          <cell r="DA191">
            <v>3697.9</v>
          </cell>
          <cell r="DB191">
            <v>17.91</v>
          </cell>
          <cell r="DC191">
            <v>347.25</v>
          </cell>
          <cell r="DD191">
            <v>103.05</v>
          </cell>
        </row>
        <row r="192">
          <cell r="A192">
            <v>38905</v>
          </cell>
          <cell r="C192">
            <v>94</v>
          </cell>
          <cell r="D192" t="str">
            <v>#N/A N/A</v>
          </cell>
          <cell r="E192" t="str">
            <v>#N/A N/A</v>
          </cell>
          <cell r="L192">
            <v>1273.93</v>
          </cell>
          <cell r="M192">
            <v>2130.06</v>
          </cell>
          <cell r="N192">
            <v>5888.9</v>
          </cell>
          <cell r="O192">
            <v>4353</v>
          </cell>
          <cell r="Q192">
            <v>640</v>
          </cell>
          <cell r="R192">
            <v>251</v>
          </cell>
          <cell r="S192">
            <v>398.25</v>
          </cell>
          <cell r="T192">
            <v>606.25</v>
          </cell>
          <cell r="U192">
            <v>15307.61</v>
          </cell>
          <cell r="V192">
            <v>16459.78</v>
          </cell>
          <cell r="W192">
            <v>6660.61</v>
          </cell>
          <cell r="X192">
            <v>72.3</v>
          </cell>
          <cell r="Y192">
            <v>1210</v>
          </cell>
          <cell r="Z192">
            <v>1290</v>
          </cell>
          <cell r="AA192">
            <v>10509.53</v>
          </cell>
          <cell r="AB192">
            <v>5096.5</v>
          </cell>
          <cell r="AC192">
            <v>36101.980499999998</v>
          </cell>
          <cell r="AE192">
            <v>86.95</v>
          </cell>
          <cell r="AF192">
            <v>686.64</v>
          </cell>
          <cell r="AG192">
            <v>2870</v>
          </cell>
          <cell r="AH192">
            <v>870</v>
          </cell>
          <cell r="AI192">
            <v>1530</v>
          </cell>
          <cell r="AJ192">
            <v>573.04</v>
          </cell>
          <cell r="AL192">
            <v>1265.48</v>
          </cell>
          <cell r="AP192">
            <v>1730.19</v>
          </cell>
          <cell r="AV192">
            <v>43.84</v>
          </cell>
          <cell r="AZ192">
            <v>304.3</v>
          </cell>
          <cell r="BE192">
            <v>25470</v>
          </cell>
          <cell r="BG192">
            <v>52.15</v>
          </cell>
          <cell r="BH192">
            <v>293.89</v>
          </cell>
          <cell r="BY192">
            <v>424.24</v>
          </cell>
          <cell r="CD192">
            <v>325.05</v>
          </cell>
          <cell r="CE192">
            <v>323.17599999999999</v>
          </cell>
          <cell r="CF192">
            <v>302.49</v>
          </cell>
          <cell r="CG192">
            <v>1290</v>
          </cell>
          <cell r="CH192">
            <v>1195</v>
          </cell>
          <cell r="CI192" t="str">
            <v>#N/A N/A</v>
          </cell>
          <cell r="CJ192">
            <v>380</v>
          </cell>
          <cell r="CK192">
            <v>1379</v>
          </cell>
          <cell r="CM192">
            <v>238.76</v>
          </cell>
          <cell r="CN192">
            <v>19.12</v>
          </cell>
          <cell r="CO192" t="str">
            <v>#N/A N/A</v>
          </cell>
          <cell r="CQ192">
            <v>5.18</v>
          </cell>
          <cell r="CR192">
            <v>46</v>
          </cell>
          <cell r="CS192">
            <v>1027</v>
          </cell>
          <cell r="CU192">
            <v>1440</v>
          </cell>
          <cell r="CW192">
            <v>52.362804878048784</v>
          </cell>
          <cell r="CX192">
            <v>628.37599999999998</v>
          </cell>
          <cell r="CZ192">
            <v>348.05</v>
          </cell>
          <cell r="DA192">
            <v>3678.3</v>
          </cell>
          <cell r="DB192">
            <v>17.8</v>
          </cell>
          <cell r="DC192">
            <v>347.25</v>
          </cell>
          <cell r="DD192">
            <v>100</v>
          </cell>
        </row>
        <row r="193">
          <cell r="A193">
            <v>38906</v>
          </cell>
          <cell r="C193">
            <v>94</v>
          </cell>
          <cell r="D193" t="str">
            <v>#N/A N/A</v>
          </cell>
          <cell r="E193" t="str">
            <v>#N/A N/A</v>
          </cell>
          <cell r="L193">
            <v>1273.93</v>
          </cell>
          <cell r="M193">
            <v>2130.06</v>
          </cell>
          <cell r="N193">
            <v>5888.9</v>
          </cell>
          <cell r="O193">
            <v>4353</v>
          </cell>
          <cell r="Q193">
            <v>640</v>
          </cell>
          <cell r="R193">
            <v>251</v>
          </cell>
          <cell r="S193">
            <v>398.25</v>
          </cell>
          <cell r="T193">
            <v>606.25</v>
          </cell>
          <cell r="U193">
            <v>15307.61</v>
          </cell>
          <cell r="V193">
            <v>16459.78</v>
          </cell>
          <cell r="W193">
            <v>6660.61</v>
          </cell>
          <cell r="X193">
            <v>72.3</v>
          </cell>
          <cell r="Y193">
            <v>1210</v>
          </cell>
          <cell r="Z193">
            <v>1290</v>
          </cell>
          <cell r="AA193">
            <v>10509.53</v>
          </cell>
          <cell r="AB193">
            <v>5096.5</v>
          </cell>
          <cell r="AC193">
            <v>36101.980499999998</v>
          </cell>
          <cell r="AE193">
            <v>86.95</v>
          </cell>
          <cell r="AF193">
            <v>686.64</v>
          </cell>
          <cell r="AG193">
            <v>2870</v>
          </cell>
          <cell r="AH193">
            <v>870</v>
          </cell>
          <cell r="AI193">
            <v>1530</v>
          </cell>
          <cell r="AJ193">
            <v>573.04</v>
          </cell>
          <cell r="AL193">
            <v>1265.48</v>
          </cell>
          <cell r="AP193">
            <v>1730.19</v>
          </cell>
          <cell r="AV193">
            <v>43.84</v>
          </cell>
          <cell r="AZ193">
            <v>304.3</v>
          </cell>
          <cell r="BE193">
            <v>25470</v>
          </cell>
          <cell r="BG193">
            <v>52.15</v>
          </cell>
          <cell r="BH193">
            <v>293.89</v>
          </cell>
          <cell r="BY193">
            <v>424.24</v>
          </cell>
          <cell r="CD193">
            <v>325.05</v>
          </cell>
          <cell r="CE193">
            <v>323.17599999999999</v>
          </cell>
          <cell r="CF193">
            <v>302.49</v>
          </cell>
          <cell r="CG193">
            <v>1290</v>
          </cell>
          <cell r="CH193">
            <v>1195</v>
          </cell>
          <cell r="CI193" t="str">
            <v>#N/A N/A</v>
          </cell>
          <cell r="CJ193">
            <v>380</v>
          </cell>
          <cell r="CK193">
            <v>1379</v>
          </cell>
          <cell r="CM193">
            <v>238.76</v>
          </cell>
          <cell r="CN193">
            <v>19.12</v>
          </cell>
          <cell r="CO193" t="str">
            <v>#N/A N/A</v>
          </cell>
          <cell r="CQ193">
            <v>5.18</v>
          </cell>
          <cell r="CR193">
            <v>46</v>
          </cell>
          <cell r="CS193">
            <v>1027</v>
          </cell>
          <cell r="CU193">
            <v>1440</v>
          </cell>
          <cell r="CW193">
            <v>52.362804878048784</v>
          </cell>
          <cell r="CX193">
            <v>628.37599999999998</v>
          </cell>
          <cell r="CZ193">
            <v>348.05</v>
          </cell>
          <cell r="DA193">
            <v>3678.3</v>
          </cell>
          <cell r="DB193">
            <v>17.8</v>
          </cell>
          <cell r="DC193">
            <v>347.25</v>
          </cell>
          <cell r="DD193">
            <v>100</v>
          </cell>
        </row>
        <row r="194">
          <cell r="A194">
            <v>38907</v>
          </cell>
          <cell r="C194">
            <v>94</v>
          </cell>
          <cell r="D194" t="str">
            <v>#N/A N/A</v>
          </cell>
          <cell r="E194" t="str">
            <v>#N/A N/A</v>
          </cell>
          <cell r="L194">
            <v>1273.93</v>
          </cell>
          <cell r="M194">
            <v>2130.06</v>
          </cell>
          <cell r="N194">
            <v>5888.9</v>
          </cell>
          <cell r="O194">
            <v>4353</v>
          </cell>
          <cell r="Q194">
            <v>640</v>
          </cell>
          <cell r="R194">
            <v>251</v>
          </cell>
          <cell r="S194">
            <v>398.25</v>
          </cell>
          <cell r="T194">
            <v>606.25</v>
          </cell>
          <cell r="U194">
            <v>15307.61</v>
          </cell>
          <cell r="V194">
            <v>16459.78</v>
          </cell>
          <cell r="W194">
            <v>6660.61</v>
          </cell>
          <cell r="X194">
            <v>72.3</v>
          </cell>
          <cell r="Y194">
            <v>1210</v>
          </cell>
          <cell r="Z194">
            <v>1290</v>
          </cell>
          <cell r="AA194">
            <v>10509.53</v>
          </cell>
          <cell r="AB194">
            <v>5096.5</v>
          </cell>
          <cell r="AC194">
            <v>36101.980499999998</v>
          </cell>
          <cell r="AE194">
            <v>86.95</v>
          </cell>
          <cell r="AF194">
            <v>686.64</v>
          </cell>
          <cell r="AG194">
            <v>2870</v>
          </cell>
          <cell r="AH194">
            <v>870</v>
          </cell>
          <cell r="AI194">
            <v>1530</v>
          </cell>
          <cell r="AJ194">
            <v>573.04</v>
          </cell>
          <cell r="AL194">
            <v>1265.48</v>
          </cell>
          <cell r="AP194">
            <v>1730.19</v>
          </cell>
          <cell r="AV194">
            <v>43.84</v>
          </cell>
          <cell r="AZ194">
            <v>304.3</v>
          </cell>
          <cell r="BE194">
            <v>25470</v>
          </cell>
          <cell r="BG194">
            <v>52.15</v>
          </cell>
          <cell r="BH194">
            <v>293.89</v>
          </cell>
          <cell r="BY194">
            <v>424.24</v>
          </cell>
          <cell r="CD194">
            <v>325.05</v>
          </cell>
          <cell r="CE194">
            <v>323.17599999999999</v>
          </cell>
          <cell r="CF194">
            <v>302.49</v>
          </cell>
          <cell r="CG194">
            <v>1290</v>
          </cell>
          <cell r="CH194">
            <v>1195</v>
          </cell>
          <cell r="CI194" t="str">
            <v>#N/A N/A</v>
          </cell>
          <cell r="CJ194">
            <v>380</v>
          </cell>
          <cell r="CK194">
            <v>1379</v>
          </cell>
          <cell r="CM194">
            <v>238.76</v>
          </cell>
          <cell r="CN194">
            <v>19.12</v>
          </cell>
          <cell r="CO194" t="str">
            <v>#N/A N/A</v>
          </cell>
          <cell r="CQ194">
            <v>5.18</v>
          </cell>
          <cell r="CR194">
            <v>46</v>
          </cell>
          <cell r="CS194">
            <v>1027</v>
          </cell>
          <cell r="CU194">
            <v>1440</v>
          </cell>
          <cell r="CW194">
            <v>52.362804878048784</v>
          </cell>
          <cell r="CX194">
            <v>628.37599999999998</v>
          </cell>
          <cell r="CZ194">
            <v>348.05</v>
          </cell>
          <cell r="DA194">
            <v>3678.3</v>
          </cell>
          <cell r="DB194">
            <v>17.8</v>
          </cell>
          <cell r="DC194">
            <v>347.25</v>
          </cell>
          <cell r="DD194">
            <v>100</v>
          </cell>
        </row>
        <row r="195">
          <cell r="A195">
            <v>38908</v>
          </cell>
          <cell r="C195">
            <v>94</v>
          </cell>
          <cell r="D195" t="str">
            <v>#N/A N/A</v>
          </cell>
          <cell r="E195" t="str">
            <v>#N/A N/A</v>
          </cell>
          <cell r="L195">
            <v>1299.29</v>
          </cell>
          <cell r="M195">
            <v>2116.9299999999998</v>
          </cell>
          <cell r="N195">
            <v>5896.9</v>
          </cell>
          <cell r="O195">
            <v>4340</v>
          </cell>
          <cell r="Q195">
            <v>640</v>
          </cell>
          <cell r="R195">
            <v>257.25</v>
          </cell>
          <cell r="S195">
            <v>403</v>
          </cell>
          <cell r="T195">
            <v>608.25</v>
          </cell>
          <cell r="U195">
            <v>15552.81</v>
          </cell>
          <cell r="V195">
            <v>16603.810000000001</v>
          </cell>
          <cell r="W195">
            <v>6682.46</v>
          </cell>
          <cell r="X195">
            <v>70.849999999999994</v>
          </cell>
          <cell r="Y195">
            <v>1210</v>
          </cell>
          <cell r="Z195">
            <v>1290</v>
          </cell>
          <cell r="AA195">
            <v>10684.3</v>
          </cell>
          <cell r="AB195">
            <v>5102.8999999999996</v>
          </cell>
          <cell r="AC195">
            <v>36140.640599999999</v>
          </cell>
          <cell r="AE195">
            <v>85.05</v>
          </cell>
          <cell r="AF195">
            <v>686.64</v>
          </cell>
          <cell r="AG195">
            <v>2864</v>
          </cell>
          <cell r="AH195">
            <v>870</v>
          </cell>
          <cell r="AI195">
            <v>1530</v>
          </cell>
          <cell r="AJ195">
            <v>576.38</v>
          </cell>
          <cell r="AL195">
            <v>1267.3399999999999</v>
          </cell>
          <cell r="AP195">
            <v>1734.329</v>
          </cell>
          <cell r="AV195">
            <v>44.85</v>
          </cell>
          <cell r="AZ195">
            <v>294.8</v>
          </cell>
          <cell r="BE195">
            <v>26450</v>
          </cell>
          <cell r="BG195">
            <v>52.15</v>
          </cell>
          <cell r="BH195">
            <v>293.88</v>
          </cell>
          <cell r="BY195">
            <v>414.89</v>
          </cell>
          <cell r="CD195">
            <v>325.35000000000002</v>
          </cell>
          <cell r="CE195">
            <v>323.35399999999998</v>
          </cell>
          <cell r="CF195">
            <v>305.72000000000003</v>
          </cell>
          <cell r="CG195">
            <v>1290</v>
          </cell>
          <cell r="CH195">
            <v>1195</v>
          </cell>
          <cell r="CI195" t="str">
            <v>#N/A N/A</v>
          </cell>
          <cell r="CJ195">
            <v>380</v>
          </cell>
          <cell r="CK195">
            <v>1380</v>
          </cell>
          <cell r="CM195">
            <v>230.49</v>
          </cell>
          <cell r="CN195">
            <v>19.62</v>
          </cell>
          <cell r="CO195" t="str">
            <v>#N/A N/A</v>
          </cell>
          <cell r="CQ195">
            <v>5.32</v>
          </cell>
          <cell r="CR195">
            <v>46</v>
          </cell>
          <cell r="CS195">
            <v>1059</v>
          </cell>
          <cell r="CU195">
            <v>1440</v>
          </cell>
          <cell r="CW195">
            <v>51.295731707317074</v>
          </cell>
          <cell r="CX195">
            <v>624.11300000000006</v>
          </cell>
          <cell r="CZ195">
            <v>346.67</v>
          </cell>
          <cell r="DA195">
            <v>3699.2</v>
          </cell>
          <cell r="DB195">
            <v>17.39</v>
          </cell>
          <cell r="DC195">
            <v>347.25</v>
          </cell>
          <cell r="DD195">
            <v>100.7</v>
          </cell>
        </row>
        <row r="196">
          <cell r="A196">
            <v>38909</v>
          </cell>
          <cell r="C196">
            <v>94</v>
          </cell>
          <cell r="D196" t="str">
            <v>#N/A N/A</v>
          </cell>
          <cell r="E196" t="str">
            <v>#N/A N/A</v>
          </cell>
          <cell r="L196">
            <v>1300.44</v>
          </cell>
          <cell r="M196">
            <v>2128.86</v>
          </cell>
          <cell r="N196">
            <v>5857.3</v>
          </cell>
          <cell r="O196">
            <v>4276</v>
          </cell>
          <cell r="Q196">
            <v>640</v>
          </cell>
          <cell r="R196">
            <v>264</v>
          </cell>
          <cell r="S196">
            <v>416.5</v>
          </cell>
          <cell r="T196">
            <v>610</v>
          </cell>
          <cell r="U196">
            <v>15473.82</v>
          </cell>
          <cell r="V196">
            <v>16490.13</v>
          </cell>
          <cell r="W196">
            <v>6639.13</v>
          </cell>
          <cell r="X196">
            <v>70.45</v>
          </cell>
          <cell r="Y196">
            <v>1210</v>
          </cell>
          <cell r="Z196">
            <v>1290</v>
          </cell>
          <cell r="AA196">
            <v>10614.35</v>
          </cell>
          <cell r="AB196">
            <v>5071.3999999999996</v>
          </cell>
          <cell r="AC196">
            <v>36553.558599999997</v>
          </cell>
          <cell r="AE196">
            <v>85.25</v>
          </cell>
          <cell r="AF196">
            <v>693.04</v>
          </cell>
          <cell r="AG196">
            <v>2849</v>
          </cell>
          <cell r="AH196">
            <v>870</v>
          </cell>
          <cell r="AI196">
            <v>1530</v>
          </cell>
          <cell r="AJ196">
            <v>574.98</v>
          </cell>
          <cell r="AL196">
            <v>1272.52</v>
          </cell>
          <cell r="AP196">
            <v>1745.806</v>
          </cell>
          <cell r="AV196">
            <v>45.04</v>
          </cell>
          <cell r="AZ196">
            <v>301.5</v>
          </cell>
          <cell r="BE196">
            <v>27650</v>
          </cell>
          <cell r="BG196">
            <v>52.15</v>
          </cell>
          <cell r="BH196">
            <v>293.01</v>
          </cell>
          <cell r="BY196">
            <v>428.54</v>
          </cell>
          <cell r="CD196">
            <v>324.83</v>
          </cell>
          <cell r="CE196">
            <v>322.90600000000001</v>
          </cell>
          <cell r="CF196">
            <v>304.07</v>
          </cell>
          <cell r="CG196">
            <v>1290</v>
          </cell>
          <cell r="CH196">
            <v>1195</v>
          </cell>
          <cell r="CI196" t="str">
            <v>#N/A N/A</v>
          </cell>
          <cell r="CJ196">
            <v>380</v>
          </cell>
          <cell r="CK196">
            <v>1392</v>
          </cell>
          <cell r="CM196">
            <v>231.22</v>
          </cell>
          <cell r="CN196">
            <v>19.75</v>
          </cell>
          <cell r="CO196" t="str">
            <v>#N/A N/A</v>
          </cell>
          <cell r="CQ196">
            <v>5.62</v>
          </cell>
          <cell r="CR196">
            <v>46</v>
          </cell>
          <cell r="CS196">
            <v>1091</v>
          </cell>
          <cell r="CU196">
            <v>1440</v>
          </cell>
          <cell r="CW196">
            <v>50.762195121951223</v>
          </cell>
          <cell r="CX196">
            <v>624.505</v>
          </cell>
          <cell r="CZ196">
            <v>350.28</v>
          </cell>
          <cell r="DA196">
            <v>3777</v>
          </cell>
          <cell r="DB196">
            <v>17.52</v>
          </cell>
          <cell r="DC196">
            <v>347.25</v>
          </cell>
          <cell r="DD196">
            <v>99.8</v>
          </cell>
        </row>
        <row r="197">
          <cell r="A197">
            <v>38910</v>
          </cell>
          <cell r="C197">
            <v>94</v>
          </cell>
          <cell r="D197" t="str">
            <v>#N/A N/A</v>
          </cell>
          <cell r="E197" t="str">
            <v>#N/A N/A</v>
          </cell>
          <cell r="L197">
            <v>1296.69</v>
          </cell>
          <cell r="M197">
            <v>2090.2399999999998</v>
          </cell>
          <cell r="N197">
            <v>5860.6</v>
          </cell>
          <cell r="O197">
            <v>4172</v>
          </cell>
          <cell r="Q197">
            <v>640</v>
          </cell>
          <cell r="R197">
            <v>268.25</v>
          </cell>
          <cell r="S197">
            <v>414.5</v>
          </cell>
          <cell r="T197">
            <v>607</v>
          </cell>
          <cell r="U197">
            <v>15249.32</v>
          </cell>
          <cell r="V197">
            <v>16522.21</v>
          </cell>
          <cell r="W197">
            <v>6634.09</v>
          </cell>
          <cell r="X197">
            <v>71.099999999999994</v>
          </cell>
          <cell r="Y197">
            <v>1210</v>
          </cell>
          <cell r="Z197">
            <v>1290</v>
          </cell>
          <cell r="AA197">
            <v>10930.09</v>
          </cell>
          <cell r="AB197">
            <v>5093.3999999999996</v>
          </cell>
          <cell r="AC197">
            <v>36229.710899999998</v>
          </cell>
          <cell r="AE197">
            <v>85.95</v>
          </cell>
          <cell r="AF197">
            <v>693.04</v>
          </cell>
          <cell r="AG197">
            <v>2865</v>
          </cell>
          <cell r="AH197">
            <v>870</v>
          </cell>
          <cell r="AI197">
            <v>1530</v>
          </cell>
          <cell r="AJ197">
            <v>578.24</v>
          </cell>
          <cell r="AL197">
            <v>1258.5999999999999</v>
          </cell>
          <cell r="AP197">
            <v>1740</v>
          </cell>
          <cell r="AV197">
            <v>44.5</v>
          </cell>
          <cell r="AZ197">
            <v>301.60000000000002</v>
          </cell>
          <cell r="BE197">
            <v>27220</v>
          </cell>
          <cell r="BG197">
            <v>52.15</v>
          </cell>
          <cell r="BH197">
            <v>290.48</v>
          </cell>
          <cell r="BY197">
            <v>416.99</v>
          </cell>
          <cell r="CD197">
            <v>322.05</v>
          </cell>
          <cell r="CE197">
            <v>319.92599999999999</v>
          </cell>
          <cell r="CF197">
            <v>304.7</v>
          </cell>
          <cell r="CG197">
            <v>1290</v>
          </cell>
          <cell r="CH197">
            <v>1195</v>
          </cell>
          <cell r="CI197" t="str">
            <v>#N/A N/A</v>
          </cell>
          <cell r="CJ197">
            <v>380</v>
          </cell>
          <cell r="CK197">
            <v>1399</v>
          </cell>
          <cell r="CM197">
            <v>236.75</v>
          </cell>
          <cell r="CN197">
            <v>19.760000000000002</v>
          </cell>
          <cell r="CO197" t="str">
            <v>#N/A N/A</v>
          </cell>
          <cell r="CQ197">
            <v>5.71</v>
          </cell>
          <cell r="CR197">
            <v>46</v>
          </cell>
          <cell r="CS197">
            <v>1136</v>
          </cell>
          <cell r="CU197">
            <v>1440</v>
          </cell>
          <cell r="CW197">
            <v>52.439024390243908</v>
          </cell>
          <cell r="CX197">
            <v>622.25099999999998</v>
          </cell>
          <cell r="CZ197">
            <v>352.62</v>
          </cell>
          <cell r="DA197">
            <v>3825</v>
          </cell>
          <cell r="DB197">
            <v>17.38</v>
          </cell>
          <cell r="DC197">
            <v>347.25</v>
          </cell>
          <cell r="DD197">
            <v>99.95</v>
          </cell>
        </row>
        <row r="198">
          <cell r="A198">
            <v>38911</v>
          </cell>
          <cell r="C198">
            <v>94</v>
          </cell>
          <cell r="D198" t="str">
            <v>#N/A N/A</v>
          </cell>
          <cell r="E198" t="str">
            <v>#N/A N/A</v>
          </cell>
          <cell r="L198">
            <v>1285.02</v>
          </cell>
          <cell r="M198">
            <v>2054.11</v>
          </cell>
          <cell r="N198">
            <v>5765</v>
          </cell>
          <cell r="O198">
            <v>4120</v>
          </cell>
          <cell r="Q198">
            <v>640</v>
          </cell>
          <cell r="R198">
            <v>260.25</v>
          </cell>
          <cell r="S198">
            <v>395.5</v>
          </cell>
          <cell r="T198">
            <v>600.25</v>
          </cell>
          <cell r="U198">
            <v>15097.95</v>
          </cell>
          <cell r="V198">
            <v>16305.48</v>
          </cell>
          <cell r="W198">
            <v>6567.6</v>
          </cell>
          <cell r="X198">
            <v>73.150000000000006</v>
          </cell>
          <cell r="Y198">
            <v>1210</v>
          </cell>
          <cell r="Z198">
            <v>1290</v>
          </cell>
          <cell r="AA198">
            <v>10858.5</v>
          </cell>
          <cell r="AB198">
            <v>5054.7</v>
          </cell>
          <cell r="AC198">
            <v>35354.281300000002</v>
          </cell>
          <cell r="AE198">
            <v>87.85</v>
          </cell>
          <cell r="AF198">
            <v>693.04</v>
          </cell>
          <cell r="AG198">
            <v>2905</v>
          </cell>
          <cell r="AH198">
            <v>870</v>
          </cell>
          <cell r="AI198">
            <v>1530</v>
          </cell>
          <cell r="AJ198">
            <v>571.11</v>
          </cell>
          <cell r="AL198">
            <v>1242.29</v>
          </cell>
          <cell r="AP198">
            <v>1655.7729999999999</v>
          </cell>
          <cell r="AV198">
            <v>43.35</v>
          </cell>
          <cell r="AZ198">
            <v>297.5</v>
          </cell>
          <cell r="BE198">
            <v>27695</v>
          </cell>
          <cell r="BG198">
            <v>52.15</v>
          </cell>
          <cell r="BH198">
            <v>283.7</v>
          </cell>
          <cell r="BY198">
            <v>411.03</v>
          </cell>
          <cell r="CD198">
            <v>317.83999999999997</v>
          </cell>
          <cell r="CE198">
            <v>316.01799999999997</v>
          </cell>
          <cell r="CF198">
            <v>301.07</v>
          </cell>
          <cell r="CG198">
            <v>1290</v>
          </cell>
          <cell r="CH198">
            <v>1195</v>
          </cell>
          <cell r="CI198" t="str">
            <v>#N/A N/A</v>
          </cell>
          <cell r="CJ198">
            <v>380</v>
          </cell>
          <cell r="CK198">
            <v>1397</v>
          </cell>
          <cell r="CM198">
            <v>238.56</v>
          </cell>
          <cell r="CN198">
            <v>19.86</v>
          </cell>
          <cell r="CO198" t="str">
            <v>#N/A N/A</v>
          </cell>
          <cell r="CQ198">
            <v>5.9</v>
          </cell>
          <cell r="CR198">
            <v>46</v>
          </cell>
          <cell r="CS198">
            <v>1119</v>
          </cell>
          <cell r="CU198">
            <v>1440</v>
          </cell>
          <cell r="CW198">
            <v>53.201219512195124</v>
          </cell>
          <cell r="CX198">
            <v>621.36900000000003</v>
          </cell>
          <cell r="CZ198">
            <v>355.91</v>
          </cell>
          <cell r="DA198">
            <v>3748.7</v>
          </cell>
          <cell r="DB198">
            <v>17.22</v>
          </cell>
          <cell r="DC198">
            <v>347.25</v>
          </cell>
          <cell r="DD198">
            <v>100.7</v>
          </cell>
        </row>
        <row r="199">
          <cell r="A199">
            <v>38912</v>
          </cell>
          <cell r="C199">
            <v>94</v>
          </cell>
          <cell r="D199" t="str">
            <v>#N/A N/A</v>
          </cell>
          <cell r="E199" t="str">
            <v>#N/A N/A</v>
          </cell>
          <cell r="L199">
            <v>1255.1300000000001</v>
          </cell>
          <cell r="M199">
            <v>2037.35</v>
          </cell>
          <cell r="N199">
            <v>5707.6</v>
          </cell>
          <cell r="O199">
            <v>4070</v>
          </cell>
          <cell r="Q199">
            <v>610</v>
          </cell>
          <cell r="R199">
            <v>260.75</v>
          </cell>
          <cell r="S199">
            <v>397.5</v>
          </cell>
          <cell r="T199">
            <v>603</v>
          </cell>
          <cell r="U199">
            <v>14845.24</v>
          </cell>
          <cell r="V199">
            <v>16135.71</v>
          </cell>
          <cell r="W199">
            <v>6428.03</v>
          </cell>
          <cell r="X199">
            <v>74.55</v>
          </cell>
          <cell r="Y199">
            <v>1210</v>
          </cell>
          <cell r="Z199">
            <v>1300</v>
          </cell>
          <cell r="AA199">
            <v>10678.22</v>
          </cell>
          <cell r="AB199">
            <v>4943.8</v>
          </cell>
          <cell r="AC199">
            <v>35349.679700000001</v>
          </cell>
          <cell r="AE199">
            <v>89.7</v>
          </cell>
          <cell r="AF199">
            <v>693.04</v>
          </cell>
          <cell r="AG199">
            <v>2968</v>
          </cell>
          <cell r="AH199">
            <v>870</v>
          </cell>
          <cell r="AI199">
            <v>1540</v>
          </cell>
          <cell r="AJ199">
            <v>559.66</v>
          </cell>
          <cell r="AL199">
            <v>1236.2</v>
          </cell>
          <cell r="AP199">
            <v>1665.2080000000001</v>
          </cell>
          <cell r="AV199">
            <v>42.8</v>
          </cell>
          <cell r="AZ199">
            <v>294.8</v>
          </cell>
          <cell r="BE199">
            <v>28120</v>
          </cell>
          <cell r="BG199">
            <v>53</v>
          </cell>
          <cell r="BH199">
            <v>280.47000000000003</v>
          </cell>
          <cell r="BY199">
            <v>409.01</v>
          </cell>
          <cell r="CD199">
            <v>313.99</v>
          </cell>
          <cell r="CE199">
            <v>312.291</v>
          </cell>
          <cell r="CF199">
            <v>294.18</v>
          </cell>
          <cell r="CG199">
            <v>1290</v>
          </cell>
          <cell r="CH199">
            <v>1205</v>
          </cell>
          <cell r="CI199" t="str">
            <v>#N/A N/A</v>
          </cell>
          <cell r="CJ199">
            <v>380</v>
          </cell>
          <cell r="CK199">
            <v>1399</v>
          </cell>
          <cell r="CM199">
            <v>243.08</v>
          </cell>
          <cell r="CN199">
            <v>19.91</v>
          </cell>
          <cell r="CO199" t="str">
            <v>#N/A N/A</v>
          </cell>
          <cell r="CQ199">
            <v>6.27</v>
          </cell>
          <cell r="CR199">
            <v>46</v>
          </cell>
          <cell r="CS199">
            <v>1132</v>
          </cell>
          <cell r="CU199">
            <v>1445</v>
          </cell>
          <cell r="CW199">
            <v>54.420731707317074</v>
          </cell>
          <cell r="CX199">
            <v>619.45799999999997</v>
          </cell>
          <cell r="CZ199">
            <v>357.21</v>
          </cell>
          <cell r="DA199">
            <v>3804.1</v>
          </cell>
          <cell r="DB199">
            <v>16.940000000000001</v>
          </cell>
          <cell r="DC199">
            <v>347.25</v>
          </cell>
          <cell r="DD199">
            <v>98.25</v>
          </cell>
        </row>
        <row r="200">
          <cell r="A200">
            <v>38913</v>
          </cell>
          <cell r="C200">
            <v>94</v>
          </cell>
          <cell r="D200" t="str">
            <v>#N/A N/A</v>
          </cell>
          <cell r="E200" t="str">
            <v>#N/A N/A</v>
          </cell>
          <cell r="L200">
            <v>1255.1300000000001</v>
          </cell>
          <cell r="M200">
            <v>2037.35</v>
          </cell>
          <cell r="N200">
            <v>5707.6</v>
          </cell>
          <cell r="O200">
            <v>4070</v>
          </cell>
          <cell r="Q200">
            <v>610</v>
          </cell>
          <cell r="R200">
            <v>260.75</v>
          </cell>
          <cell r="S200">
            <v>397.5</v>
          </cell>
          <cell r="T200">
            <v>603</v>
          </cell>
          <cell r="U200">
            <v>14845.24</v>
          </cell>
          <cell r="V200">
            <v>16135.71</v>
          </cell>
          <cell r="W200">
            <v>6428.03</v>
          </cell>
          <cell r="X200">
            <v>74.55</v>
          </cell>
          <cell r="Y200">
            <v>1210</v>
          </cell>
          <cell r="Z200">
            <v>1300</v>
          </cell>
          <cell r="AA200">
            <v>10678.22</v>
          </cell>
          <cell r="AB200">
            <v>4943.8</v>
          </cell>
          <cell r="AC200">
            <v>35349.679700000001</v>
          </cell>
          <cell r="AE200">
            <v>89.7</v>
          </cell>
          <cell r="AF200">
            <v>693.04</v>
          </cell>
          <cell r="AG200">
            <v>2968</v>
          </cell>
          <cell r="AH200">
            <v>870</v>
          </cell>
          <cell r="AI200">
            <v>1540</v>
          </cell>
          <cell r="AJ200">
            <v>559.66</v>
          </cell>
          <cell r="AL200">
            <v>1236.2</v>
          </cell>
          <cell r="AP200">
            <v>1665.2080000000001</v>
          </cell>
          <cell r="AV200">
            <v>42.8</v>
          </cell>
          <cell r="AZ200">
            <v>294.8</v>
          </cell>
          <cell r="BE200">
            <v>28120</v>
          </cell>
          <cell r="BG200">
            <v>53</v>
          </cell>
          <cell r="BH200">
            <v>280.47000000000003</v>
          </cell>
          <cell r="BY200">
            <v>409.01</v>
          </cell>
          <cell r="CD200">
            <v>313.99</v>
          </cell>
          <cell r="CE200">
            <v>312.291</v>
          </cell>
          <cell r="CF200">
            <v>294.18</v>
          </cell>
          <cell r="CG200">
            <v>1290</v>
          </cell>
          <cell r="CH200">
            <v>1205</v>
          </cell>
          <cell r="CI200" t="str">
            <v>#N/A N/A</v>
          </cell>
          <cell r="CJ200">
            <v>380</v>
          </cell>
          <cell r="CK200">
            <v>1399</v>
          </cell>
          <cell r="CM200">
            <v>243.08</v>
          </cell>
          <cell r="CN200">
            <v>19.91</v>
          </cell>
          <cell r="CO200" t="str">
            <v>#N/A N/A</v>
          </cell>
          <cell r="CQ200">
            <v>6.27</v>
          </cell>
          <cell r="CR200">
            <v>46</v>
          </cell>
          <cell r="CS200">
            <v>1132</v>
          </cell>
          <cell r="CU200">
            <v>1445</v>
          </cell>
          <cell r="CW200">
            <v>54.420731707317074</v>
          </cell>
          <cell r="CX200">
            <v>619.45799999999997</v>
          </cell>
          <cell r="CZ200">
            <v>357.21</v>
          </cell>
          <cell r="DA200">
            <v>3804.1</v>
          </cell>
          <cell r="DB200">
            <v>16.940000000000001</v>
          </cell>
          <cell r="DC200">
            <v>347.25</v>
          </cell>
          <cell r="DD200">
            <v>98.25</v>
          </cell>
        </row>
        <row r="201">
          <cell r="A201">
            <v>38914</v>
          </cell>
          <cell r="C201">
            <v>94</v>
          </cell>
          <cell r="D201" t="str">
            <v>#N/A N/A</v>
          </cell>
          <cell r="E201" t="str">
            <v>#N/A N/A</v>
          </cell>
          <cell r="L201">
            <v>1255.1300000000001</v>
          </cell>
          <cell r="M201">
            <v>2037.35</v>
          </cell>
          <cell r="N201">
            <v>5707.6</v>
          </cell>
          <cell r="O201">
            <v>4070</v>
          </cell>
          <cell r="Q201">
            <v>610</v>
          </cell>
          <cell r="R201">
            <v>260.75</v>
          </cell>
          <cell r="S201">
            <v>397.5</v>
          </cell>
          <cell r="T201">
            <v>603</v>
          </cell>
          <cell r="U201">
            <v>14845.24</v>
          </cell>
          <cell r="V201">
            <v>16135.71</v>
          </cell>
          <cell r="W201">
            <v>6428.03</v>
          </cell>
          <cell r="X201">
            <v>74.55</v>
          </cell>
          <cell r="Y201">
            <v>1210</v>
          </cell>
          <cell r="Z201">
            <v>1300</v>
          </cell>
          <cell r="AA201">
            <v>10678.22</v>
          </cell>
          <cell r="AB201">
            <v>4943.8</v>
          </cell>
          <cell r="AC201">
            <v>35349.679700000001</v>
          </cell>
          <cell r="AE201">
            <v>89.7</v>
          </cell>
          <cell r="AF201">
            <v>693.04</v>
          </cell>
          <cell r="AG201">
            <v>2968</v>
          </cell>
          <cell r="AH201">
            <v>870</v>
          </cell>
          <cell r="AI201">
            <v>1540</v>
          </cell>
          <cell r="AJ201">
            <v>559.66</v>
          </cell>
          <cell r="AL201">
            <v>1236.2</v>
          </cell>
          <cell r="AP201">
            <v>1665.2080000000001</v>
          </cell>
          <cell r="AV201">
            <v>42.8</v>
          </cell>
          <cell r="AZ201">
            <v>294.8</v>
          </cell>
          <cell r="BE201">
            <v>28120</v>
          </cell>
          <cell r="BG201">
            <v>53</v>
          </cell>
          <cell r="BH201">
            <v>280.47000000000003</v>
          </cell>
          <cell r="BY201">
            <v>409.01</v>
          </cell>
          <cell r="CD201">
            <v>313.99</v>
          </cell>
          <cell r="CE201">
            <v>312.291</v>
          </cell>
          <cell r="CF201">
            <v>294.18</v>
          </cell>
          <cell r="CG201">
            <v>1290</v>
          </cell>
          <cell r="CH201">
            <v>1205</v>
          </cell>
          <cell r="CI201" t="str">
            <v>#N/A N/A</v>
          </cell>
          <cell r="CJ201">
            <v>380</v>
          </cell>
          <cell r="CK201">
            <v>1399</v>
          </cell>
          <cell r="CM201">
            <v>243.08</v>
          </cell>
          <cell r="CN201">
            <v>19.91</v>
          </cell>
          <cell r="CO201" t="str">
            <v>#N/A N/A</v>
          </cell>
          <cell r="CQ201">
            <v>6.27</v>
          </cell>
          <cell r="CR201">
            <v>46</v>
          </cell>
          <cell r="CS201">
            <v>1132</v>
          </cell>
          <cell r="CU201">
            <v>1445</v>
          </cell>
          <cell r="CW201">
            <v>54.420731707317074</v>
          </cell>
          <cell r="CX201">
            <v>619.45799999999997</v>
          </cell>
          <cell r="CZ201">
            <v>357.21</v>
          </cell>
          <cell r="DA201">
            <v>3804.1</v>
          </cell>
          <cell r="DB201">
            <v>16.940000000000001</v>
          </cell>
          <cell r="DC201">
            <v>347.25</v>
          </cell>
          <cell r="DD201">
            <v>98.25</v>
          </cell>
        </row>
        <row r="202">
          <cell r="A202">
            <v>38915</v>
          </cell>
          <cell r="C202">
            <v>94</v>
          </cell>
          <cell r="D202" t="str">
            <v>#N/A N/A</v>
          </cell>
          <cell r="E202" t="str">
            <v>#N/A N/A</v>
          </cell>
          <cell r="L202">
            <v>1255.1300000000001</v>
          </cell>
          <cell r="M202">
            <v>2037.72</v>
          </cell>
          <cell r="N202">
            <v>5701</v>
          </cell>
          <cell r="O202">
            <v>4068</v>
          </cell>
          <cell r="Q202">
            <v>610</v>
          </cell>
          <cell r="R202">
            <v>251.75</v>
          </cell>
          <cell r="S202">
            <v>393</v>
          </cell>
          <cell r="T202">
            <v>590</v>
          </cell>
          <cell r="U202">
            <v>14845.24</v>
          </cell>
          <cell r="V202">
            <v>16064.82</v>
          </cell>
          <cell r="W202">
            <v>6257.8</v>
          </cell>
          <cell r="X202">
            <v>74.05</v>
          </cell>
          <cell r="Y202">
            <v>1210</v>
          </cell>
          <cell r="Z202">
            <v>1300</v>
          </cell>
          <cell r="AA202">
            <v>10293.219999999999</v>
          </cell>
          <cell r="AB202">
            <v>4932.2</v>
          </cell>
          <cell r="AC202">
            <v>34866.308599999997</v>
          </cell>
          <cell r="AE202">
            <v>90.35</v>
          </cell>
          <cell r="AF202">
            <v>693.04</v>
          </cell>
          <cell r="AG202">
            <v>3004</v>
          </cell>
          <cell r="AH202">
            <v>870</v>
          </cell>
          <cell r="AI202">
            <v>1540</v>
          </cell>
          <cell r="AJ202">
            <v>559.66</v>
          </cell>
          <cell r="AL202">
            <v>1234.49</v>
          </cell>
          <cell r="AP202">
            <v>1682.8869999999999</v>
          </cell>
          <cell r="AV202">
            <v>42.45</v>
          </cell>
          <cell r="AZ202">
            <v>294.8</v>
          </cell>
          <cell r="BE202">
            <v>28550</v>
          </cell>
          <cell r="BG202">
            <v>53</v>
          </cell>
          <cell r="BH202">
            <v>274.52999999999997</v>
          </cell>
          <cell r="BY202">
            <v>406.77</v>
          </cell>
          <cell r="CD202">
            <v>311.64</v>
          </cell>
          <cell r="CE202">
            <v>310.18799999999999</v>
          </cell>
          <cell r="CF202">
            <v>289.14999999999998</v>
          </cell>
          <cell r="CG202">
            <v>1290</v>
          </cell>
          <cell r="CH202">
            <v>1205</v>
          </cell>
          <cell r="CI202" t="str">
            <v>#N/A N/A</v>
          </cell>
          <cell r="CJ202">
            <v>380</v>
          </cell>
          <cell r="CK202">
            <v>1419</v>
          </cell>
          <cell r="CM202">
            <v>239.9</v>
          </cell>
          <cell r="CN202">
            <v>20.100000000000001</v>
          </cell>
          <cell r="CO202" t="str">
            <v>#N/A N/A</v>
          </cell>
          <cell r="CQ202">
            <v>6.3</v>
          </cell>
          <cell r="CR202">
            <v>46</v>
          </cell>
          <cell r="CS202">
            <v>1086</v>
          </cell>
          <cell r="CU202">
            <v>1445</v>
          </cell>
          <cell r="CW202">
            <v>54.725609756097562</v>
          </cell>
          <cell r="CX202">
            <v>613.72500000000002</v>
          </cell>
          <cell r="CZ202">
            <v>347.31</v>
          </cell>
          <cell r="DA202">
            <v>3680.2</v>
          </cell>
          <cell r="DB202">
            <v>16.14</v>
          </cell>
          <cell r="DC202">
            <v>347.25</v>
          </cell>
          <cell r="DD202">
            <v>97.15</v>
          </cell>
        </row>
        <row r="203">
          <cell r="A203">
            <v>38916</v>
          </cell>
          <cell r="C203">
            <v>94</v>
          </cell>
          <cell r="D203" t="str">
            <v>#N/A N/A</v>
          </cell>
          <cell r="E203" t="str">
            <v>#N/A N/A</v>
          </cell>
          <cell r="L203">
            <v>1233.42</v>
          </cell>
          <cell r="M203">
            <v>2043.22</v>
          </cell>
          <cell r="N203">
            <v>5681.7</v>
          </cell>
          <cell r="O203">
            <v>4060</v>
          </cell>
          <cell r="Q203">
            <v>610</v>
          </cell>
          <cell r="R203">
            <v>246.5</v>
          </cell>
          <cell r="S203">
            <v>398</v>
          </cell>
          <cell r="T203">
            <v>589</v>
          </cell>
          <cell r="U203">
            <v>14437.24</v>
          </cell>
          <cell r="V203">
            <v>16043.94</v>
          </cell>
          <cell r="W203">
            <v>6285.31</v>
          </cell>
          <cell r="X203">
            <v>72.099999999999994</v>
          </cell>
          <cell r="Y203">
            <v>1210</v>
          </cell>
          <cell r="Z203">
            <v>1300</v>
          </cell>
          <cell r="AA203">
            <v>10226.780000000001</v>
          </cell>
          <cell r="AB203">
            <v>4901.3999999999996</v>
          </cell>
          <cell r="AC203">
            <v>35130.421900000001</v>
          </cell>
          <cell r="AE203">
            <v>89.05</v>
          </cell>
          <cell r="AF203">
            <v>697.06</v>
          </cell>
          <cell r="AG203">
            <v>3053</v>
          </cell>
          <cell r="AH203">
            <v>870</v>
          </cell>
          <cell r="AI203">
            <v>1540</v>
          </cell>
          <cell r="AJ203">
            <v>543.97</v>
          </cell>
          <cell r="AL203">
            <v>1236.8599999999999</v>
          </cell>
          <cell r="AP203">
            <v>1684.252</v>
          </cell>
          <cell r="AV203">
            <v>42.1</v>
          </cell>
          <cell r="AZ203">
            <v>286.10000000000002</v>
          </cell>
          <cell r="BE203">
            <v>26750</v>
          </cell>
          <cell r="BG203">
            <v>53</v>
          </cell>
          <cell r="BH203">
            <v>274.88</v>
          </cell>
          <cell r="BY203">
            <v>405.24</v>
          </cell>
          <cell r="CD203">
            <v>310.51</v>
          </cell>
          <cell r="CE203">
            <v>308.93299999999999</v>
          </cell>
          <cell r="CF203">
            <v>287.51</v>
          </cell>
          <cell r="CG203">
            <v>1290</v>
          </cell>
          <cell r="CH203">
            <v>1205</v>
          </cell>
          <cell r="CI203" t="str">
            <v>#N/A N/A</v>
          </cell>
          <cell r="CJ203">
            <v>380</v>
          </cell>
          <cell r="CK203">
            <v>1450</v>
          </cell>
          <cell r="CM203">
            <v>236.69</v>
          </cell>
          <cell r="CN203">
            <v>19.98</v>
          </cell>
          <cell r="CO203" t="str">
            <v>#N/A N/A</v>
          </cell>
          <cell r="CQ203">
            <v>6.04</v>
          </cell>
          <cell r="CR203">
            <v>46</v>
          </cell>
          <cell r="CS203">
            <v>1056.5</v>
          </cell>
          <cell r="CU203">
            <v>1445</v>
          </cell>
          <cell r="CW203">
            <v>54.115853658536587</v>
          </cell>
          <cell r="CX203">
            <v>612.255</v>
          </cell>
          <cell r="CZ203">
            <v>341.85</v>
          </cell>
          <cell r="DA203">
            <v>3653.9</v>
          </cell>
          <cell r="DB203">
            <v>16.55</v>
          </cell>
          <cell r="DC203">
            <v>347.25</v>
          </cell>
          <cell r="DD203">
            <v>97.1</v>
          </cell>
        </row>
        <row r="204">
          <cell r="A204">
            <v>38917</v>
          </cell>
          <cell r="C204">
            <v>94</v>
          </cell>
          <cell r="D204" t="str">
            <v>#N/A N/A</v>
          </cell>
          <cell r="E204" t="str">
            <v>#N/A N/A</v>
          </cell>
          <cell r="L204">
            <v>1233.6500000000001</v>
          </cell>
          <cell r="M204">
            <v>2080.71</v>
          </cell>
          <cell r="N204">
            <v>5778</v>
          </cell>
          <cell r="O204">
            <v>4060</v>
          </cell>
          <cell r="Q204">
            <v>610</v>
          </cell>
          <cell r="R204">
            <v>244.75</v>
          </cell>
          <cell r="S204">
            <v>393</v>
          </cell>
          <cell r="T204">
            <v>585.75</v>
          </cell>
          <cell r="U204">
            <v>14500.26</v>
          </cell>
          <cell r="V204">
            <v>16097.54</v>
          </cell>
          <cell r="W204">
            <v>6277.24</v>
          </cell>
          <cell r="X204">
            <v>71.25</v>
          </cell>
          <cell r="Y204">
            <v>1210</v>
          </cell>
          <cell r="Z204">
            <v>1300</v>
          </cell>
          <cell r="AA204">
            <v>10007.34</v>
          </cell>
          <cell r="AB204">
            <v>4881.3</v>
          </cell>
          <cell r="AC204">
            <v>36785.449200000003</v>
          </cell>
          <cell r="AE204">
            <v>88.25</v>
          </cell>
          <cell r="AF204">
            <v>697.06</v>
          </cell>
          <cell r="AG204">
            <v>3116</v>
          </cell>
          <cell r="AH204">
            <v>870</v>
          </cell>
          <cell r="AI204">
            <v>1540</v>
          </cell>
          <cell r="AJ204">
            <v>539.80999999999995</v>
          </cell>
          <cell r="AL204">
            <v>1259.81</v>
          </cell>
          <cell r="AP204">
            <v>1645.16</v>
          </cell>
          <cell r="AV204">
            <v>43.74</v>
          </cell>
          <cell r="AZ204">
            <v>281.5</v>
          </cell>
          <cell r="BE204">
            <v>26135</v>
          </cell>
          <cell r="BG204">
            <v>53</v>
          </cell>
          <cell r="BH204">
            <v>281.60000000000002</v>
          </cell>
          <cell r="BY204">
            <v>414.51</v>
          </cell>
          <cell r="CD204">
            <v>316.35000000000002</v>
          </cell>
          <cell r="CE204">
            <v>314.84800000000001</v>
          </cell>
          <cell r="CF204">
            <v>286.57</v>
          </cell>
          <cell r="CG204">
            <v>1290</v>
          </cell>
          <cell r="CH204">
            <v>1205</v>
          </cell>
          <cell r="CI204" t="str">
            <v>#N/A N/A</v>
          </cell>
          <cell r="CJ204">
            <v>380</v>
          </cell>
          <cell r="CK204">
            <v>1492</v>
          </cell>
          <cell r="CM204">
            <v>233.27</v>
          </cell>
          <cell r="CN204">
            <v>19.89</v>
          </cell>
          <cell r="CO204" t="str">
            <v>#N/A N/A</v>
          </cell>
          <cell r="CQ204">
            <v>5.9</v>
          </cell>
          <cell r="CR204">
            <v>46</v>
          </cell>
          <cell r="CS204">
            <v>1035</v>
          </cell>
          <cell r="CU204">
            <v>1445</v>
          </cell>
          <cell r="CW204">
            <v>53.506097560975611</v>
          </cell>
          <cell r="CX204">
            <v>629.75</v>
          </cell>
          <cell r="CZ204">
            <v>342.91</v>
          </cell>
          <cell r="DA204">
            <v>3664</v>
          </cell>
          <cell r="DB204">
            <v>16.149999999999999</v>
          </cell>
          <cell r="DC204">
            <v>347.25</v>
          </cell>
          <cell r="DD204">
            <v>97.15</v>
          </cell>
        </row>
        <row r="205">
          <cell r="A205">
            <v>38918</v>
          </cell>
          <cell r="C205">
            <v>94</v>
          </cell>
          <cell r="D205" t="str">
            <v>#N/A N/A</v>
          </cell>
          <cell r="E205" t="str">
            <v>#N/A N/A</v>
          </cell>
          <cell r="L205">
            <v>1273.3</v>
          </cell>
          <cell r="M205">
            <v>2039.42</v>
          </cell>
          <cell r="N205">
            <v>5770.9</v>
          </cell>
          <cell r="O205">
            <v>4060</v>
          </cell>
          <cell r="Q205">
            <v>610</v>
          </cell>
          <cell r="R205">
            <v>242.5</v>
          </cell>
          <cell r="S205">
            <v>406.5</v>
          </cell>
          <cell r="T205">
            <v>584.25</v>
          </cell>
          <cell r="U205">
            <v>14946.84</v>
          </cell>
          <cell r="V205">
            <v>16472.62</v>
          </cell>
          <cell r="W205">
            <v>6443.74</v>
          </cell>
          <cell r="X205">
            <v>70.849999999999994</v>
          </cell>
          <cell r="Y205">
            <v>1210</v>
          </cell>
          <cell r="Z205">
            <v>1300</v>
          </cell>
          <cell r="AA205">
            <v>10352.94</v>
          </cell>
          <cell r="AB205">
            <v>4967.3999999999996</v>
          </cell>
          <cell r="AC205">
            <v>35846.839800000002</v>
          </cell>
          <cell r="AE205">
            <v>87.75</v>
          </cell>
          <cell r="AF205">
            <v>697.06</v>
          </cell>
          <cell r="AG205">
            <v>3162</v>
          </cell>
          <cell r="AH205">
            <v>870</v>
          </cell>
          <cell r="AI205">
            <v>1540</v>
          </cell>
          <cell r="AJ205">
            <v>553.91</v>
          </cell>
          <cell r="AL205">
            <v>1249.1300000000001</v>
          </cell>
          <cell r="AP205">
            <v>1655.1220000000001</v>
          </cell>
          <cell r="AV205">
            <v>43.25</v>
          </cell>
          <cell r="AZ205">
            <v>280.60000000000002</v>
          </cell>
          <cell r="BE205">
            <v>25945</v>
          </cell>
          <cell r="BG205">
            <v>53</v>
          </cell>
          <cell r="BH205">
            <v>271.06</v>
          </cell>
          <cell r="BY205">
            <v>404.13</v>
          </cell>
          <cell r="CD205">
            <v>317.47000000000003</v>
          </cell>
          <cell r="CE205">
            <v>315.61200000000002</v>
          </cell>
          <cell r="CF205">
            <v>296.23</v>
          </cell>
          <cell r="CG205">
            <v>1290</v>
          </cell>
          <cell r="CH205">
            <v>1205</v>
          </cell>
          <cell r="CI205" t="str">
            <v>#N/A N/A</v>
          </cell>
          <cell r="CJ205">
            <v>360</v>
          </cell>
          <cell r="CK205">
            <v>1504</v>
          </cell>
          <cell r="CM205">
            <v>235.86</v>
          </cell>
          <cell r="CN205">
            <v>19.79</v>
          </cell>
          <cell r="CO205" t="str">
            <v>#N/A N/A</v>
          </cell>
          <cell r="CQ205">
            <v>6.14</v>
          </cell>
          <cell r="CR205">
            <v>46</v>
          </cell>
          <cell r="CS205">
            <v>1025.5</v>
          </cell>
          <cell r="CU205">
            <v>1445</v>
          </cell>
          <cell r="CW205">
            <v>52.591463414634148</v>
          </cell>
          <cell r="CX205">
            <v>631.45000000000005</v>
          </cell>
          <cell r="CZ205">
            <v>340.52</v>
          </cell>
          <cell r="DA205">
            <v>3512.7</v>
          </cell>
          <cell r="DB205">
            <v>16.170000000000002</v>
          </cell>
          <cell r="DC205">
            <v>347.25</v>
          </cell>
          <cell r="DD205">
            <v>95.8</v>
          </cell>
        </row>
        <row r="206">
          <cell r="A206">
            <v>38919</v>
          </cell>
          <cell r="C206">
            <v>94</v>
          </cell>
          <cell r="D206" t="str">
            <v>#N/A N/A</v>
          </cell>
          <cell r="E206" t="str">
            <v>#N/A N/A</v>
          </cell>
          <cell r="L206">
            <v>1271.33</v>
          </cell>
          <cell r="M206">
            <v>2020.39</v>
          </cell>
          <cell r="N206">
            <v>5719.7</v>
          </cell>
          <cell r="O206">
            <v>3955</v>
          </cell>
          <cell r="Q206">
            <v>610</v>
          </cell>
          <cell r="R206">
            <v>237.25</v>
          </cell>
          <cell r="S206">
            <v>407.25</v>
          </cell>
          <cell r="T206">
            <v>577</v>
          </cell>
          <cell r="U206">
            <v>14821.26</v>
          </cell>
          <cell r="V206">
            <v>16464.18</v>
          </cell>
          <cell r="W206">
            <v>6420.01</v>
          </cell>
          <cell r="X206">
            <v>70.849999999999994</v>
          </cell>
          <cell r="Y206">
            <v>1220</v>
          </cell>
          <cell r="Z206">
            <v>1320</v>
          </cell>
          <cell r="AA206">
            <v>10085.91</v>
          </cell>
          <cell r="AB206">
            <v>4934.3</v>
          </cell>
          <cell r="AC206">
            <v>35510.398399999998</v>
          </cell>
          <cell r="AE206">
            <v>87.3</v>
          </cell>
          <cell r="AF206">
            <v>697.06</v>
          </cell>
          <cell r="AG206">
            <v>3191</v>
          </cell>
          <cell r="AH206">
            <v>890</v>
          </cell>
          <cell r="AI206">
            <v>1560</v>
          </cell>
          <cell r="AJ206">
            <v>551.63</v>
          </cell>
          <cell r="AL206">
            <v>1240.29</v>
          </cell>
          <cell r="AP206">
            <v>1665.328</v>
          </cell>
          <cell r="AV206">
            <v>43</v>
          </cell>
          <cell r="AZ206">
            <v>282.39999999999998</v>
          </cell>
          <cell r="BE206">
            <v>26350</v>
          </cell>
          <cell r="BG206">
            <v>53</v>
          </cell>
          <cell r="BH206">
            <v>261.7</v>
          </cell>
          <cell r="BY206">
            <v>384.88</v>
          </cell>
          <cell r="CD206">
            <v>315.39</v>
          </cell>
          <cell r="CE206">
            <v>313.55799999999999</v>
          </cell>
          <cell r="CF206">
            <v>295.38</v>
          </cell>
          <cell r="CG206">
            <v>1310</v>
          </cell>
          <cell r="CH206">
            <v>1195</v>
          </cell>
          <cell r="CI206" t="str">
            <v>#N/A N/A</v>
          </cell>
          <cell r="CJ206">
            <v>360</v>
          </cell>
          <cell r="CK206">
            <v>1505</v>
          </cell>
          <cell r="CM206">
            <v>242.46</v>
          </cell>
          <cell r="CN206">
            <v>19.71</v>
          </cell>
          <cell r="CO206" t="str">
            <v>#N/A N/A</v>
          </cell>
          <cell r="CQ206">
            <v>5.91</v>
          </cell>
          <cell r="CR206">
            <v>46</v>
          </cell>
          <cell r="CS206">
            <v>1032</v>
          </cell>
          <cell r="CU206">
            <v>1500</v>
          </cell>
          <cell r="CW206">
            <v>51.981707317073173</v>
          </cell>
          <cell r="CX206">
            <v>634.1</v>
          </cell>
          <cell r="CZ206">
            <v>339.61</v>
          </cell>
          <cell r="DA206">
            <v>3408.6</v>
          </cell>
          <cell r="DB206">
            <v>16</v>
          </cell>
          <cell r="DC206">
            <v>347.25</v>
          </cell>
          <cell r="DD206">
            <v>95.6</v>
          </cell>
        </row>
        <row r="207">
          <cell r="A207">
            <v>38920</v>
          </cell>
          <cell r="C207">
            <v>94</v>
          </cell>
          <cell r="D207" t="str">
            <v>#N/A N/A</v>
          </cell>
          <cell r="E207" t="str">
            <v>#N/A N/A</v>
          </cell>
          <cell r="L207">
            <v>1271.33</v>
          </cell>
          <cell r="M207">
            <v>2020.39</v>
          </cell>
          <cell r="N207">
            <v>5719.7</v>
          </cell>
          <cell r="O207">
            <v>3955</v>
          </cell>
          <cell r="Q207">
            <v>610</v>
          </cell>
          <cell r="R207">
            <v>237.25</v>
          </cell>
          <cell r="S207">
            <v>407.25</v>
          </cell>
          <cell r="T207">
            <v>577</v>
          </cell>
          <cell r="U207">
            <v>14821.26</v>
          </cell>
          <cell r="V207">
            <v>16464.18</v>
          </cell>
          <cell r="W207">
            <v>6420.01</v>
          </cell>
          <cell r="X207">
            <v>70.849999999999994</v>
          </cell>
          <cell r="Y207">
            <v>1220</v>
          </cell>
          <cell r="Z207">
            <v>1320</v>
          </cell>
          <cell r="AA207">
            <v>10085.91</v>
          </cell>
          <cell r="AB207">
            <v>4934.3</v>
          </cell>
          <cell r="AC207">
            <v>35510.398399999998</v>
          </cell>
          <cell r="AE207">
            <v>87.3</v>
          </cell>
          <cell r="AF207">
            <v>697.06</v>
          </cell>
          <cell r="AG207">
            <v>3191</v>
          </cell>
          <cell r="AH207">
            <v>890</v>
          </cell>
          <cell r="AI207">
            <v>1560</v>
          </cell>
          <cell r="AJ207">
            <v>551.63</v>
          </cell>
          <cell r="AL207">
            <v>1240.29</v>
          </cell>
          <cell r="AP207">
            <v>1665.328</v>
          </cell>
          <cell r="AV207">
            <v>43</v>
          </cell>
          <cell r="AZ207">
            <v>282.39999999999998</v>
          </cell>
          <cell r="BE207">
            <v>26350</v>
          </cell>
          <cell r="BG207">
            <v>53</v>
          </cell>
          <cell r="BH207">
            <v>261.7</v>
          </cell>
          <cell r="BY207">
            <v>384.88</v>
          </cell>
          <cell r="CD207">
            <v>315.39</v>
          </cell>
          <cell r="CE207">
            <v>313.55799999999999</v>
          </cell>
          <cell r="CF207">
            <v>295.38</v>
          </cell>
          <cell r="CG207">
            <v>1310</v>
          </cell>
          <cell r="CH207">
            <v>1195</v>
          </cell>
          <cell r="CI207" t="str">
            <v>#N/A N/A</v>
          </cell>
          <cell r="CJ207">
            <v>360</v>
          </cell>
          <cell r="CK207">
            <v>1505</v>
          </cell>
          <cell r="CM207">
            <v>242.46</v>
          </cell>
          <cell r="CN207">
            <v>19.71</v>
          </cell>
          <cell r="CO207" t="str">
            <v>#N/A N/A</v>
          </cell>
          <cell r="CQ207">
            <v>5.91</v>
          </cell>
          <cell r="CR207">
            <v>46</v>
          </cell>
          <cell r="CS207">
            <v>1032</v>
          </cell>
          <cell r="CU207">
            <v>1500</v>
          </cell>
          <cell r="CW207">
            <v>51.981707317073173</v>
          </cell>
          <cell r="CX207">
            <v>634.1</v>
          </cell>
          <cell r="CZ207">
            <v>339.61</v>
          </cell>
          <cell r="DA207">
            <v>3408.6</v>
          </cell>
          <cell r="DB207">
            <v>16</v>
          </cell>
          <cell r="DC207">
            <v>347.25</v>
          </cell>
          <cell r="DD207">
            <v>95.6</v>
          </cell>
        </row>
        <row r="208">
          <cell r="A208">
            <v>38921</v>
          </cell>
          <cell r="C208">
            <v>94</v>
          </cell>
          <cell r="D208" t="str">
            <v>#N/A N/A</v>
          </cell>
          <cell r="E208" t="str">
            <v>#N/A N/A</v>
          </cell>
          <cell r="L208">
            <v>1271.33</v>
          </cell>
          <cell r="M208">
            <v>2020.39</v>
          </cell>
          <cell r="N208">
            <v>5719.7</v>
          </cell>
          <cell r="O208">
            <v>3955</v>
          </cell>
          <cell r="Q208">
            <v>610</v>
          </cell>
          <cell r="R208">
            <v>237.25</v>
          </cell>
          <cell r="S208">
            <v>407.25</v>
          </cell>
          <cell r="T208">
            <v>577</v>
          </cell>
          <cell r="U208">
            <v>14821.26</v>
          </cell>
          <cell r="V208">
            <v>16464.18</v>
          </cell>
          <cell r="W208">
            <v>6420.01</v>
          </cell>
          <cell r="X208">
            <v>70.849999999999994</v>
          </cell>
          <cell r="Y208">
            <v>1220</v>
          </cell>
          <cell r="Z208">
            <v>1320</v>
          </cell>
          <cell r="AA208">
            <v>10085.91</v>
          </cell>
          <cell r="AB208">
            <v>4934.3</v>
          </cell>
          <cell r="AC208">
            <v>35510.398399999998</v>
          </cell>
          <cell r="AE208">
            <v>87.3</v>
          </cell>
          <cell r="AF208">
            <v>697.06</v>
          </cell>
          <cell r="AG208">
            <v>3191</v>
          </cell>
          <cell r="AH208">
            <v>890</v>
          </cell>
          <cell r="AI208">
            <v>1560</v>
          </cell>
          <cell r="AJ208">
            <v>551.63</v>
          </cell>
          <cell r="AL208">
            <v>1240.29</v>
          </cell>
          <cell r="AP208">
            <v>1665.328</v>
          </cell>
          <cell r="AV208">
            <v>43</v>
          </cell>
          <cell r="AZ208">
            <v>282.39999999999998</v>
          </cell>
          <cell r="BE208">
            <v>26350</v>
          </cell>
          <cell r="BG208">
            <v>53</v>
          </cell>
          <cell r="BH208">
            <v>261.7</v>
          </cell>
          <cell r="BY208">
            <v>384.88</v>
          </cell>
          <cell r="CD208">
            <v>315.39</v>
          </cell>
          <cell r="CE208">
            <v>313.55799999999999</v>
          </cell>
          <cell r="CF208">
            <v>295.38</v>
          </cell>
          <cell r="CG208">
            <v>1310</v>
          </cell>
          <cell r="CH208">
            <v>1195</v>
          </cell>
          <cell r="CI208" t="str">
            <v>#N/A N/A</v>
          </cell>
          <cell r="CJ208">
            <v>360</v>
          </cell>
          <cell r="CK208">
            <v>1505</v>
          </cell>
          <cell r="CM208">
            <v>242.46</v>
          </cell>
          <cell r="CN208">
            <v>19.71</v>
          </cell>
          <cell r="CO208" t="str">
            <v>#N/A N/A</v>
          </cell>
          <cell r="CQ208">
            <v>5.91</v>
          </cell>
          <cell r="CR208">
            <v>46</v>
          </cell>
          <cell r="CS208">
            <v>1032</v>
          </cell>
          <cell r="CU208">
            <v>1500</v>
          </cell>
          <cell r="CW208">
            <v>51.981707317073173</v>
          </cell>
          <cell r="CX208">
            <v>634.1</v>
          </cell>
          <cell r="CZ208">
            <v>339.61</v>
          </cell>
          <cell r="DA208">
            <v>3408.6</v>
          </cell>
          <cell r="DB208">
            <v>16</v>
          </cell>
          <cell r="DC208">
            <v>347.25</v>
          </cell>
          <cell r="DD208">
            <v>95.6</v>
          </cell>
        </row>
        <row r="209">
          <cell r="A209">
            <v>38922</v>
          </cell>
          <cell r="C209">
            <v>94</v>
          </cell>
          <cell r="D209" t="str">
            <v>#N/A N/A</v>
          </cell>
          <cell r="E209" t="str">
            <v>#N/A N/A</v>
          </cell>
          <cell r="L209">
            <v>1263.3499999999999</v>
          </cell>
          <cell r="M209">
            <v>2061.84</v>
          </cell>
          <cell r="N209">
            <v>5833.9</v>
          </cell>
          <cell r="O209">
            <v>3933</v>
          </cell>
          <cell r="Q209">
            <v>610</v>
          </cell>
          <cell r="R209">
            <v>239</v>
          </cell>
          <cell r="S209">
            <v>400.5</v>
          </cell>
          <cell r="T209">
            <v>583.25</v>
          </cell>
          <cell r="U209">
            <v>14794.5</v>
          </cell>
          <cell r="V209">
            <v>16480.59</v>
          </cell>
          <cell r="W209">
            <v>6359.63</v>
          </cell>
          <cell r="X209">
            <v>69.75</v>
          </cell>
          <cell r="Y209">
            <v>1220</v>
          </cell>
          <cell r="Z209">
            <v>1320</v>
          </cell>
          <cell r="AA209">
            <v>10215.370000000001</v>
          </cell>
          <cell r="AB209">
            <v>4906.6000000000004</v>
          </cell>
          <cell r="AC209">
            <v>36224.390599999999</v>
          </cell>
          <cell r="AE209">
            <v>86.4</v>
          </cell>
          <cell r="AF209">
            <v>697.06</v>
          </cell>
          <cell r="AG209">
            <v>3202</v>
          </cell>
          <cell r="AH209">
            <v>890</v>
          </cell>
          <cell r="AI209">
            <v>1560</v>
          </cell>
          <cell r="AJ209">
            <v>548.67999999999995</v>
          </cell>
          <cell r="AL209">
            <v>1260.9100000000001</v>
          </cell>
          <cell r="AP209">
            <v>1665.944</v>
          </cell>
          <cell r="AV209">
            <v>44.3</v>
          </cell>
          <cell r="AZ209">
            <v>280.5</v>
          </cell>
          <cell r="BE209">
            <v>26750</v>
          </cell>
          <cell r="BG209">
            <v>53</v>
          </cell>
          <cell r="BH209">
            <v>264.49</v>
          </cell>
          <cell r="BY209">
            <v>391.93</v>
          </cell>
          <cell r="CD209">
            <v>319.07</v>
          </cell>
          <cell r="CE209">
            <v>317.45499999999998</v>
          </cell>
          <cell r="CF209">
            <v>293.25</v>
          </cell>
          <cell r="CG209">
            <v>1310</v>
          </cell>
          <cell r="CH209">
            <v>1195</v>
          </cell>
          <cell r="CI209" t="str">
            <v>#N/A N/A</v>
          </cell>
          <cell r="CJ209">
            <v>360</v>
          </cell>
          <cell r="CK209">
            <v>1503</v>
          </cell>
          <cell r="CM209">
            <v>241.93</v>
          </cell>
          <cell r="CN209">
            <v>19.72</v>
          </cell>
          <cell r="CO209" t="str">
            <v>#N/A N/A</v>
          </cell>
          <cell r="CQ209">
            <v>6.34</v>
          </cell>
          <cell r="CR209">
            <v>46</v>
          </cell>
          <cell r="CS209">
            <v>1030.5</v>
          </cell>
          <cell r="CU209">
            <v>1500</v>
          </cell>
          <cell r="CW209">
            <v>51.06707317073171</v>
          </cell>
          <cell r="CX209">
            <v>631.54999999999995</v>
          </cell>
          <cell r="CZ209">
            <v>342.71</v>
          </cell>
          <cell r="DA209">
            <v>3464.7</v>
          </cell>
          <cell r="DB209">
            <v>16.27</v>
          </cell>
          <cell r="DC209">
            <v>347.25</v>
          </cell>
          <cell r="DD209">
            <v>94.05</v>
          </cell>
        </row>
        <row r="210">
          <cell r="A210">
            <v>38923</v>
          </cell>
          <cell r="C210">
            <v>94</v>
          </cell>
          <cell r="D210" t="str">
            <v>#N/A N/A</v>
          </cell>
          <cell r="E210" t="str">
            <v>#N/A N/A</v>
          </cell>
          <cell r="L210">
            <v>1279.77</v>
          </cell>
          <cell r="M210">
            <v>2073.9</v>
          </cell>
          <cell r="N210">
            <v>5851.2</v>
          </cell>
          <cell r="O210">
            <v>3905</v>
          </cell>
          <cell r="Q210">
            <v>610</v>
          </cell>
          <cell r="R210">
            <v>239.5</v>
          </cell>
          <cell r="S210">
            <v>393.25</v>
          </cell>
          <cell r="T210">
            <v>585.25</v>
          </cell>
          <cell r="U210">
            <v>15005.24</v>
          </cell>
          <cell r="V210">
            <v>16583.86</v>
          </cell>
          <cell r="W210">
            <v>6390.99</v>
          </cell>
          <cell r="X210">
            <v>70.55</v>
          </cell>
          <cell r="Y210">
            <v>1220</v>
          </cell>
          <cell r="Z210">
            <v>1320</v>
          </cell>
          <cell r="AA210">
            <v>10415.61</v>
          </cell>
          <cell r="AB210">
            <v>4959.8999999999996</v>
          </cell>
          <cell r="AC210">
            <v>36680.828099999999</v>
          </cell>
          <cell r="AE210">
            <v>88.2</v>
          </cell>
          <cell r="AF210">
            <v>699.12</v>
          </cell>
          <cell r="AG210">
            <v>3221</v>
          </cell>
          <cell r="AH210">
            <v>890</v>
          </cell>
          <cell r="AI210">
            <v>1560</v>
          </cell>
          <cell r="AJ210">
            <v>552.34</v>
          </cell>
          <cell r="AL210">
            <v>1268.8800000000001</v>
          </cell>
          <cell r="AP210">
            <v>1685.461</v>
          </cell>
          <cell r="AV210">
            <v>44.25</v>
          </cell>
          <cell r="AZ210">
            <v>275.10000000000002</v>
          </cell>
          <cell r="BE210">
            <v>27225</v>
          </cell>
          <cell r="BG210">
            <v>53</v>
          </cell>
          <cell r="BH210">
            <v>269.52999999999997</v>
          </cell>
          <cell r="BY210">
            <v>396.17</v>
          </cell>
          <cell r="CD210">
            <v>321.19</v>
          </cell>
          <cell r="CE210">
            <v>319.45499999999998</v>
          </cell>
          <cell r="CF210">
            <v>296.64999999999998</v>
          </cell>
          <cell r="CG210">
            <v>1310</v>
          </cell>
          <cell r="CH210">
            <v>1195</v>
          </cell>
          <cell r="CI210" t="str">
            <v>#N/A N/A</v>
          </cell>
          <cell r="CJ210">
            <v>360</v>
          </cell>
          <cell r="CK210">
            <v>1494</v>
          </cell>
          <cell r="CM210">
            <v>239</v>
          </cell>
          <cell r="CN210">
            <v>19.079999999999998</v>
          </cell>
          <cell r="CO210" t="str">
            <v>#N/A N/A</v>
          </cell>
          <cell r="CQ210">
            <v>6.8</v>
          </cell>
          <cell r="CR210">
            <v>46</v>
          </cell>
          <cell r="CS210">
            <v>1061</v>
          </cell>
          <cell r="CU210">
            <v>1500</v>
          </cell>
          <cell r="CW210">
            <v>52.97256097560976</v>
          </cell>
          <cell r="CX210">
            <v>628.79999999999995</v>
          </cell>
          <cell r="CZ210">
            <v>340.74</v>
          </cell>
          <cell r="DA210">
            <v>3570.3</v>
          </cell>
          <cell r="DB210">
            <v>16.170000000000002</v>
          </cell>
          <cell r="DC210">
            <v>347.25</v>
          </cell>
          <cell r="DD210">
            <v>95.1</v>
          </cell>
        </row>
        <row r="211">
          <cell r="A211">
            <v>38924</v>
          </cell>
          <cell r="C211">
            <v>94</v>
          </cell>
          <cell r="D211" t="str">
            <v>#N/A N/A</v>
          </cell>
          <cell r="E211" t="str">
            <v>#N/A N/A</v>
          </cell>
          <cell r="L211">
            <v>1279.08</v>
          </cell>
          <cell r="M211">
            <v>2070.46</v>
          </cell>
          <cell r="N211">
            <v>5877.1</v>
          </cell>
          <cell r="O211">
            <v>3880</v>
          </cell>
          <cell r="Q211">
            <v>610</v>
          </cell>
          <cell r="R211">
            <v>236</v>
          </cell>
          <cell r="S211">
            <v>382</v>
          </cell>
          <cell r="T211">
            <v>581.75</v>
          </cell>
          <cell r="U211">
            <v>14884.07</v>
          </cell>
          <cell r="V211">
            <v>16617.240000000002</v>
          </cell>
          <cell r="W211">
            <v>6376.39</v>
          </cell>
          <cell r="X211">
            <v>68.849999999999994</v>
          </cell>
          <cell r="Y211">
            <v>1220</v>
          </cell>
          <cell r="Z211">
            <v>1320</v>
          </cell>
          <cell r="AA211">
            <v>10617.27</v>
          </cell>
          <cell r="AB211">
            <v>4907.6000000000004</v>
          </cell>
          <cell r="AC211">
            <v>36594.300799999997</v>
          </cell>
          <cell r="AE211">
            <v>87.35</v>
          </cell>
          <cell r="AF211">
            <v>699.12</v>
          </cell>
          <cell r="AG211">
            <v>3227</v>
          </cell>
          <cell r="AH211">
            <v>890</v>
          </cell>
          <cell r="AI211">
            <v>1560</v>
          </cell>
          <cell r="AJ211">
            <v>554.08000000000004</v>
          </cell>
          <cell r="AL211">
            <v>1268.4000000000001</v>
          </cell>
          <cell r="AP211">
            <v>1686.654</v>
          </cell>
          <cell r="AV211">
            <v>44.5</v>
          </cell>
          <cell r="AZ211">
            <v>267.3</v>
          </cell>
          <cell r="BE211">
            <v>26155</v>
          </cell>
          <cell r="BG211">
            <v>53</v>
          </cell>
          <cell r="BH211">
            <v>267.22000000000003</v>
          </cell>
          <cell r="BY211">
            <v>395.81</v>
          </cell>
          <cell r="CD211">
            <v>321.24</v>
          </cell>
          <cell r="CE211">
            <v>319.471</v>
          </cell>
          <cell r="CF211">
            <v>297.13</v>
          </cell>
          <cell r="CG211">
            <v>1310</v>
          </cell>
          <cell r="CH211">
            <v>1195</v>
          </cell>
          <cell r="CI211" t="str">
            <v>#N/A N/A</v>
          </cell>
          <cell r="CJ211">
            <v>360</v>
          </cell>
          <cell r="CK211">
            <v>1476</v>
          </cell>
          <cell r="CM211">
            <v>237.5</v>
          </cell>
          <cell r="CN211">
            <v>19</v>
          </cell>
          <cell r="CO211" t="str">
            <v>#N/A N/A</v>
          </cell>
          <cell r="CQ211">
            <v>6.7</v>
          </cell>
          <cell r="CR211">
            <v>47.25</v>
          </cell>
          <cell r="CS211">
            <v>1049.5</v>
          </cell>
          <cell r="CU211">
            <v>1500</v>
          </cell>
          <cell r="CW211">
            <v>52.286585365853661</v>
          </cell>
          <cell r="CX211">
            <v>632.95000000000005</v>
          </cell>
          <cell r="CZ211">
            <v>341.95</v>
          </cell>
          <cell r="DA211">
            <v>3537.8</v>
          </cell>
          <cell r="DB211">
            <v>15.98</v>
          </cell>
          <cell r="DC211">
            <v>347.25</v>
          </cell>
          <cell r="DD211">
            <v>95.5</v>
          </cell>
        </row>
        <row r="212">
          <cell r="A212">
            <v>38925</v>
          </cell>
          <cell r="C212">
            <v>94</v>
          </cell>
          <cell r="D212" t="str">
            <v>#N/A N/A</v>
          </cell>
          <cell r="E212" t="str">
            <v>#N/A N/A</v>
          </cell>
          <cell r="L212">
            <v>1296.27</v>
          </cell>
          <cell r="M212">
            <v>2054.4699999999998</v>
          </cell>
          <cell r="N212">
            <v>5929.5</v>
          </cell>
          <cell r="O212">
            <v>3873</v>
          </cell>
          <cell r="Q212">
            <v>610</v>
          </cell>
          <cell r="R212">
            <v>237.75</v>
          </cell>
          <cell r="S212">
            <v>387.75</v>
          </cell>
          <cell r="T212">
            <v>574</v>
          </cell>
          <cell r="U212">
            <v>15179.78</v>
          </cell>
          <cell r="V212">
            <v>16916.77</v>
          </cell>
          <cell r="W212">
            <v>6459.25</v>
          </cell>
          <cell r="X212">
            <v>69.150000000000006</v>
          </cell>
          <cell r="Y212">
            <v>1220</v>
          </cell>
          <cell r="Z212">
            <v>1320</v>
          </cell>
          <cell r="AA212">
            <v>10741.59</v>
          </cell>
          <cell r="AB212">
            <v>4976.5</v>
          </cell>
          <cell r="AC212">
            <v>36887.718800000002</v>
          </cell>
          <cell r="AE212">
            <v>88.05</v>
          </cell>
          <cell r="AF212">
            <v>699.12</v>
          </cell>
          <cell r="AG212">
            <v>3236</v>
          </cell>
          <cell r="AH212">
            <v>890</v>
          </cell>
          <cell r="AI212">
            <v>1560</v>
          </cell>
          <cell r="AJ212">
            <v>555.65</v>
          </cell>
          <cell r="AL212">
            <v>1263.2</v>
          </cell>
          <cell r="AP212">
            <v>1675.1679999999999</v>
          </cell>
          <cell r="AV212">
            <v>45.05</v>
          </cell>
          <cell r="AZ212">
            <v>267.7</v>
          </cell>
          <cell r="BE212">
            <v>25050</v>
          </cell>
          <cell r="BG212">
            <v>53</v>
          </cell>
          <cell r="BH212">
            <v>262.23</v>
          </cell>
          <cell r="BY212">
            <v>400.04</v>
          </cell>
          <cell r="CD212">
            <v>323.93</v>
          </cell>
          <cell r="CE212">
            <v>321.83100000000002</v>
          </cell>
          <cell r="CF212">
            <v>301.81</v>
          </cell>
          <cell r="CG212">
            <v>1310</v>
          </cell>
          <cell r="CH212">
            <v>1195</v>
          </cell>
          <cell r="CI212" t="str">
            <v>#N/A N/A</v>
          </cell>
          <cell r="CJ212">
            <v>360</v>
          </cell>
          <cell r="CK212">
            <v>1450</v>
          </cell>
          <cell r="CM212">
            <v>235.29</v>
          </cell>
          <cell r="CN212">
            <v>18.87</v>
          </cell>
          <cell r="CO212" t="str">
            <v>#N/A N/A</v>
          </cell>
          <cell r="CQ212">
            <v>7</v>
          </cell>
          <cell r="CR212">
            <v>47.25</v>
          </cell>
          <cell r="CS212">
            <v>1058</v>
          </cell>
          <cell r="CU212">
            <v>1500</v>
          </cell>
          <cell r="CW212">
            <v>51.448170731707322</v>
          </cell>
          <cell r="CX212">
            <v>636.15</v>
          </cell>
          <cell r="CZ212">
            <v>344.38</v>
          </cell>
          <cell r="DA212">
            <v>3568.2</v>
          </cell>
          <cell r="DB212">
            <v>15.44</v>
          </cell>
          <cell r="DC212">
            <v>347.25</v>
          </cell>
          <cell r="DD212">
            <v>96.8</v>
          </cell>
        </row>
        <row r="213">
          <cell r="A213">
            <v>38926</v>
          </cell>
          <cell r="C213">
            <v>94</v>
          </cell>
          <cell r="D213" t="str">
            <v>#N/A N/A</v>
          </cell>
          <cell r="E213" t="str">
            <v>#N/A N/A</v>
          </cell>
          <cell r="L213">
            <v>1297.07</v>
          </cell>
          <cell r="M213">
            <v>2094.14</v>
          </cell>
          <cell r="N213">
            <v>5974.9</v>
          </cell>
          <cell r="O213">
            <v>3892</v>
          </cell>
          <cell r="Q213">
            <v>610</v>
          </cell>
          <cell r="R213">
            <v>237.25</v>
          </cell>
          <cell r="S213">
            <v>388.5</v>
          </cell>
          <cell r="T213">
            <v>576.5</v>
          </cell>
          <cell r="U213">
            <v>15342.87</v>
          </cell>
          <cell r="V213">
            <v>16955.04</v>
          </cell>
          <cell r="W213">
            <v>6480.07</v>
          </cell>
          <cell r="X213">
            <v>69.150000000000006</v>
          </cell>
          <cell r="Y213">
            <v>1250</v>
          </cell>
          <cell r="Z213">
            <v>1320</v>
          </cell>
          <cell r="AA213">
            <v>10680.23</v>
          </cell>
          <cell r="AB213">
            <v>4932.7</v>
          </cell>
          <cell r="AC213">
            <v>37381.058599999997</v>
          </cell>
          <cell r="AE213">
            <v>88.5</v>
          </cell>
          <cell r="AF213">
            <v>699.12</v>
          </cell>
          <cell r="AG213">
            <v>3260</v>
          </cell>
          <cell r="AH213">
            <v>900</v>
          </cell>
          <cell r="AI213">
            <v>1580</v>
          </cell>
          <cell r="AJ213">
            <v>556.69000000000005</v>
          </cell>
          <cell r="AL213">
            <v>1278.55</v>
          </cell>
          <cell r="AP213">
            <v>1662.0309999999999</v>
          </cell>
          <cell r="AV213">
            <v>45.6</v>
          </cell>
          <cell r="AZ213">
            <v>271.3</v>
          </cell>
          <cell r="BE213">
            <v>25975</v>
          </cell>
          <cell r="BG213">
            <v>53</v>
          </cell>
          <cell r="BH213">
            <v>263.89999999999998</v>
          </cell>
          <cell r="BY213">
            <v>412.21</v>
          </cell>
          <cell r="CD213">
            <v>327.24</v>
          </cell>
          <cell r="CE213">
            <v>325.39299999999997</v>
          </cell>
          <cell r="CF213">
            <v>301.62</v>
          </cell>
          <cell r="CG213">
            <v>1320</v>
          </cell>
          <cell r="CH213">
            <v>1270</v>
          </cell>
          <cell r="CI213" t="str">
            <v>#N/A N/A</v>
          </cell>
          <cell r="CJ213">
            <v>360</v>
          </cell>
          <cell r="CK213">
            <v>1436</v>
          </cell>
          <cell r="CM213">
            <v>233.8</v>
          </cell>
          <cell r="CN213">
            <v>18.18</v>
          </cell>
          <cell r="CO213" t="str">
            <v>#N/A N/A</v>
          </cell>
          <cell r="CQ213">
            <v>7.25</v>
          </cell>
          <cell r="CR213">
            <v>47.25</v>
          </cell>
          <cell r="CS213">
            <v>1069</v>
          </cell>
          <cell r="CU213">
            <v>1505</v>
          </cell>
          <cell r="CW213">
            <v>51.981707317073173</v>
          </cell>
          <cell r="CX213">
            <v>637.4</v>
          </cell>
          <cell r="CZ213">
            <v>343.83</v>
          </cell>
          <cell r="DA213">
            <v>3630.9</v>
          </cell>
          <cell r="DB213">
            <v>15</v>
          </cell>
          <cell r="DC213">
            <v>347.25</v>
          </cell>
          <cell r="DD213">
            <v>99.4</v>
          </cell>
        </row>
        <row r="214">
          <cell r="A214">
            <v>38927</v>
          </cell>
          <cell r="C214">
            <v>94</v>
          </cell>
          <cell r="D214" t="str">
            <v>#N/A N/A</v>
          </cell>
          <cell r="E214" t="str">
            <v>#N/A N/A</v>
          </cell>
          <cell r="L214">
            <v>1297.07</v>
          </cell>
          <cell r="M214">
            <v>2094.14</v>
          </cell>
          <cell r="N214">
            <v>5974.9</v>
          </cell>
          <cell r="O214">
            <v>3892</v>
          </cell>
          <cell r="Q214">
            <v>610</v>
          </cell>
          <cell r="R214">
            <v>237.25</v>
          </cell>
          <cell r="S214">
            <v>388.5</v>
          </cell>
          <cell r="T214">
            <v>576.5</v>
          </cell>
          <cell r="U214">
            <v>15342.87</v>
          </cell>
          <cell r="V214">
            <v>16955.04</v>
          </cell>
          <cell r="W214">
            <v>6480.07</v>
          </cell>
          <cell r="X214">
            <v>69.150000000000006</v>
          </cell>
          <cell r="Y214">
            <v>1250</v>
          </cell>
          <cell r="Z214">
            <v>1320</v>
          </cell>
          <cell r="AA214">
            <v>10680.23</v>
          </cell>
          <cell r="AB214">
            <v>4932.7</v>
          </cell>
          <cell r="AC214">
            <v>37381.058599999997</v>
          </cell>
          <cell r="AE214">
            <v>88.5</v>
          </cell>
          <cell r="AF214">
            <v>699.12</v>
          </cell>
          <cell r="AG214">
            <v>3260</v>
          </cell>
          <cell r="AH214">
            <v>900</v>
          </cell>
          <cell r="AI214">
            <v>1580</v>
          </cell>
          <cell r="AJ214">
            <v>556.69000000000005</v>
          </cell>
          <cell r="AL214">
            <v>1278.55</v>
          </cell>
          <cell r="AP214">
            <v>1662.0309999999999</v>
          </cell>
          <cell r="AV214">
            <v>45.6</v>
          </cell>
          <cell r="AZ214">
            <v>271.3</v>
          </cell>
          <cell r="BE214">
            <v>25975</v>
          </cell>
          <cell r="BG214">
            <v>53</v>
          </cell>
          <cell r="BH214">
            <v>263.89999999999998</v>
          </cell>
          <cell r="BY214">
            <v>412.21</v>
          </cell>
          <cell r="CD214">
            <v>327.24</v>
          </cell>
          <cell r="CE214">
            <v>325.39299999999997</v>
          </cell>
          <cell r="CF214">
            <v>301.62</v>
          </cell>
          <cell r="CG214">
            <v>1320</v>
          </cell>
          <cell r="CH214">
            <v>1270</v>
          </cell>
          <cell r="CI214" t="str">
            <v>#N/A N/A</v>
          </cell>
          <cell r="CJ214">
            <v>360</v>
          </cell>
          <cell r="CK214">
            <v>1436</v>
          </cell>
          <cell r="CM214">
            <v>233.8</v>
          </cell>
          <cell r="CN214">
            <v>18.18</v>
          </cell>
          <cell r="CO214" t="str">
            <v>#N/A N/A</v>
          </cell>
          <cell r="CQ214">
            <v>7.25</v>
          </cell>
          <cell r="CR214">
            <v>47.25</v>
          </cell>
          <cell r="CS214">
            <v>1069</v>
          </cell>
          <cell r="CU214">
            <v>1505</v>
          </cell>
          <cell r="CW214">
            <v>51.981707317073173</v>
          </cell>
          <cell r="CX214">
            <v>637.4</v>
          </cell>
          <cell r="CZ214">
            <v>343.83</v>
          </cell>
          <cell r="DA214">
            <v>3630.9</v>
          </cell>
          <cell r="DB214">
            <v>15</v>
          </cell>
          <cell r="DC214">
            <v>347.25</v>
          </cell>
          <cell r="DD214">
            <v>99.4</v>
          </cell>
        </row>
        <row r="215">
          <cell r="A215">
            <v>38928</v>
          </cell>
          <cell r="C215">
            <v>94</v>
          </cell>
          <cell r="D215" t="str">
            <v>#N/A N/A</v>
          </cell>
          <cell r="E215" t="str">
            <v>#N/A N/A</v>
          </cell>
          <cell r="L215">
            <v>1297.07</v>
          </cell>
          <cell r="M215">
            <v>2094.14</v>
          </cell>
          <cell r="N215">
            <v>5974.9</v>
          </cell>
          <cell r="O215">
            <v>3892</v>
          </cell>
          <cell r="Q215">
            <v>610</v>
          </cell>
          <cell r="R215">
            <v>237.25</v>
          </cell>
          <cell r="S215">
            <v>388.5</v>
          </cell>
          <cell r="T215">
            <v>576.5</v>
          </cell>
          <cell r="U215">
            <v>15342.87</v>
          </cell>
          <cell r="V215">
            <v>16955.04</v>
          </cell>
          <cell r="W215">
            <v>6480.07</v>
          </cell>
          <cell r="X215">
            <v>69.150000000000006</v>
          </cell>
          <cell r="Y215">
            <v>1250</v>
          </cell>
          <cell r="Z215">
            <v>1320</v>
          </cell>
          <cell r="AA215">
            <v>10680.23</v>
          </cell>
          <cell r="AB215">
            <v>4932.7</v>
          </cell>
          <cell r="AC215">
            <v>37381.058599999997</v>
          </cell>
          <cell r="AE215">
            <v>88.5</v>
          </cell>
          <cell r="AF215">
            <v>699.12</v>
          </cell>
          <cell r="AG215">
            <v>3260</v>
          </cell>
          <cell r="AH215">
            <v>900</v>
          </cell>
          <cell r="AI215">
            <v>1580</v>
          </cell>
          <cell r="AJ215">
            <v>556.69000000000005</v>
          </cell>
          <cell r="AL215">
            <v>1278.55</v>
          </cell>
          <cell r="AP215">
            <v>1662.0309999999999</v>
          </cell>
          <cell r="AV215">
            <v>45.6</v>
          </cell>
          <cell r="AZ215">
            <v>271.3</v>
          </cell>
          <cell r="BE215">
            <v>25975</v>
          </cell>
          <cell r="BG215">
            <v>53</v>
          </cell>
          <cell r="BH215">
            <v>263.89999999999998</v>
          </cell>
          <cell r="BY215">
            <v>412.21</v>
          </cell>
          <cell r="CD215">
            <v>327.24</v>
          </cell>
          <cell r="CE215">
            <v>325.39299999999997</v>
          </cell>
          <cell r="CF215">
            <v>301.62</v>
          </cell>
          <cell r="CG215">
            <v>1320</v>
          </cell>
          <cell r="CH215">
            <v>1270</v>
          </cell>
          <cell r="CI215" t="str">
            <v>#N/A N/A</v>
          </cell>
          <cell r="CJ215">
            <v>360</v>
          </cell>
          <cell r="CK215">
            <v>1436</v>
          </cell>
          <cell r="CM215">
            <v>233.8</v>
          </cell>
          <cell r="CN215">
            <v>18.18</v>
          </cell>
          <cell r="CO215" t="str">
            <v>#N/A N/A</v>
          </cell>
          <cell r="CQ215">
            <v>7.25</v>
          </cell>
          <cell r="CR215">
            <v>47.25</v>
          </cell>
          <cell r="CS215">
            <v>1069</v>
          </cell>
          <cell r="CU215">
            <v>1505</v>
          </cell>
          <cell r="CW215">
            <v>51.981707317073173</v>
          </cell>
          <cell r="CX215">
            <v>637.4</v>
          </cell>
          <cell r="CZ215">
            <v>343.83</v>
          </cell>
          <cell r="DA215">
            <v>3630.9</v>
          </cell>
          <cell r="DB215">
            <v>15</v>
          </cell>
          <cell r="DC215">
            <v>347.25</v>
          </cell>
          <cell r="DD215">
            <v>99.4</v>
          </cell>
        </row>
        <row r="216">
          <cell r="A216">
            <v>38929</v>
          </cell>
          <cell r="C216">
            <v>94</v>
          </cell>
          <cell r="D216" t="str">
            <v>#N/A N/A</v>
          </cell>
          <cell r="E216" t="str">
            <v>#N/A N/A</v>
          </cell>
          <cell r="L216">
            <v>1297.82</v>
          </cell>
          <cell r="M216">
            <v>2091.4699999999998</v>
          </cell>
          <cell r="N216">
            <v>5928.3</v>
          </cell>
          <cell r="O216">
            <v>3904</v>
          </cell>
          <cell r="Q216">
            <v>610</v>
          </cell>
          <cell r="R216">
            <v>239</v>
          </cell>
          <cell r="S216">
            <v>397.5</v>
          </cell>
          <cell r="T216">
            <v>579.5</v>
          </cell>
          <cell r="U216">
            <v>15456.81</v>
          </cell>
          <cell r="V216">
            <v>16971.34</v>
          </cell>
          <cell r="W216">
            <v>6454.58</v>
          </cell>
          <cell r="X216">
            <v>66.75</v>
          </cell>
          <cell r="Y216">
            <v>1250</v>
          </cell>
          <cell r="Z216">
            <v>1320</v>
          </cell>
          <cell r="AA216">
            <v>10743.88</v>
          </cell>
          <cell r="AB216">
            <v>4957.1000000000004</v>
          </cell>
          <cell r="AC216">
            <v>37077.121099999997</v>
          </cell>
          <cell r="AE216">
            <v>86.55</v>
          </cell>
          <cell r="AF216">
            <v>699.12</v>
          </cell>
          <cell r="AG216">
            <v>3285</v>
          </cell>
          <cell r="AH216">
            <v>900</v>
          </cell>
          <cell r="AI216">
            <v>1580</v>
          </cell>
          <cell r="AJ216">
            <v>557.66</v>
          </cell>
          <cell r="AL216">
            <v>1276.6600000000001</v>
          </cell>
          <cell r="AP216">
            <v>1612.7329999999999</v>
          </cell>
          <cell r="AV216">
            <v>45.15</v>
          </cell>
          <cell r="AZ216">
            <v>278.60000000000002</v>
          </cell>
          <cell r="BE216">
            <v>27175</v>
          </cell>
          <cell r="BG216">
            <v>53</v>
          </cell>
          <cell r="BH216">
            <v>273.64</v>
          </cell>
          <cell r="BY216">
            <v>412.76</v>
          </cell>
          <cell r="CD216">
            <v>327.04000000000002</v>
          </cell>
          <cell r="CE216">
            <v>325.16500000000002</v>
          </cell>
          <cell r="CF216">
            <v>301.88</v>
          </cell>
          <cell r="CG216">
            <v>1320</v>
          </cell>
          <cell r="CH216">
            <v>1270</v>
          </cell>
          <cell r="CI216" t="str">
            <v>#N/A N/A</v>
          </cell>
          <cell r="CJ216">
            <v>360</v>
          </cell>
          <cell r="CK216">
            <v>1400</v>
          </cell>
          <cell r="CM216">
            <v>234.96</v>
          </cell>
          <cell r="CN216">
            <v>18.52</v>
          </cell>
          <cell r="CO216" t="str">
            <v>#N/A N/A</v>
          </cell>
          <cell r="CQ216">
            <v>8.0500000000000007</v>
          </cell>
          <cell r="CR216">
            <v>47.25</v>
          </cell>
          <cell r="CS216">
            <v>1077.75</v>
          </cell>
          <cell r="CU216">
            <v>1505</v>
          </cell>
          <cell r="CW216">
            <v>51.371951219512198</v>
          </cell>
          <cell r="CX216">
            <v>638.29999999999995</v>
          </cell>
          <cell r="CZ216">
            <v>349.83</v>
          </cell>
          <cell r="DA216">
            <v>3743.2</v>
          </cell>
          <cell r="DB216">
            <v>15.56</v>
          </cell>
          <cell r="DC216">
            <v>347.25</v>
          </cell>
          <cell r="DD216">
            <v>99.35</v>
          </cell>
        </row>
        <row r="217">
          <cell r="A217">
            <v>38930</v>
          </cell>
          <cell r="C217">
            <v>94</v>
          </cell>
          <cell r="D217" t="str">
            <v>#N/A N/A</v>
          </cell>
          <cell r="E217" t="str">
            <v>#N/A N/A</v>
          </cell>
          <cell r="L217">
            <v>1287.3599999999999</v>
          </cell>
          <cell r="M217">
            <v>2061.9899999999998</v>
          </cell>
          <cell r="N217">
            <v>5880.8</v>
          </cell>
          <cell r="O217">
            <v>3914</v>
          </cell>
          <cell r="Q217">
            <v>610</v>
          </cell>
          <cell r="R217">
            <v>240.5</v>
          </cell>
          <cell r="S217">
            <v>392.5</v>
          </cell>
          <cell r="T217">
            <v>579.25</v>
          </cell>
          <cell r="U217">
            <v>15440.91</v>
          </cell>
          <cell r="V217">
            <v>16911.37</v>
          </cell>
          <cell r="W217">
            <v>6441.46</v>
          </cell>
          <cell r="X217">
            <v>69.25</v>
          </cell>
          <cell r="Y217">
            <v>1250</v>
          </cell>
          <cell r="Z217">
            <v>1320</v>
          </cell>
          <cell r="AA217">
            <v>10751.66</v>
          </cell>
          <cell r="AB217">
            <v>4953.8999999999996</v>
          </cell>
          <cell r="AC217">
            <v>36839.308599999997</v>
          </cell>
          <cell r="AE217">
            <v>87.55</v>
          </cell>
          <cell r="AF217">
            <v>702.46</v>
          </cell>
          <cell r="AG217">
            <v>3337</v>
          </cell>
          <cell r="AH217">
            <v>900</v>
          </cell>
          <cell r="AI217">
            <v>1580</v>
          </cell>
          <cell r="AJ217">
            <v>550.21</v>
          </cell>
          <cell r="AL217">
            <v>1270.92</v>
          </cell>
          <cell r="AP217">
            <v>1600.614</v>
          </cell>
          <cell r="AV217">
            <v>44</v>
          </cell>
          <cell r="AZ217">
            <v>274.2</v>
          </cell>
          <cell r="BE217">
            <v>27800</v>
          </cell>
          <cell r="BG217">
            <v>53</v>
          </cell>
          <cell r="BH217">
            <v>274.44</v>
          </cell>
          <cell r="BY217">
            <v>404.53</v>
          </cell>
          <cell r="CD217">
            <v>324.85000000000002</v>
          </cell>
          <cell r="CE217">
            <v>323.06400000000002</v>
          </cell>
          <cell r="CF217">
            <v>299.98</v>
          </cell>
          <cell r="CG217">
            <v>1320</v>
          </cell>
          <cell r="CH217">
            <v>1270</v>
          </cell>
          <cell r="CI217" t="str">
            <v>#N/A N/A</v>
          </cell>
          <cell r="CJ217">
            <v>360</v>
          </cell>
          <cell r="CK217">
            <v>1367</v>
          </cell>
          <cell r="CM217">
            <v>237.24</v>
          </cell>
          <cell r="CN217">
            <v>18.649999999999999</v>
          </cell>
          <cell r="CO217" t="str">
            <v>#N/A N/A</v>
          </cell>
          <cell r="CQ217">
            <v>8.6300000000000008</v>
          </cell>
          <cell r="CR217">
            <v>47.25</v>
          </cell>
          <cell r="CS217">
            <v>1102.25</v>
          </cell>
          <cell r="CU217">
            <v>1505</v>
          </cell>
          <cell r="CW217">
            <v>51.676829268292686</v>
          </cell>
          <cell r="CX217">
            <v>640.85</v>
          </cell>
          <cell r="CZ217">
            <v>349.56</v>
          </cell>
          <cell r="DA217">
            <v>3692.3</v>
          </cell>
          <cell r="DB217">
            <v>15.47</v>
          </cell>
          <cell r="DC217">
            <v>321.95</v>
          </cell>
          <cell r="DD217">
            <v>98.3</v>
          </cell>
        </row>
        <row r="218">
          <cell r="A218">
            <v>38931</v>
          </cell>
          <cell r="C218">
            <v>94</v>
          </cell>
          <cell r="D218" t="str">
            <v>#N/A N/A</v>
          </cell>
          <cell r="E218" t="str">
            <v>#N/A N/A</v>
          </cell>
          <cell r="L218">
            <v>1295.1099999999999</v>
          </cell>
          <cell r="M218">
            <v>2078.81</v>
          </cell>
          <cell r="N218">
            <v>5932.1</v>
          </cell>
          <cell r="O218">
            <v>3921</v>
          </cell>
          <cell r="Q218">
            <v>610</v>
          </cell>
          <cell r="R218">
            <v>247.25</v>
          </cell>
          <cell r="S218">
            <v>401.5</v>
          </cell>
          <cell r="T218">
            <v>587.25</v>
          </cell>
          <cell r="U218">
            <v>15464.29</v>
          </cell>
          <cell r="V218">
            <v>17032.75</v>
          </cell>
          <cell r="W218">
            <v>6471.42</v>
          </cell>
          <cell r="X218">
            <v>71.25</v>
          </cell>
          <cell r="Y218">
            <v>1250</v>
          </cell>
          <cell r="Z218">
            <v>1320</v>
          </cell>
          <cell r="AA218">
            <v>10876.19</v>
          </cell>
          <cell r="AB218">
            <v>4906.6000000000004</v>
          </cell>
          <cell r="AC218">
            <v>37288.398399999998</v>
          </cell>
          <cell r="AE218">
            <v>89.15</v>
          </cell>
          <cell r="AF218">
            <v>702.46</v>
          </cell>
          <cell r="AG218">
            <v>3450</v>
          </cell>
          <cell r="AH218">
            <v>900</v>
          </cell>
          <cell r="AI218">
            <v>1580</v>
          </cell>
          <cell r="AJ218">
            <v>551.44000000000005</v>
          </cell>
          <cell r="AL218">
            <v>1278.55</v>
          </cell>
          <cell r="AP218">
            <v>1600.8720000000001</v>
          </cell>
          <cell r="AV218">
            <v>44.61</v>
          </cell>
          <cell r="AZ218">
            <v>278.10000000000002</v>
          </cell>
          <cell r="BE218">
            <v>27775</v>
          </cell>
          <cell r="BG218">
            <v>53</v>
          </cell>
          <cell r="BH218">
            <v>278.58</v>
          </cell>
          <cell r="BY218">
            <v>408.76</v>
          </cell>
          <cell r="CD218">
            <v>327.83</v>
          </cell>
          <cell r="CE218">
            <v>326.00599999999997</v>
          </cell>
          <cell r="CF218">
            <v>300.82</v>
          </cell>
          <cell r="CG218">
            <v>1320</v>
          </cell>
          <cell r="CH218">
            <v>1270</v>
          </cell>
          <cell r="CI218" t="str">
            <v>#N/A N/A</v>
          </cell>
          <cell r="CJ218">
            <v>360</v>
          </cell>
          <cell r="CK218">
            <v>1330</v>
          </cell>
          <cell r="CM218">
            <v>241.24</v>
          </cell>
          <cell r="CN218">
            <v>18.72</v>
          </cell>
          <cell r="CO218" t="str">
            <v>#N/A N/A</v>
          </cell>
          <cell r="CQ218">
            <v>8.65</v>
          </cell>
          <cell r="CR218">
            <v>47.25</v>
          </cell>
          <cell r="CS218">
            <v>1136</v>
          </cell>
          <cell r="CU218">
            <v>1505</v>
          </cell>
          <cell r="CW218">
            <v>51.676829268292686</v>
          </cell>
          <cell r="CX218">
            <v>639.85</v>
          </cell>
          <cell r="CZ218">
            <v>353.69</v>
          </cell>
          <cell r="DA218">
            <v>3709.9</v>
          </cell>
          <cell r="DB218">
            <v>15.12</v>
          </cell>
          <cell r="DC218">
            <v>328.95</v>
          </cell>
          <cell r="DD218">
            <v>103.7</v>
          </cell>
        </row>
        <row r="219">
          <cell r="A219">
            <v>38932</v>
          </cell>
          <cell r="C219">
            <v>94</v>
          </cell>
          <cell r="D219" t="str">
            <v>#N/A N/A</v>
          </cell>
          <cell r="E219" t="str">
            <v>#N/A N/A</v>
          </cell>
          <cell r="L219">
            <v>1292.05</v>
          </cell>
          <cell r="M219">
            <v>2092.34</v>
          </cell>
          <cell r="N219">
            <v>5838.4</v>
          </cell>
          <cell r="O219">
            <v>3921</v>
          </cell>
          <cell r="Q219">
            <v>610</v>
          </cell>
          <cell r="R219">
            <v>245</v>
          </cell>
          <cell r="S219">
            <v>395.25</v>
          </cell>
          <cell r="T219">
            <v>581.5</v>
          </cell>
          <cell r="U219">
            <v>15470.37</v>
          </cell>
          <cell r="V219">
            <v>17048.419999999998</v>
          </cell>
          <cell r="W219">
            <v>6462.32</v>
          </cell>
          <cell r="X219">
            <v>70.75</v>
          </cell>
          <cell r="Y219">
            <v>1250</v>
          </cell>
          <cell r="Z219">
            <v>1320</v>
          </cell>
          <cell r="AA219">
            <v>10923.16</v>
          </cell>
          <cell r="AB219">
            <v>4966.2</v>
          </cell>
          <cell r="AC219">
            <v>37451.191400000003</v>
          </cell>
          <cell r="AE219">
            <v>89.55</v>
          </cell>
          <cell r="AF219">
            <v>702.46</v>
          </cell>
          <cell r="AG219">
            <v>3560</v>
          </cell>
          <cell r="AH219">
            <v>900</v>
          </cell>
          <cell r="AI219">
            <v>1580</v>
          </cell>
          <cell r="AJ219">
            <v>546.15</v>
          </cell>
          <cell r="AL219">
            <v>1280.27</v>
          </cell>
          <cell r="AP219">
            <v>1601.058</v>
          </cell>
          <cell r="AV219">
            <v>44.47</v>
          </cell>
          <cell r="AZ219">
            <v>275.3</v>
          </cell>
          <cell r="BE219">
            <v>26425</v>
          </cell>
          <cell r="BG219">
            <v>53</v>
          </cell>
          <cell r="BH219">
            <v>277.41000000000003</v>
          </cell>
          <cell r="BY219">
            <v>415.03</v>
          </cell>
          <cell r="CD219">
            <v>327.02999999999997</v>
          </cell>
          <cell r="CE219">
            <v>325.13</v>
          </cell>
          <cell r="CF219">
            <v>300.98</v>
          </cell>
          <cell r="CG219">
            <v>1320</v>
          </cell>
          <cell r="CH219">
            <v>1270</v>
          </cell>
          <cell r="CI219" t="str">
            <v>#N/A N/A</v>
          </cell>
          <cell r="CJ219">
            <v>360</v>
          </cell>
          <cell r="CK219">
            <v>1317</v>
          </cell>
          <cell r="CM219">
            <v>236.54</v>
          </cell>
          <cell r="CN219">
            <v>17.73</v>
          </cell>
          <cell r="CO219" t="str">
            <v>#N/A N/A</v>
          </cell>
          <cell r="CQ219">
            <v>7.6</v>
          </cell>
          <cell r="CR219">
            <v>47.25</v>
          </cell>
          <cell r="CS219">
            <v>1111.25</v>
          </cell>
          <cell r="CU219">
            <v>1505</v>
          </cell>
          <cell r="CW219">
            <v>51.676829268292686</v>
          </cell>
          <cell r="CX219">
            <v>640.04999999999995</v>
          </cell>
          <cell r="CZ219">
            <v>349.93</v>
          </cell>
          <cell r="DA219">
            <v>3576.5</v>
          </cell>
          <cell r="DB219">
            <v>14.88</v>
          </cell>
          <cell r="DC219">
            <v>324.64999999999998</v>
          </cell>
          <cell r="DD219">
            <v>105.85</v>
          </cell>
        </row>
        <row r="220">
          <cell r="A220">
            <v>38933</v>
          </cell>
          <cell r="C220">
            <v>94</v>
          </cell>
          <cell r="D220" t="str">
            <v>#N/A N/A</v>
          </cell>
          <cell r="E220" t="str">
            <v>#N/A N/A</v>
          </cell>
          <cell r="L220">
            <v>1304.51</v>
          </cell>
          <cell r="M220">
            <v>2085.0500000000002</v>
          </cell>
          <cell r="N220">
            <v>5889.4</v>
          </cell>
          <cell r="O220">
            <v>3921</v>
          </cell>
          <cell r="Q220">
            <v>610</v>
          </cell>
          <cell r="R220">
            <v>245</v>
          </cell>
          <cell r="S220">
            <v>396</v>
          </cell>
          <cell r="T220">
            <v>582</v>
          </cell>
          <cell r="U220">
            <v>15499.18</v>
          </cell>
          <cell r="V220">
            <v>16887.8</v>
          </cell>
          <cell r="W220">
            <v>6442.61</v>
          </cell>
          <cell r="X220">
            <v>70.45</v>
          </cell>
          <cell r="Y220">
            <v>1260</v>
          </cell>
          <cell r="Z220">
            <v>1350</v>
          </cell>
          <cell r="AA220">
            <v>10866.51</v>
          </cell>
          <cell r="AB220">
            <v>4926.1000000000004</v>
          </cell>
          <cell r="AC220">
            <v>37847.878900000003</v>
          </cell>
          <cell r="AE220">
            <v>90.1</v>
          </cell>
          <cell r="AF220">
            <v>702.46</v>
          </cell>
          <cell r="AG220">
            <v>3617</v>
          </cell>
          <cell r="AH220">
            <v>910</v>
          </cell>
          <cell r="AI220">
            <v>1610</v>
          </cell>
          <cell r="AJ220">
            <v>549.75</v>
          </cell>
          <cell r="AL220">
            <v>1279.3599999999999</v>
          </cell>
          <cell r="AP220">
            <v>1570.15</v>
          </cell>
          <cell r="AV220">
            <v>44.77</v>
          </cell>
          <cell r="AZ220">
            <v>268.2</v>
          </cell>
          <cell r="BE220">
            <v>27775</v>
          </cell>
          <cell r="BG220">
            <v>51.95</v>
          </cell>
          <cell r="BH220">
            <v>272.33</v>
          </cell>
          <cell r="BY220">
            <v>411.03</v>
          </cell>
          <cell r="CD220">
            <v>329.21</v>
          </cell>
          <cell r="CE220">
            <v>327.238</v>
          </cell>
          <cell r="CF220">
            <v>301.45</v>
          </cell>
          <cell r="CG220">
            <v>1350</v>
          </cell>
          <cell r="CH220">
            <v>1270</v>
          </cell>
          <cell r="CI220" t="str">
            <v>#N/A N/A</v>
          </cell>
          <cell r="CJ220">
            <v>360</v>
          </cell>
          <cell r="CK220">
            <v>1301</v>
          </cell>
          <cell r="CM220">
            <v>232.05</v>
          </cell>
          <cell r="CN220">
            <v>16.89</v>
          </cell>
          <cell r="CO220" t="str">
            <v>#N/A N/A</v>
          </cell>
          <cell r="CQ220">
            <v>7.44</v>
          </cell>
          <cell r="CR220">
            <v>47.25</v>
          </cell>
          <cell r="CS220">
            <v>1131.75</v>
          </cell>
          <cell r="CU220">
            <v>1505</v>
          </cell>
          <cell r="CW220">
            <v>51.524390243902445</v>
          </cell>
          <cell r="CX220">
            <v>644.70000000000005</v>
          </cell>
          <cell r="CZ220">
            <v>350.05</v>
          </cell>
          <cell r="DA220">
            <v>3713.7</v>
          </cell>
          <cell r="DB220">
            <v>15.02</v>
          </cell>
          <cell r="DC220">
            <v>327.5</v>
          </cell>
          <cell r="DD220">
            <v>105.45</v>
          </cell>
        </row>
        <row r="221">
          <cell r="A221">
            <v>38934</v>
          </cell>
          <cell r="C221">
            <v>94</v>
          </cell>
          <cell r="D221" t="str">
            <v>#N/A N/A</v>
          </cell>
          <cell r="E221" t="str">
            <v>#N/A N/A</v>
          </cell>
          <cell r="L221">
            <v>1304.51</v>
          </cell>
          <cell r="M221">
            <v>2085.0500000000002</v>
          </cell>
          <cell r="N221">
            <v>5889.4</v>
          </cell>
          <cell r="O221">
            <v>3921</v>
          </cell>
          <cell r="Q221">
            <v>610</v>
          </cell>
          <cell r="R221">
            <v>245</v>
          </cell>
          <cell r="S221">
            <v>396</v>
          </cell>
          <cell r="T221">
            <v>582</v>
          </cell>
          <cell r="U221">
            <v>15499.18</v>
          </cell>
          <cell r="V221">
            <v>16887.8</v>
          </cell>
          <cell r="W221">
            <v>6442.61</v>
          </cell>
          <cell r="X221">
            <v>70.45</v>
          </cell>
          <cell r="Y221">
            <v>1260</v>
          </cell>
          <cell r="Z221">
            <v>1350</v>
          </cell>
          <cell r="AA221">
            <v>10866.51</v>
          </cell>
          <cell r="AB221">
            <v>4926.1000000000004</v>
          </cell>
          <cell r="AC221">
            <v>37847.878900000003</v>
          </cell>
          <cell r="AE221">
            <v>90.1</v>
          </cell>
          <cell r="AF221">
            <v>702.46</v>
          </cell>
          <cell r="AG221">
            <v>3617</v>
          </cell>
          <cell r="AH221">
            <v>910</v>
          </cell>
          <cell r="AI221">
            <v>1610</v>
          </cell>
          <cell r="AJ221">
            <v>549.75</v>
          </cell>
          <cell r="AL221">
            <v>1279.3599999999999</v>
          </cell>
          <cell r="AP221">
            <v>1570.15</v>
          </cell>
          <cell r="AV221">
            <v>44.77</v>
          </cell>
          <cell r="AZ221">
            <v>268.2</v>
          </cell>
          <cell r="BE221">
            <v>27775</v>
          </cell>
          <cell r="BG221">
            <v>51.95</v>
          </cell>
          <cell r="BH221">
            <v>272.33</v>
          </cell>
          <cell r="BY221">
            <v>411.03</v>
          </cell>
          <cell r="CD221">
            <v>329.21</v>
          </cell>
          <cell r="CE221">
            <v>327.238</v>
          </cell>
          <cell r="CF221">
            <v>301.45</v>
          </cell>
          <cell r="CG221">
            <v>1350</v>
          </cell>
          <cell r="CH221">
            <v>1270</v>
          </cell>
          <cell r="CI221" t="str">
            <v>#N/A N/A</v>
          </cell>
          <cell r="CJ221">
            <v>360</v>
          </cell>
          <cell r="CK221">
            <v>1301</v>
          </cell>
          <cell r="CM221">
            <v>232.05</v>
          </cell>
          <cell r="CN221">
            <v>16.89</v>
          </cell>
          <cell r="CO221" t="str">
            <v>#N/A N/A</v>
          </cell>
          <cell r="CQ221">
            <v>7.44</v>
          </cell>
          <cell r="CR221">
            <v>47.25</v>
          </cell>
          <cell r="CS221">
            <v>1131.75</v>
          </cell>
          <cell r="CU221">
            <v>1505</v>
          </cell>
          <cell r="CW221">
            <v>51.524390243902445</v>
          </cell>
          <cell r="CX221">
            <v>644.70000000000005</v>
          </cell>
          <cell r="CZ221">
            <v>350.05</v>
          </cell>
          <cell r="DA221">
            <v>3713.7</v>
          </cell>
          <cell r="DB221">
            <v>15.02</v>
          </cell>
          <cell r="DC221">
            <v>327.5</v>
          </cell>
          <cell r="DD221">
            <v>105.45</v>
          </cell>
        </row>
        <row r="222">
          <cell r="A222">
            <v>38935</v>
          </cell>
          <cell r="C222">
            <v>94</v>
          </cell>
          <cell r="D222" t="str">
            <v>#N/A N/A</v>
          </cell>
          <cell r="E222" t="str">
            <v>#N/A N/A</v>
          </cell>
          <cell r="L222">
            <v>1304.51</v>
          </cell>
          <cell r="M222">
            <v>2085.0500000000002</v>
          </cell>
          <cell r="N222">
            <v>5889.4</v>
          </cell>
          <cell r="O222">
            <v>3921</v>
          </cell>
          <cell r="Q222">
            <v>610</v>
          </cell>
          <cell r="R222">
            <v>245</v>
          </cell>
          <cell r="S222">
            <v>396</v>
          </cell>
          <cell r="T222">
            <v>582</v>
          </cell>
          <cell r="U222">
            <v>15499.18</v>
          </cell>
          <cell r="V222">
            <v>16887.8</v>
          </cell>
          <cell r="W222">
            <v>6442.61</v>
          </cell>
          <cell r="X222">
            <v>70.45</v>
          </cell>
          <cell r="Y222">
            <v>1260</v>
          </cell>
          <cell r="Z222">
            <v>1350</v>
          </cell>
          <cell r="AA222">
            <v>10866.51</v>
          </cell>
          <cell r="AB222">
            <v>4926.1000000000004</v>
          </cell>
          <cell r="AC222">
            <v>37847.878900000003</v>
          </cell>
          <cell r="AE222">
            <v>90.1</v>
          </cell>
          <cell r="AF222">
            <v>702.46</v>
          </cell>
          <cell r="AG222">
            <v>3617</v>
          </cell>
          <cell r="AH222">
            <v>910</v>
          </cell>
          <cell r="AI222">
            <v>1610</v>
          </cell>
          <cell r="AJ222">
            <v>549.75</v>
          </cell>
          <cell r="AL222">
            <v>1279.3599999999999</v>
          </cell>
          <cell r="AP222">
            <v>1570.15</v>
          </cell>
          <cell r="AV222">
            <v>44.77</v>
          </cell>
          <cell r="AZ222">
            <v>268.2</v>
          </cell>
          <cell r="BE222">
            <v>27775</v>
          </cell>
          <cell r="BG222">
            <v>51.95</v>
          </cell>
          <cell r="BH222">
            <v>272.33</v>
          </cell>
          <cell r="BY222">
            <v>411.03</v>
          </cell>
          <cell r="CD222">
            <v>329.21</v>
          </cell>
          <cell r="CE222">
            <v>327.238</v>
          </cell>
          <cell r="CF222">
            <v>301.45</v>
          </cell>
          <cell r="CG222">
            <v>1350</v>
          </cell>
          <cell r="CH222">
            <v>1270</v>
          </cell>
          <cell r="CI222" t="str">
            <v>#N/A N/A</v>
          </cell>
          <cell r="CJ222">
            <v>360</v>
          </cell>
          <cell r="CK222">
            <v>1301</v>
          </cell>
          <cell r="CM222">
            <v>232.05</v>
          </cell>
          <cell r="CN222">
            <v>16.89</v>
          </cell>
          <cell r="CO222" t="str">
            <v>#N/A N/A</v>
          </cell>
          <cell r="CQ222">
            <v>7.44</v>
          </cell>
          <cell r="CR222">
            <v>47.25</v>
          </cell>
          <cell r="CS222">
            <v>1131.75</v>
          </cell>
          <cell r="CU222">
            <v>1505</v>
          </cell>
          <cell r="CW222">
            <v>51.524390243902445</v>
          </cell>
          <cell r="CX222">
            <v>644.70000000000005</v>
          </cell>
          <cell r="CZ222">
            <v>350.05</v>
          </cell>
          <cell r="DA222">
            <v>3713.7</v>
          </cell>
          <cell r="DB222">
            <v>15.02</v>
          </cell>
          <cell r="DC222">
            <v>327.5</v>
          </cell>
          <cell r="DD222">
            <v>105.45</v>
          </cell>
        </row>
        <row r="223">
          <cell r="A223">
            <v>38936</v>
          </cell>
          <cell r="C223">
            <v>94</v>
          </cell>
          <cell r="D223" t="str">
            <v>#N/A N/A</v>
          </cell>
          <cell r="E223" t="str">
            <v>#N/A N/A</v>
          </cell>
          <cell r="L223">
            <v>1289.54</v>
          </cell>
          <cell r="M223">
            <v>2072.5</v>
          </cell>
          <cell r="N223">
            <v>5828.8</v>
          </cell>
          <cell r="O223">
            <v>3921</v>
          </cell>
          <cell r="Q223">
            <v>610</v>
          </cell>
          <cell r="R223">
            <v>239.75</v>
          </cell>
          <cell r="S223">
            <v>393</v>
          </cell>
          <cell r="T223">
            <v>567.25</v>
          </cell>
          <cell r="U223">
            <v>15154.06</v>
          </cell>
          <cell r="V223">
            <v>16953.55</v>
          </cell>
          <cell r="W223">
            <v>6416.61</v>
          </cell>
          <cell r="X223">
            <v>70.25</v>
          </cell>
          <cell r="Y223">
            <v>1260</v>
          </cell>
          <cell r="Z223">
            <v>1350</v>
          </cell>
          <cell r="AA223">
            <v>10812.64</v>
          </cell>
          <cell r="AB223">
            <v>4933.5</v>
          </cell>
          <cell r="AC223">
            <v>37697.550799999997</v>
          </cell>
          <cell r="AE223">
            <v>91.35</v>
          </cell>
          <cell r="AF223">
            <v>702.46</v>
          </cell>
          <cell r="AG223">
            <v>3654</v>
          </cell>
          <cell r="AH223">
            <v>910</v>
          </cell>
          <cell r="AI223">
            <v>1610</v>
          </cell>
          <cell r="AJ223">
            <v>544.84</v>
          </cell>
          <cell r="AL223">
            <v>1275.77</v>
          </cell>
          <cell r="AP223">
            <v>1547.4359999999999</v>
          </cell>
          <cell r="AV223">
            <v>44.35</v>
          </cell>
          <cell r="AZ223">
            <v>262.7</v>
          </cell>
          <cell r="BE223">
            <v>27500</v>
          </cell>
          <cell r="BG223">
            <v>51.95</v>
          </cell>
          <cell r="BH223">
            <v>272.16000000000003</v>
          </cell>
          <cell r="BY223">
            <v>408.53</v>
          </cell>
          <cell r="CD223">
            <v>326.55</v>
          </cell>
          <cell r="CE223">
            <v>324.47199999999998</v>
          </cell>
          <cell r="CF223">
            <v>300.95999999999998</v>
          </cell>
          <cell r="CG223">
            <v>1350</v>
          </cell>
          <cell r="CH223">
            <v>1270</v>
          </cell>
          <cell r="CI223" t="str">
            <v>#N/A N/A</v>
          </cell>
          <cell r="CJ223">
            <v>360</v>
          </cell>
          <cell r="CK223">
            <v>1284</v>
          </cell>
          <cell r="CM223">
            <v>232</v>
          </cell>
          <cell r="CN223">
            <v>17.59</v>
          </cell>
          <cell r="CO223" t="str">
            <v>#N/A N/A</v>
          </cell>
          <cell r="CQ223">
            <v>7.01</v>
          </cell>
          <cell r="CR223">
            <v>47.25</v>
          </cell>
          <cell r="CS223">
            <v>1156</v>
          </cell>
          <cell r="CU223">
            <v>1505</v>
          </cell>
          <cell r="CW223">
            <v>52.134146341463421</v>
          </cell>
          <cell r="CX223">
            <v>642.6</v>
          </cell>
          <cell r="CZ223">
            <v>351.95</v>
          </cell>
          <cell r="DA223">
            <v>3734.4</v>
          </cell>
          <cell r="DB223">
            <v>14.94</v>
          </cell>
          <cell r="DC223">
            <v>327.55</v>
          </cell>
          <cell r="DD223">
            <v>107.15</v>
          </cell>
        </row>
        <row r="224">
          <cell r="A224">
            <v>38937</v>
          </cell>
          <cell r="C224">
            <v>94</v>
          </cell>
          <cell r="D224" t="str">
            <v>#N/A N/A</v>
          </cell>
          <cell r="E224" t="str">
            <v>#N/A N/A</v>
          </cell>
          <cell r="L224">
            <v>1311.1</v>
          </cell>
          <cell r="M224">
            <v>2060.85</v>
          </cell>
          <cell r="N224">
            <v>5818.1</v>
          </cell>
          <cell r="O224">
            <v>3926</v>
          </cell>
          <cell r="Q224">
            <v>610</v>
          </cell>
          <cell r="R224">
            <v>235.75</v>
          </cell>
          <cell r="S224">
            <v>384</v>
          </cell>
          <cell r="T224">
            <v>562.5</v>
          </cell>
          <cell r="U224">
            <v>15464.66</v>
          </cell>
          <cell r="V224">
            <v>17048.2</v>
          </cell>
          <cell r="W224">
            <v>6502.14</v>
          </cell>
          <cell r="X224">
            <v>69.849999999999994</v>
          </cell>
          <cell r="Y224">
            <v>1260</v>
          </cell>
          <cell r="Z224">
            <v>1350</v>
          </cell>
          <cell r="AA224">
            <v>11014.97</v>
          </cell>
          <cell r="AB224">
            <v>4989.1000000000004</v>
          </cell>
          <cell r="AC224">
            <v>37600.441400000003</v>
          </cell>
          <cell r="AE224">
            <v>93</v>
          </cell>
          <cell r="AF224">
            <v>705.63</v>
          </cell>
          <cell r="AG224">
            <v>3679</v>
          </cell>
          <cell r="AH224">
            <v>910</v>
          </cell>
          <cell r="AI224">
            <v>1610</v>
          </cell>
          <cell r="AJ224">
            <v>546.48</v>
          </cell>
          <cell r="AL224">
            <v>1271.48</v>
          </cell>
          <cell r="AP224">
            <v>1580.577</v>
          </cell>
          <cell r="AV224">
            <v>44.55</v>
          </cell>
          <cell r="AZ224">
            <v>262.5</v>
          </cell>
          <cell r="BE224">
            <v>27450</v>
          </cell>
          <cell r="BG224">
            <v>51.95</v>
          </cell>
          <cell r="BH224">
            <v>267.67</v>
          </cell>
          <cell r="BY224">
            <v>405.72</v>
          </cell>
          <cell r="CD224">
            <v>326.63</v>
          </cell>
          <cell r="CE224">
            <v>324.43</v>
          </cell>
          <cell r="CF224">
            <v>304.52</v>
          </cell>
          <cell r="CG224">
            <v>1350</v>
          </cell>
          <cell r="CH224">
            <v>1270</v>
          </cell>
          <cell r="CI224" t="str">
            <v>#N/A N/A</v>
          </cell>
          <cell r="CJ224">
            <v>360</v>
          </cell>
          <cell r="CK224">
            <v>1283</v>
          </cell>
          <cell r="CM224">
            <v>227.2</v>
          </cell>
          <cell r="CN224">
            <v>17.739999999999998</v>
          </cell>
          <cell r="CO224" t="str">
            <v>#N/A N/A</v>
          </cell>
          <cell r="CQ224">
            <v>7.04</v>
          </cell>
          <cell r="CR224">
            <v>47.25</v>
          </cell>
          <cell r="CS224">
            <v>1182.5</v>
          </cell>
          <cell r="CU224">
            <v>1505</v>
          </cell>
          <cell r="CW224">
            <v>52.134146341463421</v>
          </cell>
          <cell r="CX224">
            <v>641.9</v>
          </cell>
          <cell r="CZ224">
            <v>350.73</v>
          </cell>
          <cell r="DA224">
            <v>3731.6</v>
          </cell>
          <cell r="DB224">
            <v>14.4</v>
          </cell>
          <cell r="DC224">
            <v>323.75</v>
          </cell>
          <cell r="DD224">
            <v>107.1</v>
          </cell>
        </row>
        <row r="225">
          <cell r="A225">
            <v>38938</v>
          </cell>
          <cell r="C225">
            <v>94</v>
          </cell>
          <cell r="D225" t="str">
            <v>#N/A N/A</v>
          </cell>
          <cell r="E225" t="str">
            <v>#N/A N/A</v>
          </cell>
          <cell r="L225">
            <v>1314.93</v>
          </cell>
          <cell r="M225">
            <v>2060.2800000000002</v>
          </cell>
          <cell r="N225">
            <v>5860.5</v>
          </cell>
          <cell r="O225">
            <v>3921</v>
          </cell>
          <cell r="Q225">
            <v>610</v>
          </cell>
          <cell r="R225">
            <v>239.75</v>
          </cell>
          <cell r="S225">
            <v>388</v>
          </cell>
          <cell r="T225">
            <v>566.5</v>
          </cell>
          <cell r="U225">
            <v>15656.59</v>
          </cell>
          <cell r="V225">
            <v>17346.580000000002</v>
          </cell>
          <cell r="W225">
            <v>6573.22</v>
          </cell>
          <cell r="X225">
            <v>69.849999999999994</v>
          </cell>
          <cell r="Y225">
            <v>1260</v>
          </cell>
          <cell r="Z225">
            <v>1350</v>
          </cell>
          <cell r="AA225">
            <v>11145.18</v>
          </cell>
          <cell r="AB225">
            <v>4929.7</v>
          </cell>
          <cell r="AC225">
            <v>37255.121099999997</v>
          </cell>
          <cell r="AE225">
            <v>93</v>
          </cell>
          <cell r="AF225">
            <v>705.63</v>
          </cell>
          <cell r="AG225">
            <v>3678</v>
          </cell>
          <cell r="AH225">
            <v>910</v>
          </cell>
          <cell r="AI225">
            <v>1610</v>
          </cell>
          <cell r="AJ225">
            <v>552.32000000000005</v>
          </cell>
          <cell r="AL225">
            <v>1265.95</v>
          </cell>
          <cell r="AP225">
            <v>1578.566</v>
          </cell>
          <cell r="AV225">
            <v>44.76</v>
          </cell>
          <cell r="AZ225">
            <v>264.3</v>
          </cell>
          <cell r="BE225">
            <v>27910</v>
          </cell>
          <cell r="BG225">
            <v>51.95</v>
          </cell>
          <cell r="BH225">
            <v>270.23</v>
          </cell>
          <cell r="BY225">
            <v>408.6</v>
          </cell>
          <cell r="CD225">
            <v>327.49</v>
          </cell>
          <cell r="CE225">
            <v>325.09800000000001</v>
          </cell>
          <cell r="CF225">
            <v>307.76</v>
          </cell>
          <cell r="CG225">
            <v>1350</v>
          </cell>
          <cell r="CH225">
            <v>1270</v>
          </cell>
          <cell r="CI225" t="str">
            <v>#N/A N/A</v>
          </cell>
          <cell r="CJ225">
            <v>360</v>
          </cell>
          <cell r="CK225">
            <v>1314</v>
          </cell>
          <cell r="CM225">
            <v>219.87</v>
          </cell>
          <cell r="CN225">
            <v>17.829999999999998</v>
          </cell>
          <cell r="CO225" t="str">
            <v>#N/A N/A</v>
          </cell>
          <cell r="CQ225">
            <v>7.62</v>
          </cell>
          <cell r="CR225">
            <v>47.5</v>
          </cell>
          <cell r="CS225">
            <v>1210.5</v>
          </cell>
          <cell r="CU225">
            <v>1505</v>
          </cell>
          <cell r="CW225">
            <v>52.134146341463421</v>
          </cell>
          <cell r="CX225">
            <v>644.35</v>
          </cell>
          <cell r="CZ225">
            <v>353.7</v>
          </cell>
          <cell r="DA225">
            <v>3794.4</v>
          </cell>
          <cell r="DB225">
            <v>14.7</v>
          </cell>
          <cell r="DC225">
            <v>326.7</v>
          </cell>
          <cell r="DD225">
            <v>107.65</v>
          </cell>
        </row>
        <row r="226">
          <cell r="A226">
            <v>38939</v>
          </cell>
          <cell r="C226">
            <v>94</v>
          </cell>
          <cell r="D226" t="str">
            <v>#N/A N/A</v>
          </cell>
          <cell r="E226" t="str">
            <v>#N/A N/A</v>
          </cell>
          <cell r="L226">
            <v>1304.31</v>
          </cell>
          <cell r="M226">
            <v>2071.7399999999998</v>
          </cell>
          <cell r="N226">
            <v>5823.4</v>
          </cell>
          <cell r="O226">
            <v>3921</v>
          </cell>
          <cell r="Q226">
            <v>610</v>
          </cell>
          <cell r="R226">
            <v>238.75</v>
          </cell>
          <cell r="S226">
            <v>386.5</v>
          </cell>
          <cell r="T226">
            <v>561.25</v>
          </cell>
          <cell r="U226">
            <v>15630.91</v>
          </cell>
          <cell r="V226">
            <v>17222.14</v>
          </cell>
          <cell r="W226">
            <v>6578.61</v>
          </cell>
          <cell r="X226">
            <v>68.75</v>
          </cell>
          <cell r="Y226">
            <v>1260</v>
          </cell>
          <cell r="Z226">
            <v>1350</v>
          </cell>
          <cell r="AA226">
            <v>11149.17</v>
          </cell>
          <cell r="AB226">
            <v>4922.2</v>
          </cell>
          <cell r="AC226">
            <v>37353.761700000003</v>
          </cell>
          <cell r="AE226">
            <v>91.35</v>
          </cell>
          <cell r="AF226">
            <v>705.63</v>
          </cell>
          <cell r="AG226">
            <v>3681</v>
          </cell>
          <cell r="AH226">
            <v>910</v>
          </cell>
          <cell r="AI226">
            <v>1610</v>
          </cell>
          <cell r="AJ226">
            <v>555.53</v>
          </cell>
          <cell r="AL226">
            <v>1271.81</v>
          </cell>
          <cell r="AP226">
            <v>1606.0650000000001</v>
          </cell>
          <cell r="AV226">
            <v>44.85</v>
          </cell>
          <cell r="AZ226">
            <v>268.10000000000002</v>
          </cell>
          <cell r="BE226">
            <v>27940</v>
          </cell>
          <cell r="BG226">
            <v>51.95</v>
          </cell>
          <cell r="BH226">
            <v>268.08</v>
          </cell>
          <cell r="BY226">
            <v>414.72</v>
          </cell>
          <cell r="CD226">
            <v>326.29000000000002</v>
          </cell>
          <cell r="CE226">
            <v>323.95100000000002</v>
          </cell>
          <cell r="CF226">
            <v>307.3</v>
          </cell>
          <cell r="CG226">
            <v>1350</v>
          </cell>
          <cell r="CH226">
            <v>1270</v>
          </cell>
          <cell r="CI226" t="str">
            <v>#N/A N/A</v>
          </cell>
          <cell r="CJ226">
            <v>360</v>
          </cell>
          <cell r="CK226">
            <v>1384</v>
          </cell>
          <cell r="CM226">
            <v>206.78</v>
          </cell>
          <cell r="CN226">
            <v>17.73</v>
          </cell>
          <cell r="CO226" t="str">
            <v>#N/A N/A</v>
          </cell>
          <cell r="CQ226">
            <v>7.94</v>
          </cell>
          <cell r="CR226">
            <v>47.5</v>
          </cell>
          <cell r="CS226">
            <v>1183</v>
          </cell>
          <cell r="CU226">
            <v>1505</v>
          </cell>
          <cell r="CW226">
            <v>51.676829268292686</v>
          </cell>
          <cell r="CX226">
            <v>638.65</v>
          </cell>
          <cell r="CZ226">
            <v>348.03</v>
          </cell>
          <cell r="DA226">
            <v>3720.9</v>
          </cell>
          <cell r="DB226">
            <v>14.37</v>
          </cell>
          <cell r="DC226">
            <v>322.75</v>
          </cell>
          <cell r="DD226">
            <v>105.55</v>
          </cell>
        </row>
        <row r="227">
          <cell r="A227">
            <v>38940</v>
          </cell>
          <cell r="C227">
            <v>94</v>
          </cell>
          <cell r="D227" t="str">
            <v>#N/A N/A</v>
          </cell>
          <cell r="E227" t="str">
            <v>#N/A N/A</v>
          </cell>
          <cell r="L227">
            <v>1292.0999999999999</v>
          </cell>
          <cell r="M227">
            <v>2057.71</v>
          </cell>
          <cell r="N227">
            <v>5820.1</v>
          </cell>
          <cell r="O227">
            <v>3928</v>
          </cell>
          <cell r="Q227">
            <v>600</v>
          </cell>
          <cell r="R227">
            <v>224.75</v>
          </cell>
          <cell r="S227">
            <v>373.75</v>
          </cell>
          <cell r="T227">
            <v>555.25</v>
          </cell>
          <cell r="U227">
            <v>15565.02</v>
          </cell>
          <cell r="V227">
            <v>17249.95</v>
          </cell>
          <cell r="W227">
            <v>6571.1</v>
          </cell>
          <cell r="X227">
            <v>69.5</v>
          </cell>
          <cell r="Y227">
            <v>1290</v>
          </cell>
          <cell r="Z227">
            <v>1365</v>
          </cell>
          <cell r="AA227">
            <v>11192.46</v>
          </cell>
          <cell r="AB227">
            <v>4918</v>
          </cell>
          <cell r="AC227">
            <v>36944.429700000001</v>
          </cell>
          <cell r="AE227">
            <v>89.15</v>
          </cell>
          <cell r="AF227">
            <v>705.63</v>
          </cell>
          <cell r="AG227">
            <v>3714</v>
          </cell>
          <cell r="AH227">
            <v>890</v>
          </cell>
          <cell r="AI227">
            <v>1620</v>
          </cell>
          <cell r="AJ227">
            <v>553.16999999999996</v>
          </cell>
          <cell r="AL227">
            <v>1266.74</v>
          </cell>
          <cell r="AP227">
            <v>1605.9259999999999</v>
          </cell>
          <cell r="AV227">
            <v>44</v>
          </cell>
          <cell r="AZ227">
            <v>264.2</v>
          </cell>
          <cell r="BE227">
            <v>28275</v>
          </cell>
          <cell r="BG227">
            <v>51.7</v>
          </cell>
          <cell r="BH227">
            <v>265.76</v>
          </cell>
          <cell r="BY227">
            <v>405.39</v>
          </cell>
          <cell r="CD227">
            <v>325.44</v>
          </cell>
          <cell r="CE227">
            <v>323.02600000000001</v>
          </cell>
          <cell r="CF227">
            <v>306.08999999999997</v>
          </cell>
          <cell r="CG227">
            <v>1370</v>
          </cell>
          <cell r="CH227">
            <v>1290</v>
          </cell>
          <cell r="CI227" t="str">
            <v>#N/A N/A</v>
          </cell>
          <cell r="CJ227">
            <v>360</v>
          </cell>
          <cell r="CK227">
            <v>1434</v>
          </cell>
          <cell r="CM227">
            <v>213.24</v>
          </cell>
          <cell r="CN227">
            <v>17.84</v>
          </cell>
          <cell r="CO227" t="str">
            <v>#N/A N/A</v>
          </cell>
          <cell r="CQ227">
            <v>7.54</v>
          </cell>
          <cell r="CR227">
            <v>47.5</v>
          </cell>
          <cell r="CS227">
            <v>1172</v>
          </cell>
          <cell r="CU227">
            <v>1530</v>
          </cell>
          <cell r="CW227">
            <v>50.152439024390247</v>
          </cell>
          <cell r="CX227">
            <v>636.6</v>
          </cell>
          <cell r="CZ227">
            <v>344.53</v>
          </cell>
          <cell r="DA227">
            <v>3624.1</v>
          </cell>
          <cell r="DB227">
            <v>13.86</v>
          </cell>
          <cell r="DC227">
            <v>322.3</v>
          </cell>
          <cell r="DD227">
            <v>104.3</v>
          </cell>
        </row>
        <row r="228">
          <cell r="A228">
            <v>38941</v>
          </cell>
          <cell r="C228">
            <v>94</v>
          </cell>
          <cell r="D228" t="str">
            <v>#N/A N/A</v>
          </cell>
          <cell r="E228" t="str">
            <v>#N/A N/A</v>
          </cell>
          <cell r="L228">
            <v>1292.0999999999999</v>
          </cell>
          <cell r="M228">
            <v>2057.71</v>
          </cell>
          <cell r="N228">
            <v>5820.1</v>
          </cell>
          <cell r="O228">
            <v>3928</v>
          </cell>
          <cell r="Q228">
            <v>600</v>
          </cell>
          <cell r="R228">
            <v>224.75</v>
          </cell>
          <cell r="S228">
            <v>373.75</v>
          </cell>
          <cell r="T228">
            <v>555.25</v>
          </cell>
          <cell r="U228">
            <v>15565.02</v>
          </cell>
          <cell r="V228">
            <v>17249.95</v>
          </cell>
          <cell r="W228">
            <v>6571.1</v>
          </cell>
          <cell r="X228">
            <v>69.5</v>
          </cell>
          <cell r="Y228">
            <v>1290</v>
          </cell>
          <cell r="Z228">
            <v>1365</v>
          </cell>
          <cell r="AA228">
            <v>11192.46</v>
          </cell>
          <cell r="AB228">
            <v>4918</v>
          </cell>
          <cell r="AC228">
            <v>36944.429700000001</v>
          </cell>
          <cell r="AE228">
            <v>89.15</v>
          </cell>
          <cell r="AF228">
            <v>705.63</v>
          </cell>
          <cell r="AG228">
            <v>3714</v>
          </cell>
          <cell r="AH228">
            <v>890</v>
          </cell>
          <cell r="AI228">
            <v>1620</v>
          </cell>
          <cell r="AJ228">
            <v>553.16999999999996</v>
          </cell>
          <cell r="AL228">
            <v>1266.74</v>
          </cell>
          <cell r="AP228">
            <v>1605.9259999999999</v>
          </cell>
          <cell r="AV228">
            <v>44</v>
          </cell>
          <cell r="AZ228">
            <v>264.2</v>
          </cell>
          <cell r="BE228">
            <v>28275</v>
          </cell>
          <cell r="BG228">
            <v>51.7</v>
          </cell>
          <cell r="BH228">
            <v>265.76</v>
          </cell>
          <cell r="BY228">
            <v>405.39</v>
          </cell>
          <cell r="CD228">
            <v>325.44</v>
          </cell>
          <cell r="CE228">
            <v>323.02600000000001</v>
          </cell>
          <cell r="CF228">
            <v>306.08999999999997</v>
          </cell>
          <cell r="CG228">
            <v>1370</v>
          </cell>
          <cell r="CH228">
            <v>1290</v>
          </cell>
          <cell r="CI228" t="str">
            <v>#N/A N/A</v>
          </cell>
          <cell r="CJ228">
            <v>360</v>
          </cell>
          <cell r="CK228">
            <v>1434</v>
          </cell>
          <cell r="CM228">
            <v>213.24</v>
          </cell>
          <cell r="CN228">
            <v>17.84</v>
          </cell>
          <cell r="CO228" t="str">
            <v>#N/A N/A</v>
          </cell>
          <cell r="CQ228">
            <v>7.54</v>
          </cell>
          <cell r="CR228">
            <v>47.5</v>
          </cell>
          <cell r="CS228">
            <v>1172</v>
          </cell>
          <cell r="CU228">
            <v>1530</v>
          </cell>
          <cell r="CW228">
            <v>50.152439024390247</v>
          </cell>
          <cell r="CX228">
            <v>636.6</v>
          </cell>
          <cell r="CZ228">
            <v>344.53</v>
          </cell>
          <cell r="DA228">
            <v>3624.1</v>
          </cell>
          <cell r="DB228">
            <v>13.86</v>
          </cell>
          <cell r="DC228">
            <v>322.3</v>
          </cell>
          <cell r="DD228">
            <v>104.3</v>
          </cell>
        </row>
        <row r="229">
          <cell r="A229">
            <v>38942</v>
          </cell>
          <cell r="C229">
            <v>94</v>
          </cell>
          <cell r="D229" t="str">
            <v>#N/A N/A</v>
          </cell>
          <cell r="E229" t="str">
            <v>#N/A N/A</v>
          </cell>
          <cell r="L229">
            <v>1292.0999999999999</v>
          </cell>
          <cell r="M229">
            <v>2057.71</v>
          </cell>
          <cell r="N229">
            <v>5820.1</v>
          </cell>
          <cell r="O229">
            <v>3928</v>
          </cell>
          <cell r="Q229">
            <v>600</v>
          </cell>
          <cell r="R229">
            <v>224.75</v>
          </cell>
          <cell r="S229">
            <v>373.75</v>
          </cell>
          <cell r="T229">
            <v>555.25</v>
          </cell>
          <cell r="U229">
            <v>15565.02</v>
          </cell>
          <cell r="V229">
            <v>17249.95</v>
          </cell>
          <cell r="W229">
            <v>6571.1</v>
          </cell>
          <cell r="X229">
            <v>69.5</v>
          </cell>
          <cell r="Y229">
            <v>1290</v>
          </cell>
          <cell r="Z229">
            <v>1365</v>
          </cell>
          <cell r="AA229">
            <v>11192.46</v>
          </cell>
          <cell r="AB229">
            <v>4918</v>
          </cell>
          <cell r="AC229">
            <v>36944.429700000001</v>
          </cell>
          <cell r="AE229">
            <v>89.15</v>
          </cell>
          <cell r="AF229">
            <v>705.63</v>
          </cell>
          <cell r="AG229">
            <v>3714</v>
          </cell>
          <cell r="AH229">
            <v>890</v>
          </cell>
          <cell r="AI229">
            <v>1620</v>
          </cell>
          <cell r="AJ229">
            <v>553.16999999999996</v>
          </cell>
          <cell r="AL229">
            <v>1266.74</v>
          </cell>
          <cell r="AP229">
            <v>1605.9259999999999</v>
          </cell>
          <cell r="AV229">
            <v>44</v>
          </cell>
          <cell r="AZ229">
            <v>264.2</v>
          </cell>
          <cell r="BE229">
            <v>28275</v>
          </cell>
          <cell r="BG229">
            <v>51.7</v>
          </cell>
          <cell r="BH229">
            <v>265.76</v>
          </cell>
          <cell r="BY229">
            <v>405.39</v>
          </cell>
          <cell r="CD229">
            <v>325.44</v>
          </cell>
          <cell r="CE229">
            <v>323.02600000000001</v>
          </cell>
          <cell r="CF229">
            <v>306.08999999999997</v>
          </cell>
          <cell r="CG229">
            <v>1370</v>
          </cell>
          <cell r="CH229">
            <v>1290</v>
          </cell>
          <cell r="CI229" t="str">
            <v>#N/A N/A</v>
          </cell>
          <cell r="CJ229">
            <v>360</v>
          </cell>
          <cell r="CK229">
            <v>1434</v>
          </cell>
          <cell r="CM229">
            <v>213.24</v>
          </cell>
          <cell r="CN229">
            <v>17.84</v>
          </cell>
          <cell r="CO229" t="str">
            <v>#N/A N/A</v>
          </cell>
          <cell r="CQ229">
            <v>7.54</v>
          </cell>
          <cell r="CR229">
            <v>47.5</v>
          </cell>
          <cell r="CS229">
            <v>1172</v>
          </cell>
          <cell r="CU229">
            <v>1530</v>
          </cell>
          <cell r="CW229">
            <v>50.152439024390247</v>
          </cell>
          <cell r="CX229">
            <v>636.6</v>
          </cell>
          <cell r="CZ229">
            <v>344.53</v>
          </cell>
          <cell r="DA229">
            <v>3624.1</v>
          </cell>
          <cell r="DB229">
            <v>13.86</v>
          </cell>
          <cell r="DC229">
            <v>322.3</v>
          </cell>
          <cell r="DD229">
            <v>104.3</v>
          </cell>
        </row>
        <row r="230">
          <cell r="A230">
            <v>38943</v>
          </cell>
          <cell r="C230">
            <v>94</v>
          </cell>
          <cell r="D230" t="str">
            <v>#N/A N/A</v>
          </cell>
          <cell r="E230" t="str">
            <v>#N/A N/A</v>
          </cell>
          <cell r="L230">
            <v>1295.1099999999999</v>
          </cell>
          <cell r="M230">
            <v>2069.04</v>
          </cell>
          <cell r="N230">
            <v>5870.9</v>
          </cell>
          <cell r="O230">
            <v>3925</v>
          </cell>
          <cell r="Q230">
            <v>600</v>
          </cell>
          <cell r="R230">
            <v>222</v>
          </cell>
          <cell r="S230">
            <v>374</v>
          </cell>
          <cell r="T230">
            <v>556.25</v>
          </cell>
          <cell r="U230">
            <v>15857.11</v>
          </cell>
          <cell r="V230">
            <v>17290.009999999998</v>
          </cell>
          <cell r="W230">
            <v>6611.9</v>
          </cell>
          <cell r="X230">
            <v>68.099999999999994</v>
          </cell>
          <cell r="Y230">
            <v>1290</v>
          </cell>
          <cell r="Z230">
            <v>1365</v>
          </cell>
          <cell r="AA230">
            <v>11312.99</v>
          </cell>
          <cell r="AB230">
            <v>4938.6000000000004</v>
          </cell>
          <cell r="AC230">
            <v>36556.878900000003</v>
          </cell>
          <cell r="AE230">
            <v>88.95</v>
          </cell>
          <cell r="AF230">
            <v>705.63</v>
          </cell>
          <cell r="AG230">
            <v>3755</v>
          </cell>
          <cell r="AH230">
            <v>890</v>
          </cell>
          <cell r="AI230">
            <v>1620</v>
          </cell>
          <cell r="AJ230">
            <v>549.86</v>
          </cell>
          <cell r="AL230">
            <v>1268.21</v>
          </cell>
          <cell r="AP230">
            <v>1570.7380000000001</v>
          </cell>
          <cell r="AV230">
            <v>44.05</v>
          </cell>
          <cell r="AZ230">
            <v>254.2</v>
          </cell>
          <cell r="BE230">
            <v>28850</v>
          </cell>
          <cell r="BG230">
            <v>51.7</v>
          </cell>
          <cell r="BH230">
            <v>260.33</v>
          </cell>
          <cell r="BY230">
            <v>409.91</v>
          </cell>
          <cell r="CD230">
            <v>326.44</v>
          </cell>
          <cell r="CE230">
            <v>324.161</v>
          </cell>
          <cell r="CF230">
            <v>306.76</v>
          </cell>
          <cell r="CG230">
            <v>1370</v>
          </cell>
          <cell r="CH230">
            <v>1290</v>
          </cell>
          <cell r="CI230" t="str">
            <v>#N/A N/A</v>
          </cell>
          <cell r="CJ230">
            <v>350</v>
          </cell>
          <cell r="CK230">
            <v>1473</v>
          </cell>
          <cell r="CM230">
            <v>204.98</v>
          </cell>
          <cell r="CN230">
            <v>17.559999999999999</v>
          </cell>
          <cell r="CO230" t="str">
            <v>#N/A N/A</v>
          </cell>
          <cell r="CQ230">
            <v>6.91</v>
          </cell>
          <cell r="CR230">
            <v>47.5</v>
          </cell>
          <cell r="CS230">
            <v>1166.5</v>
          </cell>
          <cell r="CU230">
            <v>1530</v>
          </cell>
          <cell r="CW230">
            <v>49.237804878048784</v>
          </cell>
          <cell r="CX230">
            <v>636.79999999999995</v>
          </cell>
          <cell r="CZ230">
            <v>338.82</v>
          </cell>
          <cell r="DA230">
            <v>3636.4</v>
          </cell>
          <cell r="DB230">
            <v>13.31</v>
          </cell>
          <cell r="DC230">
            <v>318.3</v>
          </cell>
          <cell r="DD230">
            <v>100.75</v>
          </cell>
        </row>
        <row r="231">
          <cell r="A231">
            <v>38944</v>
          </cell>
          <cell r="C231">
            <v>94</v>
          </cell>
          <cell r="D231" t="str">
            <v>#N/A N/A</v>
          </cell>
          <cell r="E231" t="str">
            <v>#N/A N/A</v>
          </cell>
          <cell r="L231">
            <v>1295.1099999999999</v>
          </cell>
          <cell r="M231">
            <v>2115.0100000000002</v>
          </cell>
          <cell r="N231">
            <v>5897.9</v>
          </cell>
          <cell r="O231">
            <v>3925</v>
          </cell>
          <cell r="Q231">
            <v>600</v>
          </cell>
          <cell r="R231">
            <v>222</v>
          </cell>
          <cell r="S231">
            <v>376.75</v>
          </cell>
          <cell r="T231">
            <v>556.5</v>
          </cell>
          <cell r="U231">
            <v>15816.19</v>
          </cell>
          <cell r="V231">
            <v>17274.07</v>
          </cell>
          <cell r="W231">
            <v>6615.13</v>
          </cell>
          <cell r="X231">
            <v>67.25</v>
          </cell>
          <cell r="Y231">
            <v>1290</v>
          </cell>
          <cell r="Z231">
            <v>1365</v>
          </cell>
          <cell r="AA231">
            <v>11312.99</v>
          </cell>
          <cell r="AB231">
            <v>4904.7</v>
          </cell>
          <cell r="AC231">
            <v>37295.929700000001</v>
          </cell>
          <cell r="AE231">
            <v>89.45</v>
          </cell>
          <cell r="AF231">
            <v>706.95</v>
          </cell>
          <cell r="AG231">
            <v>3824</v>
          </cell>
          <cell r="AH231">
            <v>890</v>
          </cell>
          <cell r="AI231">
            <v>1620</v>
          </cell>
          <cell r="AJ231">
            <v>549.86</v>
          </cell>
          <cell r="AL231">
            <v>1285.58</v>
          </cell>
          <cell r="AP231">
            <v>1595.6569999999999</v>
          </cell>
          <cell r="AV231">
            <v>44.84</v>
          </cell>
          <cell r="AZ231">
            <v>256</v>
          </cell>
          <cell r="BE231">
            <v>29430</v>
          </cell>
          <cell r="BG231">
            <v>51.7</v>
          </cell>
          <cell r="BH231">
            <v>260.11</v>
          </cell>
          <cell r="BY231">
            <v>425.17</v>
          </cell>
          <cell r="CD231">
            <v>330.11</v>
          </cell>
          <cell r="CE231">
            <v>328.00200000000001</v>
          </cell>
          <cell r="CF231">
            <v>306.72000000000003</v>
          </cell>
          <cell r="CG231">
            <v>1370</v>
          </cell>
          <cell r="CH231">
            <v>1290</v>
          </cell>
          <cell r="CI231" t="str">
            <v>#N/A N/A</v>
          </cell>
          <cell r="CJ231">
            <v>350</v>
          </cell>
          <cell r="CK231">
            <v>1506</v>
          </cell>
          <cell r="CM231">
            <v>206.92</v>
          </cell>
          <cell r="CN231">
            <v>17.52</v>
          </cell>
          <cell r="CO231" t="str">
            <v>#N/A N/A</v>
          </cell>
          <cell r="CQ231">
            <v>6.9</v>
          </cell>
          <cell r="CR231">
            <v>47.5</v>
          </cell>
          <cell r="CS231">
            <v>1207.5</v>
          </cell>
          <cell r="CU231">
            <v>1530</v>
          </cell>
          <cell r="CW231">
            <v>48.323170731707322</v>
          </cell>
          <cell r="CX231">
            <v>639.25</v>
          </cell>
          <cell r="CZ231">
            <v>338.76</v>
          </cell>
          <cell r="DA231">
            <v>3660.5</v>
          </cell>
          <cell r="DB231">
            <v>13.15</v>
          </cell>
          <cell r="DC231">
            <v>324.7</v>
          </cell>
          <cell r="DD231">
            <v>102.85</v>
          </cell>
        </row>
        <row r="232">
          <cell r="A232">
            <v>38945</v>
          </cell>
          <cell r="C232">
            <v>94</v>
          </cell>
          <cell r="D232" t="str">
            <v>#N/A N/A</v>
          </cell>
          <cell r="E232" t="str">
            <v>#N/A N/A</v>
          </cell>
          <cell r="L232">
            <v>1315.61</v>
          </cell>
          <cell r="M232">
            <v>2149.54</v>
          </cell>
          <cell r="N232">
            <v>5896.6</v>
          </cell>
          <cell r="O232">
            <v>3925</v>
          </cell>
          <cell r="Q232">
            <v>600</v>
          </cell>
          <cell r="R232">
            <v>221.5</v>
          </cell>
          <cell r="S232">
            <v>371.5</v>
          </cell>
          <cell r="T232">
            <v>552.25</v>
          </cell>
          <cell r="U232">
            <v>16071.36</v>
          </cell>
          <cell r="V232">
            <v>17451.03</v>
          </cell>
          <cell r="W232">
            <v>6696.63</v>
          </cell>
          <cell r="X232">
            <v>68.05</v>
          </cell>
          <cell r="Y232">
            <v>1290</v>
          </cell>
          <cell r="Z232">
            <v>1365</v>
          </cell>
          <cell r="AA232">
            <v>11448.31</v>
          </cell>
          <cell r="AB232">
            <v>4928.8999999999996</v>
          </cell>
          <cell r="AC232">
            <v>37677.808599999997</v>
          </cell>
          <cell r="AE232">
            <v>89.75</v>
          </cell>
          <cell r="AF232">
            <v>706.95</v>
          </cell>
          <cell r="AG232">
            <v>3841</v>
          </cell>
          <cell r="AH232">
            <v>890</v>
          </cell>
          <cell r="AI232">
            <v>1620</v>
          </cell>
          <cell r="AJ232">
            <v>548.07000000000005</v>
          </cell>
          <cell r="AL232">
            <v>1295.43</v>
          </cell>
          <cell r="AP232">
            <v>1616.41</v>
          </cell>
          <cell r="AV232">
            <v>45.18</v>
          </cell>
          <cell r="AZ232">
            <v>249.8</v>
          </cell>
          <cell r="BE232">
            <v>32700</v>
          </cell>
          <cell r="BG232">
            <v>51.7</v>
          </cell>
          <cell r="BH232">
            <v>268.25</v>
          </cell>
          <cell r="BY232">
            <v>443.6</v>
          </cell>
          <cell r="CD232">
            <v>333.42</v>
          </cell>
          <cell r="CE232">
            <v>331.18200000000002</v>
          </cell>
          <cell r="CF232">
            <v>310.85000000000002</v>
          </cell>
          <cell r="CG232">
            <v>1370</v>
          </cell>
          <cell r="CH232">
            <v>1290</v>
          </cell>
          <cell r="CI232" t="str">
            <v>#N/A N/A</v>
          </cell>
          <cell r="CJ232">
            <v>350</v>
          </cell>
          <cell r="CK232">
            <v>1520</v>
          </cell>
          <cell r="CM232">
            <v>202.58</v>
          </cell>
          <cell r="CN232">
            <v>17.71</v>
          </cell>
          <cell r="CO232" t="str">
            <v>#N/A N/A</v>
          </cell>
          <cell r="CQ232">
            <v>7.02</v>
          </cell>
          <cell r="CR232">
            <v>47.5</v>
          </cell>
          <cell r="CS232">
            <v>1224</v>
          </cell>
          <cell r="CU232">
            <v>1530</v>
          </cell>
          <cell r="CW232">
            <v>47.560975609756099</v>
          </cell>
          <cell r="CX232">
            <v>642.70000000000005</v>
          </cell>
          <cell r="CZ232">
            <v>337.54</v>
          </cell>
          <cell r="DA232">
            <v>3715.7</v>
          </cell>
          <cell r="DB232">
            <v>13.36</v>
          </cell>
          <cell r="DC232">
            <v>336.4</v>
          </cell>
          <cell r="DD232">
            <v>104.65</v>
          </cell>
        </row>
        <row r="233">
          <cell r="A233">
            <v>38946</v>
          </cell>
          <cell r="C233">
            <v>94</v>
          </cell>
          <cell r="D233" t="str">
            <v>#N/A N/A</v>
          </cell>
          <cell r="E233" t="str">
            <v>#N/A N/A</v>
          </cell>
          <cell r="L233">
            <v>1327.78</v>
          </cell>
          <cell r="M233">
            <v>2157.61</v>
          </cell>
          <cell r="N233">
            <v>5900.4</v>
          </cell>
          <cell r="O233">
            <v>3925</v>
          </cell>
          <cell r="Q233">
            <v>600</v>
          </cell>
          <cell r="R233">
            <v>219</v>
          </cell>
          <cell r="S233">
            <v>363.5</v>
          </cell>
          <cell r="T233">
            <v>551.5</v>
          </cell>
          <cell r="U233">
            <v>16020.84</v>
          </cell>
          <cell r="V233">
            <v>17373.05</v>
          </cell>
          <cell r="W233">
            <v>6733.46</v>
          </cell>
          <cell r="X233">
            <v>66.650000000000006</v>
          </cell>
          <cell r="Y233">
            <v>1290</v>
          </cell>
          <cell r="Z233">
            <v>1365</v>
          </cell>
          <cell r="AA233">
            <v>11477.48</v>
          </cell>
          <cell r="AB233">
            <v>5017.2</v>
          </cell>
          <cell r="AC233">
            <v>37558.890599999999</v>
          </cell>
          <cell r="AE233">
            <v>88.1</v>
          </cell>
          <cell r="AF233">
            <v>706.95</v>
          </cell>
          <cell r="AG233">
            <v>3812</v>
          </cell>
          <cell r="AH233">
            <v>890</v>
          </cell>
          <cell r="AI233">
            <v>1620</v>
          </cell>
          <cell r="AJ233">
            <v>551.80999999999995</v>
          </cell>
          <cell r="AL233">
            <v>1297.48</v>
          </cell>
          <cell r="AP233">
            <v>1603.3320000000001</v>
          </cell>
          <cell r="AV233">
            <v>45.65</v>
          </cell>
          <cell r="AZ233">
            <v>244.6</v>
          </cell>
          <cell r="BE233">
            <v>31940</v>
          </cell>
          <cell r="BG233">
            <v>51.7</v>
          </cell>
          <cell r="BH233">
            <v>264.8</v>
          </cell>
          <cell r="BY233">
            <v>446.11</v>
          </cell>
          <cell r="CD233">
            <v>334.19</v>
          </cell>
          <cell r="CE233">
            <v>331.90600000000001</v>
          </cell>
          <cell r="CF233">
            <v>313.06</v>
          </cell>
          <cell r="CG233">
            <v>1370</v>
          </cell>
          <cell r="CH233">
            <v>1290</v>
          </cell>
          <cell r="CI233" t="str">
            <v>#N/A N/A</v>
          </cell>
          <cell r="CJ233">
            <v>350</v>
          </cell>
          <cell r="CK233">
            <v>1542</v>
          </cell>
          <cell r="CM233">
            <v>196.5</v>
          </cell>
          <cell r="CN233">
            <v>17.559999999999999</v>
          </cell>
          <cell r="CO233" t="str">
            <v>#N/A N/A</v>
          </cell>
          <cell r="CQ233">
            <v>6.73</v>
          </cell>
          <cell r="CR233">
            <v>47.5</v>
          </cell>
          <cell r="CS233">
            <v>1182</v>
          </cell>
          <cell r="CU233">
            <v>1530</v>
          </cell>
          <cell r="CW233">
            <v>47.103658536585371</v>
          </cell>
          <cell r="CX233">
            <v>642.1</v>
          </cell>
          <cell r="CZ233">
            <v>331.69</v>
          </cell>
          <cell r="DA233">
            <v>3554.6</v>
          </cell>
          <cell r="DB233">
            <v>12.79</v>
          </cell>
          <cell r="DC233">
            <v>335.85</v>
          </cell>
          <cell r="DD233">
            <v>103.55</v>
          </cell>
        </row>
        <row r="234">
          <cell r="A234">
            <v>38947</v>
          </cell>
          <cell r="C234">
            <v>94</v>
          </cell>
          <cell r="D234" t="str">
            <v>#N/A N/A</v>
          </cell>
          <cell r="E234" t="str">
            <v>#N/A N/A</v>
          </cell>
          <cell r="L234">
            <v>1331.1</v>
          </cell>
          <cell r="M234">
            <v>2163.9499999999998</v>
          </cell>
          <cell r="N234">
            <v>5903.4</v>
          </cell>
          <cell r="O234">
            <v>3925</v>
          </cell>
          <cell r="Q234">
            <v>600</v>
          </cell>
          <cell r="R234">
            <v>219.75</v>
          </cell>
          <cell r="S234">
            <v>364.5</v>
          </cell>
          <cell r="T234">
            <v>547</v>
          </cell>
          <cell r="U234">
            <v>16105.98</v>
          </cell>
          <cell r="V234">
            <v>17330.7</v>
          </cell>
          <cell r="W234">
            <v>6721.08</v>
          </cell>
          <cell r="X234">
            <v>67.25</v>
          </cell>
          <cell r="Y234">
            <v>1370</v>
          </cell>
          <cell r="Z234">
            <v>1400</v>
          </cell>
          <cell r="AA234">
            <v>11465.72</v>
          </cell>
          <cell r="AB234">
            <v>5015.6000000000004</v>
          </cell>
          <cell r="AC234">
            <v>37551.710899999998</v>
          </cell>
          <cell r="AE234">
            <v>88.25</v>
          </cell>
          <cell r="AF234">
            <v>706.95</v>
          </cell>
          <cell r="AG234">
            <v>3755</v>
          </cell>
          <cell r="AH234">
            <v>890</v>
          </cell>
          <cell r="AI234">
            <v>1620</v>
          </cell>
          <cell r="AJ234">
            <v>551.91</v>
          </cell>
          <cell r="AL234">
            <v>1302.3</v>
          </cell>
          <cell r="AP234">
            <v>1598.018</v>
          </cell>
          <cell r="AV234">
            <v>45.95</v>
          </cell>
          <cell r="AZ234">
            <v>246.2</v>
          </cell>
          <cell r="BE234">
            <v>32500</v>
          </cell>
          <cell r="BG234">
            <v>51.7</v>
          </cell>
          <cell r="BH234">
            <v>265.33</v>
          </cell>
          <cell r="BY234">
            <v>445.87</v>
          </cell>
          <cell r="CD234">
            <v>334.03</v>
          </cell>
          <cell r="CE234">
            <v>331.94499999999999</v>
          </cell>
          <cell r="CF234">
            <v>313.27</v>
          </cell>
          <cell r="CG234">
            <v>1380</v>
          </cell>
          <cell r="CH234">
            <v>1300</v>
          </cell>
          <cell r="CI234" t="str">
            <v>#N/A N/A</v>
          </cell>
          <cell r="CJ234">
            <v>350</v>
          </cell>
          <cell r="CK234">
            <v>1564</v>
          </cell>
          <cell r="CM234">
            <v>200.52</v>
          </cell>
          <cell r="CN234">
            <v>17.57</v>
          </cell>
          <cell r="CO234" t="str">
            <v>#N/A N/A</v>
          </cell>
          <cell r="CQ234">
            <v>6.66</v>
          </cell>
          <cell r="CR234">
            <v>47.5</v>
          </cell>
          <cell r="CS234">
            <v>1182.25</v>
          </cell>
          <cell r="CU234">
            <v>1550</v>
          </cell>
          <cell r="CW234">
            <v>47.865853658536587</v>
          </cell>
          <cell r="CX234">
            <v>640.45000000000005</v>
          </cell>
          <cell r="CZ234">
            <v>332.32</v>
          </cell>
          <cell r="DA234">
            <v>3620.4</v>
          </cell>
          <cell r="DB234">
            <v>12.68</v>
          </cell>
          <cell r="DC234">
            <v>334.3</v>
          </cell>
          <cell r="DD234">
            <v>103.25</v>
          </cell>
        </row>
        <row r="235">
          <cell r="A235">
            <v>38948</v>
          </cell>
          <cell r="C235">
            <v>94</v>
          </cell>
          <cell r="D235" t="str">
            <v>#N/A N/A</v>
          </cell>
          <cell r="E235" t="str">
            <v>#N/A N/A</v>
          </cell>
          <cell r="L235">
            <v>1331.1</v>
          </cell>
          <cell r="M235">
            <v>2163.9499999999998</v>
          </cell>
          <cell r="N235">
            <v>5903.4</v>
          </cell>
          <cell r="O235">
            <v>3925</v>
          </cell>
          <cell r="Q235">
            <v>600</v>
          </cell>
          <cell r="R235">
            <v>219.75</v>
          </cell>
          <cell r="S235">
            <v>364.5</v>
          </cell>
          <cell r="T235">
            <v>547</v>
          </cell>
          <cell r="U235">
            <v>16105.98</v>
          </cell>
          <cell r="V235">
            <v>17330.7</v>
          </cell>
          <cell r="W235">
            <v>6721.08</v>
          </cell>
          <cell r="X235">
            <v>67.25</v>
          </cell>
          <cell r="Y235">
            <v>1370</v>
          </cell>
          <cell r="Z235">
            <v>1400</v>
          </cell>
          <cell r="AA235">
            <v>11465.72</v>
          </cell>
          <cell r="AB235">
            <v>5015.6000000000004</v>
          </cell>
          <cell r="AC235">
            <v>37551.710899999998</v>
          </cell>
          <cell r="AE235">
            <v>88.25</v>
          </cell>
          <cell r="AF235">
            <v>706.95</v>
          </cell>
          <cell r="AG235">
            <v>3755</v>
          </cell>
          <cell r="AH235">
            <v>890</v>
          </cell>
          <cell r="AI235">
            <v>1620</v>
          </cell>
          <cell r="AJ235">
            <v>551.91</v>
          </cell>
          <cell r="AL235">
            <v>1302.3</v>
          </cell>
          <cell r="AP235">
            <v>1598.018</v>
          </cell>
          <cell r="AV235">
            <v>45.95</v>
          </cell>
          <cell r="AZ235">
            <v>246.2</v>
          </cell>
          <cell r="BE235">
            <v>32500</v>
          </cell>
          <cell r="BG235">
            <v>51.7</v>
          </cell>
          <cell r="BH235">
            <v>265.33</v>
          </cell>
          <cell r="BY235">
            <v>445.87</v>
          </cell>
          <cell r="CD235">
            <v>334.03</v>
          </cell>
          <cell r="CE235">
            <v>331.94499999999999</v>
          </cell>
          <cell r="CF235">
            <v>313.27</v>
          </cell>
          <cell r="CG235">
            <v>1380</v>
          </cell>
          <cell r="CH235">
            <v>1300</v>
          </cell>
          <cell r="CI235" t="str">
            <v>#N/A N/A</v>
          </cell>
          <cell r="CJ235">
            <v>350</v>
          </cell>
          <cell r="CK235">
            <v>1564</v>
          </cell>
          <cell r="CM235">
            <v>200.52</v>
          </cell>
          <cell r="CN235">
            <v>17.57</v>
          </cell>
          <cell r="CO235" t="str">
            <v>#N/A N/A</v>
          </cell>
          <cell r="CQ235">
            <v>6.66</v>
          </cell>
          <cell r="CR235">
            <v>47.5</v>
          </cell>
          <cell r="CS235">
            <v>1182.25</v>
          </cell>
          <cell r="CU235">
            <v>1550</v>
          </cell>
          <cell r="CW235">
            <v>47.865853658536587</v>
          </cell>
          <cell r="CX235">
            <v>640.45000000000005</v>
          </cell>
          <cell r="CZ235">
            <v>332.32</v>
          </cell>
          <cell r="DA235">
            <v>3620.4</v>
          </cell>
          <cell r="DB235">
            <v>12.68</v>
          </cell>
          <cell r="DC235">
            <v>334.3</v>
          </cell>
          <cell r="DD235">
            <v>103.25</v>
          </cell>
        </row>
        <row r="236">
          <cell r="A236">
            <v>38949</v>
          </cell>
          <cell r="C236">
            <v>94</v>
          </cell>
          <cell r="D236" t="str">
            <v>#N/A N/A</v>
          </cell>
          <cell r="E236" t="str">
            <v>#N/A N/A</v>
          </cell>
          <cell r="L236">
            <v>1331.1</v>
          </cell>
          <cell r="M236">
            <v>2163.9499999999998</v>
          </cell>
          <cell r="N236">
            <v>5903.4</v>
          </cell>
          <cell r="O236">
            <v>3925</v>
          </cell>
          <cell r="Q236">
            <v>600</v>
          </cell>
          <cell r="R236">
            <v>219.75</v>
          </cell>
          <cell r="S236">
            <v>364.5</v>
          </cell>
          <cell r="T236">
            <v>547</v>
          </cell>
          <cell r="U236">
            <v>16105.98</v>
          </cell>
          <cell r="V236">
            <v>17330.7</v>
          </cell>
          <cell r="W236">
            <v>6721.08</v>
          </cell>
          <cell r="X236">
            <v>67.25</v>
          </cell>
          <cell r="Y236">
            <v>1370</v>
          </cell>
          <cell r="Z236">
            <v>1400</v>
          </cell>
          <cell r="AA236">
            <v>11465.72</v>
          </cell>
          <cell r="AB236">
            <v>5015.6000000000004</v>
          </cell>
          <cell r="AC236">
            <v>37551.710899999998</v>
          </cell>
          <cell r="AE236">
            <v>88.25</v>
          </cell>
          <cell r="AF236">
            <v>706.95</v>
          </cell>
          <cell r="AG236">
            <v>3755</v>
          </cell>
          <cell r="AH236">
            <v>890</v>
          </cell>
          <cell r="AI236">
            <v>1620</v>
          </cell>
          <cell r="AJ236">
            <v>551.91</v>
          </cell>
          <cell r="AL236">
            <v>1302.3</v>
          </cell>
          <cell r="AP236">
            <v>1598.018</v>
          </cell>
          <cell r="AV236">
            <v>45.95</v>
          </cell>
          <cell r="AZ236">
            <v>246.2</v>
          </cell>
          <cell r="BE236">
            <v>32500</v>
          </cell>
          <cell r="BG236">
            <v>51.7</v>
          </cell>
          <cell r="BH236">
            <v>265.33</v>
          </cell>
          <cell r="BY236">
            <v>445.87</v>
          </cell>
          <cell r="CD236">
            <v>334.03</v>
          </cell>
          <cell r="CE236">
            <v>331.94499999999999</v>
          </cell>
          <cell r="CF236">
            <v>313.27</v>
          </cell>
          <cell r="CG236">
            <v>1380</v>
          </cell>
          <cell r="CH236">
            <v>1300</v>
          </cell>
          <cell r="CI236" t="str">
            <v>#N/A N/A</v>
          </cell>
          <cell r="CJ236">
            <v>350</v>
          </cell>
          <cell r="CK236">
            <v>1564</v>
          </cell>
          <cell r="CM236">
            <v>200.52</v>
          </cell>
          <cell r="CN236">
            <v>17.57</v>
          </cell>
          <cell r="CO236" t="str">
            <v>#N/A N/A</v>
          </cell>
          <cell r="CQ236">
            <v>6.66</v>
          </cell>
          <cell r="CR236">
            <v>47.5</v>
          </cell>
          <cell r="CS236">
            <v>1182.25</v>
          </cell>
          <cell r="CU236">
            <v>1550</v>
          </cell>
          <cell r="CW236">
            <v>47.865853658536587</v>
          </cell>
          <cell r="CX236">
            <v>640.45000000000005</v>
          </cell>
          <cell r="CZ236">
            <v>332.32</v>
          </cell>
          <cell r="DA236">
            <v>3620.4</v>
          </cell>
          <cell r="DB236">
            <v>12.68</v>
          </cell>
          <cell r="DC236">
            <v>334.3</v>
          </cell>
          <cell r="DD236">
            <v>103.25</v>
          </cell>
        </row>
        <row r="237">
          <cell r="A237">
            <v>38950</v>
          </cell>
          <cell r="C237">
            <v>94</v>
          </cell>
          <cell r="D237" t="str">
            <v>#N/A N/A</v>
          </cell>
          <cell r="E237" t="str">
            <v>#N/A N/A</v>
          </cell>
          <cell r="L237">
            <v>1321.67</v>
          </cell>
          <cell r="M237">
            <v>2147.75</v>
          </cell>
          <cell r="N237">
            <v>5915.2</v>
          </cell>
          <cell r="O237">
            <v>3925</v>
          </cell>
          <cell r="Q237">
            <v>600</v>
          </cell>
          <cell r="R237">
            <v>221</v>
          </cell>
          <cell r="S237">
            <v>365.75</v>
          </cell>
          <cell r="T237">
            <v>548.25</v>
          </cell>
          <cell r="U237">
            <v>15969.04</v>
          </cell>
          <cell r="V237">
            <v>17007.88</v>
          </cell>
          <cell r="W237">
            <v>6505.92</v>
          </cell>
          <cell r="X237">
            <v>67.75</v>
          </cell>
          <cell r="Y237">
            <v>1370</v>
          </cell>
          <cell r="Z237">
            <v>1400</v>
          </cell>
          <cell r="AA237">
            <v>11511.68</v>
          </cell>
          <cell r="AB237">
            <v>5027.6000000000004</v>
          </cell>
          <cell r="AC237">
            <v>37160.601600000002</v>
          </cell>
          <cell r="AE237">
            <v>89.45</v>
          </cell>
          <cell r="AF237">
            <v>706.95</v>
          </cell>
          <cell r="AG237">
            <v>3720</v>
          </cell>
          <cell r="AH237">
            <v>890</v>
          </cell>
          <cell r="AI237">
            <v>1620</v>
          </cell>
          <cell r="AJ237">
            <v>550.87</v>
          </cell>
          <cell r="AL237">
            <v>1297.52</v>
          </cell>
          <cell r="AP237">
            <v>1601.15</v>
          </cell>
          <cell r="AV237">
            <v>45.47</v>
          </cell>
          <cell r="AZ237">
            <v>243.3</v>
          </cell>
          <cell r="BE237">
            <v>33395</v>
          </cell>
          <cell r="BG237">
            <v>51.7</v>
          </cell>
          <cell r="BH237">
            <v>265.86</v>
          </cell>
          <cell r="BY237">
            <v>436.75</v>
          </cell>
          <cell r="CD237">
            <v>333.74</v>
          </cell>
          <cell r="CE237">
            <v>331.81</v>
          </cell>
          <cell r="CF237">
            <v>309.26</v>
          </cell>
          <cell r="CG237">
            <v>1380</v>
          </cell>
          <cell r="CH237">
            <v>1300</v>
          </cell>
          <cell r="CI237" t="str">
            <v>#N/A N/A</v>
          </cell>
          <cell r="CJ237">
            <v>350</v>
          </cell>
          <cell r="CK237">
            <v>1578</v>
          </cell>
          <cell r="CM237">
            <v>197.83</v>
          </cell>
          <cell r="CN237">
            <v>17.899999999999999</v>
          </cell>
          <cell r="CO237" t="str">
            <v>#N/A N/A</v>
          </cell>
          <cell r="CQ237">
            <v>6.71</v>
          </cell>
          <cell r="CR237">
            <v>47.5</v>
          </cell>
          <cell r="CS237">
            <v>1182</v>
          </cell>
          <cell r="CU237">
            <v>1550</v>
          </cell>
          <cell r="CW237">
            <v>48.932926829268297</v>
          </cell>
          <cell r="CX237">
            <v>645.29999999999995</v>
          </cell>
          <cell r="CZ237">
            <v>335.5</v>
          </cell>
          <cell r="DA237">
            <v>3690.9</v>
          </cell>
          <cell r="DB237">
            <v>12.73</v>
          </cell>
          <cell r="DC237">
            <v>345.2</v>
          </cell>
          <cell r="DD237">
            <v>107</v>
          </cell>
        </row>
        <row r="238">
          <cell r="A238">
            <v>38951</v>
          </cell>
          <cell r="C238">
            <v>94</v>
          </cell>
          <cell r="D238" t="str">
            <v>#N/A N/A</v>
          </cell>
          <cell r="E238" t="str">
            <v>#N/A N/A</v>
          </cell>
          <cell r="L238">
            <v>1334.96</v>
          </cell>
          <cell r="M238">
            <v>2150.02</v>
          </cell>
          <cell r="N238">
            <v>5902.6</v>
          </cell>
          <cell r="O238">
            <v>3925</v>
          </cell>
          <cell r="Q238">
            <v>600</v>
          </cell>
          <cell r="R238">
            <v>219.5</v>
          </cell>
          <cell r="S238">
            <v>359.75</v>
          </cell>
          <cell r="T238">
            <v>549.25</v>
          </cell>
          <cell r="U238">
            <v>16181.17</v>
          </cell>
          <cell r="V238">
            <v>17149.75</v>
          </cell>
          <cell r="W238">
            <v>6590.2</v>
          </cell>
          <cell r="X238">
            <v>67.25</v>
          </cell>
          <cell r="Y238">
            <v>1370</v>
          </cell>
          <cell r="Z238">
            <v>1400</v>
          </cell>
          <cell r="AA238">
            <v>11502.62</v>
          </cell>
          <cell r="AB238">
            <v>5041.3</v>
          </cell>
          <cell r="AC238">
            <v>36677.511700000003</v>
          </cell>
          <cell r="AE238">
            <v>89.55</v>
          </cell>
          <cell r="AF238">
            <v>708.71</v>
          </cell>
          <cell r="AG238">
            <v>3672</v>
          </cell>
          <cell r="AH238">
            <v>890</v>
          </cell>
          <cell r="AI238">
            <v>1620</v>
          </cell>
          <cell r="AJ238">
            <v>554.09</v>
          </cell>
          <cell r="AL238">
            <v>1298.82</v>
          </cell>
          <cell r="AP238">
            <v>1613.355</v>
          </cell>
          <cell r="AV238">
            <v>45.9</v>
          </cell>
          <cell r="AZ238">
            <v>243.1</v>
          </cell>
          <cell r="BE238">
            <v>35200</v>
          </cell>
          <cell r="BG238">
            <v>51.7</v>
          </cell>
          <cell r="BH238">
            <v>265.14</v>
          </cell>
          <cell r="BY238">
            <v>435.84</v>
          </cell>
          <cell r="CD238">
            <v>333.85</v>
          </cell>
          <cell r="CE238">
            <v>331.76799999999997</v>
          </cell>
          <cell r="CF238">
            <v>311.73</v>
          </cell>
          <cell r="CG238">
            <v>1380</v>
          </cell>
          <cell r="CH238">
            <v>1300</v>
          </cell>
          <cell r="CI238" t="str">
            <v>#N/A N/A</v>
          </cell>
          <cell r="CJ238">
            <v>350</v>
          </cell>
          <cell r="CK238">
            <v>1594</v>
          </cell>
          <cell r="CM238">
            <v>198.07</v>
          </cell>
          <cell r="CN238">
            <v>18.149999999999999</v>
          </cell>
          <cell r="CO238" t="str">
            <v>#N/A N/A</v>
          </cell>
          <cell r="CQ238">
            <v>6.86</v>
          </cell>
          <cell r="CR238">
            <v>47.5</v>
          </cell>
          <cell r="CS238">
            <v>1189</v>
          </cell>
          <cell r="CU238">
            <v>1550</v>
          </cell>
          <cell r="CW238">
            <v>48.780487804878049</v>
          </cell>
          <cell r="CX238">
            <v>640.20000000000005</v>
          </cell>
          <cell r="CZ238">
            <v>336.67</v>
          </cell>
          <cell r="DA238">
            <v>3707.7</v>
          </cell>
          <cell r="DB238">
            <v>12.68</v>
          </cell>
          <cell r="DC238">
            <v>342.95</v>
          </cell>
          <cell r="DD238">
            <v>108.2</v>
          </cell>
        </row>
        <row r="239">
          <cell r="A239">
            <v>38952</v>
          </cell>
          <cell r="C239">
            <v>94</v>
          </cell>
          <cell r="D239" t="str">
            <v>#N/A N/A</v>
          </cell>
          <cell r="E239" t="str">
            <v>#N/A N/A</v>
          </cell>
          <cell r="L239">
            <v>1324.95</v>
          </cell>
          <cell r="M239">
            <v>2134.66</v>
          </cell>
          <cell r="N239">
            <v>5860</v>
          </cell>
          <cell r="O239">
            <v>3928</v>
          </cell>
          <cell r="Q239">
            <v>600</v>
          </cell>
          <cell r="R239">
            <v>223.5</v>
          </cell>
          <cell r="S239">
            <v>366</v>
          </cell>
          <cell r="T239">
            <v>552.25</v>
          </cell>
          <cell r="U239">
            <v>16163.03</v>
          </cell>
          <cell r="V239">
            <v>17088.39</v>
          </cell>
          <cell r="W239">
            <v>6556.33</v>
          </cell>
          <cell r="X239">
            <v>66.7</v>
          </cell>
          <cell r="Y239">
            <v>1370</v>
          </cell>
          <cell r="Z239">
            <v>1400</v>
          </cell>
          <cell r="AA239">
            <v>11406.65</v>
          </cell>
          <cell r="AB239">
            <v>5048</v>
          </cell>
          <cell r="AC239">
            <v>35512.101600000002</v>
          </cell>
          <cell r="AE239">
            <v>90.15</v>
          </cell>
          <cell r="AF239">
            <v>708.71</v>
          </cell>
          <cell r="AG239">
            <v>3633</v>
          </cell>
          <cell r="AH239">
            <v>890</v>
          </cell>
          <cell r="AI239">
            <v>1620</v>
          </cell>
          <cell r="AJ239">
            <v>554.23</v>
          </cell>
          <cell r="AL239">
            <v>1292.99</v>
          </cell>
          <cell r="AP239">
            <v>1612.396</v>
          </cell>
          <cell r="AV239">
            <v>45.17</v>
          </cell>
          <cell r="AZ239">
            <v>242.9</v>
          </cell>
          <cell r="BE239">
            <v>33650</v>
          </cell>
          <cell r="BG239">
            <v>51.7</v>
          </cell>
          <cell r="BH239">
            <v>260.56</v>
          </cell>
          <cell r="BY239">
            <v>432.61</v>
          </cell>
          <cell r="CD239">
            <v>332.34</v>
          </cell>
          <cell r="CE239">
            <v>330.37599999999998</v>
          </cell>
          <cell r="CF239">
            <v>309.76</v>
          </cell>
          <cell r="CG239">
            <v>1380</v>
          </cell>
          <cell r="CH239">
            <v>1300</v>
          </cell>
          <cell r="CI239" t="str">
            <v>#N/A N/A</v>
          </cell>
          <cell r="CJ239">
            <v>345</v>
          </cell>
          <cell r="CK239">
            <v>1602</v>
          </cell>
          <cell r="CM239">
            <v>188.55</v>
          </cell>
          <cell r="CN239">
            <v>18.11</v>
          </cell>
          <cell r="CO239" t="str">
            <v>#N/A N/A</v>
          </cell>
          <cell r="CQ239">
            <v>7.19</v>
          </cell>
          <cell r="CR239">
            <v>47.5</v>
          </cell>
          <cell r="CS239">
            <v>1189</v>
          </cell>
          <cell r="CU239">
            <v>1550</v>
          </cell>
          <cell r="CW239">
            <v>47.865853658536587</v>
          </cell>
          <cell r="CX239">
            <v>639.15</v>
          </cell>
          <cell r="CZ239">
            <v>334.71</v>
          </cell>
          <cell r="DA239">
            <v>3684.7</v>
          </cell>
          <cell r="DB239">
            <v>13.09</v>
          </cell>
          <cell r="DC239">
            <v>346.85</v>
          </cell>
          <cell r="DD239">
            <v>107.35</v>
          </cell>
        </row>
        <row r="240">
          <cell r="A240">
            <v>38953</v>
          </cell>
          <cell r="C240">
            <v>94</v>
          </cell>
          <cell r="D240" t="str">
            <v>#N/A N/A</v>
          </cell>
          <cell r="E240" t="str">
            <v>#N/A N/A</v>
          </cell>
          <cell r="L240">
            <v>1315.73</v>
          </cell>
          <cell r="M240">
            <v>2137.11</v>
          </cell>
          <cell r="N240">
            <v>5869.1</v>
          </cell>
          <cell r="O240">
            <v>3935</v>
          </cell>
          <cell r="Q240">
            <v>600</v>
          </cell>
          <cell r="R240">
            <v>227.5</v>
          </cell>
          <cell r="S240">
            <v>375.5</v>
          </cell>
          <cell r="T240">
            <v>551.5</v>
          </cell>
          <cell r="U240">
            <v>15960.62</v>
          </cell>
          <cell r="V240">
            <v>16883.04</v>
          </cell>
          <cell r="W240">
            <v>6550.64</v>
          </cell>
          <cell r="X240">
            <v>65.95</v>
          </cell>
          <cell r="Y240">
            <v>1370</v>
          </cell>
          <cell r="Z240">
            <v>1400</v>
          </cell>
          <cell r="AA240">
            <v>11531.95</v>
          </cell>
          <cell r="AB240">
            <v>4963</v>
          </cell>
          <cell r="AC240">
            <v>35797.261700000003</v>
          </cell>
          <cell r="AE240">
            <v>88.75</v>
          </cell>
          <cell r="AF240">
            <v>708.71</v>
          </cell>
          <cell r="AG240">
            <v>3644</v>
          </cell>
          <cell r="AH240">
            <v>890</v>
          </cell>
          <cell r="AI240">
            <v>1620</v>
          </cell>
          <cell r="AJ240">
            <v>551.76</v>
          </cell>
          <cell r="AL240">
            <v>1296.06</v>
          </cell>
          <cell r="AP240">
            <v>1623.0170000000001</v>
          </cell>
          <cell r="AV240">
            <v>44.85</v>
          </cell>
          <cell r="AZ240">
            <v>246</v>
          </cell>
          <cell r="BE240">
            <v>33275</v>
          </cell>
          <cell r="BG240">
            <v>51.7</v>
          </cell>
          <cell r="BH240">
            <v>263.97000000000003</v>
          </cell>
          <cell r="BY240">
            <v>434.61</v>
          </cell>
          <cell r="CD240">
            <v>332.19</v>
          </cell>
          <cell r="CE240">
            <v>330.38099999999997</v>
          </cell>
          <cell r="CF240">
            <v>307.47000000000003</v>
          </cell>
          <cell r="CG240">
            <v>1380</v>
          </cell>
          <cell r="CH240">
            <v>1300</v>
          </cell>
          <cell r="CI240" t="str">
            <v>#N/A N/A</v>
          </cell>
          <cell r="CJ240">
            <v>345</v>
          </cell>
          <cell r="CK240">
            <v>1591</v>
          </cell>
          <cell r="CM240">
            <v>186.08</v>
          </cell>
          <cell r="CN240">
            <v>17.95</v>
          </cell>
          <cell r="CO240" t="str">
            <v>#N/A N/A</v>
          </cell>
          <cell r="CQ240">
            <v>7.22</v>
          </cell>
          <cell r="CR240">
            <v>47.5</v>
          </cell>
          <cell r="CS240">
            <v>1199</v>
          </cell>
          <cell r="CU240">
            <v>1550</v>
          </cell>
          <cell r="CW240">
            <v>47.408536585365859</v>
          </cell>
          <cell r="CX240">
            <v>638.5</v>
          </cell>
          <cell r="CZ240">
            <v>336.12</v>
          </cell>
          <cell r="DA240">
            <v>3642.4</v>
          </cell>
          <cell r="DB240">
            <v>13.07</v>
          </cell>
          <cell r="DC240">
            <v>344.45</v>
          </cell>
          <cell r="DD240">
            <v>107.05</v>
          </cell>
        </row>
        <row r="241">
          <cell r="A241">
            <v>38954</v>
          </cell>
          <cell r="C241">
            <v>94</v>
          </cell>
          <cell r="D241" t="str">
            <v>#N/A N/A</v>
          </cell>
          <cell r="E241" t="str">
            <v>#N/A N/A</v>
          </cell>
          <cell r="L241">
            <v>1329.35</v>
          </cell>
          <cell r="M241">
            <v>2140.29</v>
          </cell>
          <cell r="N241">
            <v>5878.6</v>
          </cell>
          <cell r="O241">
            <v>3935</v>
          </cell>
          <cell r="Q241">
            <v>600</v>
          </cell>
          <cell r="R241">
            <v>225</v>
          </cell>
          <cell r="S241">
            <v>378.5</v>
          </cell>
          <cell r="T241">
            <v>543</v>
          </cell>
          <cell r="U241">
            <v>15938.66</v>
          </cell>
          <cell r="V241">
            <v>16955.45</v>
          </cell>
          <cell r="W241">
            <v>6526.22</v>
          </cell>
          <cell r="X241">
            <v>67.849999999999994</v>
          </cell>
          <cell r="Y241">
            <v>1400</v>
          </cell>
          <cell r="Z241">
            <v>1410</v>
          </cell>
          <cell r="AA241">
            <v>11572.2</v>
          </cell>
          <cell r="AB241">
            <v>4997.1000000000004</v>
          </cell>
          <cell r="AC241">
            <v>35957.519500000002</v>
          </cell>
          <cell r="AE241">
            <v>90.55</v>
          </cell>
          <cell r="AF241">
            <v>708.71</v>
          </cell>
          <cell r="AG241">
            <v>3690</v>
          </cell>
          <cell r="AH241">
            <v>940</v>
          </cell>
          <cell r="AI241">
            <v>1620</v>
          </cell>
          <cell r="AJ241">
            <v>556.41</v>
          </cell>
          <cell r="AL241">
            <v>1295.0899999999999</v>
          </cell>
          <cell r="AP241">
            <v>1623.0340000000001</v>
          </cell>
          <cell r="AV241">
            <v>45.16</v>
          </cell>
          <cell r="AZ241">
            <v>243</v>
          </cell>
          <cell r="BE241">
            <v>33800</v>
          </cell>
          <cell r="BG241">
            <v>51.7</v>
          </cell>
          <cell r="BH241">
            <v>264.55</v>
          </cell>
          <cell r="BY241">
            <v>433.69</v>
          </cell>
          <cell r="CD241">
            <v>331.43</v>
          </cell>
          <cell r="CE241">
            <v>329.53399999999999</v>
          </cell>
          <cell r="CF241">
            <v>307.63</v>
          </cell>
          <cell r="CG241">
            <v>1420</v>
          </cell>
          <cell r="CH241">
            <v>1300</v>
          </cell>
          <cell r="CI241" t="str">
            <v>#N/A N/A</v>
          </cell>
          <cell r="CJ241">
            <v>345</v>
          </cell>
          <cell r="CK241">
            <v>1574</v>
          </cell>
          <cell r="CM241">
            <v>190.58</v>
          </cell>
          <cell r="CN241">
            <v>17.86</v>
          </cell>
          <cell r="CO241" t="str">
            <v>#N/A N/A</v>
          </cell>
          <cell r="CQ241">
            <v>7.4</v>
          </cell>
          <cell r="CR241">
            <v>47.5</v>
          </cell>
          <cell r="CS241">
            <v>1210.5</v>
          </cell>
          <cell r="CU241">
            <v>1580</v>
          </cell>
          <cell r="CW241">
            <v>47.560975609756099</v>
          </cell>
          <cell r="CX241">
            <v>637.85</v>
          </cell>
          <cell r="CZ241">
            <v>336.26</v>
          </cell>
          <cell r="DA241">
            <v>3686.6</v>
          </cell>
          <cell r="DB241">
            <v>13.02</v>
          </cell>
          <cell r="DC241">
            <v>345.8</v>
          </cell>
          <cell r="DD241">
            <v>106.2</v>
          </cell>
        </row>
        <row r="242">
          <cell r="A242">
            <v>38955</v>
          </cell>
          <cell r="C242">
            <v>94</v>
          </cell>
          <cell r="D242" t="str">
            <v>#N/A N/A</v>
          </cell>
          <cell r="E242" t="str">
            <v>#N/A N/A</v>
          </cell>
          <cell r="L242">
            <v>1329.35</v>
          </cell>
          <cell r="M242">
            <v>2140.29</v>
          </cell>
          <cell r="N242">
            <v>5878.6</v>
          </cell>
          <cell r="O242">
            <v>3935</v>
          </cell>
          <cell r="Q242">
            <v>600</v>
          </cell>
          <cell r="R242">
            <v>225</v>
          </cell>
          <cell r="S242">
            <v>378.5</v>
          </cell>
          <cell r="T242">
            <v>543</v>
          </cell>
          <cell r="U242">
            <v>15938.66</v>
          </cell>
          <cell r="V242">
            <v>16955.45</v>
          </cell>
          <cell r="W242">
            <v>6526.22</v>
          </cell>
          <cell r="X242">
            <v>67.849999999999994</v>
          </cell>
          <cell r="Y242">
            <v>1400</v>
          </cell>
          <cell r="Z242">
            <v>1410</v>
          </cell>
          <cell r="AA242">
            <v>11572.2</v>
          </cell>
          <cell r="AB242">
            <v>4997.1000000000004</v>
          </cell>
          <cell r="AC242">
            <v>35957.519500000002</v>
          </cell>
          <cell r="AE242">
            <v>90.55</v>
          </cell>
          <cell r="AF242">
            <v>708.71</v>
          </cell>
          <cell r="AG242">
            <v>3690</v>
          </cell>
          <cell r="AH242">
            <v>940</v>
          </cell>
          <cell r="AI242">
            <v>1620</v>
          </cell>
          <cell r="AJ242">
            <v>556.41</v>
          </cell>
          <cell r="AL242">
            <v>1295.0899999999999</v>
          </cell>
          <cell r="AP242">
            <v>1623.0340000000001</v>
          </cell>
          <cell r="AV242">
            <v>45.16</v>
          </cell>
          <cell r="AZ242">
            <v>243</v>
          </cell>
          <cell r="BE242">
            <v>33800</v>
          </cell>
          <cell r="BG242">
            <v>51.7</v>
          </cell>
          <cell r="BH242">
            <v>264.55</v>
          </cell>
          <cell r="BY242">
            <v>433.69</v>
          </cell>
          <cell r="CD242">
            <v>331.43</v>
          </cell>
          <cell r="CE242">
            <v>329.53399999999999</v>
          </cell>
          <cell r="CF242">
            <v>307.63</v>
          </cell>
          <cell r="CG242">
            <v>1420</v>
          </cell>
          <cell r="CH242">
            <v>1300</v>
          </cell>
          <cell r="CI242" t="str">
            <v>#N/A N/A</v>
          </cell>
          <cell r="CJ242">
            <v>345</v>
          </cell>
          <cell r="CK242">
            <v>1574</v>
          </cell>
          <cell r="CM242">
            <v>190.58</v>
          </cell>
          <cell r="CN242">
            <v>17.86</v>
          </cell>
          <cell r="CO242" t="str">
            <v>#N/A N/A</v>
          </cell>
          <cell r="CQ242">
            <v>7.4</v>
          </cell>
          <cell r="CR242">
            <v>47.5</v>
          </cell>
          <cell r="CS242">
            <v>1210.5</v>
          </cell>
          <cell r="CU242">
            <v>1580</v>
          </cell>
          <cell r="CW242">
            <v>47.560975609756099</v>
          </cell>
          <cell r="CX242">
            <v>637.85</v>
          </cell>
          <cell r="CZ242">
            <v>336.26</v>
          </cell>
          <cell r="DA242">
            <v>3686.6</v>
          </cell>
          <cell r="DB242">
            <v>13.02</v>
          </cell>
          <cell r="DC242">
            <v>345.8</v>
          </cell>
          <cell r="DD242">
            <v>106.2</v>
          </cell>
        </row>
        <row r="243">
          <cell r="A243">
            <v>38956</v>
          </cell>
          <cell r="C243">
            <v>94</v>
          </cell>
          <cell r="D243" t="str">
            <v>#N/A N/A</v>
          </cell>
          <cell r="E243" t="str">
            <v>#N/A N/A</v>
          </cell>
          <cell r="L243">
            <v>1329.35</v>
          </cell>
          <cell r="M243">
            <v>2140.29</v>
          </cell>
          <cell r="N243">
            <v>5878.6</v>
          </cell>
          <cell r="O243">
            <v>3935</v>
          </cell>
          <cell r="Q243">
            <v>600</v>
          </cell>
          <cell r="R243">
            <v>225</v>
          </cell>
          <cell r="S243">
            <v>378.5</v>
          </cell>
          <cell r="T243">
            <v>543</v>
          </cell>
          <cell r="U243">
            <v>15938.66</v>
          </cell>
          <cell r="V243">
            <v>16955.45</v>
          </cell>
          <cell r="W243">
            <v>6526.22</v>
          </cell>
          <cell r="X243">
            <v>67.849999999999994</v>
          </cell>
          <cell r="Y243">
            <v>1400</v>
          </cell>
          <cell r="Z243">
            <v>1410</v>
          </cell>
          <cell r="AA243">
            <v>11572.2</v>
          </cell>
          <cell r="AB243">
            <v>4997.1000000000004</v>
          </cell>
          <cell r="AC243">
            <v>35957.519500000002</v>
          </cell>
          <cell r="AE243">
            <v>90.55</v>
          </cell>
          <cell r="AF243">
            <v>708.71</v>
          </cell>
          <cell r="AG243">
            <v>3690</v>
          </cell>
          <cell r="AH243">
            <v>940</v>
          </cell>
          <cell r="AI243">
            <v>1620</v>
          </cell>
          <cell r="AJ243">
            <v>556.41</v>
          </cell>
          <cell r="AL243">
            <v>1295.0899999999999</v>
          </cell>
          <cell r="AP243">
            <v>1623.0340000000001</v>
          </cell>
          <cell r="AV243">
            <v>45.16</v>
          </cell>
          <cell r="AZ243">
            <v>243</v>
          </cell>
          <cell r="BE243">
            <v>33800</v>
          </cell>
          <cell r="BG243">
            <v>51.7</v>
          </cell>
          <cell r="BH243">
            <v>264.55</v>
          </cell>
          <cell r="BY243">
            <v>433.69</v>
          </cell>
          <cell r="CD243">
            <v>331.43</v>
          </cell>
          <cell r="CE243">
            <v>329.53399999999999</v>
          </cell>
          <cell r="CF243">
            <v>307.63</v>
          </cell>
          <cell r="CG243">
            <v>1420</v>
          </cell>
          <cell r="CH243">
            <v>1300</v>
          </cell>
          <cell r="CI243" t="str">
            <v>#N/A N/A</v>
          </cell>
          <cell r="CJ243">
            <v>345</v>
          </cell>
          <cell r="CK243">
            <v>1574</v>
          </cell>
          <cell r="CM243">
            <v>190.58</v>
          </cell>
          <cell r="CN243">
            <v>17.86</v>
          </cell>
          <cell r="CO243" t="str">
            <v>#N/A N/A</v>
          </cell>
          <cell r="CQ243">
            <v>7.4</v>
          </cell>
          <cell r="CR243">
            <v>47.5</v>
          </cell>
          <cell r="CS243">
            <v>1210.5</v>
          </cell>
          <cell r="CU243">
            <v>1580</v>
          </cell>
          <cell r="CW243">
            <v>47.560975609756099</v>
          </cell>
          <cell r="CX243">
            <v>637.85</v>
          </cell>
          <cell r="CZ243">
            <v>336.26</v>
          </cell>
          <cell r="DA243">
            <v>3686.6</v>
          </cell>
          <cell r="DB243">
            <v>13.02</v>
          </cell>
          <cell r="DC243">
            <v>345.8</v>
          </cell>
          <cell r="DD243">
            <v>106.2</v>
          </cell>
        </row>
        <row r="244">
          <cell r="A244">
            <v>38957</v>
          </cell>
          <cell r="C244">
            <v>94</v>
          </cell>
          <cell r="D244" t="str">
            <v>#N/A N/A</v>
          </cell>
          <cell r="E244" t="str">
            <v>#N/A N/A</v>
          </cell>
          <cell r="L244">
            <v>1327.89</v>
          </cell>
          <cell r="M244">
            <v>2160.6999999999998</v>
          </cell>
          <cell r="N244">
            <v>5878.6</v>
          </cell>
          <cell r="O244">
            <v>3943</v>
          </cell>
          <cell r="Q244">
            <v>600</v>
          </cell>
          <cell r="R244">
            <v>224.5</v>
          </cell>
          <cell r="S244">
            <v>384.75</v>
          </cell>
          <cell r="T244">
            <v>537.75</v>
          </cell>
          <cell r="U244">
            <v>15762.59</v>
          </cell>
          <cell r="V244">
            <v>16922.29</v>
          </cell>
          <cell r="W244">
            <v>6444.76</v>
          </cell>
          <cell r="X244">
            <v>65.849999999999994</v>
          </cell>
          <cell r="Y244">
            <v>1400</v>
          </cell>
          <cell r="Z244">
            <v>1410</v>
          </cell>
          <cell r="AA244">
            <v>11619.52</v>
          </cell>
          <cell r="AB244">
            <v>4996.3</v>
          </cell>
          <cell r="AC244">
            <v>36374.511700000003</v>
          </cell>
          <cell r="AE244">
            <v>87.9</v>
          </cell>
          <cell r="AF244">
            <v>708.71</v>
          </cell>
          <cell r="AG244">
            <v>3690</v>
          </cell>
          <cell r="AH244">
            <v>940</v>
          </cell>
          <cell r="AI244">
            <v>1620</v>
          </cell>
          <cell r="AJ244">
            <v>556.28</v>
          </cell>
          <cell r="AL244">
            <v>1301.78</v>
          </cell>
          <cell r="AP244">
            <v>1650.4380000000001</v>
          </cell>
          <cell r="AV244">
            <v>45.29</v>
          </cell>
          <cell r="AZ244">
            <v>243.5</v>
          </cell>
          <cell r="BE244">
            <v>33800</v>
          </cell>
          <cell r="BG244">
            <v>51.7</v>
          </cell>
          <cell r="BH244">
            <v>261.76</v>
          </cell>
          <cell r="BY244">
            <v>438.44</v>
          </cell>
          <cell r="CD244">
            <v>332.66</v>
          </cell>
          <cell r="CE244">
            <v>330.86799999999999</v>
          </cell>
          <cell r="CF244">
            <v>306.23</v>
          </cell>
          <cell r="CG244">
            <v>1420</v>
          </cell>
          <cell r="CH244">
            <v>1300</v>
          </cell>
          <cell r="CI244" t="str">
            <v>#N/A N/A</v>
          </cell>
          <cell r="CJ244">
            <v>345</v>
          </cell>
          <cell r="CK244">
            <v>1574</v>
          </cell>
          <cell r="CM244">
            <v>182.83</v>
          </cell>
          <cell r="CN244">
            <v>17.87</v>
          </cell>
          <cell r="CO244" t="str">
            <v>#N/A N/A</v>
          </cell>
          <cell r="CQ244">
            <v>6.5</v>
          </cell>
          <cell r="CR244">
            <v>47.5</v>
          </cell>
          <cell r="CS244">
            <v>1210.5</v>
          </cell>
          <cell r="CU244">
            <v>1580</v>
          </cell>
          <cell r="CW244">
            <v>46.798780487804883</v>
          </cell>
          <cell r="CX244">
            <v>639.54999999999995</v>
          </cell>
          <cell r="CZ244">
            <v>329.69</v>
          </cell>
          <cell r="DA244">
            <v>3686.6</v>
          </cell>
          <cell r="DB244">
            <v>12.83</v>
          </cell>
          <cell r="DC244">
            <v>341.45</v>
          </cell>
          <cell r="DD244">
            <v>103.2</v>
          </cell>
        </row>
        <row r="245">
          <cell r="A245">
            <v>38958</v>
          </cell>
          <cell r="C245">
            <v>94</v>
          </cell>
          <cell r="D245" t="str">
            <v>#N/A N/A</v>
          </cell>
          <cell r="E245" t="str">
            <v>#N/A N/A</v>
          </cell>
          <cell r="L245">
            <v>1344.61</v>
          </cell>
          <cell r="M245">
            <v>2172.3000000000002</v>
          </cell>
          <cell r="N245">
            <v>5888.3</v>
          </cell>
          <cell r="O245">
            <v>3953</v>
          </cell>
          <cell r="Q245">
            <v>600</v>
          </cell>
          <cell r="R245">
            <v>222.75</v>
          </cell>
          <cell r="S245">
            <v>380.5</v>
          </cell>
          <cell r="T245">
            <v>537</v>
          </cell>
          <cell r="U245">
            <v>15890.56</v>
          </cell>
          <cell r="V245">
            <v>17083.28</v>
          </cell>
          <cell r="W245">
            <v>6479.91</v>
          </cell>
          <cell r="X245">
            <v>65.5</v>
          </cell>
          <cell r="Y245">
            <v>1400</v>
          </cell>
          <cell r="Z245">
            <v>1410</v>
          </cell>
          <cell r="AA245">
            <v>11706.85</v>
          </cell>
          <cell r="AB245">
            <v>5034.1000000000004</v>
          </cell>
          <cell r="AC245">
            <v>36303.671900000001</v>
          </cell>
          <cell r="AE245">
            <v>88.1</v>
          </cell>
          <cell r="AF245">
            <v>708.37</v>
          </cell>
          <cell r="AG245">
            <v>3750</v>
          </cell>
          <cell r="AH245">
            <v>940</v>
          </cell>
          <cell r="AI245">
            <v>1620</v>
          </cell>
          <cell r="AJ245">
            <v>560.79999999999995</v>
          </cell>
          <cell r="AL245">
            <v>1304.28</v>
          </cell>
          <cell r="AP245">
            <v>1651.0239999999999</v>
          </cell>
          <cell r="AV245">
            <v>45.9</v>
          </cell>
          <cell r="AZ245">
            <v>232.5</v>
          </cell>
          <cell r="BE245">
            <v>32800</v>
          </cell>
          <cell r="BG245">
            <v>51.7</v>
          </cell>
          <cell r="BH245">
            <v>260.41000000000003</v>
          </cell>
          <cell r="BY245">
            <v>445.71</v>
          </cell>
          <cell r="CD245">
            <v>333.54</v>
          </cell>
          <cell r="CE245">
            <v>331.62099999999998</v>
          </cell>
          <cell r="CF245">
            <v>309.68</v>
          </cell>
          <cell r="CG245">
            <v>1420</v>
          </cell>
          <cell r="CH245">
            <v>1300</v>
          </cell>
          <cell r="CI245" t="str">
            <v>#N/A N/A</v>
          </cell>
          <cell r="CJ245">
            <v>345</v>
          </cell>
          <cell r="CK245">
            <v>1517</v>
          </cell>
          <cell r="CM245">
            <v>182.5</v>
          </cell>
          <cell r="CN245">
            <v>17.760000000000002</v>
          </cell>
          <cell r="CO245" t="str">
            <v>#N/A N/A</v>
          </cell>
          <cell r="CQ245">
            <v>6.23</v>
          </cell>
          <cell r="CR245">
            <v>47.5</v>
          </cell>
          <cell r="CS245">
            <v>1219.5</v>
          </cell>
          <cell r="CU245">
            <v>1580</v>
          </cell>
          <cell r="CW245">
            <v>46.646341463414636</v>
          </cell>
          <cell r="CX245">
            <v>638.1</v>
          </cell>
          <cell r="CZ245">
            <v>327.73</v>
          </cell>
          <cell r="DA245">
            <v>3622.8</v>
          </cell>
          <cell r="DB245">
            <v>12.63</v>
          </cell>
          <cell r="DC245">
            <v>336.75</v>
          </cell>
          <cell r="DD245">
            <v>103.3</v>
          </cell>
        </row>
        <row r="246">
          <cell r="A246">
            <v>38959</v>
          </cell>
          <cell r="C246">
            <v>94</v>
          </cell>
          <cell r="D246" t="str">
            <v>#N/A N/A</v>
          </cell>
          <cell r="E246" t="str">
            <v>#N/A N/A</v>
          </cell>
          <cell r="L246">
            <v>1341.35</v>
          </cell>
          <cell r="M246">
            <v>2185.73</v>
          </cell>
          <cell r="N246">
            <v>5929.3</v>
          </cell>
          <cell r="O246">
            <v>3956</v>
          </cell>
          <cell r="Q246">
            <v>600</v>
          </cell>
          <cell r="R246">
            <v>228.5</v>
          </cell>
          <cell r="S246">
            <v>397.5</v>
          </cell>
          <cell r="T246">
            <v>542</v>
          </cell>
          <cell r="U246">
            <v>15872.02</v>
          </cell>
          <cell r="V246">
            <v>17284.71</v>
          </cell>
          <cell r="W246">
            <v>6587.12</v>
          </cell>
          <cell r="X246">
            <v>64.55</v>
          </cell>
          <cell r="Y246">
            <v>1400</v>
          </cell>
          <cell r="Z246">
            <v>1410</v>
          </cell>
          <cell r="AA246">
            <v>11723.92</v>
          </cell>
          <cell r="AB246">
            <v>5032.2</v>
          </cell>
          <cell r="AC246">
            <v>36313.429700000001</v>
          </cell>
          <cell r="AE246">
            <v>87.95</v>
          </cell>
          <cell r="AF246">
            <v>708.37</v>
          </cell>
          <cell r="AG246">
            <v>3795</v>
          </cell>
          <cell r="AH246">
            <v>940</v>
          </cell>
          <cell r="AI246">
            <v>1620</v>
          </cell>
          <cell r="AJ246">
            <v>565.1</v>
          </cell>
          <cell r="AL246">
            <v>1304.27</v>
          </cell>
          <cell r="AP246">
            <v>1655.1949999999999</v>
          </cell>
          <cell r="AV246">
            <v>45.61</v>
          </cell>
          <cell r="AZ246">
            <v>231.3</v>
          </cell>
          <cell r="BE246">
            <v>31625</v>
          </cell>
          <cell r="BG246">
            <v>51.7</v>
          </cell>
          <cell r="BH246">
            <v>257.39</v>
          </cell>
          <cell r="BY246">
            <v>453.77</v>
          </cell>
          <cell r="CD246">
            <v>334.89</v>
          </cell>
          <cell r="CE246">
            <v>332.87400000000002</v>
          </cell>
          <cell r="CF246">
            <v>310.61</v>
          </cell>
          <cell r="CG246">
            <v>1420</v>
          </cell>
          <cell r="CH246">
            <v>1300</v>
          </cell>
          <cell r="CI246" t="str">
            <v>#N/A N/A</v>
          </cell>
          <cell r="CJ246">
            <v>345</v>
          </cell>
          <cell r="CK246">
            <v>1467</v>
          </cell>
          <cell r="CM246">
            <v>183.35</v>
          </cell>
          <cell r="CN246">
            <v>17.72</v>
          </cell>
          <cell r="CO246" t="str">
            <v>#N/A N/A</v>
          </cell>
          <cell r="CQ246">
            <v>6.41</v>
          </cell>
          <cell r="CR246">
            <v>47.5</v>
          </cell>
          <cell r="CS246">
            <v>1208</v>
          </cell>
          <cell r="CU246">
            <v>1580</v>
          </cell>
          <cell r="CW246">
            <v>47.103658536585371</v>
          </cell>
          <cell r="CX246">
            <v>641.04999999999995</v>
          </cell>
          <cell r="CZ246">
            <v>327.08999999999997</v>
          </cell>
          <cell r="DA246">
            <v>3629.4</v>
          </cell>
          <cell r="DB246">
            <v>12.16</v>
          </cell>
          <cell r="DC246">
            <v>339.3</v>
          </cell>
          <cell r="DD246">
            <v>103.35</v>
          </cell>
        </row>
        <row r="247">
          <cell r="A247">
            <v>38960</v>
          </cell>
          <cell r="C247">
            <v>94</v>
          </cell>
          <cell r="D247" t="str">
            <v>#N/A N/A</v>
          </cell>
          <cell r="E247" t="str">
            <v>#N/A N/A</v>
          </cell>
          <cell r="L247">
            <v>1352.74</v>
          </cell>
          <cell r="M247">
            <v>2183.75</v>
          </cell>
          <cell r="N247">
            <v>5906.1</v>
          </cell>
          <cell r="O247">
            <v>3958</v>
          </cell>
          <cell r="Q247">
            <v>600</v>
          </cell>
          <cell r="R247">
            <v>232</v>
          </cell>
          <cell r="S247">
            <v>404</v>
          </cell>
          <cell r="T247">
            <v>542.25</v>
          </cell>
          <cell r="U247">
            <v>16140.76</v>
          </cell>
          <cell r="V247">
            <v>17392.27</v>
          </cell>
          <cell r="W247">
            <v>6611.77</v>
          </cell>
          <cell r="X247">
            <v>64.349999999999994</v>
          </cell>
          <cell r="Y247">
            <v>1400</v>
          </cell>
          <cell r="Z247">
            <v>1410</v>
          </cell>
          <cell r="AA247">
            <v>11699.05</v>
          </cell>
          <cell r="AB247">
            <v>5079.8</v>
          </cell>
          <cell r="AC247">
            <v>36232.218800000002</v>
          </cell>
          <cell r="AE247">
            <v>89.1</v>
          </cell>
          <cell r="AF247">
            <v>708.37</v>
          </cell>
          <cell r="AG247">
            <v>3847</v>
          </cell>
          <cell r="AH247">
            <v>940</v>
          </cell>
          <cell r="AI247">
            <v>1620</v>
          </cell>
          <cell r="AJ247">
            <v>572.83000000000004</v>
          </cell>
          <cell r="AL247">
            <v>1303.82</v>
          </cell>
          <cell r="AP247">
            <v>1658.6379999999999</v>
          </cell>
          <cell r="AV247">
            <v>45.86</v>
          </cell>
          <cell r="AZ247">
            <v>230.5</v>
          </cell>
          <cell r="BE247">
            <v>32300</v>
          </cell>
          <cell r="BG247">
            <v>51.7</v>
          </cell>
          <cell r="BH247">
            <v>255</v>
          </cell>
          <cell r="BY247">
            <v>449.22</v>
          </cell>
          <cell r="CD247">
            <v>334.81</v>
          </cell>
          <cell r="CE247">
            <v>332.91699999999997</v>
          </cell>
          <cell r="CF247">
            <v>311.14999999999998</v>
          </cell>
          <cell r="CG247">
            <v>1420</v>
          </cell>
          <cell r="CH247">
            <v>1300</v>
          </cell>
          <cell r="CI247" t="str">
            <v>#N/A N/A</v>
          </cell>
          <cell r="CJ247">
            <v>345</v>
          </cell>
          <cell r="CK247">
            <v>1424</v>
          </cell>
          <cell r="CM247">
            <v>182.07</v>
          </cell>
          <cell r="CN247">
            <v>17.96</v>
          </cell>
          <cell r="CO247" t="str">
            <v>#N/A N/A</v>
          </cell>
          <cell r="CQ247">
            <v>5.84</v>
          </cell>
          <cell r="CR247">
            <v>47.5</v>
          </cell>
          <cell r="CS247">
            <v>1200.5</v>
          </cell>
          <cell r="CU247">
            <v>1580</v>
          </cell>
          <cell r="CW247">
            <v>46.798780487804883</v>
          </cell>
          <cell r="CX247">
            <v>639.75</v>
          </cell>
          <cell r="CZ247">
            <v>329.02</v>
          </cell>
          <cell r="DA247">
            <v>3730.2</v>
          </cell>
          <cell r="DB247">
            <v>12.16</v>
          </cell>
          <cell r="DC247">
            <v>343.2</v>
          </cell>
          <cell r="DD247">
            <v>104</v>
          </cell>
        </row>
        <row r="248">
          <cell r="A248">
            <v>38961</v>
          </cell>
          <cell r="C248">
            <v>92.8</v>
          </cell>
          <cell r="D248" t="str">
            <v>#N/A N/A</v>
          </cell>
          <cell r="E248" t="str">
            <v>#N/A N/A</v>
          </cell>
          <cell r="L248">
            <v>1356.67</v>
          </cell>
          <cell r="M248">
            <v>2193.16</v>
          </cell>
          <cell r="N248">
            <v>5949.1</v>
          </cell>
          <cell r="O248">
            <v>3963</v>
          </cell>
          <cell r="Q248">
            <v>565</v>
          </cell>
          <cell r="R248">
            <v>245.75</v>
          </cell>
          <cell r="S248">
            <v>419.5</v>
          </cell>
          <cell r="T248">
            <v>551.5</v>
          </cell>
          <cell r="U248">
            <v>16134.25</v>
          </cell>
          <cell r="V248">
            <v>17423.72</v>
          </cell>
          <cell r="W248">
            <v>6651.46</v>
          </cell>
          <cell r="X248">
            <v>64.05</v>
          </cell>
          <cell r="Y248">
            <v>1450</v>
          </cell>
          <cell r="Z248">
            <v>1440</v>
          </cell>
          <cell r="AA248">
            <v>11778.02</v>
          </cell>
          <cell r="AB248">
            <v>5063.8999999999996</v>
          </cell>
          <cell r="AC248">
            <v>37329.148399999998</v>
          </cell>
          <cell r="AE248">
            <v>88.15</v>
          </cell>
          <cell r="AF248">
            <v>708.37</v>
          </cell>
          <cell r="AG248">
            <v>3875</v>
          </cell>
          <cell r="AH248">
            <v>950</v>
          </cell>
          <cell r="AI248">
            <v>1610</v>
          </cell>
          <cell r="AJ248">
            <v>577.73</v>
          </cell>
          <cell r="AL248">
            <v>1311.01</v>
          </cell>
          <cell r="AP248">
            <v>1636.691</v>
          </cell>
          <cell r="AV248">
            <v>46.48</v>
          </cell>
          <cell r="AZ248">
            <v>234.8</v>
          </cell>
          <cell r="BE248">
            <v>31750</v>
          </cell>
          <cell r="BG248">
            <v>48.1</v>
          </cell>
          <cell r="BH248">
            <v>257.58</v>
          </cell>
          <cell r="BY248">
            <v>444.52</v>
          </cell>
          <cell r="CD248">
            <v>336.42</v>
          </cell>
          <cell r="CE248">
            <v>334.46</v>
          </cell>
          <cell r="CF248">
            <v>313.37</v>
          </cell>
          <cell r="CG248">
            <v>1430</v>
          </cell>
          <cell r="CH248">
            <v>1380</v>
          </cell>
          <cell r="CI248" t="str">
            <v>#N/A N/A</v>
          </cell>
          <cell r="CJ248">
            <v>345</v>
          </cell>
          <cell r="CK248">
            <v>1391</v>
          </cell>
          <cell r="CM248">
            <v>178.42</v>
          </cell>
          <cell r="CN248">
            <v>17.809999999999999</v>
          </cell>
          <cell r="CO248" t="str">
            <v>#N/A N/A</v>
          </cell>
          <cell r="CQ248">
            <v>5.18</v>
          </cell>
          <cell r="CR248">
            <v>52</v>
          </cell>
          <cell r="CS248">
            <v>1226</v>
          </cell>
          <cell r="CU248">
            <v>1590</v>
          </cell>
          <cell r="CW248">
            <v>46.341463414634148</v>
          </cell>
          <cell r="CX248">
            <v>641.9</v>
          </cell>
          <cell r="CZ248">
            <v>325.42</v>
          </cell>
          <cell r="DA248">
            <v>3697.6</v>
          </cell>
          <cell r="DB248">
            <v>12.24</v>
          </cell>
          <cell r="DC248">
            <v>343.2</v>
          </cell>
          <cell r="DD248">
            <v>107.6</v>
          </cell>
        </row>
        <row r="249">
          <cell r="A249">
            <v>38962</v>
          </cell>
          <cell r="C249">
            <v>92.8</v>
          </cell>
          <cell r="D249" t="str">
            <v>#N/A N/A</v>
          </cell>
          <cell r="E249" t="str">
            <v>#N/A N/A</v>
          </cell>
          <cell r="L249">
            <v>1356.67</v>
          </cell>
          <cell r="M249">
            <v>2193.16</v>
          </cell>
          <cell r="N249">
            <v>5949.1</v>
          </cell>
          <cell r="O249">
            <v>3963</v>
          </cell>
          <cell r="Q249">
            <v>565</v>
          </cell>
          <cell r="R249">
            <v>245.75</v>
          </cell>
          <cell r="S249">
            <v>419.5</v>
          </cell>
          <cell r="T249">
            <v>551.5</v>
          </cell>
          <cell r="U249">
            <v>16134.25</v>
          </cell>
          <cell r="V249">
            <v>17423.72</v>
          </cell>
          <cell r="W249">
            <v>6651.46</v>
          </cell>
          <cell r="X249">
            <v>64.05</v>
          </cell>
          <cell r="Y249">
            <v>1450</v>
          </cell>
          <cell r="Z249">
            <v>1440</v>
          </cell>
          <cell r="AA249">
            <v>11778.02</v>
          </cell>
          <cell r="AB249">
            <v>5063.8999999999996</v>
          </cell>
          <cell r="AC249">
            <v>37329.148399999998</v>
          </cell>
          <cell r="AE249">
            <v>88.15</v>
          </cell>
          <cell r="AF249">
            <v>708.37</v>
          </cell>
          <cell r="AG249">
            <v>3875</v>
          </cell>
          <cell r="AH249">
            <v>950</v>
          </cell>
          <cell r="AI249">
            <v>1610</v>
          </cell>
          <cell r="AJ249">
            <v>577.73</v>
          </cell>
          <cell r="AL249">
            <v>1311.01</v>
          </cell>
          <cell r="AP249">
            <v>1636.691</v>
          </cell>
          <cell r="AV249">
            <v>46.48</v>
          </cell>
          <cell r="AZ249">
            <v>234.8</v>
          </cell>
          <cell r="BE249">
            <v>31750</v>
          </cell>
          <cell r="BG249">
            <v>48.1</v>
          </cell>
          <cell r="BH249">
            <v>257.58</v>
          </cell>
          <cell r="BY249">
            <v>444.52</v>
          </cell>
          <cell r="CD249">
            <v>336.42</v>
          </cell>
          <cell r="CE249">
            <v>334.46</v>
          </cell>
          <cell r="CF249">
            <v>313.37</v>
          </cell>
          <cell r="CG249">
            <v>1430</v>
          </cell>
          <cell r="CH249">
            <v>1380</v>
          </cell>
          <cell r="CI249" t="str">
            <v>#N/A N/A</v>
          </cell>
          <cell r="CJ249">
            <v>345</v>
          </cell>
          <cell r="CK249">
            <v>1391</v>
          </cell>
          <cell r="CM249">
            <v>178.42</v>
          </cell>
          <cell r="CN249">
            <v>17.809999999999999</v>
          </cell>
          <cell r="CO249" t="str">
            <v>#N/A N/A</v>
          </cell>
          <cell r="CQ249">
            <v>5.18</v>
          </cell>
          <cell r="CR249">
            <v>52</v>
          </cell>
          <cell r="CS249">
            <v>1226</v>
          </cell>
          <cell r="CU249">
            <v>1590</v>
          </cell>
          <cell r="CW249">
            <v>46.341463414634148</v>
          </cell>
          <cell r="CX249">
            <v>641.9</v>
          </cell>
          <cell r="CZ249">
            <v>325.42</v>
          </cell>
          <cell r="DA249">
            <v>3697.6</v>
          </cell>
          <cell r="DB249">
            <v>12.24</v>
          </cell>
          <cell r="DC249">
            <v>343.2</v>
          </cell>
          <cell r="DD249">
            <v>107.6</v>
          </cell>
        </row>
        <row r="250">
          <cell r="A250">
            <v>38963</v>
          </cell>
          <cell r="C250">
            <v>92.8</v>
          </cell>
          <cell r="D250" t="str">
            <v>#N/A N/A</v>
          </cell>
          <cell r="E250" t="str">
            <v>#N/A N/A</v>
          </cell>
          <cell r="L250">
            <v>1356.67</v>
          </cell>
          <cell r="M250">
            <v>2193.16</v>
          </cell>
          <cell r="N250">
            <v>5949.1</v>
          </cell>
          <cell r="O250">
            <v>3963</v>
          </cell>
          <cell r="Q250">
            <v>565</v>
          </cell>
          <cell r="R250">
            <v>245.75</v>
          </cell>
          <cell r="S250">
            <v>419.5</v>
          </cell>
          <cell r="T250">
            <v>551.5</v>
          </cell>
          <cell r="U250">
            <v>16134.25</v>
          </cell>
          <cell r="V250">
            <v>17423.72</v>
          </cell>
          <cell r="W250">
            <v>6651.46</v>
          </cell>
          <cell r="X250">
            <v>64.05</v>
          </cell>
          <cell r="Y250">
            <v>1450</v>
          </cell>
          <cell r="Z250">
            <v>1440</v>
          </cell>
          <cell r="AA250">
            <v>11778.02</v>
          </cell>
          <cell r="AB250">
            <v>5063.8999999999996</v>
          </cell>
          <cell r="AC250">
            <v>37329.148399999998</v>
          </cell>
          <cell r="AE250">
            <v>88.15</v>
          </cell>
          <cell r="AF250">
            <v>708.37</v>
          </cell>
          <cell r="AG250">
            <v>3875</v>
          </cell>
          <cell r="AH250">
            <v>950</v>
          </cell>
          <cell r="AI250">
            <v>1610</v>
          </cell>
          <cell r="AJ250">
            <v>577.73</v>
          </cell>
          <cell r="AL250">
            <v>1311.01</v>
          </cell>
          <cell r="AP250">
            <v>1636.691</v>
          </cell>
          <cell r="AV250">
            <v>46.48</v>
          </cell>
          <cell r="AZ250">
            <v>234.8</v>
          </cell>
          <cell r="BE250">
            <v>31750</v>
          </cell>
          <cell r="BG250">
            <v>48.1</v>
          </cell>
          <cell r="BH250">
            <v>257.58</v>
          </cell>
          <cell r="BY250">
            <v>444.52</v>
          </cell>
          <cell r="CD250">
            <v>336.42</v>
          </cell>
          <cell r="CE250">
            <v>334.46</v>
          </cell>
          <cell r="CF250">
            <v>313.37</v>
          </cell>
          <cell r="CG250">
            <v>1430</v>
          </cell>
          <cell r="CH250">
            <v>1380</v>
          </cell>
          <cell r="CI250" t="str">
            <v>#N/A N/A</v>
          </cell>
          <cell r="CJ250">
            <v>345</v>
          </cell>
          <cell r="CK250">
            <v>1391</v>
          </cell>
          <cell r="CM250">
            <v>178.42</v>
          </cell>
          <cell r="CN250">
            <v>17.809999999999999</v>
          </cell>
          <cell r="CO250" t="str">
            <v>#N/A N/A</v>
          </cell>
          <cell r="CQ250">
            <v>5.18</v>
          </cell>
          <cell r="CR250">
            <v>52</v>
          </cell>
          <cell r="CS250">
            <v>1226</v>
          </cell>
          <cell r="CU250">
            <v>1590</v>
          </cell>
          <cell r="CW250">
            <v>46.341463414634148</v>
          </cell>
          <cell r="CX250">
            <v>641.9</v>
          </cell>
          <cell r="CZ250">
            <v>325.42</v>
          </cell>
          <cell r="DA250">
            <v>3697.6</v>
          </cell>
          <cell r="DB250">
            <v>12.24</v>
          </cell>
          <cell r="DC250">
            <v>343.2</v>
          </cell>
          <cell r="DD250">
            <v>107.6</v>
          </cell>
        </row>
        <row r="251">
          <cell r="A251">
            <v>38964</v>
          </cell>
          <cell r="C251">
            <v>92.8</v>
          </cell>
          <cell r="D251" t="str">
            <v>#N/A N/A</v>
          </cell>
          <cell r="E251" t="str">
            <v>#N/A N/A</v>
          </cell>
          <cell r="L251">
            <v>1359.06</v>
          </cell>
          <cell r="M251">
            <v>2193.16</v>
          </cell>
          <cell r="N251">
            <v>5986.6</v>
          </cell>
          <cell r="O251">
            <v>3971</v>
          </cell>
          <cell r="Q251">
            <v>565</v>
          </cell>
          <cell r="R251">
            <v>245.75</v>
          </cell>
          <cell r="S251">
            <v>419.5</v>
          </cell>
          <cell r="T251">
            <v>551.5</v>
          </cell>
          <cell r="U251">
            <v>16358.07</v>
          </cell>
          <cell r="V251">
            <v>17513.88</v>
          </cell>
          <cell r="W251">
            <v>6750.78</v>
          </cell>
          <cell r="X251">
            <v>62.65</v>
          </cell>
          <cell r="Y251">
            <v>1450</v>
          </cell>
          <cell r="Z251">
            <v>1440</v>
          </cell>
          <cell r="AA251">
            <v>11914.21</v>
          </cell>
          <cell r="AB251">
            <v>5091.5</v>
          </cell>
          <cell r="AC251">
            <v>37693.351600000002</v>
          </cell>
          <cell r="AE251">
            <v>88.4</v>
          </cell>
          <cell r="AF251">
            <v>708.37</v>
          </cell>
          <cell r="AG251">
            <v>3882</v>
          </cell>
          <cell r="AH251">
            <v>950</v>
          </cell>
          <cell r="AI251">
            <v>1610</v>
          </cell>
          <cell r="AJ251">
            <v>586.77</v>
          </cell>
          <cell r="AL251">
            <v>1311.01</v>
          </cell>
          <cell r="AP251">
            <v>1657.52</v>
          </cell>
          <cell r="AV251">
            <v>46.48</v>
          </cell>
          <cell r="AZ251">
            <v>225.1</v>
          </cell>
          <cell r="BE251">
            <v>29600</v>
          </cell>
          <cell r="BG251">
            <v>48.1</v>
          </cell>
          <cell r="BH251">
            <v>258.7</v>
          </cell>
          <cell r="BY251">
            <v>444.52</v>
          </cell>
          <cell r="CD251">
            <v>338.58</v>
          </cell>
          <cell r="CE251">
            <v>336.38200000000001</v>
          </cell>
          <cell r="CF251">
            <v>317.77999999999997</v>
          </cell>
          <cell r="CG251">
            <v>1430</v>
          </cell>
          <cell r="CH251">
            <v>1380</v>
          </cell>
          <cell r="CI251" t="str">
            <v>#N/A N/A</v>
          </cell>
          <cell r="CJ251">
            <v>345</v>
          </cell>
          <cell r="CK251">
            <v>1373</v>
          </cell>
          <cell r="CM251">
            <v>178.42</v>
          </cell>
          <cell r="CN251">
            <v>18.170000000000002</v>
          </cell>
          <cell r="CO251" t="str">
            <v>#N/A N/A</v>
          </cell>
          <cell r="CQ251">
            <v>5.18</v>
          </cell>
          <cell r="CR251">
            <v>52</v>
          </cell>
          <cell r="CS251">
            <v>1264.5</v>
          </cell>
          <cell r="CU251">
            <v>1590</v>
          </cell>
          <cell r="CW251">
            <v>44.359756097560975</v>
          </cell>
          <cell r="CX251">
            <v>643.5</v>
          </cell>
          <cell r="CZ251">
            <v>325.42</v>
          </cell>
          <cell r="DA251">
            <v>3698.9</v>
          </cell>
          <cell r="DB251">
            <v>12.24</v>
          </cell>
          <cell r="DC251">
            <v>343.2</v>
          </cell>
          <cell r="DD251">
            <v>107.6</v>
          </cell>
        </row>
        <row r="252">
          <cell r="A252">
            <v>38965</v>
          </cell>
          <cell r="C252">
            <v>92.8</v>
          </cell>
          <cell r="D252" t="str">
            <v>#N/A N/A</v>
          </cell>
          <cell r="E252" t="str">
            <v>#N/A N/A</v>
          </cell>
          <cell r="L252">
            <v>1361.24</v>
          </cell>
          <cell r="M252">
            <v>2205.6999999999998</v>
          </cell>
          <cell r="N252">
            <v>5981.7</v>
          </cell>
          <cell r="O252">
            <v>3999</v>
          </cell>
          <cell r="Q252">
            <v>565</v>
          </cell>
          <cell r="R252">
            <v>244.25</v>
          </cell>
          <cell r="S252">
            <v>422</v>
          </cell>
          <cell r="T252">
            <v>554.25</v>
          </cell>
          <cell r="U252">
            <v>16385.96</v>
          </cell>
          <cell r="V252">
            <v>17438.8</v>
          </cell>
          <cell r="W252">
            <v>6734.73</v>
          </cell>
          <cell r="X252">
            <v>61.35</v>
          </cell>
          <cell r="Y252">
            <v>1450</v>
          </cell>
          <cell r="Z252">
            <v>1440</v>
          </cell>
          <cell r="AA252">
            <v>11904.6</v>
          </cell>
          <cell r="AB252">
            <v>5111.7</v>
          </cell>
          <cell r="AC252">
            <v>37367.960899999998</v>
          </cell>
          <cell r="AE252">
            <v>87.75</v>
          </cell>
          <cell r="AF252">
            <v>709.69</v>
          </cell>
          <cell r="AG252">
            <v>3882</v>
          </cell>
          <cell r="AH252">
            <v>950</v>
          </cell>
          <cell r="AI252">
            <v>1610</v>
          </cell>
          <cell r="AJ252">
            <v>592.83000000000004</v>
          </cell>
          <cell r="AL252">
            <v>1313.25</v>
          </cell>
          <cell r="AP252">
            <v>1664.078</v>
          </cell>
          <cell r="AV252">
            <v>46.75</v>
          </cell>
          <cell r="AZ252">
            <v>225.3</v>
          </cell>
          <cell r="BE252">
            <v>29425</v>
          </cell>
          <cell r="BG252">
            <v>48.1</v>
          </cell>
          <cell r="BH252">
            <v>257.58</v>
          </cell>
          <cell r="BY252">
            <v>451.96</v>
          </cell>
          <cell r="CD252">
            <v>338.06</v>
          </cell>
          <cell r="CE252">
            <v>335.84500000000003</v>
          </cell>
          <cell r="CF252">
            <v>317.85000000000002</v>
          </cell>
          <cell r="CG252">
            <v>1430</v>
          </cell>
          <cell r="CH252">
            <v>1380</v>
          </cell>
          <cell r="CI252" t="str">
            <v>#N/A N/A</v>
          </cell>
          <cell r="CJ252">
            <v>345</v>
          </cell>
          <cell r="CK252">
            <v>1356</v>
          </cell>
          <cell r="CM252">
            <v>168.26</v>
          </cell>
          <cell r="CN252">
            <v>18.079999999999998</v>
          </cell>
          <cell r="CO252" t="str">
            <v>#N/A N/A</v>
          </cell>
          <cell r="CQ252">
            <v>5.48</v>
          </cell>
          <cell r="CR252">
            <v>52</v>
          </cell>
          <cell r="CS252">
            <v>1290</v>
          </cell>
          <cell r="CU252">
            <v>1590</v>
          </cell>
          <cell r="CW252">
            <v>43.59756097560976</v>
          </cell>
          <cell r="CX252">
            <v>640.6</v>
          </cell>
          <cell r="CZ252">
            <v>327.08</v>
          </cell>
          <cell r="DA252">
            <v>3811.3</v>
          </cell>
          <cell r="DB252">
            <v>12.16</v>
          </cell>
          <cell r="DC252">
            <v>343.2</v>
          </cell>
          <cell r="DD252">
            <v>110.3</v>
          </cell>
        </row>
        <row r="253">
          <cell r="A253">
            <v>38966</v>
          </cell>
          <cell r="C253">
            <v>92.8</v>
          </cell>
          <cell r="D253" t="str">
            <v>#N/A N/A</v>
          </cell>
          <cell r="E253" t="str">
            <v>#N/A N/A</v>
          </cell>
          <cell r="L253">
            <v>1357.01</v>
          </cell>
          <cell r="M253">
            <v>2167.84</v>
          </cell>
          <cell r="N253">
            <v>5929.3</v>
          </cell>
          <cell r="O253">
            <v>4004</v>
          </cell>
          <cell r="Q253">
            <v>565</v>
          </cell>
          <cell r="R253">
            <v>240.75</v>
          </cell>
          <cell r="S253">
            <v>417</v>
          </cell>
          <cell r="T253">
            <v>546.75</v>
          </cell>
          <cell r="U253">
            <v>16284.09</v>
          </cell>
          <cell r="V253">
            <v>17258.509999999998</v>
          </cell>
          <cell r="W253">
            <v>6688.4</v>
          </cell>
          <cell r="X253">
            <v>61.45</v>
          </cell>
          <cell r="Y253">
            <v>1450</v>
          </cell>
          <cell r="Z253">
            <v>1440</v>
          </cell>
          <cell r="AA253">
            <v>11933.21</v>
          </cell>
          <cell r="AB253">
            <v>5078.7</v>
          </cell>
          <cell r="AC253">
            <v>36709.871099999997</v>
          </cell>
          <cell r="AE253">
            <v>87.65</v>
          </cell>
          <cell r="AF253">
            <v>709.69</v>
          </cell>
          <cell r="AG253">
            <v>3877</v>
          </cell>
          <cell r="AH253">
            <v>950</v>
          </cell>
          <cell r="AI253">
            <v>1610</v>
          </cell>
          <cell r="AJ253">
            <v>592.5</v>
          </cell>
          <cell r="AL253">
            <v>1300.26</v>
          </cell>
          <cell r="AP253">
            <v>1672.1210000000001</v>
          </cell>
          <cell r="AV253">
            <v>46.02</v>
          </cell>
          <cell r="AZ253">
            <v>215.3</v>
          </cell>
          <cell r="BE253">
            <v>30100</v>
          </cell>
          <cell r="BG253">
            <v>48.1</v>
          </cell>
          <cell r="BH253">
            <v>250.67</v>
          </cell>
          <cell r="BY253">
            <v>437.12</v>
          </cell>
          <cell r="CD253">
            <v>334.37</v>
          </cell>
          <cell r="CE253">
            <v>332.17500000000001</v>
          </cell>
          <cell r="CF253">
            <v>316.52999999999997</v>
          </cell>
          <cell r="CG253">
            <v>1430</v>
          </cell>
          <cell r="CH253">
            <v>1380</v>
          </cell>
          <cell r="CI253" t="str">
            <v>#N/A N/A</v>
          </cell>
          <cell r="CJ253">
            <v>345</v>
          </cell>
          <cell r="CK253">
            <v>1349</v>
          </cell>
          <cell r="CM253">
            <v>167.9</v>
          </cell>
          <cell r="CN253">
            <v>18.03</v>
          </cell>
          <cell r="CO253" t="str">
            <v>#N/A N/A</v>
          </cell>
          <cell r="CQ253">
            <v>5.73</v>
          </cell>
          <cell r="CR253">
            <v>52</v>
          </cell>
          <cell r="CS253">
            <v>1354.75</v>
          </cell>
          <cell r="CU253">
            <v>1590</v>
          </cell>
          <cell r="CW253">
            <v>43.59756097560976</v>
          </cell>
          <cell r="CX253">
            <v>638.70000000000005</v>
          </cell>
          <cell r="CZ253">
            <v>325.43</v>
          </cell>
          <cell r="DA253">
            <v>3887</v>
          </cell>
          <cell r="DB253">
            <v>12.53</v>
          </cell>
          <cell r="DC253">
            <v>343.2</v>
          </cell>
          <cell r="DD253">
            <v>110.35</v>
          </cell>
        </row>
        <row r="254">
          <cell r="A254">
            <v>38967</v>
          </cell>
          <cell r="C254">
            <v>92.8</v>
          </cell>
          <cell r="D254" t="str">
            <v>#N/A N/A</v>
          </cell>
          <cell r="E254" t="str">
            <v>#N/A N/A</v>
          </cell>
          <cell r="L254">
            <v>1351.17</v>
          </cell>
          <cell r="M254">
            <v>2155.29</v>
          </cell>
          <cell r="N254">
            <v>5858.1</v>
          </cell>
          <cell r="O254">
            <v>4002</v>
          </cell>
          <cell r="Q254">
            <v>565</v>
          </cell>
          <cell r="R254">
            <v>245.75</v>
          </cell>
          <cell r="S254">
            <v>420.25</v>
          </cell>
          <cell r="T254">
            <v>550</v>
          </cell>
          <cell r="U254">
            <v>16012.41</v>
          </cell>
          <cell r="V254">
            <v>17096.439999999999</v>
          </cell>
          <cell r="W254">
            <v>6685.23</v>
          </cell>
          <cell r="X254">
            <v>60.95</v>
          </cell>
          <cell r="Y254">
            <v>1450</v>
          </cell>
          <cell r="Z254">
            <v>1440</v>
          </cell>
          <cell r="AA254">
            <v>11853.85</v>
          </cell>
          <cell r="AB254">
            <v>5075.8</v>
          </cell>
          <cell r="AC254">
            <v>36709.871099999997</v>
          </cell>
          <cell r="AE254">
            <v>85.85</v>
          </cell>
          <cell r="AF254">
            <v>709.69</v>
          </cell>
          <cell r="AG254">
            <v>3888</v>
          </cell>
          <cell r="AH254">
            <v>950</v>
          </cell>
          <cell r="AI254">
            <v>1610</v>
          </cell>
          <cell r="AJ254">
            <v>591.64</v>
          </cell>
          <cell r="AL254">
            <v>1294.02</v>
          </cell>
          <cell r="AP254">
            <v>1661.19</v>
          </cell>
          <cell r="AV254">
            <v>45.87</v>
          </cell>
          <cell r="AZ254">
            <v>209</v>
          </cell>
          <cell r="BE254">
            <v>30350</v>
          </cell>
          <cell r="BG254">
            <v>48.1</v>
          </cell>
          <cell r="BH254">
            <v>246.73</v>
          </cell>
          <cell r="BY254">
            <v>435.56</v>
          </cell>
          <cell r="CD254">
            <v>331.12</v>
          </cell>
          <cell r="CE254">
            <v>329.03100000000001</v>
          </cell>
          <cell r="CF254">
            <v>314.77</v>
          </cell>
          <cell r="CG254">
            <v>1430</v>
          </cell>
          <cell r="CH254">
            <v>1380</v>
          </cell>
          <cell r="CI254" t="str">
            <v>#N/A N/A</v>
          </cell>
          <cell r="CJ254">
            <v>345</v>
          </cell>
          <cell r="CK254">
            <v>1340</v>
          </cell>
          <cell r="CM254">
            <v>168.41</v>
          </cell>
          <cell r="CN254">
            <v>18.149999999999999</v>
          </cell>
          <cell r="CO254" t="str">
            <v>#N/A N/A</v>
          </cell>
          <cell r="CQ254">
            <v>5.66</v>
          </cell>
          <cell r="CR254">
            <v>52</v>
          </cell>
          <cell r="CS254">
            <v>1329.25</v>
          </cell>
          <cell r="CU254">
            <v>1590</v>
          </cell>
          <cell r="CW254">
            <v>44.969512195121951</v>
          </cell>
          <cell r="CX254">
            <v>637.45000000000005</v>
          </cell>
          <cell r="CZ254">
            <v>323.61</v>
          </cell>
          <cell r="DA254">
            <v>3885.3</v>
          </cell>
          <cell r="DB254">
            <v>12.46</v>
          </cell>
          <cell r="DC254">
            <v>343.2</v>
          </cell>
          <cell r="DD254">
            <v>107.6</v>
          </cell>
        </row>
        <row r="255">
          <cell r="A255">
            <v>38968</v>
          </cell>
          <cell r="C255">
            <v>92.8</v>
          </cell>
          <cell r="D255" t="str">
            <v>#N/A N/A</v>
          </cell>
          <cell r="E255" t="str">
            <v>#N/A N/A</v>
          </cell>
          <cell r="L255">
            <v>1354.89</v>
          </cell>
          <cell r="M255">
            <v>2165.79</v>
          </cell>
          <cell r="N255">
            <v>5879.3</v>
          </cell>
          <cell r="O255">
            <v>3999</v>
          </cell>
          <cell r="Q255">
            <v>565</v>
          </cell>
          <cell r="R255">
            <v>246</v>
          </cell>
          <cell r="S255">
            <v>415.5</v>
          </cell>
          <cell r="T255">
            <v>548</v>
          </cell>
          <cell r="U255">
            <v>16080.46</v>
          </cell>
          <cell r="V255">
            <v>17145.759999999998</v>
          </cell>
          <cell r="W255">
            <v>6693.11</v>
          </cell>
          <cell r="X255">
            <v>60.25</v>
          </cell>
          <cell r="Y255">
            <v>1430</v>
          </cell>
          <cell r="Z255">
            <v>1440</v>
          </cell>
          <cell r="AA255">
            <v>11918.65</v>
          </cell>
          <cell r="AB255">
            <v>5063.2</v>
          </cell>
          <cell r="AC255">
            <v>36558.480499999998</v>
          </cell>
          <cell r="AE255">
            <v>84.35</v>
          </cell>
          <cell r="AF255">
            <v>709.69</v>
          </cell>
          <cell r="AG255">
            <v>3914</v>
          </cell>
          <cell r="AH255">
            <v>960</v>
          </cell>
          <cell r="AI255">
            <v>1600</v>
          </cell>
          <cell r="AJ255">
            <v>597.67999999999995</v>
          </cell>
          <cell r="AL255">
            <v>1298.92</v>
          </cell>
          <cell r="AP255">
            <v>1667.9839999999999</v>
          </cell>
          <cell r="AV255">
            <v>46.14</v>
          </cell>
          <cell r="AZ255">
            <v>211.6</v>
          </cell>
          <cell r="BE255">
            <v>29300</v>
          </cell>
          <cell r="BG255">
            <v>47.75</v>
          </cell>
          <cell r="BH255">
            <v>241.94</v>
          </cell>
          <cell r="BY255">
            <v>438.69</v>
          </cell>
          <cell r="CD255">
            <v>331.43</v>
          </cell>
          <cell r="CE255">
            <v>329.38900000000001</v>
          </cell>
          <cell r="CF255">
            <v>314.88</v>
          </cell>
          <cell r="CG255">
            <v>1400</v>
          </cell>
          <cell r="CH255">
            <v>1310</v>
          </cell>
          <cell r="CI255" t="str">
            <v>#N/A N/A</v>
          </cell>
          <cell r="CJ255">
            <v>345</v>
          </cell>
          <cell r="CK255">
            <v>1336</v>
          </cell>
          <cell r="CM255">
            <v>164.23</v>
          </cell>
          <cell r="CN255">
            <v>18.14</v>
          </cell>
          <cell r="CO255" t="str">
            <v>#N/A N/A</v>
          </cell>
          <cell r="CQ255">
            <v>5.32</v>
          </cell>
          <cell r="CR255">
            <v>52</v>
          </cell>
          <cell r="CS255">
            <v>1347</v>
          </cell>
          <cell r="CU255">
            <v>1620</v>
          </cell>
          <cell r="CW255">
            <v>45.579268292682933</v>
          </cell>
          <cell r="CX255">
            <v>633.70000000000005</v>
          </cell>
          <cell r="CZ255">
            <v>320.39</v>
          </cell>
          <cell r="DA255">
            <v>3795.3</v>
          </cell>
          <cell r="DB255">
            <v>12.66</v>
          </cell>
          <cell r="DC255">
            <v>343.2</v>
          </cell>
          <cell r="DD255">
            <v>106.15</v>
          </cell>
        </row>
        <row r="256">
          <cell r="A256">
            <v>38969</v>
          </cell>
          <cell r="C256">
            <v>92.8</v>
          </cell>
          <cell r="D256" t="str">
            <v>#N/A N/A</v>
          </cell>
          <cell r="E256" t="str">
            <v>#N/A N/A</v>
          </cell>
          <cell r="L256">
            <v>1354.89</v>
          </cell>
          <cell r="M256">
            <v>2165.79</v>
          </cell>
          <cell r="N256">
            <v>5879.3</v>
          </cell>
          <cell r="O256">
            <v>3999</v>
          </cell>
          <cell r="Q256">
            <v>565</v>
          </cell>
          <cell r="R256">
            <v>246</v>
          </cell>
          <cell r="S256">
            <v>415.5</v>
          </cell>
          <cell r="T256">
            <v>548</v>
          </cell>
          <cell r="U256">
            <v>16080.46</v>
          </cell>
          <cell r="V256">
            <v>17145.759999999998</v>
          </cell>
          <cell r="W256">
            <v>6693.11</v>
          </cell>
          <cell r="X256">
            <v>60.25</v>
          </cell>
          <cell r="Y256">
            <v>1430</v>
          </cell>
          <cell r="Z256">
            <v>1440</v>
          </cell>
          <cell r="AA256">
            <v>11918.65</v>
          </cell>
          <cell r="AB256">
            <v>5063.2</v>
          </cell>
          <cell r="AC256">
            <v>36558.480499999998</v>
          </cell>
          <cell r="AE256">
            <v>84.35</v>
          </cell>
          <cell r="AF256">
            <v>709.69</v>
          </cell>
          <cell r="AG256">
            <v>3914</v>
          </cell>
          <cell r="AH256">
            <v>960</v>
          </cell>
          <cell r="AI256">
            <v>1600</v>
          </cell>
          <cell r="AJ256">
            <v>597.67999999999995</v>
          </cell>
          <cell r="AL256">
            <v>1298.92</v>
          </cell>
          <cell r="AP256">
            <v>1667.9839999999999</v>
          </cell>
          <cell r="AV256">
            <v>46.14</v>
          </cell>
          <cell r="AZ256">
            <v>211.6</v>
          </cell>
          <cell r="BE256">
            <v>29300</v>
          </cell>
          <cell r="BG256">
            <v>47.75</v>
          </cell>
          <cell r="BH256">
            <v>241.94</v>
          </cell>
          <cell r="BY256">
            <v>438.69</v>
          </cell>
          <cell r="CD256">
            <v>331.43</v>
          </cell>
          <cell r="CE256">
            <v>329.38900000000001</v>
          </cell>
          <cell r="CF256">
            <v>314.88</v>
          </cell>
          <cell r="CG256">
            <v>1400</v>
          </cell>
          <cell r="CH256">
            <v>1310</v>
          </cell>
          <cell r="CI256" t="str">
            <v>#N/A N/A</v>
          </cell>
          <cell r="CJ256">
            <v>345</v>
          </cell>
          <cell r="CK256">
            <v>1336</v>
          </cell>
          <cell r="CM256">
            <v>164.23</v>
          </cell>
          <cell r="CN256">
            <v>18.14</v>
          </cell>
          <cell r="CO256" t="str">
            <v>#N/A N/A</v>
          </cell>
          <cell r="CQ256">
            <v>5.32</v>
          </cell>
          <cell r="CR256">
            <v>52</v>
          </cell>
          <cell r="CS256">
            <v>1347</v>
          </cell>
          <cell r="CU256">
            <v>1620</v>
          </cell>
          <cell r="CW256">
            <v>45.579268292682933</v>
          </cell>
          <cell r="CX256">
            <v>633.70000000000005</v>
          </cell>
          <cell r="CZ256">
            <v>320.39</v>
          </cell>
          <cell r="DA256">
            <v>3795.3</v>
          </cell>
          <cell r="DB256">
            <v>12.66</v>
          </cell>
          <cell r="DC256">
            <v>343.2</v>
          </cell>
          <cell r="DD256">
            <v>106.15</v>
          </cell>
        </row>
        <row r="257">
          <cell r="A257">
            <v>38970</v>
          </cell>
          <cell r="C257">
            <v>92.8</v>
          </cell>
          <cell r="D257" t="str">
            <v>#N/A N/A</v>
          </cell>
          <cell r="E257" t="str">
            <v>#N/A N/A</v>
          </cell>
          <cell r="L257">
            <v>1354.89</v>
          </cell>
          <cell r="M257">
            <v>2165.79</v>
          </cell>
          <cell r="N257">
            <v>5879.3</v>
          </cell>
          <cell r="O257">
            <v>3999</v>
          </cell>
          <cell r="Q257">
            <v>565</v>
          </cell>
          <cell r="R257">
            <v>246</v>
          </cell>
          <cell r="S257">
            <v>415.5</v>
          </cell>
          <cell r="T257">
            <v>548</v>
          </cell>
          <cell r="U257">
            <v>16080.46</v>
          </cell>
          <cell r="V257">
            <v>17145.759999999998</v>
          </cell>
          <cell r="W257">
            <v>6693.11</v>
          </cell>
          <cell r="X257">
            <v>60.25</v>
          </cell>
          <cell r="Y257">
            <v>1430</v>
          </cell>
          <cell r="Z257">
            <v>1440</v>
          </cell>
          <cell r="AA257">
            <v>11918.65</v>
          </cell>
          <cell r="AB257">
            <v>5063.2</v>
          </cell>
          <cell r="AC257">
            <v>36558.480499999998</v>
          </cell>
          <cell r="AE257">
            <v>84.35</v>
          </cell>
          <cell r="AF257">
            <v>709.69</v>
          </cell>
          <cell r="AG257">
            <v>3914</v>
          </cell>
          <cell r="AH257">
            <v>960</v>
          </cell>
          <cell r="AI257">
            <v>1600</v>
          </cell>
          <cell r="AJ257">
            <v>597.67999999999995</v>
          </cell>
          <cell r="AL257">
            <v>1298.92</v>
          </cell>
          <cell r="AP257">
            <v>1667.9839999999999</v>
          </cell>
          <cell r="AV257">
            <v>46.14</v>
          </cell>
          <cell r="AZ257">
            <v>211.6</v>
          </cell>
          <cell r="BE257">
            <v>29300</v>
          </cell>
          <cell r="BG257">
            <v>47.75</v>
          </cell>
          <cell r="BH257">
            <v>241.94</v>
          </cell>
          <cell r="BY257">
            <v>438.69</v>
          </cell>
          <cell r="CD257">
            <v>331.43</v>
          </cell>
          <cell r="CE257">
            <v>329.38900000000001</v>
          </cell>
          <cell r="CF257">
            <v>314.88</v>
          </cell>
          <cell r="CG257">
            <v>1400</v>
          </cell>
          <cell r="CH257">
            <v>1310</v>
          </cell>
          <cell r="CI257" t="str">
            <v>#N/A N/A</v>
          </cell>
          <cell r="CJ257">
            <v>345</v>
          </cell>
          <cell r="CK257">
            <v>1336</v>
          </cell>
          <cell r="CM257">
            <v>164.23</v>
          </cell>
          <cell r="CN257">
            <v>18.14</v>
          </cell>
          <cell r="CO257" t="str">
            <v>#N/A N/A</v>
          </cell>
          <cell r="CQ257">
            <v>5.32</v>
          </cell>
          <cell r="CR257">
            <v>52</v>
          </cell>
          <cell r="CS257">
            <v>1347</v>
          </cell>
          <cell r="CU257">
            <v>1620</v>
          </cell>
          <cell r="CW257">
            <v>45.579268292682933</v>
          </cell>
          <cell r="CX257">
            <v>633.70000000000005</v>
          </cell>
          <cell r="CZ257">
            <v>320.39</v>
          </cell>
          <cell r="DA257">
            <v>3795.3</v>
          </cell>
          <cell r="DB257">
            <v>12.66</v>
          </cell>
          <cell r="DC257">
            <v>343.2</v>
          </cell>
          <cell r="DD257">
            <v>106.15</v>
          </cell>
        </row>
        <row r="258">
          <cell r="A258">
            <v>38971</v>
          </cell>
          <cell r="C258">
            <v>92.8</v>
          </cell>
          <cell r="D258" t="str">
            <v>#N/A N/A</v>
          </cell>
          <cell r="E258" t="str">
            <v>#N/A N/A</v>
          </cell>
          <cell r="L258">
            <v>1334.08</v>
          </cell>
          <cell r="M258">
            <v>2173.25</v>
          </cell>
          <cell r="N258">
            <v>5850.8</v>
          </cell>
          <cell r="O258">
            <v>4004</v>
          </cell>
          <cell r="Q258">
            <v>565</v>
          </cell>
          <cell r="R258">
            <v>243.5</v>
          </cell>
          <cell r="S258">
            <v>413</v>
          </cell>
          <cell r="T258">
            <v>544.5</v>
          </cell>
          <cell r="U258">
            <v>15794.38</v>
          </cell>
          <cell r="V258">
            <v>16948.59</v>
          </cell>
          <cell r="W258">
            <v>6693.88</v>
          </cell>
          <cell r="X258">
            <v>58.65</v>
          </cell>
          <cell r="Y258">
            <v>1430</v>
          </cell>
          <cell r="Z258">
            <v>1440</v>
          </cell>
          <cell r="AA258">
            <v>11550.69</v>
          </cell>
          <cell r="AB258">
            <v>4993.5</v>
          </cell>
          <cell r="AC258">
            <v>35772.488299999997</v>
          </cell>
          <cell r="AE258">
            <v>81.849999999999994</v>
          </cell>
          <cell r="AF258">
            <v>709.69</v>
          </cell>
          <cell r="AG258">
            <v>3948</v>
          </cell>
          <cell r="AH258">
            <v>960</v>
          </cell>
          <cell r="AI258">
            <v>1600</v>
          </cell>
          <cell r="AJ258">
            <v>591.96</v>
          </cell>
          <cell r="AL258">
            <v>1299.54</v>
          </cell>
          <cell r="AP258">
            <v>1674.9659999999999</v>
          </cell>
          <cell r="AV258">
            <v>45.1</v>
          </cell>
          <cell r="AZ258">
            <v>209.4</v>
          </cell>
          <cell r="BE258">
            <v>28900</v>
          </cell>
          <cell r="BG258">
            <v>47.75</v>
          </cell>
          <cell r="BH258">
            <v>233.11</v>
          </cell>
          <cell r="BY258">
            <v>449.03</v>
          </cell>
          <cell r="CD258">
            <v>329.39</v>
          </cell>
          <cell r="CE258">
            <v>327.73399999999998</v>
          </cell>
          <cell r="CF258">
            <v>310.74</v>
          </cell>
          <cell r="CG258">
            <v>1400</v>
          </cell>
          <cell r="CH258">
            <v>1310</v>
          </cell>
          <cell r="CI258" t="str">
            <v>#N/A N/A</v>
          </cell>
          <cell r="CJ258">
            <v>345</v>
          </cell>
          <cell r="CK258">
            <v>1312</v>
          </cell>
          <cell r="CM258">
            <v>162.15</v>
          </cell>
          <cell r="CN258">
            <v>17.940000000000001</v>
          </cell>
          <cell r="CO258" t="str">
            <v>#N/A N/A</v>
          </cell>
          <cell r="CQ258">
            <v>5.33</v>
          </cell>
          <cell r="CR258">
            <v>52</v>
          </cell>
          <cell r="CS258">
            <v>1305</v>
          </cell>
          <cell r="CU258">
            <v>1620</v>
          </cell>
          <cell r="CW258">
            <v>44.359756097560975</v>
          </cell>
          <cell r="CX258">
            <v>635</v>
          </cell>
          <cell r="CZ258">
            <v>313.73</v>
          </cell>
          <cell r="DA258">
            <v>3621.1</v>
          </cell>
          <cell r="DB258">
            <v>12.32</v>
          </cell>
          <cell r="DC258">
            <v>343.2</v>
          </cell>
          <cell r="DD258">
            <v>103.75</v>
          </cell>
        </row>
        <row r="259">
          <cell r="A259">
            <v>38972</v>
          </cell>
          <cell r="C259">
            <v>92.8</v>
          </cell>
          <cell r="D259" t="str">
            <v>#N/A N/A</v>
          </cell>
          <cell r="E259" t="str">
            <v>#N/A N/A</v>
          </cell>
          <cell r="L259">
            <v>1328.04</v>
          </cell>
          <cell r="M259">
            <v>2215.8200000000002</v>
          </cell>
          <cell r="N259">
            <v>5895.5</v>
          </cell>
          <cell r="O259">
            <v>4001</v>
          </cell>
          <cell r="Q259">
            <v>565</v>
          </cell>
          <cell r="R259">
            <v>237.75</v>
          </cell>
          <cell r="S259">
            <v>402.5</v>
          </cell>
          <cell r="T259">
            <v>538.5</v>
          </cell>
          <cell r="U259">
            <v>15719.34</v>
          </cell>
          <cell r="V259">
            <v>17075.400000000001</v>
          </cell>
          <cell r="W259">
            <v>6625.73</v>
          </cell>
          <cell r="X259">
            <v>58.95</v>
          </cell>
          <cell r="Y259">
            <v>1430</v>
          </cell>
          <cell r="Z259">
            <v>1440</v>
          </cell>
          <cell r="AA259">
            <v>11660.79</v>
          </cell>
          <cell r="AB259">
            <v>4938.8</v>
          </cell>
          <cell r="AC259">
            <v>36146.660199999998</v>
          </cell>
          <cell r="AE259">
            <v>81.7</v>
          </cell>
          <cell r="AF259">
            <v>710.66</v>
          </cell>
          <cell r="AG259">
            <v>4010</v>
          </cell>
          <cell r="AH259">
            <v>960</v>
          </cell>
          <cell r="AI259">
            <v>1600</v>
          </cell>
          <cell r="AJ259">
            <v>588.64</v>
          </cell>
          <cell r="AL259">
            <v>1313.11</v>
          </cell>
          <cell r="AP259">
            <v>1695.8620000000001</v>
          </cell>
          <cell r="AV259">
            <v>45.67</v>
          </cell>
          <cell r="AZ259">
            <v>215.9</v>
          </cell>
          <cell r="BE259">
            <v>31220</v>
          </cell>
          <cell r="BG259">
            <v>47.75</v>
          </cell>
          <cell r="BH259">
            <v>230.55</v>
          </cell>
          <cell r="BY259">
            <v>465.95</v>
          </cell>
          <cell r="CD259">
            <v>332.19</v>
          </cell>
          <cell r="CE259">
            <v>330.57299999999998</v>
          </cell>
          <cell r="CF259">
            <v>309.93</v>
          </cell>
          <cell r="CG259">
            <v>1400</v>
          </cell>
          <cell r="CH259">
            <v>1310</v>
          </cell>
          <cell r="CI259" t="str">
            <v>#N/A N/A</v>
          </cell>
          <cell r="CJ259">
            <v>345</v>
          </cell>
          <cell r="CK259">
            <v>1296</v>
          </cell>
          <cell r="CM259">
            <v>160.83000000000001</v>
          </cell>
          <cell r="CN259">
            <v>18</v>
          </cell>
          <cell r="CO259" t="str">
            <v>#N/A N/A</v>
          </cell>
          <cell r="CQ259">
            <v>5.55</v>
          </cell>
          <cell r="CR259">
            <v>52</v>
          </cell>
          <cell r="CS259">
            <v>1309</v>
          </cell>
          <cell r="CU259">
            <v>1620</v>
          </cell>
          <cell r="CW259">
            <v>44.512195121951223</v>
          </cell>
          <cell r="CX259">
            <v>634.15</v>
          </cell>
          <cell r="CZ259">
            <v>310.70999999999998</v>
          </cell>
          <cell r="DA259">
            <v>3669.1</v>
          </cell>
          <cell r="DB259">
            <v>12.33</v>
          </cell>
          <cell r="DC259">
            <v>343.2</v>
          </cell>
          <cell r="DD259">
            <v>103.65</v>
          </cell>
        </row>
        <row r="260">
          <cell r="A260">
            <v>38973</v>
          </cell>
          <cell r="C260">
            <v>92.8</v>
          </cell>
          <cell r="D260" t="str">
            <v>#N/A N/A</v>
          </cell>
          <cell r="E260" t="str">
            <v>#N/A N/A</v>
          </cell>
          <cell r="L260">
            <v>1333.13</v>
          </cell>
          <cell r="M260">
            <v>2227.67</v>
          </cell>
          <cell r="N260">
            <v>5892.2</v>
          </cell>
          <cell r="O260">
            <v>4001</v>
          </cell>
          <cell r="Q260">
            <v>565</v>
          </cell>
          <cell r="R260">
            <v>237.75</v>
          </cell>
          <cell r="S260">
            <v>397.5</v>
          </cell>
          <cell r="T260">
            <v>540.5</v>
          </cell>
          <cell r="U260">
            <v>15750.05</v>
          </cell>
          <cell r="V260">
            <v>17210.04</v>
          </cell>
          <cell r="W260">
            <v>6664.87</v>
          </cell>
          <cell r="X260">
            <v>57.05</v>
          </cell>
          <cell r="Y260">
            <v>1430</v>
          </cell>
          <cell r="Z260">
            <v>1440</v>
          </cell>
          <cell r="AA260">
            <v>11893.79</v>
          </cell>
          <cell r="AB260">
            <v>4978.6000000000004</v>
          </cell>
          <cell r="AC260">
            <v>36549.710899999998</v>
          </cell>
          <cell r="AE260">
            <v>79.8</v>
          </cell>
          <cell r="AF260">
            <v>710.66</v>
          </cell>
          <cell r="AG260">
            <v>4129</v>
          </cell>
          <cell r="AH260">
            <v>960</v>
          </cell>
          <cell r="AI260">
            <v>1600</v>
          </cell>
          <cell r="AJ260">
            <v>592.45000000000005</v>
          </cell>
          <cell r="AL260">
            <v>1318.07</v>
          </cell>
          <cell r="AP260">
            <v>1689.3889999999999</v>
          </cell>
          <cell r="AV260">
            <v>45.5</v>
          </cell>
          <cell r="AZ260">
            <v>218.5</v>
          </cell>
          <cell r="BE260">
            <v>30600</v>
          </cell>
          <cell r="BG260">
            <v>47.75</v>
          </cell>
          <cell r="BH260">
            <v>237.7</v>
          </cell>
          <cell r="BY260">
            <v>462.32</v>
          </cell>
          <cell r="CD260">
            <v>333.4</v>
          </cell>
          <cell r="CE260">
            <v>331.60399999999998</v>
          </cell>
          <cell r="CF260">
            <v>312.49</v>
          </cell>
          <cell r="CG260">
            <v>1400</v>
          </cell>
          <cell r="CH260">
            <v>1310</v>
          </cell>
          <cell r="CI260" t="str">
            <v>#N/A N/A</v>
          </cell>
          <cell r="CJ260">
            <v>345</v>
          </cell>
          <cell r="CK260">
            <v>1267</v>
          </cell>
          <cell r="CM260">
            <v>160.05000000000001</v>
          </cell>
          <cell r="CN260">
            <v>17.899999999999999</v>
          </cell>
          <cell r="CO260" t="str">
            <v>#N/A N/A</v>
          </cell>
          <cell r="CQ260">
            <v>5.41</v>
          </cell>
          <cell r="CR260">
            <v>52</v>
          </cell>
          <cell r="CS260">
            <v>1315</v>
          </cell>
          <cell r="CU260">
            <v>1620</v>
          </cell>
          <cell r="CW260">
            <v>43.75</v>
          </cell>
          <cell r="CX260">
            <v>635</v>
          </cell>
          <cell r="CZ260">
            <v>311.27</v>
          </cell>
          <cell r="DA260">
            <v>3647.5</v>
          </cell>
          <cell r="DB260">
            <v>12.97</v>
          </cell>
          <cell r="DC260">
            <v>343.2</v>
          </cell>
          <cell r="DD260">
            <v>104.4</v>
          </cell>
        </row>
        <row r="261">
          <cell r="A261">
            <v>38974</v>
          </cell>
          <cell r="C261">
            <v>92.8</v>
          </cell>
          <cell r="D261" t="str">
            <v>#N/A N/A</v>
          </cell>
          <cell r="E261" t="str">
            <v>#N/A N/A</v>
          </cell>
          <cell r="L261">
            <v>1358.75</v>
          </cell>
          <cell r="M261">
            <v>2228.73</v>
          </cell>
          <cell r="N261">
            <v>5877.2</v>
          </cell>
          <cell r="O261">
            <v>3999</v>
          </cell>
          <cell r="Q261">
            <v>565</v>
          </cell>
          <cell r="R261">
            <v>237.25</v>
          </cell>
          <cell r="S261">
            <v>390.5</v>
          </cell>
          <cell r="T261">
            <v>545.25</v>
          </cell>
          <cell r="U261">
            <v>15942.39</v>
          </cell>
          <cell r="V261">
            <v>17183.45</v>
          </cell>
          <cell r="W261">
            <v>6598.87</v>
          </cell>
          <cell r="X261">
            <v>58.75</v>
          </cell>
          <cell r="Y261">
            <v>1430</v>
          </cell>
          <cell r="Z261">
            <v>1440</v>
          </cell>
          <cell r="AA261">
            <v>11973.02</v>
          </cell>
          <cell r="AB261">
            <v>5029</v>
          </cell>
          <cell r="AC261">
            <v>36153.601600000002</v>
          </cell>
          <cell r="AE261">
            <v>80.349999999999994</v>
          </cell>
          <cell r="AF261">
            <v>710.66</v>
          </cell>
          <cell r="AG261">
            <v>4207</v>
          </cell>
          <cell r="AH261">
            <v>960</v>
          </cell>
          <cell r="AI261">
            <v>1600</v>
          </cell>
          <cell r="AJ261">
            <v>600.95000000000005</v>
          </cell>
          <cell r="AL261">
            <v>1316.28</v>
          </cell>
          <cell r="AP261">
            <v>1689.692</v>
          </cell>
          <cell r="AV261">
            <v>45.8</v>
          </cell>
          <cell r="AZ261">
            <v>226.5</v>
          </cell>
          <cell r="BE261">
            <v>29340</v>
          </cell>
          <cell r="BG261">
            <v>47.75</v>
          </cell>
          <cell r="BH261">
            <v>231.68</v>
          </cell>
          <cell r="BY261">
            <v>463.83</v>
          </cell>
          <cell r="CD261">
            <v>334.16</v>
          </cell>
          <cell r="CE261">
            <v>332.35599999999999</v>
          </cell>
          <cell r="CF261">
            <v>314.52999999999997</v>
          </cell>
          <cell r="CG261">
            <v>1400</v>
          </cell>
          <cell r="CH261">
            <v>1310</v>
          </cell>
          <cell r="CI261" t="str">
            <v>#N/A N/A</v>
          </cell>
          <cell r="CJ261">
            <v>345</v>
          </cell>
          <cell r="CK261">
            <v>1257</v>
          </cell>
          <cell r="CM261">
            <v>160.16</v>
          </cell>
          <cell r="CN261">
            <v>17.91</v>
          </cell>
          <cell r="CO261" t="str">
            <v>#N/A N/A</v>
          </cell>
          <cell r="CQ261">
            <v>5.07</v>
          </cell>
          <cell r="CR261">
            <v>52</v>
          </cell>
          <cell r="CS261">
            <v>1317.4</v>
          </cell>
          <cell r="CU261">
            <v>1620</v>
          </cell>
          <cell r="CW261">
            <v>45.121951219512198</v>
          </cell>
          <cell r="CX261">
            <v>636.75</v>
          </cell>
          <cell r="CZ261">
            <v>307.05</v>
          </cell>
          <cell r="DA261">
            <v>3606.2</v>
          </cell>
          <cell r="DB261">
            <v>13.05</v>
          </cell>
          <cell r="DC261">
            <v>343.2</v>
          </cell>
          <cell r="DD261">
            <v>103.4</v>
          </cell>
        </row>
        <row r="262">
          <cell r="A262">
            <v>38975</v>
          </cell>
          <cell r="C262">
            <v>92.8</v>
          </cell>
          <cell r="D262" t="str">
            <v>#N/A N/A</v>
          </cell>
          <cell r="E262" t="str">
            <v>#N/A N/A</v>
          </cell>
          <cell r="L262">
            <v>1361.1</v>
          </cell>
          <cell r="M262">
            <v>2235.59</v>
          </cell>
          <cell r="N262">
            <v>5877</v>
          </cell>
          <cell r="O262">
            <v>4001</v>
          </cell>
          <cell r="Q262">
            <v>565</v>
          </cell>
          <cell r="R262">
            <v>241.75</v>
          </cell>
          <cell r="S262">
            <v>392.5</v>
          </cell>
          <cell r="T262">
            <v>549.75</v>
          </cell>
          <cell r="U262">
            <v>15866.93</v>
          </cell>
          <cell r="V262">
            <v>17237.650000000001</v>
          </cell>
          <cell r="W262">
            <v>6681.09</v>
          </cell>
          <cell r="X262">
            <v>58.45</v>
          </cell>
          <cell r="Y262">
            <v>1380</v>
          </cell>
          <cell r="Z262">
            <v>1410</v>
          </cell>
          <cell r="AA262">
            <v>12009.59</v>
          </cell>
          <cell r="AB262">
            <v>4997.2</v>
          </cell>
          <cell r="AC262">
            <v>36169.929700000001</v>
          </cell>
          <cell r="AE262">
            <v>78.75</v>
          </cell>
          <cell r="AF262">
            <v>710.66</v>
          </cell>
          <cell r="AG262">
            <v>4258</v>
          </cell>
          <cell r="AH262">
            <v>1000</v>
          </cell>
          <cell r="AI262">
            <v>1580</v>
          </cell>
          <cell r="AJ262">
            <v>606.22</v>
          </cell>
          <cell r="AL262">
            <v>1319.87</v>
          </cell>
          <cell r="AP262">
            <v>1721.0450000000001</v>
          </cell>
          <cell r="AV262">
            <v>46.3</v>
          </cell>
          <cell r="AZ262">
            <v>226.4</v>
          </cell>
          <cell r="BE262">
            <v>26660</v>
          </cell>
          <cell r="BG262">
            <v>47.5</v>
          </cell>
          <cell r="BH262">
            <v>230.98</v>
          </cell>
          <cell r="BY262">
            <v>463.65</v>
          </cell>
          <cell r="CD262">
            <v>333.9</v>
          </cell>
          <cell r="CE262">
            <v>331.99200000000002</v>
          </cell>
          <cell r="CF262">
            <v>316.08999999999997</v>
          </cell>
          <cell r="CG262">
            <v>1370</v>
          </cell>
          <cell r="CH262">
            <v>1260</v>
          </cell>
          <cell r="CI262" t="str">
            <v>#N/A N/A</v>
          </cell>
          <cell r="CJ262">
            <v>345</v>
          </cell>
          <cell r="CK262">
            <v>1227</v>
          </cell>
          <cell r="CM262">
            <v>163.71</v>
          </cell>
          <cell r="CN262">
            <v>17.829999999999998</v>
          </cell>
          <cell r="CO262" t="str">
            <v>#N/A N/A</v>
          </cell>
          <cell r="CQ262">
            <v>4.4000000000000004</v>
          </cell>
          <cell r="CR262">
            <v>52</v>
          </cell>
          <cell r="CS262">
            <v>1324.7</v>
          </cell>
          <cell r="CU262">
            <v>1620</v>
          </cell>
          <cell r="CW262">
            <v>44.054878048780488</v>
          </cell>
          <cell r="CX262">
            <v>632.25</v>
          </cell>
          <cell r="CZ262">
            <v>306.32</v>
          </cell>
          <cell r="DA262">
            <v>3502.1</v>
          </cell>
          <cell r="DB262">
            <v>13.16</v>
          </cell>
          <cell r="DC262">
            <v>343.2</v>
          </cell>
          <cell r="DD262">
            <v>102.1</v>
          </cell>
        </row>
        <row r="263">
          <cell r="A263">
            <v>38976</v>
          </cell>
          <cell r="C263">
            <v>92.8</v>
          </cell>
          <cell r="D263" t="str">
            <v>#N/A N/A</v>
          </cell>
          <cell r="E263" t="str">
            <v>#N/A N/A</v>
          </cell>
          <cell r="L263">
            <v>1361.1</v>
          </cell>
          <cell r="M263">
            <v>2235.59</v>
          </cell>
          <cell r="N263">
            <v>5877</v>
          </cell>
          <cell r="O263">
            <v>4001</v>
          </cell>
          <cell r="Q263">
            <v>565</v>
          </cell>
          <cell r="R263">
            <v>241.75</v>
          </cell>
          <cell r="S263">
            <v>392.5</v>
          </cell>
          <cell r="T263">
            <v>549.75</v>
          </cell>
          <cell r="U263">
            <v>15866.93</v>
          </cell>
          <cell r="V263">
            <v>17237.650000000001</v>
          </cell>
          <cell r="W263">
            <v>6681.09</v>
          </cell>
          <cell r="X263">
            <v>58.45</v>
          </cell>
          <cell r="Y263">
            <v>1380</v>
          </cell>
          <cell r="Z263">
            <v>1410</v>
          </cell>
          <cell r="AA263">
            <v>12009.59</v>
          </cell>
          <cell r="AB263">
            <v>4997.2</v>
          </cell>
          <cell r="AC263">
            <v>36169.929700000001</v>
          </cell>
          <cell r="AE263">
            <v>78.75</v>
          </cell>
          <cell r="AF263">
            <v>710.66</v>
          </cell>
          <cell r="AG263">
            <v>4258</v>
          </cell>
          <cell r="AH263">
            <v>1000</v>
          </cell>
          <cell r="AI263">
            <v>1580</v>
          </cell>
          <cell r="AJ263">
            <v>606.22</v>
          </cell>
          <cell r="AL263">
            <v>1319.87</v>
          </cell>
          <cell r="AP263">
            <v>1721.0450000000001</v>
          </cell>
          <cell r="AV263">
            <v>46.3</v>
          </cell>
          <cell r="AZ263">
            <v>226.4</v>
          </cell>
          <cell r="BE263">
            <v>26660</v>
          </cell>
          <cell r="BG263">
            <v>47.5</v>
          </cell>
          <cell r="BH263">
            <v>230.98</v>
          </cell>
          <cell r="BY263">
            <v>463.65</v>
          </cell>
          <cell r="CD263">
            <v>333.9</v>
          </cell>
          <cell r="CE263">
            <v>331.99200000000002</v>
          </cell>
          <cell r="CF263">
            <v>316.08999999999997</v>
          </cell>
          <cell r="CG263">
            <v>1370</v>
          </cell>
          <cell r="CH263">
            <v>1260</v>
          </cell>
          <cell r="CI263" t="str">
            <v>#N/A N/A</v>
          </cell>
          <cell r="CJ263">
            <v>345</v>
          </cell>
          <cell r="CK263">
            <v>1227</v>
          </cell>
          <cell r="CM263">
            <v>163.71</v>
          </cell>
          <cell r="CN263">
            <v>17.829999999999998</v>
          </cell>
          <cell r="CO263" t="str">
            <v>#N/A N/A</v>
          </cell>
          <cell r="CQ263">
            <v>4.4000000000000004</v>
          </cell>
          <cell r="CR263">
            <v>52</v>
          </cell>
          <cell r="CS263">
            <v>1324.7</v>
          </cell>
          <cell r="CU263">
            <v>1620</v>
          </cell>
          <cell r="CW263">
            <v>44.054878048780488</v>
          </cell>
          <cell r="CX263">
            <v>632.25</v>
          </cell>
          <cell r="CZ263">
            <v>306.32</v>
          </cell>
          <cell r="DA263">
            <v>3502.1</v>
          </cell>
          <cell r="DB263">
            <v>13.16</v>
          </cell>
          <cell r="DC263">
            <v>343.2</v>
          </cell>
          <cell r="DD263">
            <v>102.1</v>
          </cell>
        </row>
        <row r="264">
          <cell r="A264">
            <v>38977</v>
          </cell>
          <cell r="C264">
            <v>92.8</v>
          </cell>
          <cell r="D264" t="str">
            <v>#N/A N/A</v>
          </cell>
          <cell r="E264" t="str">
            <v>#N/A N/A</v>
          </cell>
          <cell r="L264">
            <v>1361.1</v>
          </cell>
          <cell r="M264">
            <v>2235.59</v>
          </cell>
          <cell r="N264">
            <v>5877</v>
          </cell>
          <cell r="O264">
            <v>4001</v>
          </cell>
          <cell r="Q264">
            <v>565</v>
          </cell>
          <cell r="R264">
            <v>241.75</v>
          </cell>
          <cell r="S264">
            <v>392.5</v>
          </cell>
          <cell r="T264">
            <v>549.75</v>
          </cell>
          <cell r="U264">
            <v>15866.93</v>
          </cell>
          <cell r="V264">
            <v>17237.650000000001</v>
          </cell>
          <cell r="W264">
            <v>6681.09</v>
          </cell>
          <cell r="X264">
            <v>58.45</v>
          </cell>
          <cell r="Y264">
            <v>1380</v>
          </cell>
          <cell r="Z264">
            <v>1410</v>
          </cell>
          <cell r="AA264">
            <v>12009.59</v>
          </cell>
          <cell r="AB264">
            <v>4997.2</v>
          </cell>
          <cell r="AC264">
            <v>36169.929700000001</v>
          </cell>
          <cell r="AE264">
            <v>78.75</v>
          </cell>
          <cell r="AF264">
            <v>710.66</v>
          </cell>
          <cell r="AG264">
            <v>4258</v>
          </cell>
          <cell r="AH264">
            <v>1000</v>
          </cell>
          <cell r="AI264">
            <v>1580</v>
          </cell>
          <cell r="AJ264">
            <v>606.22</v>
          </cell>
          <cell r="AL264">
            <v>1319.87</v>
          </cell>
          <cell r="AP264">
            <v>1721.0450000000001</v>
          </cell>
          <cell r="AV264">
            <v>46.3</v>
          </cell>
          <cell r="AZ264">
            <v>226.4</v>
          </cell>
          <cell r="BE264">
            <v>26660</v>
          </cell>
          <cell r="BG264">
            <v>47.5</v>
          </cell>
          <cell r="BH264">
            <v>230.98</v>
          </cell>
          <cell r="BY264">
            <v>463.65</v>
          </cell>
          <cell r="CD264">
            <v>333.9</v>
          </cell>
          <cell r="CE264">
            <v>331.99200000000002</v>
          </cell>
          <cell r="CF264">
            <v>316.08999999999997</v>
          </cell>
          <cell r="CG264">
            <v>1370</v>
          </cell>
          <cell r="CH264">
            <v>1260</v>
          </cell>
          <cell r="CI264" t="str">
            <v>#N/A N/A</v>
          </cell>
          <cell r="CJ264">
            <v>345</v>
          </cell>
          <cell r="CK264">
            <v>1227</v>
          </cell>
          <cell r="CM264">
            <v>163.71</v>
          </cell>
          <cell r="CN264">
            <v>17.829999999999998</v>
          </cell>
          <cell r="CO264" t="str">
            <v>#N/A N/A</v>
          </cell>
          <cell r="CQ264">
            <v>4.4000000000000004</v>
          </cell>
          <cell r="CR264">
            <v>52</v>
          </cell>
          <cell r="CS264">
            <v>1324.7</v>
          </cell>
          <cell r="CU264">
            <v>1620</v>
          </cell>
          <cell r="CW264">
            <v>44.054878048780488</v>
          </cell>
          <cell r="CX264">
            <v>632.25</v>
          </cell>
          <cell r="CZ264">
            <v>306.32</v>
          </cell>
          <cell r="DA264">
            <v>3502.1</v>
          </cell>
          <cell r="DB264">
            <v>13.16</v>
          </cell>
          <cell r="DC264">
            <v>343.2</v>
          </cell>
          <cell r="DD264">
            <v>102.1</v>
          </cell>
        </row>
        <row r="265">
          <cell r="A265">
            <v>38978</v>
          </cell>
          <cell r="C265">
            <v>93.6</v>
          </cell>
          <cell r="D265" t="str">
            <v>#N/A N/A</v>
          </cell>
          <cell r="E265" t="str">
            <v>#N/A N/A</v>
          </cell>
          <cell r="L265">
            <v>1374.3</v>
          </cell>
          <cell r="M265">
            <v>2235.75</v>
          </cell>
          <cell r="N265">
            <v>5890.2</v>
          </cell>
          <cell r="O265">
            <v>3995</v>
          </cell>
          <cell r="Q265">
            <v>565</v>
          </cell>
          <cell r="R265">
            <v>247.75</v>
          </cell>
          <cell r="S265">
            <v>395.5</v>
          </cell>
          <cell r="T265">
            <v>553</v>
          </cell>
          <cell r="U265">
            <v>15866.93</v>
          </cell>
          <cell r="V265">
            <v>17387.21</v>
          </cell>
          <cell r="W265">
            <v>6882.48</v>
          </cell>
          <cell r="X265">
            <v>58.1</v>
          </cell>
          <cell r="Y265">
            <v>1380</v>
          </cell>
          <cell r="Z265">
            <v>1410</v>
          </cell>
          <cell r="AA265">
            <v>12071.3</v>
          </cell>
          <cell r="AB265">
            <v>5028.7</v>
          </cell>
          <cell r="AC265">
            <v>36482.781300000002</v>
          </cell>
          <cell r="AE265">
            <v>78.7</v>
          </cell>
          <cell r="AF265">
            <v>710.66</v>
          </cell>
          <cell r="AG265">
            <v>4279</v>
          </cell>
          <cell r="AH265">
            <v>1000</v>
          </cell>
          <cell r="AI265">
            <v>1580</v>
          </cell>
          <cell r="AJ265">
            <v>613.39</v>
          </cell>
          <cell r="AL265">
            <v>1321.18</v>
          </cell>
          <cell r="AP265">
            <v>1732.9870000000001</v>
          </cell>
          <cell r="AV265">
            <v>46.85</v>
          </cell>
          <cell r="AZ265">
            <v>226.4</v>
          </cell>
          <cell r="BE265">
            <v>27800</v>
          </cell>
          <cell r="BG265">
            <v>47.5</v>
          </cell>
          <cell r="BH265">
            <v>233.15</v>
          </cell>
          <cell r="BY265">
            <v>468.74</v>
          </cell>
          <cell r="CD265">
            <v>334.81</v>
          </cell>
          <cell r="CE265">
            <v>332.60199999999998</v>
          </cell>
          <cell r="CF265">
            <v>320.94</v>
          </cell>
          <cell r="CG265">
            <v>1370</v>
          </cell>
          <cell r="CH265">
            <v>1260</v>
          </cell>
          <cell r="CI265" t="str">
            <v>#N/A N/A</v>
          </cell>
          <cell r="CJ265">
            <v>345</v>
          </cell>
          <cell r="CK265">
            <v>1220</v>
          </cell>
          <cell r="CM265">
            <v>162.66</v>
          </cell>
          <cell r="CN265">
            <v>17.71</v>
          </cell>
          <cell r="CO265" t="str">
            <v>#N/A N/A</v>
          </cell>
          <cell r="CQ265">
            <v>5.0199999999999996</v>
          </cell>
          <cell r="CR265">
            <v>52</v>
          </cell>
          <cell r="CS265">
            <v>1356</v>
          </cell>
          <cell r="CU265">
            <v>1620</v>
          </cell>
          <cell r="CW265">
            <v>44.359756097560975</v>
          </cell>
          <cell r="CX265">
            <v>634.6</v>
          </cell>
          <cell r="CZ265">
            <v>308.41000000000003</v>
          </cell>
          <cell r="DA265">
            <v>3597.5</v>
          </cell>
          <cell r="DB265">
            <v>13.47</v>
          </cell>
          <cell r="DC265">
            <v>343.2</v>
          </cell>
          <cell r="DD265">
            <v>101.95</v>
          </cell>
        </row>
        <row r="266">
          <cell r="A266">
            <v>38979</v>
          </cell>
          <cell r="C266">
            <v>93.6</v>
          </cell>
          <cell r="D266" t="str">
            <v>#N/A N/A</v>
          </cell>
          <cell r="E266" t="str">
            <v>#N/A N/A</v>
          </cell>
          <cell r="L266">
            <v>1373.95</v>
          </cell>
          <cell r="M266">
            <v>2222.37</v>
          </cell>
          <cell r="N266">
            <v>5831.8</v>
          </cell>
          <cell r="O266">
            <v>3998</v>
          </cell>
          <cell r="Q266">
            <v>565</v>
          </cell>
          <cell r="R266">
            <v>246.5</v>
          </cell>
          <cell r="S266">
            <v>409</v>
          </cell>
          <cell r="T266">
            <v>544.25</v>
          </cell>
          <cell r="U266">
            <v>15874.28</v>
          </cell>
          <cell r="V266">
            <v>17346.7</v>
          </cell>
          <cell r="W266">
            <v>6881.87</v>
          </cell>
          <cell r="X266">
            <v>58.55</v>
          </cell>
          <cell r="Y266">
            <v>1380</v>
          </cell>
          <cell r="Z266">
            <v>1410</v>
          </cell>
          <cell r="AA266">
            <v>11970.47</v>
          </cell>
          <cell r="AB266">
            <v>5015.7</v>
          </cell>
          <cell r="AC266">
            <v>35885.679700000001</v>
          </cell>
          <cell r="AE266">
            <v>80.150000000000006</v>
          </cell>
          <cell r="AF266">
            <v>711.18</v>
          </cell>
          <cell r="AG266">
            <v>4275</v>
          </cell>
          <cell r="AH266">
            <v>1000</v>
          </cell>
          <cell r="AI266">
            <v>1580</v>
          </cell>
          <cell r="AJ266">
            <v>614.79999999999995</v>
          </cell>
          <cell r="AL266">
            <v>1318.31</v>
          </cell>
          <cell r="AP266">
            <v>1735.241</v>
          </cell>
          <cell r="AV266">
            <v>46.7</v>
          </cell>
          <cell r="AZ266">
            <v>216.4</v>
          </cell>
          <cell r="BE266">
            <v>28680</v>
          </cell>
          <cell r="BG266">
            <v>47.5</v>
          </cell>
          <cell r="BH266">
            <v>230.26</v>
          </cell>
          <cell r="BY266">
            <v>458.41</v>
          </cell>
          <cell r="CD266">
            <v>334.16</v>
          </cell>
          <cell r="CE266">
            <v>331.923</v>
          </cell>
          <cell r="CF266">
            <v>321.27999999999997</v>
          </cell>
          <cell r="CG266">
            <v>1370</v>
          </cell>
          <cell r="CH266">
            <v>1260</v>
          </cell>
          <cell r="CI266" t="str">
            <v>#N/A N/A</v>
          </cell>
          <cell r="CJ266">
            <v>345</v>
          </cell>
          <cell r="CK266">
            <v>1214</v>
          </cell>
          <cell r="CM266">
            <v>154.83000000000001</v>
          </cell>
          <cell r="CN266">
            <v>17.54</v>
          </cell>
          <cell r="CO266" t="str">
            <v>#N/A N/A</v>
          </cell>
          <cell r="CQ266">
            <v>4.9800000000000004</v>
          </cell>
          <cell r="CR266">
            <v>52</v>
          </cell>
          <cell r="CS266">
            <v>1374.5</v>
          </cell>
          <cell r="CU266">
            <v>1620</v>
          </cell>
          <cell r="CW266">
            <v>43.59756097560976</v>
          </cell>
          <cell r="CX266">
            <v>633.20000000000005</v>
          </cell>
          <cell r="CZ266">
            <v>303.04000000000002</v>
          </cell>
          <cell r="DA266">
            <v>3619.2</v>
          </cell>
          <cell r="DB266">
            <v>13.22</v>
          </cell>
          <cell r="DC266">
            <v>343.2</v>
          </cell>
          <cell r="DD266">
            <v>103.1</v>
          </cell>
        </row>
        <row r="267">
          <cell r="A267">
            <v>38980</v>
          </cell>
          <cell r="C267">
            <v>93.6</v>
          </cell>
          <cell r="D267" t="str">
            <v>#N/A N/A</v>
          </cell>
          <cell r="E267" t="str">
            <v>#N/A N/A</v>
          </cell>
          <cell r="L267">
            <v>1366.44</v>
          </cell>
          <cell r="M267">
            <v>2252.89</v>
          </cell>
          <cell r="N267">
            <v>5866.2</v>
          </cell>
          <cell r="O267">
            <v>4009</v>
          </cell>
          <cell r="Q267">
            <v>565</v>
          </cell>
          <cell r="R267">
            <v>249</v>
          </cell>
          <cell r="S267">
            <v>407.75</v>
          </cell>
          <cell r="T267">
            <v>549.25</v>
          </cell>
          <cell r="U267">
            <v>15718.67</v>
          </cell>
          <cell r="V267">
            <v>17512.96</v>
          </cell>
          <cell r="W267">
            <v>6877.77</v>
          </cell>
          <cell r="X267">
            <v>56.55</v>
          </cell>
          <cell r="Y267">
            <v>1380</v>
          </cell>
          <cell r="Z267">
            <v>1410</v>
          </cell>
          <cell r="AA267">
            <v>12109.14</v>
          </cell>
          <cell r="AB267">
            <v>4962.5</v>
          </cell>
          <cell r="AC267">
            <v>35196.589800000002</v>
          </cell>
          <cell r="AE267">
            <v>77.25</v>
          </cell>
          <cell r="AF267">
            <v>711.18</v>
          </cell>
          <cell r="AG267">
            <v>4244</v>
          </cell>
          <cell r="AH267">
            <v>1000</v>
          </cell>
          <cell r="AI267">
            <v>1580</v>
          </cell>
          <cell r="AJ267">
            <v>613.13</v>
          </cell>
          <cell r="AL267">
            <v>1325.18</v>
          </cell>
          <cell r="AP267">
            <v>1732.453</v>
          </cell>
          <cell r="AV267">
            <v>47.5</v>
          </cell>
          <cell r="AZ267">
            <v>201.4</v>
          </cell>
          <cell r="BE267">
            <v>28430</v>
          </cell>
          <cell r="BG267">
            <v>47.5</v>
          </cell>
          <cell r="BH267">
            <v>224.29</v>
          </cell>
          <cell r="BY267">
            <v>460.2</v>
          </cell>
          <cell r="CD267">
            <v>335.09</v>
          </cell>
          <cell r="CE267">
            <v>333.05399999999997</v>
          </cell>
          <cell r="CF267">
            <v>321.27</v>
          </cell>
          <cell r="CG267">
            <v>1370</v>
          </cell>
          <cell r="CH267">
            <v>1260</v>
          </cell>
          <cell r="CI267" t="str">
            <v>#N/A N/A</v>
          </cell>
          <cell r="CJ267">
            <v>345</v>
          </cell>
          <cell r="CK267">
            <v>1208</v>
          </cell>
          <cell r="CM267">
            <v>149.29</v>
          </cell>
          <cell r="CN267">
            <v>16.57</v>
          </cell>
          <cell r="CO267" t="str">
            <v>#N/A N/A</v>
          </cell>
          <cell r="CQ267">
            <v>4.8600000000000003</v>
          </cell>
          <cell r="CR267">
            <v>53</v>
          </cell>
          <cell r="CS267">
            <v>1382</v>
          </cell>
          <cell r="CU267">
            <v>1620</v>
          </cell>
          <cell r="CW267">
            <v>42.530487804878049</v>
          </cell>
          <cell r="CX267">
            <v>635</v>
          </cell>
          <cell r="CZ267">
            <v>300.67</v>
          </cell>
          <cell r="DA267">
            <v>3611.4</v>
          </cell>
          <cell r="DB267">
            <v>12.93</v>
          </cell>
          <cell r="DC267">
            <v>343.2</v>
          </cell>
          <cell r="DD267">
            <v>101.95</v>
          </cell>
        </row>
        <row r="268">
          <cell r="A268">
            <v>38981</v>
          </cell>
          <cell r="C268">
            <v>93.6</v>
          </cell>
          <cell r="D268" t="str">
            <v>#N/A N/A</v>
          </cell>
          <cell r="E268" t="str">
            <v>#N/A N/A</v>
          </cell>
          <cell r="L268">
            <v>1366.79</v>
          </cell>
          <cell r="M268">
            <v>2237.75</v>
          </cell>
          <cell r="N268">
            <v>5896.7</v>
          </cell>
          <cell r="O268">
            <v>4015</v>
          </cell>
          <cell r="Q268">
            <v>565</v>
          </cell>
          <cell r="R268">
            <v>257.25</v>
          </cell>
          <cell r="S268">
            <v>421.5</v>
          </cell>
          <cell r="T268">
            <v>558</v>
          </cell>
          <cell r="U268">
            <v>15834.23</v>
          </cell>
          <cell r="V268">
            <v>17619.97</v>
          </cell>
          <cell r="W268">
            <v>6889.89</v>
          </cell>
          <cell r="X268">
            <v>56.35</v>
          </cell>
          <cell r="Y268">
            <v>1380</v>
          </cell>
          <cell r="Z268">
            <v>1410</v>
          </cell>
          <cell r="AA268">
            <v>12274.27</v>
          </cell>
          <cell r="AB268">
            <v>4959.3999999999996</v>
          </cell>
          <cell r="AC268">
            <v>34830.078099999999</v>
          </cell>
          <cell r="AE268">
            <v>75.8</v>
          </cell>
          <cell r="AF268">
            <v>711.18</v>
          </cell>
          <cell r="AG268">
            <v>4200</v>
          </cell>
          <cell r="AH268">
            <v>1000</v>
          </cell>
          <cell r="AI268">
            <v>1580</v>
          </cell>
          <cell r="AJ268">
            <v>611.97</v>
          </cell>
          <cell r="AL268">
            <v>1318.03</v>
          </cell>
          <cell r="AP268">
            <v>1740.9010000000001</v>
          </cell>
          <cell r="AV268">
            <v>47.09</v>
          </cell>
          <cell r="AZ268">
            <v>202.6</v>
          </cell>
          <cell r="BE268">
            <v>29450</v>
          </cell>
          <cell r="BG268">
            <v>47.5</v>
          </cell>
          <cell r="BH268">
            <v>229.16</v>
          </cell>
          <cell r="BY268">
            <v>452.08</v>
          </cell>
          <cell r="CD268">
            <v>335.14</v>
          </cell>
          <cell r="CE268">
            <v>333.22</v>
          </cell>
          <cell r="CF268">
            <v>323.45999999999998</v>
          </cell>
          <cell r="CG268">
            <v>1370</v>
          </cell>
          <cell r="CH268">
            <v>1260</v>
          </cell>
          <cell r="CI268" t="str">
            <v>#N/A N/A</v>
          </cell>
          <cell r="CJ268">
            <v>345</v>
          </cell>
          <cell r="CK268">
            <v>1206</v>
          </cell>
          <cell r="CM268">
            <v>153.38</v>
          </cell>
          <cell r="CN268">
            <v>16.11</v>
          </cell>
          <cell r="CO268" t="str">
            <v>#N/A N/A</v>
          </cell>
          <cell r="CQ268">
            <v>4.6500000000000004</v>
          </cell>
          <cell r="CR268">
            <v>53</v>
          </cell>
          <cell r="CS268">
            <v>1395.5</v>
          </cell>
          <cell r="CU268">
            <v>1620</v>
          </cell>
          <cell r="CW268">
            <v>41.463414634146346</v>
          </cell>
          <cell r="CX268">
            <v>638.9</v>
          </cell>
          <cell r="CZ268">
            <v>304.35000000000002</v>
          </cell>
          <cell r="DA268">
            <v>3691.6</v>
          </cell>
          <cell r="DB268">
            <v>12.68</v>
          </cell>
          <cell r="DC268">
            <v>343.2</v>
          </cell>
          <cell r="DD268">
            <v>103.55</v>
          </cell>
        </row>
        <row r="269">
          <cell r="A269">
            <v>38982</v>
          </cell>
          <cell r="C269">
            <v>93.6</v>
          </cell>
          <cell r="D269" t="str">
            <v>#N/A N/A</v>
          </cell>
          <cell r="E269" t="str">
            <v>#N/A N/A</v>
          </cell>
          <cell r="L269">
            <v>1348.38</v>
          </cell>
          <cell r="M269">
            <v>2218.9299999999998</v>
          </cell>
          <cell r="N269">
            <v>5822.3</v>
          </cell>
          <cell r="O269">
            <v>4033</v>
          </cell>
          <cell r="Q269">
            <v>555</v>
          </cell>
          <cell r="R269">
            <v>255.25</v>
          </cell>
          <cell r="S269">
            <v>419</v>
          </cell>
          <cell r="T269">
            <v>549.25</v>
          </cell>
          <cell r="U269">
            <v>15634.67</v>
          </cell>
          <cell r="V269">
            <v>17600.650000000001</v>
          </cell>
          <cell r="W269">
            <v>6885.6</v>
          </cell>
          <cell r="X269">
            <v>57.15</v>
          </cell>
          <cell r="Y269">
            <v>1280</v>
          </cell>
          <cell r="Z269">
            <v>1370</v>
          </cell>
          <cell r="AA269">
            <v>12236.78</v>
          </cell>
          <cell r="AB269">
            <v>4948.3999999999996</v>
          </cell>
          <cell r="AC269">
            <v>34798.800799999997</v>
          </cell>
          <cell r="AE269">
            <v>76.25</v>
          </cell>
          <cell r="AF269">
            <v>711.18</v>
          </cell>
          <cell r="AG269">
            <v>4136</v>
          </cell>
          <cell r="AH269">
            <v>990</v>
          </cell>
          <cell r="AI269">
            <v>1580</v>
          </cell>
          <cell r="AJ269">
            <v>599.41999999999996</v>
          </cell>
          <cell r="AL269">
            <v>1314.78</v>
          </cell>
          <cell r="AP269">
            <v>1725.3610000000001</v>
          </cell>
          <cell r="AV269">
            <v>46.3</v>
          </cell>
          <cell r="AZ269">
            <v>195.7</v>
          </cell>
          <cell r="BE269">
            <v>29600</v>
          </cell>
          <cell r="BG269">
            <v>46.5</v>
          </cell>
          <cell r="BH269">
            <v>224.81</v>
          </cell>
          <cell r="BY269">
            <v>449.3</v>
          </cell>
          <cell r="CD269">
            <v>333.53</v>
          </cell>
          <cell r="CE269">
            <v>331.83499999999998</v>
          </cell>
          <cell r="CF269">
            <v>321.14</v>
          </cell>
          <cell r="CG269">
            <v>1340</v>
          </cell>
          <cell r="CH269">
            <v>1200</v>
          </cell>
          <cell r="CI269" t="str">
            <v>#N/A N/A</v>
          </cell>
          <cell r="CJ269">
            <v>345</v>
          </cell>
          <cell r="CK269">
            <v>1216</v>
          </cell>
          <cell r="CM269">
            <v>151.99</v>
          </cell>
          <cell r="CN269">
            <v>16.21</v>
          </cell>
          <cell r="CO269" t="str">
            <v>#N/A N/A</v>
          </cell>
          <cell r="CQ269">
            <v>4.45</v>
          </cell>
          <cell r="CR269">
            <v>53</v>
          </cell>
          <cell r="CS269">
            <v>1383.5</v>
          </cell>
          <cell r="CU269">
            <v>1630</v>
          </cell>
          <cell r="CW269">
            <v>43.140243902439025</v>
          </cell>
          <cell r="CX269">
            <v>640</v>
          </cell>
          <cell r="CZ269">
            <v>300.86</v>
          </cell>
          <cell r="DA269">
            <v>3687.3</v>
          </cell>
          <cell r="DB269">
            <v>11.78</v>
          </cell>
          <cell r="DC269">
            <v>343.2</v>
          </cell>
          <cell r="DD269">
            <v>104.45</v>
          </cell>
        </row>
        <row r="270">
          <cell r="A270">
            <v>38983</v>
          </cell>
          <cell r="C270">
            <v>93.6</v>
          </cell>
          <cell r="D270" t="str">
            <v>#N/A N/A</v>
          </cell>
          <cell r="E270" t="str">
            <v>#N/A N/A</v>
          </cell>
          <cell r="L270">
            <v>1348.38</v>
          </cell>
          <cell r="M270">
            <v>2218.9299999999998</v>
          </cell>
          <cell r="N270">
            <v>5822.3</v>
          </cell>
          <cell r="O270">
            <v>4033</v>
          </cell>
          <cell r="Q270">
            <v>555</v>
          </cell>
          <cell r="R270">
            <v>255.25</v>
          </cell>
          <cell r="S270">
            <v>419</v>
          </cell>
          <cell r="T270">
            <v>549.25</v>
          </cell>
          <cell r="U270">
            <v>15634.67</v>
          </cell>
          <cell r="V270">
            <v>17600.650000000001</v>
          </cell>
          <cell r="W270">
            <v>6885.6</v>
          </cell>
          <cell r="X270">
            <v>57.15</v>
          </cell>
          <cell r="Y270">
            <v>1280</v>
          </cell>
          <cell r="Z270">
            <v>1370</v>
          </cell>
          <cell r="AA270">
            <v>12236.78</v>
          </cell>
          <cell r="AB270">
            <v>4948.3999999999996</v>
          </cell>
          <cell r="AC270">
            <v>34798.800799999997</v>
          </cell>
          <cell r="AE270">
            <v>76.25</v>
          </cell>
          <cell r="AF270">
            <v>711.18</v>
          </cell>
          <cell r="AG270">
            <v>4136</v>
          </cell>
          <cell r="AH270">
            <v>990</v>
          </cell>
          <cell r="AI270">
            <v>1580</v>
          </cell>
          <cell r="AJ270">
            <v>599.41999999999996</v>
          </cell>
          <cell r="AL270">
            <v>1314.78</v>
          </cell>
          <cell r="AP270">
            <v>1725.3610000000001</v>
          </cell>
          <cell r="AV270">
            <v>46.3</v>
          </cell>
          <cell r="AZ270">
            <v>195.7</v>
          </cell>
          <cell r="BE270">
            <v>29600</v>
          </cell>
          <cell r="BG270">
            <v>46.5</v>
          </cell>
          <cell r="BH270">
            <v>224.81</v>
          </cell>
          <cell r="BY270">
            <v>449.3</v>
          </cell>
          <cell r="CD270">
            <v>333.53</v>
          </cell>
          <cell r="CE270">
            <v>331.83499999999998</v>
          </cell>
          <cell r="CF270">
            <v>321.14</v>
          </cell>
          <cell r="CG270">
            <v>1340</v>
          </cell>
          <cell r="CH270">
            <v>1200</v>
          </cell>
          <cell r="CI270" t="str">
            <v>#N/A N/A</v>
          </cell>
          <cell r="CJ270">
            <v>345</v>
          </cell>
          <cell r="CK270">
            <v>1216</v>
          </cell>
          <cell r="CM270">
            <v>151.99</v>
          </cell>
          <cell r="CN270">
            <v>16.21</v>
          </cell>
          <cell r="CO270" t="str">
            <v>#N/A N/A</v>
          </cell>
          <cell r="CQ270">
            <v>4.45</v>
          </cell>
          <cell r="CR270">
            <v>53</v>
          </cell>
          <cell r="CS270">
            <v>1383.5</v>
          </cell>
          <cell r="CU270">
            <v>1630</v>
          </cell>
          <cell r="CW270">
            <v>43.140243902439025</v>
          </cell>
          <cell r="CX270">
            <v>640</v>
          </cell>
          <cell r="CZ270">
            <v>300.86</v>
          </cell>
          <cell r="DA270">
            <v>3687.3</v>
          </cell>
          <cell r="DB270">
            <v>11.78</v>
          </cell>
          <cell r="DC270">
            <v>343.2</v>
          </cell>
          <cell r="DD270">
            <v>104.45</v>
          </cell>
        </row>
        <row r="271">
          <cell r="A271">
            <v>38984</v>
          </cell>
          <cell r="C271">
            <v>93.6</v>
          </cell>
          <cell r="D271" t="str">
            <v>#N/A N/A</v>
          </cell>
          <cell r="E271" t="str">
            <v>#N/A N/A</v>
          </cell>
          <cell r="L271">
            <v>1348.38</v>
          </cell>
          <cell r="M271">
            <v>2218.9299999999998</v>
          </cell>
          <cell r="N271">
            <v>5822.3</v>
          </cell>
          <cell r="O271">
            <v>4033</v>
          </cell>
          <cell r="Q271">
            <v>555</v>
          </cell>
          <cell r="R271">
            <v>255.25</v>
          </cell>
          <cell r="S271">
            <v>419</v>
          </cell>
          <cell r="T271">
            <v>549.25</v>
          </cell>
          <cell r="U271">
            <v>15634.67</v>
          </cell>
          <cell r="V271">
            <v>17600.650000000001</v>
          </cell>
          <cell r="W271">
            <v>6885.6</v>
          </cell>
          <cell r="X271">
            <v>57.15</v>
          </cell>
          <cell r="Y271">
            <v>1280</v>
          </cell>
          <cell r="Z271">
            <v>1370</v>
          </cell>
          <cell r="AA271">
            <v>12236.78</v>
          </cell>
          <cell r="AB271">
            <v>4948.3999999999996</v>
          </cell>
          <cell r="AC271">
            <v>34798.800799999997</v>
          </cell>
          <cell r="AE271">
            <v>76.25</v>
          </cell>
          <cell r="AF271">
            <v>711.18</v>
          </cell>
          <cell r="AG271">
            <v>4136</v>
          </cell>
          <cell r="AH271">
            <v>990</v>
          </cell>
          <cell r="AI271">
            <v>1580</v>
          </cell>
          <cell r="AJ271">
            <v>599.41999999999996</v>
          </cell>
          <cell r="AL271">
            <v>1314.78</v>
          </cell>
          <cell r="AP271">
            <v>1725.3610000000001</v>
          </cell>
          <cell r="AV271">
            <v>46.3</v>
          </cell>
          <cell r="AZ271">
            <v>195.7</v>
          </cell>
          <cell r="BE271">
            <v>29600</v>
          </cell>
          <cell r="BG271">
            <v>46.5</v>
          </cell>
          <cell r="BH271">
            <v>224.81</v>
          </cell>
          <cell r="BY271">
            <v>449.3</v>
          </cell>
          <cell r="CD271">
            <v>333.53</v>
          </cell>
          <cell r="CE271">
            <v>331.83499999999998</v>
          </cell>
          <cell r="CF271">
            <v>321.14</v>
          </cell>
          <cell r="CG271">
            <v>1340</v>
          </cell>
          <cell r="CH271">
            <v>1200</v>
          </cell>
          <cell r="CI271" t="str">
            <v>#N/A N/A</v>
          </cell>
          <cell r="CJ271">
            <v>345</v>
          </cell>
          <cell r="CK271">
            <v>1216</v>
          </cell>
          <cell r="CM271">
            <v>151.99</v>
          </cell>
          <cell r="CN271">
            <v>16.21</v>
          </cell>
          <cell r="CO271" t="str">
            <v>#N/A N/A</v>
          </cell>
          <cell r="CQ271">
            <v>4.45</v>
          </cell>
          <cell r="CR271">
            <v>53</v>
          </cell>
          <cell r="CS271">
            <v>1383.5</v>
          </cell>
          <cell r="CU271">
            <v>1630</v>
          </cell>
          <cell r="CW271">
            <v>43.140243902439025</v>
          </cell>
          <cell r="CX271">
            <v>640</v>
          </cell>
          <cell r="CZ271">
            <v>300.86</v>
          </cell>
          <cell r="DA271">
            <v>3687.3</v>
          </cell>
          <cell r="DB271">
            <v>11.78</v>
          </cell>
          <cell r="DC271">
            <v>343.2</v>
          </cell>
          <cell r="DD271">
            <v>104.45</v>
          </cell>
        </row>
        <row r="272">
          <cell r="A272">
            <v>38985</v>
          </cell>
          <cell r="C272">
            <v>93.6</v>
          </cell>
          <cell r="D272" t="str">
            <v>#N/A N/A</v>
          </cell>
          <cell r="E272" t="str">
            <v>#N/A N/A</v>
          </cell>
          <cell r="L272">
            <v>1355.21</v>
          </cell>
          <cell r="M272">
            <v>2249.0700000000002</v>
          </cell>
          <cell r="N272">
            <v>5798.3</v>
          </cell>
          <cell r="O272">
            <v>4026</v>
          </cell>
          <cell r="Q272">
            <v>555</v>
          </cell>
          <cell r="R272">
            <v>254.75</v>
          </cell>
          <cell r="S272">
            <v>413.75</v>
          </cell>
          <cell r="T272">
            <v>545</v>
          </cell>
          <cell r="U272">
            <v>15633.81</v>
          </cell>
          <cell r="V272">
            <v>17546.04</v>
          </cell>
          <cell r="W272">
            <v>6911.21</v>
          </cell>
          <cell r="X272">
            <v>55.2</v>
          </cell>
          <cell r="Y272">
            <v>1280</v>
          </cell>
          <cell r="Z272">
            <v>1370</v>
          </cell>
          <cell r="AA272">
            <v>12173.91</v>
          </cell>
          <cell r="AB272">
            <v>4952.8999999999996</v>
          </cell>
          <cell r="AC272">
            <v>34972.738299999997</v>
          </cell>
          <cell r="AE272">
            <v>73.650000000000006</v>
          </cell>
          <cell r="AF272">
            <v>711.18</v>
          </cell>
          <cell r="AG272">
            <v>4069</v>
          </cell>
          <cell r="AH272">
            <v>990</v>
          </cell>
          <cell r="AI272">
            <v>1580</v>
          </cell>
          <cell r="AJ272">
            <v>597.29</v>
          </cell>
          <cell r="AL272">
            <v>1326.37</v>
          </cell>
          <cell r="AP272">
            <v>1722.366</v>
          </cell>
          <cell r="AV272">
            <v>47.11</v>
          </cell>
          <cell r="AZ272">
            <v>193.4</v>
          </cell>
          <cell r="BE272">
            <v>30125</v>
          </cell>
          <cell r="BG272">
            <v>46.5</v>
          </cell>
          <cell r="BH272">
            <v>224.92</v>
          </cell>
          <cell r="BY272">
            <v>460.57</v>
          </cell>
          <cell r="CD272">
            <v>334.11</v>
          </cell>
          <cell r="CE272">
            <v>332.52300000000002</v>
          </cell>
          <cell r="CF272">
            <v>321.54000000000002</v>
          </cell>
          <cell r="CG272">
            <v>1340</v>
          </cell>
          <cell r="CH272">
            <v>1200</v>
          </cell>
          <cell r="CI272" t="str">
            <v>#N/A N/A</v>
          </cell>
          <cell r="CJ272">
            <v>345</v>
          </cell>
          <cell r="CK272">
            <v>1222</v>
          </cell>
          <cell r="CM272">
            <v>150.08000000000001</v>
          </cell>
          <cell r="CN272">
            <v>15.87</v>
          </cell>
          <cell r="CO272" t="str">
            <v>#N/A N/A</v>
          </cell>
          <cell r="CQ272">
            <v>4.33</v>
          </cell>
          <cell r="CR272">
            <v>53</v>
          </cell>
          <cell r="CS272">
            <v>1359</v>
          </cell>
          <cell r="CU272">
            <v>1630</v>
          </cell>
          <cell r="CW272">
            <v>42.835365853658537</v>
          </cell>
          <cell r="CX272">
            <v>637.70000000000005</v>
          </cell>
          <cell r="CZ272">
            <v>300.70999999999998</v>
          </cell>
          <cell r="DA272">
            <v>3673</v>
          </cell>
          <cell r="DB272">
            <v>11.36</v>
          </cell>
          <cell r="DC272">
            <v>343.2</v>
          </cell>
          <cell r="DD272">
            <v>106.65</v>
          </cell>
        </row>
        <row r="273">
          <cell r="A273">
            <v>38986</v>
          </cell>
          <cell r="C273">
            <v>93.6</v>
          </cell>
          <cell r="D273" t="str">
            <v>#N/A N/A</v>
          </cell>
          <cell r="E273" t="str">
            <v>#N/A N/A</v>
          </cell>
          <cell r="L273">
            <v>1343.97</v>
          </cell>
          <cell r="M273">
            <v>2261.34</v>
          </cell>
          <cell r="N273">
            <v>5873.6</v>
          </cell>
          <cell r="O273">
            <v>4030</v>
          </cell>
          <cell r="Q273">
            <v>555</v>
          </cell>
          <cell r="R273">
            <v>259</v>
          </cell>
          <cell r="S273">
            <v>423</v>
          </cell>
          <cell r="T273">
            <v>546.75</v>
          </cell>
          <cell r="U273">
            <v>15557.45</v>
          </cell>
          <cell r="V273">
            <v>17308.080000000002</v>
          </cell>
          <cell r="W273">
            <v>6901.75</v>
          </cell>
          <cell r="X273">
            <v>56.35</v>
          </cell>
          <cell r="Y273">
            <v>1280</v>
          </cell>
          <cell r="Z273">
            <v>1370</v>
          </cell>
          <cell r="AA273">
            <v>12321.19</v>
          </cell>
          <cell r="AB273">
            <v>4956.5</v>
          </cell>
          <cell r="AC273">
            <v>35818.968800000002</v>
          </cell>
          <cell r="AE273">
            <v>74.900000000000006</v>
          </cell>
          <cell r="AF273">
            <v>711.88</v>
          </cell>
          <cell r="AG273">
            <v>3979</v>
          </cell>
          <cell r="AH273">
            <v>990</v>
          </cell>
          <cell r="AI273">
            <v>1580</v>
          </cell>
          <cell r="AJ273">
            <v>591.63</v>
          </cell>
          <cell r="AL273">
            <v>1336.34</v>
          </cell>
          <cell r="AP273">
            <v>1712.6369999999999</v>
          </cell>
          <cell r="AV273">
            <v>46.85</v>
          </cell>
          <cell r="AZ273">
            <v>199.4</v>
          </cell>
          <cell r="BE273">
            <v>29775</v>
          </cell>
          <cell r="BG273">
            <v>46.5</v>
          </cell>
          <cell r="BH273">
            <v>228.49</v>
          </cell>
          <cell r="BY273">
            <v>458.99</v>
          </cell>
          <cell r="CD273">
            <v>335.98</v>
          </cell>
          <cell r="CE273">
            <v>334.35599999999999</v>
          </cell>
          <cell r="CF273">
            <v>320.18</v>
          </cell>
          <cell r="CG273">
            <v>1340</v>
          </cell>
          <cell r="CH273">
            <v>1200</v>
          </cell>
          <cell r="CI273" t="str">
            <v>#N/A N/A</v>
          </cell>
          <cell r="CJ273">
            <v>345</v>
          </cell>
          <cell r="CK273">
            <v>1249</v>
          </cell>
          <cell r="CM273">
            <v>152.62</v>
          </cell>
          <cell r="CN273">
            <v>15.21</v>
          </cell>
          <cell r="CO273" t="str">
            <v>#N/A N/A</v>
          </cell>
          <cell r="CQ273">
            <v>4.37</v>
          </cell>
          <cell r="CR273">
            <v>53</v>
          </cell>
          <cell r="CS273">
            <v>1398</v>
          </cell>
          <cell r="CU273">
            <v>1630</v>
          </cell>
          <cell r="CW273">
            <v>43.59756097560976</v>
          </cell>
          <cell r="CX273">
            <v>634.54999999999995</v>
          </cell>
          <cell r="CZ273">
            <v>301.70999999999998</v>
          </cell>
          <cell r="DA273">
            <v>3713.1</v>
          </cell>
          <cell r="DB273">
            <v>11.69</v>
          </cell>
          <cell r="DC273">
            <v>343.2</v>
          </cell>
          <cell r="DD273">
            <v>106.9</v>
          </cell>
        </row>
        <row r="274">
          <cell r="A274">
            <v>38987</v>
          </cell>
          <cell r="C274">
            <v>93.6</v>
          </cell>
          <cell r="D274" t="str">
            <v>#N/A N/A</v>
          </cell>
          <cell r="E274" t="str">
            <v>#N/A N/A</v>
          </cell>
          <cell r="L274">
            <v>1360.03</v>
          </cell>
          <cell r="M274">
            <v>2263.39</v>
          </cell>
          <cell r="N274">
            <v>5930.1</v>
          </cell>
          <cell r="O274">
            <v>4030</v>
          </cell>
          <cell r="Q274">
            <v>555</v>
          </cell>
          <cell r="R274">
            <v>253.75</v>
          </cell>
          <cell r="S274">
            <v>424.25</v>
          </cell>
          <cell r="T274">
            <v>542.5</v>
          </cell>
          <cell r="U274">
            <v>15947.87</v>
          </cell>
          <cell r="V274">
            <v>17521.509999999998</v>
          </cell>
          <cell r="W274">
            <v>6946.27</v>
          </cell>
          <cell r="X274">
            <v>55.95</v>
          </cell>
          <cell r="Y274">
            <v>1280</v>
          </cell>
          <cell r="Z274">
            <v>1370</v>
          </cell>
          <cell r="AA274">
            <v>12366.91</v>
          </cell>
          <cell r="AB274">
            <v>5055</v>
          </cell>
          <cell r="AC274">
            <v>36105.640599999999</v>
          </cell>
          <cell r="AE274">
            <v>74.650000000000006</v>
          </cell>
          <cell r="AF274">
            <v>711.88</v>
          </cell>
          <cell r="AG274">
            <v>3915</v>
          </cell>
          <cell r="AH274">
            <v>990</v>
          </cell>
          <cell r="AI274">
            <v>1580</v>
          </cell>
          <cell r="AJ274">
            <v>595.46</v>
          </cell>
          <cell r="AL274">
            <v>1336.59</v>
          </cell>
          <cell r="AP274">
            <v>1725.039</v>
          </cell>
          <cell r="AV274">
            <v>47.15</v>
          </cell>
          <cell r="AZ274">
            <v>208.5</v>
          </cell>
          <cell r="BE274">
            <v>30450</v>
          </cell>
          <cell r="BG274">
            <v>46.5</v>
          </cell>
          <cell r="BH274">
            <v>230.08</v>
          </cell>
          <cell r="BY274">
            <v>455.77</v>
          </cell>
          <cell r="CD274">
            <v>338.31</v>
          </cell>
          <cell r="CE274">
            <v>336.58300000000003</v>
          </cell>
          <cell r="CF274">
            <v>323.45999999999998</v>
          </cell>
          <cell r="CG274">
            <v>1340</v>
          </cell>
          <cell r="CH274">
            <v>1200</v>
          </cell>
          <cell r="CI274" t="str">
            <v>#N/A N/A</v>
          </cell>
          <cell r="CJ274">
            <v>345</v>
          </cell>
          <cell r="CK274">
            <v>1256</v>
          </cell>
          <cell r="CM274">
            <v>156.33000000000001</v>
          </cell>
          <cell r="CN274">
            <v>15.27</v>
          </cell>
          <cell r="CO274" t="str">
            <v>#N/A N/A</v>
          </cell>
          <cell r="CQ274">
            <v>4.3499999999999996</v>
          </cell>
          <cell r="CR274">
            <v>53</v>
          </cell>
          <cell r="CS274">
            <v>1422</v>
          </cell>
          <cell r="CU274">
            <v>1630</v>
          </cell>
          <cell r="CW274">
            <v>43.75</v>
          </cell>
          <cell r="CX274">
            <v>635.35</v>
          </cell>
          <cell r="CZ274">
            <v>304.32</v>
          </cell>
          <cell r="DA274">
            <v>3714.2</v>
          </cell>
          <cell r="DB274">
            <v>11.98</v>
          </cell>
          <cell r="DC274">
            <v>343.2</v>
          </cell>
          <cell r="DD274">
            <v>106.9</v>
          </cell>
        </row>
        <row r="275">
          <cell r="A275">
            <v>38988</v>
          </cell>
          <cell r="C275">
            <v>93.6</v>
          </cell>
          <cell r="D275" t="str">
            <v>#N/A N/A</v>
          </cell>
          <cell r="E275" t="str">
            <v>#N/A N/A</v>
          </cell>
          <cell r="L275">
            <v>1371.43</v>
          </cell>
          <cell r="M275">
            <v>2270.02</v>
          </cell>
          <cell r="N275">
            <v>5971.3</v>
          </cell>
          <cell r="O275">
            <v>4035</v>
          </cell>
          <cell r="Q275">
            <v>555</v>
          </cell>
          <cell r="R275">
            <v>264.25</v>
          </cell>
          <cell r="S275">
            <v>445.5</v>
          </cell>
          <cell r="T275">
            <v>552.75</v>
          </cell>
          <cell r="U275">
            <v>16024.85</v>
          </cell>
          <cell r="V275">
            <v>17530.57</v>
          </cell>
          <cell r="W275">
            <v>6885.12</v>
          </cell>
          <cell r="X275">
            <v>57.25</v>
          </cell>
          <cell r="Y275">
            <v>1280</v>
          </cell>
          <cell r="Z275">
            <v>1370</v>
          </cell>
          <cell r="AA275">
            <v>12380.74</v>
          </cell>
          <cell r="AB275">
            <v>5075.5</v>
          </cell>
          <cell r="AC275">
            <v>36486.191400000003</v>
          </cell>
          <cell r="AE275">
            <v>76.45</v>
          </cell>
          <cell r="AF275">
            <v>711.88</v>
          </cell>
          <cell r="AG275">
            <v>3911</v>
          </cell>
          <cell r="AH275">
            <v>990</v>
          </cell>
          <cell r="AI275">
            <v>1580</v>
          </cell>
          <cell r="AJ275">
            <v>599.91</v>
          </cell>
          <cell r="AL275">
            <v>1339.15</v>
          </cell>
          <cell r="AP275">
            <v>1736.963</v>
          </cell>
          <cell r="AV275">
            <v>47.45</v>
          </cell>
          <cell r="AZ275">
            <v>203.7</v>
          </cell>
          <cell r="BE275">
            <v>30900</v>
          </cell>
          <cell r="BG275">
            <v>46.5</v>
          </cell>
          <cell r="BH275">
            <v>230.03</v>
          </cell>
          <cell r="BY275">
            <v>460.12</v>
          </cell>
          <cell r="CD275">
            <v>338.91</v>
          </cell>
          <cell r="CE275">
            <v>337.06799999999998</v>
          </cell>
          <cell r="CF275">
            <v>323.66000000000003</v>
          </cell>
          <cell r="CG275">
            <v>1340</v>
          </cell>
          <cell r="CH275">
            <v>1200</v>
          </cell>
          <cell r="CI275" t="str">
            <v>#N/A N/A</v>
          </cell>
          <cell r="CJ275">
            <v>345</v>
          </cell>
          <cell r="CK275">
            <v>1263</v>
          </cell>
          <cell r="CM275">
            <v>156.02000000000001</v>
          </cell>
          <cell r="CN275">
            <v>15.75</v>
          </cell>
          <cell r="CO275" t="str">
            <v>#N/A N/A</v>
          </cell>
          <cell r="CQ275">
            <v>4.17</v>
          </cell>
          <cell r="CR275">
            <v>53</v>
          </cell>
          <cell r="CS275">
            <v>1419</v>
          </cell>
          <cell r="CU275">
            <v>1630</v>
          </cell>
          <cell r="CW275">
            <v>44.969512195121951</v>
          </cell>
          <cell r="CX275">
            <v>635.15</v>
          </cell>
          <cell r="CZ275">
            <v>305.14</v>
          </cell>
          <cell r="DA275">
            <v>3708.8</v>
          </cell>
          <cell r="DB275">
            <v>11.87</v>
          </cell>
          <cell r="DC275">
            <v>343.2</v>
          </cell>
          <cell r="DD275">
            <v>107.5</v>
          </cell>
        </row>
        <row r="276">
          <cell r="A276">
            <v>38989</v>
          </cell>
          <cell r="C276">
            <v>93.6</v>
          </cell>
          <cell r="D276" t="str">
            <v>#N/A N/A</v>
          </cell>
          <cell r="E276" t="str">
            <v>#N/A N/A</v>
          </cell>
          <cell r="L276">
            <v>1371.41</v>
          </cell>
          <cell r="M276">
            <v>2258.4299999999998</v>
          </cell>
          <cell r="N276">
            <v>5960.8</v>
          </cell>
          <cell r="O276">
            <v>4035</v>
          </cell>
          <cell r="Q276">
            <v>555</v>
          </cell>
          <cell r="R276">
            <v>262.5</v>
          </cell>
          <cell r="S276">
            <v>443</v>
          </cell>
          <cell r="T276">
            <v>547.5</v>
          </cell>
          <cell r="U276">
            <v>16127.58</v>
          </cell>
          <cell r="V276">
            <v>17543.05</v>
          </cell>
          <cell r="W276">
            <v>6883.05</v>
          </cell>
          <cell r="X276">
            <v>57.35</v>
          </cell>
          <cell r="Y276">
            <v>1180</v>
          </cell>
          <cell r="Z276">
            <v>1370</v>
          </cell>
          <cell r="AA276">
            <v>12454.42</v>
          </cell>
          <cell r="AB276">
            <v>5113</v>
          </cell>
          <cell r="AC276">
            <v>36449.398399999998</v>
          </cell>
          <cell r="AE276">
            <v>76.75</v>
          </cell>
          <cell r="AF276">
            <v>711.88</v>
          </cell>
          <cell r="AG276">
            <v>3944</v>
          </cell>
          <cell r="AH276">
            <v>970</v>
          </cell>
          <cell r="AI276">
            <v>1580</v>
          </cell>
          <cell r="AJ276">
            <v>600.41999999999996</v>
          </cell>
          <cell r="AL276">
            <v>1335.85</v>
          </cell>
          <cell r="AP276">
            <v>1752.424</v>
          </cell>
          <cell r="AV276">
            <v>46.25</v>
          </cell>
          <cell r="AZ276">
            <v>208.3</v>
          </cell>
          <cell r="BE276">
            <v>31300</v>
          </cell>
          <cell r="BG276">
            <v>46.2</v>
          </cell>
          <cell r="BH276">
            <v>230.45</v>
          </cell>
          <cell r="BY276">
            <v>454.7</v>
          </cell>
          <cell r="CD276">
            <v>338.28</v>
          </cell>
          <cell r="CE276">
            <v>336.46800000000002</v>
          </cell>
          <cell r="CF276">
            <v>322.89999999999998</v>
          </cell>
          <cell r="CG276">
            <v>1330</v>
          </cell>
          <cell r="CH276">
            <v>1180</v>
          </cell>
          <cell r="CI276" t="str">
            <v>#N/A N/A</v>
          </cell>
          <cell r="CJ276">
            <v>345</v>
          </cell>
          <cell r="CK276">
            <v>1275</v>
          </cell>
          <cell r="CM276">
            <v>156.32</v>
          </cell>
          <cell r="CN276">
            <v>15.4</v>
          </cell>
          <cell r="CO276" t="str">
            <v>#N/A N/A</v>
          </cell>
          <cell r="CQ276">
            <v>3.63</v>
          </cell>
          <cell r="CR276">
            <v>53</v>
          </cell>
          <cell r="CS276">
            <v>1405</v>
          </cell>
          <cell r="CU276">
            <v>1620</v>
          </cell>
          <cell r="CW276">
            <v>44.664634146341463</v>
          </cell>
          <cell r="CX276">
            <v>634.29999999999995</v>
          </cell>
          <cell r="CZ276">
            <v>305.58</v>
          </cell>
          <cell r="DA276">
            <v>3718.8</v>
          </cell>
          <cell r="DB276">
            <v>12.31</v>
          </cell>
          <cell r="DC276">
            <v>343.2</v>
          </cell>
          <cell r="DD276">
            <v>107.65</v>
          </cell>
        </row>
        <row r="277">
          <cell r="A277">
            <v>38990</v>
          </cell>
          <cell r="C277">
            <v>93.6</v>
          </cell>
          <cell r="D277" t="str">
            <v>#N/A N/A</v>
          </cell>
          <cell r="E277" t="str">
            <v>#N/A N/A</v>
          </cell>
          <cell r="L277">
            <v>1371.41</v>
          </cell>
          <cell r="M277">
            <v>2258.4299999999998</v>
          </cell>
          <cell r="N277">
            <v>5960.8</v>
          </cell>
          <cell r="O277">
            <v>4035</v>
          </cell>
          <cell r="Q277">
            <v>555</v>
          </cell>
          <cell r="R277">
            <v>262.5</v>
          </cell>
          <cell r="S277">
            <v>443</v>
          </cell>
          <cell r="T277">
            <v>547.5</v>
          </cell>
          <cell r="U277">
            <v>16127.58</v>
          </cell>
          <cell r="V277">
            <v>17543.05</v>
          </cell>
          <cell r="W277">
            <v>6883.05</v>
          </cell>
          <cell r="X277">
            <v>57.35</v>
          </cell>
          <cell r="Y277">
            <v>1180</v>
          </cell>
          <cell r="Z277">
            <v>1370</v>
          </cell>
          <cell r="AA277">
            <v>12454.42</v>
          </cell>
          <cell r="AB277">
            <v>5113</v>
          </cell>
          <cell r="AC277">
            <v>36449.398399999998</v>
          </cell>
          <cell r="AE277">
            <v>76.75</v>
          </cell>
          <cell r="AF277">
            <v>711.88</v>
          </cell>
          <cell r="AG277">
            <v>3944</v>
          </cell>
          <cell r="AH277">
            <v>970</v>
          </cell>
          <cell r="AI277">
            <v>1580</v>
          </cell>
          <cell r="AJ277">
            <v>600.41999999999996</v>
          </cell>
          <cell r="AL277">
            <v>1335.85</v>
          </cell>
          <cell r="AP277">
            <v>1752.424</v>
          </cell>
          <cell r="AV277">
            <v>46.25</v>
          </cell>
          <cell r="AZ277">
            <v>208.3</v>
          </cell>
          <cell r="BE277">
            <v>31300</v>
          </cell>
          <cell r="BG277">
            <v>46.2</v>
          </cell>
          <cell r="BH277">
            <v>230.45</v>
          </cell>
          <cell r="BY277">
            <v>454.7</v>
          </cell>
          <cell r="CD277">
            <v>338.28</v>
          </cell>
          <cell r="CE277">
            <v>336.46800000000002</v>
          </cell>
          <cell r="CF277">
            <v>322.89999999999998</v>
          </cell>
          <cell r="CG277">
            <v>1330</v>
          </cell>
          <cell r="CH277">
            <v>1180</v>
          </cell>
          <cell r="CI277" t="str">
            <v>#N/A N/A</v>
          </cell>
          <cell r="CJ277">
            <v>345</v>
          </cell>
          <cell r="CK277">
            <v>1275</v>
          </cell>
          <cell r="CM277">
            <v>156.32</v>
          </cell>
          <cell r="CN277">
            <v>15.4</v>
          </cell>
          <cell r="CO277" t="str">
            <v>#N/A N/A</v>
          </cell>
          <cell r="CQ277">
            <v>3.63</v>
          </cell>
          <cell r="CR277">
            <v>53</v>
          </cell>
          <cell r="CS277">
            <v>1405</v>
          </cell>
          <cell r="CU277">
            <v>1620</v>
          </cell>
          <cell r="CW277">
            <v>44.664634146341463</v>
          </cell>
          <cell r="CX277">
            <v>634.29999999999995</v>
          </cell>
          <cell r="CZ277">
            <v>305.58</v>
          </cell>
          <cell r="DA277">
            <v>3718.8</v>
          </cell>
          <cell r="DB277">
            <v>12.31</v>
          </cell>
          <cell r="DC277">
            <v>343.2</v>
          </cell>
          <cell r="DD277">
            <v>107.65</v>
          </cell>
        </row>
        <row r="278">
          <cell r="A278">
            <v>38991</v>
          </cell>
          <cell r="C278">
            <v>93.6</v>
          </cell>
          <cell r="D278" t="str">
            <v>#N/A N/A</v>
          </cell>
          <cell r="E278" t="str">
            <v>#N/A N/A</v>
          </cell>
          <cell r="L278">
            <v>1371.41</v>
          </cell>
          <cell r="M278">
            <v>2258.4299999999998</v>
          </cell>
          <cell r="N278">
            <v>5960.8</v>
          </cell>
          <cell r="O278">
            <v>4035</v>
          </cell>
          <cell r="Q278">
            <v>555</v>
          </cell>
          <cell r="R278">
            <v>262.5</v>
          </cell>
          <cell r="S278">
            <v>443</v>
          </cell>
          <cell r="T278">
            <v>547.5</v>
          </cell>
          <cell r="U278">
            <v>16127.58</v>
          </cell>
          <cell r="V278">
            <v>17543.05</v>
          </cell>
          <cell r="W278">
            <v>6883.05</v>
          </cell>
          <cell r="X278">
            <v>57.35</v>
          </cell>
          <cell r="Y278">
            <v>1180</v>
          </cell>
          <cell r="Z278">
            <v>1370</v>
          </cell>
          <cell r="AA278">
            <v>12454.42</v>
          </cell>
          <cell r="AB278">
            <v>5113</v>
          </cell>
          <cell r="AC278">
            <v>36449.398399999998</v>
          </cell>
          <cell r="AE278">
            <v>76.75</v>
          </cell>
          <cell r="AF278">
            <v>711.88</v>
          </cell>
          <cell r="AG278">
            <v>3944</v>
          </cell>
          <cell r="AH278">
            <v>970</v>
          </cell>
          <cell r="AI278">
            <v>1580</v>
          </cell>
          <cell r="AJ278">
            <v>600.41999999999996</v>
          </cell>
          <cell r="AL278">
            <v>1335.85</v>
          </cell>
          <cell r="AP278">
            <v>1752.424</v>
          </cell>
          <cell r="AV278">
            <v>46.25</v>
          </cell>
          <cell r="AZ278">
            <v>208.3</v>
          </cell>
          <cell r="BE278">
            <v>31300</v>
          </cell>
          <cell r="BG278">
            <v>46.2</v>
          </cell>
          <cell r="BH278">
            <v>230.45</v>
          </cell>
          <cell r="BY278">
            <v>454.7</v>
          </cell>
          <cell r="CD278">
            <v>338.28</v>
          </cell>
          <cell r="CE278">
            <v>336.46800000000002</v>
          </cell>
          <cell r="CF278">
            <v>322.89999999999998</v>
          </cell>
          <cell r="CG278">
            <v>1330</v>
          </cell>
          <cell r="CH278">
            <v>1180</v>
          </cell>
          <cell r="CI278" t="str">
            <v>#N/A N/A</v>
          </cell>
          <cell r="CJ278">
            <v>345</v>
          </cell>
          <cell r="CK278">
            <v>1275</v>
          </cell>
          <cell r="CM278">
            <v>156.32</v>
          </cell>
          <cell r="CN278">
            <v>15.4</v>
          </cell>
          <cell r="CO278" t="str">
            <v>#N/A N/A</v>
          </cell>
          <cell r="CQ278">
            <v>3.63</v>
          </cell>
          <cell r="CR278">
            <v>53</v>
          </cell>
          <cell r="CS278">
            <v>1405</v>
          </cell>
          <cell r="CU278">
            <v>1620</v>
          </cell>
          <cell r="CW278">
            <v>44.664634146341463</v>
          </cell>
          <cell r="CX278">
            <v>634.29999999999995</v>
          </cell>
          <cell r="CZ278">
            <v>305.58</v>
          </cell>
          <cell r="DA278">
            <v>3718.8</v>
          </cell>
          <cell r="DB278">
            <v>12.31</v>
          </cell>
          <cell r="DC278">
            <v>343.2</v>
          </cell>
          <cell r="DD278">
            <v>107.65</v>
          </cell>
        </row>
        <row r="279">
          <cell r="A279">
            <v>38992</v>
          </cell>
          <cell r="C279">
            <v>96.5</v>
          </cell>
          <cell r="D279" t="str">
            <v>#N/A N/A</v>
          </cell>
          <cell r="E279" t="str">
            <v>#N/A N/A</v>
          </cell>
          <cell r="L279">
            <v>1374.22</v>
          </cell>
          <cell r="M279">
            <v>2237.6</v>
          </cell>
          <cell r="N279">
            <v>5957.8</v>
          </cell>
          <cell r="O279">
            <v>4035</v>
          </cell>
          <cell r="Q279">
            <v>555</v>
          </cell>
          <cell r="R279">
            <v>267.75</v>
          </cell>
          <cell r="S279">
            <v>446</v>
          </cell>
          <cell r="T279">
            <v>545.25</v>
          </cell>
          <cell r="U279">
            <v>16254.29</v>
          </cell>
          <cell r="V279">
            <v>17543.05</v>
          </cell>
          <cell r="W279">
            <v>6960.95</v>
          </cell>
          <cell r="X279">
            <v>58.25</v>
          </cell>
          <cell r="Y279">
            <v>1180</v>
          </cell>
          <cell r="Z279">
            <v>1370</v>
          </cell>
          <cell r="AA279">
            <v>12454.42</v>
          </cell>
          <cell r="AB279">
            <v>5138.7</v>
          </cell>
          <cell r="AC279">
            <v>37057.75</v>
          </cell>
          <cell r="AE279">
            <v>76.8</v>
          </cell>
          <cell r="AF279">
            <v>711.88</v>
          </cell>
          <cell r="AG279">
            <v>3956</v>
          </cell>
          <cell r="AH279">
            <v>970</v>
          </cell>
          <cell r="AI279">
            <v>1580</v>
          </cell>
          <cell r="AJ279">
            <v>596.99</v>
          </cell>
          <cell r="AL279">
            <v>1331.32</v>
          </cell>
          <cell r="AP279">
            <v>1752.424</v>
          </cell>
          <cell r="AV279">
            <v>46.97</v>
          </cell>
          <cell r="AZ279">
            <v>218.2</v>
          </cell>
          <cell r="BE279">
            <v>31005</v>
          </cell>
          <cell r="BG279">
            <v>46.2</v>
          </cell>
          <cell r="BH279">
            <v>229.2</v>
          </cell>
          <cell r="BY279">
            <v>453.25</v>
          </cell>
          <cell r="CD279">
            <v>338.87</v>
          </cell>
          <cell r="CE279">
            <v>337.00700000000001</v>
          </cell>
          <cell r="CF279">
            <v>323.89</v>
          </cell>
          <cell r="CG279">
            <v>1330</v>
          </cell>
          <cell r="CH279">
            <v>1180</v>
          </cell>
          <cell r="CI279" t="str">
            <v>#N/A N/A</v>
          </cell>
          <cell r="CJ279">
            <v>345</v>
          </cell>
          <cell r="CK279">
            <v>1281</v>
          </cell>
          <cell r="CM279">
            <v>154.25</v>
          </cell>
          <cell r="CN279">
            <v>15.45</v>
          </cell>
          <cell r="CO279" t="str">
            <v>#N/A N/A</v>
          </cell>
          <cell r="CQ279">
            <v>4.12</v>
          </cell>
          <cell r="CR279">
            <v>53</v>
          </cell>
          <cell r="CS279">
            <v>1400</v>
          </cell>
          <cell r="CU279">
            <v>1620</v>
          </cell>
          <cell r="CW279">
            <v>44.969512195121951</v>
          </cell>
          <cell r="CX279">
            <v>637.54999999999995</v>
          </cell>
          <cell r="CZ279">
            <v>301.36</v>
          </cell>
          <cell r="DA279">
            <v>3705.2</v>
          </cell>
          <cell r="DB279">
            <v>12.02</v>
          </cell>
          <cell r="DC279">
            <v>343.2</v>
          </cell>
          <cell r="DD279">
            <v>103.55</v>
          </cell>
        </row>
        <row r="280">
          <cell r="A280">
            <v>38993</v>
          </cell>
          <cell r="C280">
            <v>96.5</v>
          </cell>
          <cell r="D280" t="str">
            <v>#N/A N/A</v>
          </cell>
          <cell r="E280" t="str">
            <v>#N/A N/A</v>
          </cell>
          <cell r="L280">
            <v>1374.22</v>
          </cell>
          <cell r="M280">
            <v>2243.65</v>
          </cell>
          <cell r="N280">
            <v>5937.1</v>
          </cell>
          <cell r="O280">
            <v>4035</v>
          </cell>
          <cell r="Q280">
            <v>555</v>
          </cell>
          <cell r="R280">
            <v>264</v>
          </cell>
          <cell r="S280">
            <v>439.5</v>
          </cell>
          <cell r="T280">
            <v>542.5</v>
          </cell>
          <cell r="U280">
            <v>16242.09</v>
          </cell>
          <cell r="V280">
            <v>17606.53</v>
          </cell>
          <cell r="W280">
            <v>6956.88</v>
          </cell>
          <cell r="X280">
            <v>56.4</v>
          </cell>
          <cell r="Y280">
            <v>1180</v>
          </cell>
          <cell r="Z280">
            <v>1370</v>
          </cell>
          <cell r="AA280">
            <v>12366.39</v>
          </cell>
          <cell r="AB280">
            <v>5141.2</v>
          </cell>
          <cell r="AC280">
            <v>36437.550799999997</v>
          </cell>
          <cell r="AE280">
            <v>74.05</v>
          </cell>
          <cell r="AF280">
            <v>713.15</v>
          </cell>
          <cell r="AG280">
            <v>3960</v>
          </cell>
          <cell r="AH280">
            <v>970</v>
          </cell>
          <cell r="AI280">
            <v>1580</v>
          </cell>
          <cell r="AJ280">
            <v>596.99</v>
          </cell>
          <cell r="AL280">
            <v>1334.11</v>
          </cell>
          <cell r="AP280">
            <v>1752.424</v>
          </cell>
          <cell r="AV280">
            <v>46.89</v>
          </cell>
          <cell r="AZ280">
            <v>218.5</v>
          </cell>
          <cell r="BE280">
            <v>30530</v>
          </cell>
          <cell r="BG280">
            <v>46.2</v>
          </cell>
          <cell r="BH280">
            <v>224</v>
          </cell>
          <cell r="BY280">
            <v>448.28</v>
          </cell>
          <cell r="CD280">
            <v>338.17</v>
          </cell>
          <cell r="CE280">
            <v>336.44400000000002</v>
          </cell>
          <cell r="CF280">
            <v>323.99</v>
          </cell>
          <cell r="CG280">
            <v>1330</v>
          </cell>
          <cell r="CH280">
            <v>1180</v>
          </cell>
          <cell r="CI280" t="str">
            <v>#N/A N/A</v>
          </cell>
          <cell r="CJ280">
            <v>345</v>
          </cell>
          <cell r="CK280">
            <v>1286</v>
          </cell>
          <cell r="CM280">
            <v>149.81</v>
          </cell>
          <cell r="CN280">
            <v>15.41</v>
          </cell>
          <cell r="CO280" t="str">
            <v>#N/A N/A</v>
          </cell>
          <cell r="CQ280">
            <v>4.03</v>
          </cell>
          <cell r="CR280">
            <v>53</v>
          </cell>
          <cell r="CS280">
            <v>1400.5</v>
          </cell>
          <cell r="CU280">
            <v>1620</v>
          </cell>
          <cell r="CW280">
            <v>44.359756097560975</v>
          </cell>
          <cell r="CX280">
            <v>636.35</v>
          </cell>
          <cell r="CZ280">
            <v>295.13</v>
          </cell>
          <cell r="DA280">
            <v>3658.5</v>
          </cell>
          <cell r="DB280">
            <v>11.59</v>
          </cell>
          <cell r="DC280">
            <v>343.2</v>
          </cell>
          <cell r="DD280">
            <v>104.25</v>
          </cell>
        </row>
        <row r="281">
          <cell r="A281">
            <v>38994</v>
          </cell>
          <cell r="C281">
            <v>96.5</v>
          </cell>
          <cell r="D281" t="str">
            <v>#N/A N/A</v>
          </cell>
          <cell r="E281" t="str">
            <v>#N/A N/A</v>
          </cell>
          <cell r="L281">
            <v>1352</v>
          </cell>
          <cell r="M281">
            <v>2290.9499999999998</v>
          </cell>
          <cell r="N281">
            <v>5966.5</v>
          </cell>
          <cell r="O281">
            <v>4035</v>
          </cell>
          <cell r="Q281">
            <v>555</v>
          </cell>
          <cell r="R281">
            <v>274.25</v>
          </cell>
          <cell r="S281">
            <v>465</v>
          </cell>
          <cell r="T281">
            <v>555.25</v>
          </cell>
          <cell r="U281">
            <v>16082.55</v>
          </cell>
          <cell r="V281">
            <v>17629.21</v>
          </cell>
          <cell r="W281">
            <v>6874.98</v>
          </cell>
          <cell r="X281">
            <v>55.95</v>
          </cell>
          <cell r="Y281">
            <v>1180</v>
          </cell>
          <cell r="Z281">
            <v>1370</v>
          </cell>
          <cell r="AA281">
            <v>12204.01</v>
          </cell>
          <cell r="AB281">
            <v>5101.5</v>
          </cell>
          <cell r="AC281">
            <v>37749.289100000002</v>
          </cell>
          <cell r="AE281">
            <v>73.8</v>
          </cell>
          <cell r="AF281">
            <v>713.15</v>
          </cell>
          <cell r="AG281">
            <v>3941</v>
          </cell>
          <cell r="AH281">
            <v>970</v>
          </cell>
          <cell r="AI281">
            <v>1580</v>
          </cell>
          <cell r="AJ281">
            <v>587.32000000000005</v>
          </cell>
          <cell r="AL281">
            <v>1350.22</v>
          </cell>
          <cell r="AP281">
            <v>1752.424</v>
          </cell>
          <cell r="AV281">
            <v>47.13</v>
          </cell>
          <cell r="AZ281">
            <v>218.9</v>
          </cell>
          <cell r="BE281">
            <v>29925</v>
          </cell>
          <cell r="BG281">
            <v>46.2</v>
          </cell>
          <cell r="BH281">
            <v>224.17</v>
          </cell>
          <cell r="BY281">
            <v>456.8</v>
          </cell>
          <cell r="CD281">
            <v>339.95</v>
          </cell>
          <cell r="CE281">
            <v>338.39800000000002</v>
          </cell>
          <cell r="CF281">
            <v>320.04000000000002</v>
          </cell>
          <cell r="CG281">
            <v>1330</v>
          </cell>
          <cell r="CH281">
            <v>1180</v>
          </cell>
          <cell r="CI281" t="str">
            <v>#N/A N/A</v>
          </cell>
          <cell r="CJ281">
            <v>345</v>
          </cell>
          <cell r="CK281">
            <v>1283</v>
          </cell>
          <cell r="CM281">
            <v>153.46</v>
          </cell>
          <cell r="CN281">
            <v>15.81</v>
          </cell>
          <cell r="CO281" t="str">
            <v>#N/A N/A</v>
          </cell>
          <cell r="CQ281">
            <v>4.3600000000000003</v>
          </cell>
          <cell r="CR281">
            <v>55.75</v>
          </cell>
          <cell r="CS281">
            <v>1386</v>
          </cell>
          <cell r="CU281">
            <v>1620</v>
          </cell>
          <cell r="CW281">
            <v>44.81707317073171</v>
          </cell>
          <cell r="CX281">
            <v>634.4</v>
          </cell>
          <cell r="CZ281">
            <v>297.11</v>
          </cell>
          <cell r="DA281">
            <v>3533</v>
          </cell>
          <cell r="DB281">
            <v>11.46</v>
          </cell>
          <cell r="DC281">
            <v>343.2</v>
          </cell>
          <cell r="DD281">
            <v>104.45</v>
          </cell>
        </row>
        <row r="282">
          <cell r="A282">
            <v>38995</v>
          </cell>
          <cell r="C282">
            <v>96.5</v>
          </cell>
          <cell r="D282" t="str">
            <v>#N/A N/A</v>
          </cell>
          <cell r="E282" t="str">
            <v>#N/A N/A</v>
          </cell>
          <cell r="L282">
            <v>1352</v>
          </cell>
          <cell r="M282">
            <v>2306.34</v>
          </cell>
          <cell r="N282">
            <v>6004.5</v>
          </cell>
          <cell r="O282">
            <v>4035</v>
          </cell>
          <cell r="Q282">
            <v>555</v>
          </cell>
          <cell r="R282">
            <v>271.75</v>
          </cell>
          <cell r="S282">
            <v>464</v>
          </cell>
          <cell r="T282">
            <v>565.5</v>
          </cell>
          <cell r="U282">
            <v>16449.330000000002</v>
          </cell>
          <cell r="V282">
            <v>17907.669999999998</v>
          </cell>
          <cell r="W282">
            <v>6997.24</v>
          </cell>
          <cell r="X282">
            <v>56.4</v>
          </cell>
          <cell r="Y282">
            <v>1180</v>
          </cell>
          <cell r="Z282">
            <v>1370</v>
          </cell>
          <cell r="AA282">
            <v>12389.41</v>
          </cell>
          <cell r="AB282">
            <v>5174.8</v>
          </cell>
          <cell r="AC282">
            <v>37976.859400000001</v>
          </cell>
          <cell r="AE282">
            <v>74.8</v>
          </cell>
          <cell r="AF282">
            <v>713.15</v>
          </cell>
          <cell r="AG282">
            <v>3931</v>
          </cell>
          <cell r="AH282">
            <v>970</v>
          </cell>
          <cell r="AI282">
            <v>1580</v>
          </cell>
          <cell r="AJ282">
            <v>587.32000000000005</v>
          </cell>
          <cell r="AL282">
            <v>1353.22</v>
          </cell>
          <cell r="AP282">
            <v>1752.424</v>
          </cell>
          <cell r="AV282">
            <v>47.79</v>
          </cell>
          <cell r="AZ282">
            <v>225.7</v>
          </cell>
          <cell r="BE282">
            <v>30925</v>
          </cell>
          <cell r="BG282">
            <v>46.2</v>
          </cell>
          <cell r="BH282">
            <v>229.88</v>
          </cell>
          <cell r="BY282">
            <v>455.41</v>
          </cell>
          <cell r="CD282">
            <v>342.42</v>
          </cell>
          <cell r="CE282">
            <v>340.68799999999999</v>
          </cell>
          <cell r="CF282">
            <v>323.43</v>
          </cell>
          <cell r="CG282">
            <v>1330</v>
          </cell>
          <cell r="CH282">
            <v>1180</v>
          </cell>
          <cell r="CI282" t="str">
            <v>#N/A N/A</v>
          </cell>
          <cell r="CJ282">
            <v>345</v>
          </cell>
          <cell r="CK282">
            <v>1271</v>
          </cell>
          <cell r="CM282">
            <v>154.72</v>
          </cell>
          <cell r="CN282">
            <v>16.3</v>
          </cell>
          <cell r="CO282" t="str">
            <v>#N/A N/A</v>
          </cell>
          <cell r="CQ282">
            <v>4.6500000000000004</v>
          </cell>
          <cell r="CR282">
            <v>55.75</v>
          </cell>
          <cell r="CS282">
            <v>1433.5</v>
          </cell>
          <cell r="CU282">
            <v>1620</v>
          </cell>
          <cell r="CW282">
            <v>45.121951219512198</v>
          </cell>
          <cell r="CX282">
            <v>634.54999999999995</v>
          </cell>
          <cell r="CZ282">
            <v>300.58999999999997</v>
          </cell>
          <cell r="DA282">
            <v>3657.2</v>
          </cell>
          <cell r="DB282">
            <v>11.58</v>
          </cell>
          <cell r="DC282">
            <v>343.2</v>
          </cell>
          <cell r="DD282">
            <v>104.5</v>
          </cell>
        </row>
        <row r="283">
          <cell r="A283">
            <v>38996</v>
          </cell>
          <cell r="C283">
            <v>96.5</v>
          </cell>
          <cell r="D283" t="str">
            <v>#N/A N/A</v>
          </cell>
          <cell r="E283" t="str">
            <v>#N/A N/A</v>
          </cell>
          <cell r="L283">
            <v>1352</v>
          </cell>
          <cell r="M283">
            <v>2299.9899999999998</v>
          </cell>
          <cell r="N283">
            <v>6001.2</v>
          </cell>
          <cell r="O283">
            <v>4035</v>
          </cell>
          <cell r="Q283">
            <v>555</v>
          </cell>
          <cell r="R283">
            <v>271</v>
          </cell>
          <cell r="S283">
            <v>464</v>
          </cell>
          <cell r="T283">
            <v>564</v>
          </cell>
          <cell r="U283">
            <v>16436.060000000001</v>
          </cell>
          <cell r="V283">
            <v>17903.39</v>
          </cell>
          <cell r="W283">
            <v>6997.24</v>
          </cell>
          <cell r="X283">
            <v>57.05</v>
          </cell>
          <cell r="Y283">
            <v>1150</v>
          </cell>
          <cell r="Z283">
            <v>1360</v>
          </cell>
          <cell r="AA283">
            <v>12372.81</v>
          </cell>
          <cell r="AB283">
            <v>5178.3</v>
          </cell>
          <cell r="AC283">
            <v>37940.441400000003</v>
          </cell>
          <cell r="AE283">
            <v>74.25</v>
          </cell>
          <cell r="AF283">
            <v>713.15</v>
          </cell>
          <cell r="AG283">
            <v>3964</v>
          </cell>
          <cell r="AH283">
            <v>970</v>
          </cell>
          <cell r="AI283">
            <v>1580</v>
          </cell>
          <cell r="AJ283">
            <v>587.32000000000005</v>
          </cell>
          <cell r="AL283">
            <v>1349.58</v>
          </cell>
          <cell r="AP283">
            <v>1752.424</v>
          </cell>
          <cell r="AV283">
            <v>47.3</v>
          </cell>
          <cell r="AZ283">
            <v>228.4</v>
          </cell>
          <cell r="BE283">
            <v>31575</v>
          </cell>
          <cell r="BG283">
            <v>44.6</v>
          </cell>
          <cell r="BH283">
            <v>230.23</v>
          </cell>
          <cell r="BY283">
            <v>451.32</v>
          </cell>
          <cell r="CD283">
            <v>340.84</v>
          </cell>
          <cell r="CE283">
            <v>339.02499999999998</v>
          </cell>
          <cell r="CF283">
            <v>323.44</v>
          </cell>
          <cell r="CG283">
            <v>1320</v>
          </cell>
          <cell r="CH283">
            <v>1165</v>
          </cell>
          <cell r="CI283" t="str">
            <v>#N/A N/A</v>
          </cell>
          <cell r="CJ283">
            <v>345</v>
          </cell>
          <cell r="CK283">
            <v>1260</v>
          </cell>
          <cell r="CM283">
            <v>153.02000000000001</v>
          </cell>
          <cell r="CN283">
            <v>16.3</v>
          </cell>
          <cell r="CO283" t="str">
            <v>#N/A N/A</v>
          </cell>
          <cell r="CQ283">
            <v>4.43</v>
          </cell>
          <cell r="CR283">
            <v>55.75</v>
          </cell>
          <cell r="CS283">
            <v>1458.5</v>
          </cell>
          <cell r="CU283">
            <v>1600</v>
          </cell>
          <cell r="CW283">
            <v>44.81707317073171</v>
          </cell>
          <cell r="CX283">
            <v>630.45000000000005</v>
          </cell>
          <cell r="CZ283">
            <v>300.2</v>
          </cell>
          <cell r="DA283">
            <v>3741.3</v>
          </cell>
          <cell r="DB283">
            <v>11.51</v>
          </cell>
          <cell r="DC283">
            <v>343.2</v>
          </cell>
          <cell r="DD283">
            <v>103.9</v>
          </cell>
        </row>
        <row r="284">
          <cell r="A284">
            <v>38997</v>
          </cell>
          <cell r="C284">
            <v>96.5</v>
          </cell>
          <cell r="D284" t="str">
            <v>#N/A N/A</v>
          </cell>
          <cell r="E284" t="str">
            <v>#N/A N/A</v>
          </cell>
          <cell r="L284">
            <v>1352</v>
          </cell>
          <cell r="M284">
            <v>2299.9899999999998</v>
          </cell>
          <cell r="N284">
            <v>6001.2</v>
          </cell>
          <cell r="O284">
            <v>4035</v>
          </cell>
          <cell r="Q284">
            <v>555</v>
          </cell>
          <cell r="R284">
            <v>271</v>
          </cell>
          <cell r="S284">
            <v>464</v>
          </cell>
          <cell r="T284">
            <v>564</v>
          </cell>
          <cell r="U284">
            <v>16436.060000000001</v>
          </cell>
          <cell r="V284">
            <v>17903.39</v>
          </cell>
          <cell r="W284">
            <v>6997.24</v>
          </cell>
          <cell r="X284">
            <v>57.05</v>
          </cell>
          <cell r="Y284">
            <v>1150</v>
          </cell>
          <cell r="Z284">
            <v>1360</v>
          </cell>
          <cell r="AA284">
            <v>12372.81</v>
          </cell>
          <cell r="AB284">
            <v>5178.3</v>
          </cell>
          <cell r="AC284">
            <v>37940.441400000003</v>
          </cell>
          <cell r="AE284">
            <v>74.25</v>
          </cell>
          <cell r="AF284">
            <v>713.15</v>
          </cell>
          <cell r="AG284">
            <v>3964</v>
          </cell>
          <cell r="AH284">
            <v>970</v>
          </cell>
          <cell r="AI284">
            <v>1580</v>
          </cell>
          <cell r="AJ284">
            <v>587.32000000000005</v>
          </cell>
          <cell r="AL284">
            <v>1349.58</v>
          </cell>
          <cell r="AP284">
            <v>1752.424</v>
          </cell>
          <cell r="AV284">
            <v>47.3</v>
          </cell>
          <cell r="AZ284">
            <v>228.4</v>
          </cell>
          <cell r="BE284">
            <v>31575</v>
          </cell>
          <cell r="BG284">
            <v>44.6</v>
          </cell>
          <cell r="BH284">
            <v>230.23</v>
          </cell>
          <cell r="BY284">
            <v>451.32</v>
          </cell>
          <cell r="CD284">
            <v>340.84</v>
          </cell>
          <cell r="CE284">
            <v>339.02499999999998</v>
          </cell>
          <cell r="CF284">
            <v>323.44</v>
          </cell>
          <cell r="CG284">
            <v>1320</v>
          </cell>
          <cell r="CH284">
            <v>1165</v>
          </cell>
          <cell r="CI284" t="str">
            <v>#N/A N/A</v>
          </cell>
          <cell r="CJ284">
            <v>345</v>
          </cell>
          <cell r="CK284">
            <v>1260</v>
          </cell>
          <cell r="CM284">
            <v>153.02000000000001</v>
          </cell>
          <cell r="CN284">
            <v>16.3</v>
          </cell>
          <cell r="CO284" t="str">
            <v>#N/A N/A</v>
          </cell>
          <cell r="CQ284">
            <v>4.43</v>
          </cell>
          <cell r="CR284">
            <v>55.75</v>
          </cell>
          <cell r="CS284">
            <v>1458.5</v>
          </cell>
          <cell r="CU284">
            <v>1600</v>
          </cell>
          <cell r="CW284">
            <v>44.81707317073171</v>
          </cell>
          <cell r="CX284">
            <v>630.45000000000005</v>
          </cell>
          <cell r="CZ284">
            <v>300.2</v>
          </cell>
          <cell r="DA284">
            <v>3741.3</v>
          </cell>
          <cell r="DB284">
            <v>11.51</v>
          </cell>
          <cell r="DC284">
            <v>343.2</v>
          </cell>
          <cell r="DD284">
            <v>103.9</v>
          </cell>
        </row>
        <row r="285">
          <cell r="A285">
            <v>38998</v>
          </cell>
          <cell r="C285">
            <v>96.5</v>
          </cell>
          <cell r="D285" t="str">
            <v>#N/A N/A</v>
          </cell>
          <cell r="E285" t="str">
            <v>#N/A N/A</v>
          </cell>
          <cell r="L285">
            <v>1352</v>
          </cell>
          <cell r="M285">
            <v>2299.9899999999998</v>
          </cell>
          <cell r="N285">
            <v>6001.2</v>
          </cell>
          <cell r="O285">
            <v>4035</v>
          </cell>
          <cell r="Q285">
            <v>555</v>
          </cell>
          <cell r="R285">
            <v>271</v>
          </cell>
          <cell r="S285">
            <v>464</v>
          </cell>
          <cell r="T285">
            <v>564</v>
          </cell>
          <cell r="U285">
            <v>16436.060000000001</v>
          </cell>
          <cell r="V285">
            <v>17903.39</v>
          </cell>
          <cell r="W285">
            <v>6997.24</v>
          </cell>
          <cell r="X285">
            <v>57.05</v>
          </cell>
          <cell r="Y285">
            <v>1150</v>
          </cell>
          <cell r="Z285">
            <v>1360</v>
          </cell>
          <cell r="AA285">
            <v>12372.81</v>
          </cell>
          <cell r="AB285">
            <v>5178.3</v>
          </cell>
          <cell r="AC285">
            <v>37940.441400000003</v>
          </cell>
          <cell r="AE285">
            <v>74.25</v>
          </cell>
          <cell r="AF285">
            <v>713.15</v>
          </cell>
          <cell r="AG285">
            <v>3964</v>
          </cell>
          <cell r="AH285">
            <v>970</v>
          </cell>
          <cell r="AI285">
            <v>1580</v>
          </cell>
          <cell r="AJ285">
            <v>587.32000000000005</v>
          </cell>
          <cell r="AL285">
            <v>1349.58</v>
          </cell>
          <cell r="AP285">
            <v>1752.424</v>
          </cell>
          <cell r="AV285">
            <v>47.3</v>
          </cell>
          <cell r="AZ285">
            <v>228.4</v>
          </cell>
          <cell r="BE285">
            <v>31575</v>
          </cell>
          <cell r="BG285">
            <v>44.6</v>
          </cell>
          <cell r="BH285">
            <v>230.23</v>
          </cell>
          <cell r="BY285">
            <v>451.32</v>
          </cell>
          <cell r="CD285">
            <v>340.84</v>
          </cell>
          <cell r="CE285">
            <v>339.02499999999998</v>
          </cell>
          <cell r="CF285">
            <v>323.44</v>
          </cell>
          <cell r="CG285">
            <v>1320</v>
          </cell>
          <cell r="CH285">
            <v>1165</v>
          </cell>
          <cell r="CI285" t="str">
            <v>#N/A N/A</v>
          </cell>
          <cell r="CJ285">
            <v>345</v>
          </cell>
          <cell r="CK285">
            <v>1260</v>
          </cell>
          <cell r="CM285">
            <v>153.02000000000001</v>
          </cell>
          <cell r="CN285">
            <v>16.3</v>
          </cell>
          <cell r="CO285" t="str">
            <v>#N/A N/A</v>
          </cell>
          <cell r="CQ285">
            <v>4.43</v>
          </cell>
          <cell r="CR285">
            <v>55.75</v>
          </cell>
          <cell r="CS285">
            <v>1458.5</v>
          </cell>
          <cell r="CU285">
            <v>1600</v>
          </cell>
          <cell r="CW285">
            <v>44.81707317073171</v>
          </cell>
          <cell r="CX285">
            <v>630.45000000000005</v>
          </cell>
          <cell r="CZ285">
            <v>300.2</v>
          </cell>
          <cell r="DA285">
            <v>3741.3</v>
          </cell>
          <cell r="DB285">
            <v>11.51</v>
          </cell>
          <cell r="DC285">
            <v>343.2</v>
          </cell>
          <cell r="DD285">
            <v>103.9</v>
          </cell>
        </row>
        <row r="286">
          <cell r="A286">
            <v>38999</v>
          </cell>
          <cell r="C286">
            <v>96.5</v>
          </cell>
          <cell r="D286" t="str">
            <v>#N/A N/A</v>
          </cell>
          <cell r="E286" t="str">
            <v>#N/A N/A</v>
          </cell>
          <cell r="L286">
            <v>1319.4</v>
          </cell>
          <cell r="M286">
            <v>2311.77</v>
          </cell>
          <cell r="N286">
            <v>6030.9</v>
          </cell>
          <cell r="O286">
            <v>4049</v>
          </cell>
          <cell r="Q286">
            <v>555</v>
          </cell>
          <cell r="R286">
            <v>289.5</v>
          </cell>
          <cell r="S286">
            <v>494</v>
          </cell>
          <cell r="T286">
            <v>574.5</v>
          </cell>
          <cell r="U286">
            <v>16436.060000000001</v>
          </cell>
          <cell r="V286">
            <v>17675.240000000002</v>
          </cell>
          <cell r="W286">
            <v>6997.24</v>
          </cell>
          <cell r="X286">
            <v>57.85</v>
          </cell>
          <cell r="Y286">
            <v>1150</v>
          </cell>
          <cell r="Z286">
            <v>1360</v>
          </cell>
          <cell r="AA286">
            <v>12365.83</v>
          </cell>
          <cell r="AB286">
            <v>5162.7</v>
          </cell>
          <cell r="AC286">
            <v>38406.371099999997</v>
          </cell>
          <cell r="AE286">
            <v>74.45</v>
          </cell>
          <cell r="AF286">
            <v>713.15</v>
          </cell>
          <cell r="AG286">
            <v>4015</v>
          </cell>
          <cell r="AH286">
            <v>970</v>
          </cell>
          <cell r="AI286">
            <v>1580</v>
          </cell>
          <cell r="AJ286">
            <v>539.1</v>
          </cell>
          <cell r="AL286">
            <v>1350.66</v>
          </cell>
          <cell r="AP286">
            <v>1785.385</v>
          </cell>
          <cell r="AV286">
            <v>45.5</v>
          </cell>
          <cell r="AZ286">
            <v>228.4</v>
          </cell>
          <cell r="BE286">
            <v>31750</v>
          </cell>
          <cell r="BG286">
            <v>44.6</v>
          </cell>
          <cell r="BH286">
            <v>227.17</v>
          </cell>
          <cell r="BY286">
            <v>456.39</v>
          </cell>
          <cell r="CD286">
            <v>341.18</v>
          </cell>
          <cell r="CE286">
            <v>339.44499999999999</v>
          </cell>
          <cell r="CF286">
            <v>319.22000000000003</v>
          </cell>
          <cell r="CG286">
            <v>1320</v>
          </cell>
          <cell r="CH286">
            <v>1165</v>
          </cell>
          <cell r="CI286" t="str">
            <v>#N/A N/A</v>
          </cell>
          <cell r="CJ286">
            <v>345</v>
          </cell>
          <cell r="CK286">
            <v>1257</v>
          </cell>
          <cell r="CM286">
            <v>152.07</v>
          </cell>
          <cell r="CN286">
            <v>16.46</v>
          </cell>
          <cell r="CO286" t="str">
            <v>#N/A N/A</v>
          </cell>
          <cell r="CQ286">
            <v>5.0599999999999996</v>
          </cell>
          <cell r="CR286">
            <v>55.75</v>
          </cell>
          <cell r="CS286">
            <v>1458.5</v>
          </cell>
          <cell r="CU286">
            <v>1600</v>
          </cell>
          <cell r="CW286">
            <v>44.512195121951223</v>
          </cell>
          <cell r="CX286">
            <v>629.9</v>
          </cell>
          <cell r="CZ286">
            <v>303.56</v>
          </cell>
          <cell r="DA286">
            <v>3759.7</v>
          </cell>
          <cell r="DB286">
            <v>11.91</v>
          </cell>
          <cell r="DC286">
            <v>343.2</v>
          </cell>
          <cell r="DD286">
            <v>103.05</v>
          </cell>
        </row>
        <row r="287">
          <cell r="A287">
            <v>39000</v>
          </cell>
          <cell r="C287">
            <v>96.5</v>
          </cell>
          <cell r="D287" t="str">
            <v>#N/A N/A</v>
          </cell>
          <cell r="E287" t="str">
            <v>#N/A N/A</v>
          </cell>
          <cell r="L287">
            <v>1328.37</v>
          </cell>
          <cell r="M287">
            <v>2315.4299999999998</v>
          </cell>
          <cell r="N287">
            <v>6072.7</v>
          </cell>
          <cell r="O287">
            <v>4061</v>
          </cell>
          <cell r="Q287">
            <v>555</v>
          </cell>
          <cell r="R287">
            <v>275.5</v>
          </cell>
          <cell r="S287">
            <v>501</v>
          </cell>
          <cell r="T287">
            <v>560.5</v>
          </cell>
          <cell r="U287">
            <v>16477.25</v>
          </cell>
          <cell r="V287">
            <v>17823.7</v>
          </cell>
          <cell r="W287">
            <v>6997.24</v>
          </cell>
          <cell r="X287">
            <v>57.8</v>
          </cell>
          <cell r="Y287">
            <v>1150</v>
          </cell>
          <cell r="Z287">
            <v>1360</v>
          </cell>
          <cell r="AA287">
            <v>12363.77</v>
          </cell>
          <cell r="AB287">
            <v>5211.7</v>
          </cell>
          <cell r="AC287">
            <v>38654.691400000003</v>
          </cell>
          <cell r="AE287">
            <v>75.5</v>
          </cell>
          <cell r="AF287">
            <v>717.05</v>
          </cell>
          <cell r="AG287">
            <v>4042</v>
          </cell>
          <cell r="AH287">
            <v>970</v>
          </cell>
          <cell r="AI287">
            <v>1580</v>
          </cell>
          <cell r="AJ287">
            <v>554.70000000000005</v>
          </cell>
          <cell r="AL287">
            <v>1353.42</v>
          </cell>
          <cell r="AP287">
            <v>1784.8620000000001</v>
          </cell>
          <cell r="AV287">
            <v>45.61</v>
          </cell>
          <cell r="AZ287">
            <v>218.4</v>
          </cell>
          <cell r="BE287">
            <v>32045</v>
          </cell>
          <cell r="BG287">
            <v>44.6</v>
          </cell>
          <cell r="BH287">
            <v>236.28</v>
          </cell>
          <cell r="BY287">
            <v>454.72</v>
          </cell>
          <cell r="CD287">
            <v>341.81</v>
          </cell>
          <cell r="CE287">
            <v>339.98500000000001</v>
          </cell>
          <cell r="CF287">
            <v>320.94</v>
          </cell>
          <cell r="CG287">
            <v>1320</v>
          </cell>
          <cell r="CH287">
            <v>1165</v>
          </cell>
          <cell r="CI287" t="str">
            <v>#N/A N/A</v>
          </cell>
          <cell r="CJ287">
            <v>345</v>
          </cell>
          <cell r="CK287">
            <v>1254</v>
          </cell>
          <cell r="CM287">
            <v>148.66999999999999</v>
          </cell>
          <cell r="CN287">
            <v>15.98</v>
          </cell>
          <cell r="CO287" t="str">
            <v>#N/A N/A</v>
          </cell>
          <cell r="CQ287">
            <v>5.17</v>
          </cell>
          <cell r="CR287">
            <v>55.75</v>
          </cell>
          <cell r="CS287">
            <v>1493.5</v>
          </cell>
          <cell r="CU287">
            <v>1600</v>
          </cell>
          <cell r="CW287">
            <v>44.664634146341463</v>
          </cell>
          <cell r="CX287">
            <v>626.9</v>
          </cell>
          <cell r="CZ287">
            <v>299.39999999999998</v>
          </cell>
          <cell r="DA287">
            <v>3754</v>
          </cell>
          <cell r="DB287">
            <v>12.34</v>
          </cell>
          <cell r="DC287">
            <v>343.2</v>
          </cell>
          <cell r="DD287">
            <v>102.85</v>
          </cell>
        </row>
        <row r="288">
          <cell r="A288">
            <v>39001</v>
          </cell>
          <cell r="C288">
            <v>96.5</v>
          </cell>
          <cell r="D288" t="str">
            <v>#N/A N/A</v>
          </cell>
          <cell r="E288" t="str">
            <v>#N/A N/A</v>
          </cell>
          <cell r="L288">
            <v>1325.49</v>
          </cell>
          <cell r="M288">
            <v>2308.27</v>
          </cell>
          <cell r="N288">
            <v>6073.5</v>
          </cell>
          <cell r="O288">
            <v>4059</v>
          </cell>
          <cell r="Q288">
            <v>555</v>
          </cell>
          <cell r="R288">
            <v>284</v>
          </cell>
          <cell r="S288">
            <v>531</v>
          </cell>
          <cell r="T288">
            <v>562.25</v>
          </cell>
          <cell r="U288">
            <v>16400.57</v>
          </cell>
          <cell r="V288">
            <v>17862.79</v>
          </cell>
          <cell r="W288">
            <v>7006.67</v>
          </cell>
          <cell r="X288">
            <v>56.1</v>
          </cell>
          <cell r="Y288">
            <v>1150</v>
          </cell>
          <cell r="Z288">
            <v>1360</v>
          </cell>
          <cell r="AA288">
            <v>12353.49</v>
          </cell>
          <cell r="AB288">
            <v>5245.3</v>
          </cell>
          <cell r="AC288">
            <v>38322.210899999998</v>
          </cell>
          <cell r="AE288">
            <v>72.7</v>
          </cell>
          <cell r="AF288">
            <v>717.05</v>
          </cell>
          <cell r="AG288">
            <v>4070</v>
          </cell>
          <cell r="AH288">
            <v>970</v>
          </cell>
          <cell r="AI288">
            <v>1580</v>
          </cell>
          <cell r="AJ288">
            <v>555.48</v>
          </cell>
          <cell r="AL288">
            <v>1349.95</v>
          </cell>
          <cell r="AP288">
            <v>1790.104</v>
          </cell>
          <cell r="AV288">
            <v>45.4</v>
          </cell>
          <cell r="AZ288">
            <v>209.5</v>
          </cell>
          <cell r="BE288">
            <v>32875</v>
          </cell>
          <cell r="BG288">
            <v>44.6</v>
          </cell>
          <cell r="BH288">
            <v>237.27</v>
          </cell>
          <cell r="BY288">
            <v>460.57</v>
          </cell>
          <cell r="CD288">
            <v>341.22</v>
          </cell>
          <cell r="CE288">
            <v>339.36</v>
          </cell>
          <cell r="CF288">
            <v>320.7</v>
          </cell>
          <cell r="CG288">
            <v>1320</v>
          </cell>
          <cell r="CH288">
            <v>1165</v>
          </cell>
          <cell r="CI288" t="str">
            <v>#N/A N/A</v>
          </cell>
          <cell r="CJ288">
            <v>345</v>
          </cell>
          <cell r="CK288">
            <v>1260</v>
          </cell>
          <cell r="CM288">
            <v>147.87</v>
          </cell>
          <cell r="CN288">
            <v>15.79</v>
          </cell>
          <cell r="CO288" t="str">
            <v>#N/A N/A</v>
          </cell>
          <cell r="CQ288">
            <v>5.65</v>
          </cell>
          <cell r="CR288">
            <v>56</v>
          </cell>
          <cell r="CS288">
            <v>1518.5</v>
          </cell>
          <cell r="CU288">
            <v>1600</v>
          </cell>
          <cell r="CW288">
            <v>43.902439024390247</v>
          </cell>
          <cell r="CX288">
            <v>614.99900000000002</v>
          </cell>
          <cell r="CZ288">
            <v>297.81</v>
          </cell>
          <cell r="DA288">
            <v>3809.9</v>
          </cell>
          <cell r="DB288">
            <v>11.61</v>
          </cell>
          <cell r="DC288">
            <v>343.2</v>
          </cell>
          <cell r="DD288">
            <v>103.05</v>
          </cell>
        </row>
        <row r="289">
          <cell r="A289">
            <v>39002</v>
          </cell>
          <cell r="C289">
            <v>96.5</v>
          </cell>
          <cell r="D289" t="str">
            <v>#N/A N/A</v>
          </cell>
          <cell r="E289" t="str">
            <v>#N/A N/A</v>
          </cell>
          <cell r="L289">
            <v>1331.78</v>
          </cell>
          <cell r="M289">
            <v>2346.1799999999998</v>
          </cell>
          <cell r="N289">
            <v>6121.3</v>
          </cell>
          <cell r="O289">
            <v>4066</v>
          </cell>
          <cell r="Q289">
            <v>555</v>
          </cell>
          <cell r="R289">
            <v>298.25</v>
          </cell>
          <cell r="S289">
            <v>515.5</v>
          </cell>
          <cell r="T289">
            <v>579.75</v>
          </cell>
          <cell r="U289">
            <v>16368.81</v>
          </cell>
          <cell r="V289">
            <v>17873.09</v>
          </cell>
          <cell r="W289">
            <v>6984.58</v>
          </cell>
          <cell r="X289">
            <v>56.2</v>
          </cell>
          <cell r="Y289">
            <v>1150</v>
          </cell>
          <cell r="Z289">
            <v>1360</v>
          </cell>
          <cell r="AA289">
            <v>12537.98</v>
          </cell>
          <cell r="AB289">
            <v>5223.8999999999996</v>
          </cell>
          <cell r="AC289">
            <v>38322.210899999998</v>
          </cell>
          <cell r="AE289">
            <v>73.150000000000006</v>
          </cell>
          <cell r="AF289">
            <v>717.05</v>
          </cell>
          <cell r="AG289">
            <v>4126</v>
          </cell>
          <cell r="AH289">
            <v>970</v>
          </cell>
          <cell r="AI289">
            <v>1580</v>
          </cell>
          <cell r="AJ289">
            <v>568.25</v>
          </cell>
          <cell r="AL289">
            <v>1362.83</v>
          </cell>
          <cell r="AP289">
            <v>1778.181</v>
          </cell>
          <cell r="AV289">
            <v>46.27</v>
          </cell>
          <cell r="AZ289">
            <v>216</v>
          </cell>
          <cell r="BE289">
            <v>33210</v>
          </cell>
          <cell r="BG289">
            <v>44.6</v>
          </cell>
          <cell r="BH289">
            <v>246.05</v>
          </cell>
          <cell r="BY289">
            <v>466.85</v>
          </cell>
          <cell r="CD289">
            <v>343.59</v>
          </cell>
          <cell r="CE289">
            <v>341.75200000000001</v>
          </cell>
          <cell r="CF289">
            <v>322.27999999999997</v>
          </cell>
          <cell r="CG289">
            <v>1320</v>
          </cell>
          <cell r="CH289">
            <v>1165</v>
          </cell>
          <cell r="CI289" t="str">
            <v>#N/A N/A</v>
          </cell>
          <cell r="CJ289">
            <v>345</v>
          </cell>
          <cell r="CK289">
            <v>1269</v>
          </cell>
          <cell r="CM289">
            <v>148.72</v>
          </cell>
          <cell r="CN289">
            <v>15.08</v>
          </cell>
          <cell r="CO289" t="str">
            <v>#N/A N/A</v>
          </cell>
          <cell r="CQ289">
            <v>5.13</v>
          </cell>
          <cell r="CR289">
            <v>56</v>
          </cell>
          <cell r="CS289">
            <v>1576</v>
          </cell>
          <cell r="CU289">
            <v>1600</v>
          </cell>
          <cell r="CW289">
            <v>43.59756097560976</v>
          </cell>
          <cell r="CX289">
            <v>614.50900000000001</v>
          </cell>
          <cell r="CZ289">
            <v>299.73</v>
          </cell>
          <cell r="DA289">
            <v>3785.3</v>
          </cell>
          <cell r="DB289">
            <v>11.82</v>
          </cell>
          <cell r="DC289">
            <v>343.2</v>
          </cell>
          <cell r="DD289">
            <v>103.3</v>
          </cell>
        </row>
        <row r="290">
          <cell r="A290">
            <v>39003</v>
          </cell>
          <cell r="C290">
            <v>96.5</v>
          </cell>
          <cell r="D290" t="str">
            <v>#N/A N/A</v>
          </cell>
          <cell r="E290" t="str">
            <v>#N/A N/A</v>
          </cell>
          <cell r="L290">
            <v>1348.6</v>
          </cell>
          <cell r="M290">
            <v>2357.29</v>
          </cell>
          <cell r="N290">
            <v>6157.3</v>
          </cell>
          <cell r="O290">
            <v>4066</v>
          </cell>
          <cell r="Q290">
            <v>555</v>
          </cell>
          <cell r="R290">
            <v>314.5</v>
          </cell>
          <cell r="S290">
            <v>525.5</v>
          </cell>
          <cell r="T290">
            <v>591.5</v>
          </cell>
          <cell r="U290">
            <v>16536.54</v>
          </cell>
          <cell r="V290">
            <v>17988.86</v>
          </cell>
          <cell r="W290">
            <v>7068.8</v>
          </cell>
          <cell r="X290">
            <v>56.55</v>
          </cell>
          <cell r="Y290">
            <v>1150</v>
          </cell>
          <cell r="Z290">
            <v>1330</v>
          </cell>
          <cell r="AA290">
            <v>12736.42</v>
          </cell>
          <cell r="AB290">
            <v>5253.9</v>
          </cell>
          <cell r="AC290">
            <v>38850.160199999998</v>
          </cell>
          <cell r="AE290">
            <v>73.650000000000006</v>
          </cell>
          <cell r="AF290">
            <v>717.05</v>
          </cell>
          <cell r="AG290">
            <v>4169</v>
          </cell>
          <cell r="AH290">
            <v>960</v>
          </cell>
          <cell r="AI290">
            <v>1590</v>
          </cell>
          <cell r="AJ290">
            <v>574.22</v>
          </cell>
          <cell r="AL290">
            <v>1365.62</v>
          </cell>
          <cell r="AP290">
            <v>1784.6559999999999</v>
          </cell>
          <cell r="AV290">
            <v>46.43</v>
          </cell>
          <cell r="AZ290">
            <v>214.8</v>
          </cell>
          <cell r="BE290">
            <v>33630</v>
          </cell>
          <cell r="BG290">
            <v>43</v>
          </cell>
          <cell r="BH290">
            <v>244.11</v>
          </cell>
          <cell r="BY290">
            <v>471.27</v>
          </cell>
          <cell r="CD290">
            <v>344.75</v>
          </cell>
          <cell r="CE290">
            <v>342.53300000000002</v>
          </cell>
          <cell r="CF290">
            <v>326.89</v>
          </cell>
          <cell r="CG290">
            <v>1300</v>
          </cell>
          <cell r="CH290">
            <v>1130</v>
          </cell>
          <cell r="CI290" t="str">
            <v>#N/A N/A</v>
          </cell>
          <cell r="CJ290">
            <v>345</v>
          </cell>
          <cell r="CK290">
            <v>1287</v>
          </cell>
          <cell r="CM290">
            <v>151.81</v>
          </cell>
          <cell r="CN290">
            <v>15.16</v>
          </cell>
          <cell r="CO290" t="str">
            <v>#N/A N/A</v>
          </cell>
          <cell r="CQ290">
            <v>4.2699999999999996</v>
          </cell>
          <cell r="CR290">
            <v>56</v>
          </cell>
          <cell r="CS290">
            <v>1565</v>
          </cell>
          <cell r="CU290">
            <v>1605</v>
          </cell>
          <cell r="CW290">
            <v>44.207317073170735</v>
          </cell>
          <cell r="CX290">
            <v>612.745</v>
          </cell>
          <cell r="CZ290">
            <v>303.39</v>
          </cell>
          <cell r="DA290">
            <v>3806.5</v>
          </cell>
          <cell r="DB290">
            <v>11.79</v>
          </cell>
          <cell r="DC290">
            <v>343.2</v>
          </cell>
          <cell r="DD290">
            <v>104.05</v>
          </cell>
        </row>
        <row r="291">
          <cell r="A291">
            <v>39004</v>
          </cell>
          <cell r="C291">
            <v>96.5</v>
          </cell>
          <cell r="D291" t="str">
            <v>#N/A N/A</v>
          </cell>
          <cell r="E291" t="str">
            <v>#N/A N/A</v>
          </cell>
          <cell r="L291">
            <v>1348.6</v>
          </cell>
          <cell r="M291">
            <v>2357.29</v>
          </cell>
          <cell r="N291">
            <v>6157.3</v>
          </cell>
          <cell r="O291">
            <v>4066</v>
          </cell>
          <cell r="Q291">
            <v>555</v>
          </cell>
          <cell r="R291">
            <v>314.5</v>
          </cell>
          <cell r="S291">
            <v>525.5</v>
          </cell>
          <cell r="T291">
            <v>591.5</v>
          </cell>
          <cell r="U291">
            <v>16536.54</v>
          </cell>
          <cell r="V291">
            <v>17988.86</v>
          </cell>
          <cell r="W291">
            <v>7076.85</v>
          </cell>
          <cell r="X291">
            <v>56.55</v>
          </cell>
          <cell r="Y291">
            <v>1150</v>
          </cell>
          <cell r="Z291">
            <v>1330</v>
          </cell>
          <cell r="AA291">
            <v>12736.42</v>
          </cell>
          <cell r="AB291">
            <v>5253.9</v>
          </cell>
          <cell r="AC291">
            <v>38850.160199999998</v>
          </cell>
          <cell r="AE291">
            <v>73.650000000000006</v>
          </cell>
          <cell r="AF291">
            <v>717.05</v>
          </cell>
          <cell r="AG291">
            <v>4169</v>
          </cell>
          <cell r="AH291">
            <v>960</v>
          </cell>
          <cell r="AI291">
            <v>1590</v>
          </cell>
          <cell r="AJ291">
            <v>574.22</v>
          </cell>
          <cell r="AL291">
            <v>1365.62</v>
          </cell>
          <cell r="AP291">
            <v>1784.6559999999999</v>
          </cell>
          <cell r="AV291">
            <v>46.43</v>
          </cell>
          <cell r="AZ291">
            <v>214.8</v>
          </cell>
          <cell r="BE291">
            <v>33630</v>
          </cell>
          <cell r="BG291">
            <v>43</v>
          </cell>
          <cell r="BH291">
            <v>244.11</v>
          </cell>
          <cell r="BY291">
            <v>471.27</v>
          </cell>
          <cell r="CD291">
            <v>344.75</v>
          </cell>
          <cell r="CE291">
            <v>342.53300000000002</v>
          </cell>
          <cell r="CF291">
            <v>326.89</v>
          </cell>
          <cell r="CG291">
            <v>1300</v>
          </cell>
          <cell r="CH291">
            <v>1130</v>
          </cell>
          <cell r="CI291" t="str">
            <v>#N/A N/A</v>
          </cell>
          <cell r="CJ291">
            <v>345</v>
          </cell>
          <cell r="CK291">
            <v>1287</v>
          </cell>
          <cell r="CM291">
            <v>151.81</v>
          </cell>
          <cell r="CN291">
            <v>15.16</v>
          </cell>
          <cell r="CO291" t="str">
            <v>#N/A N/A</v>
          </cell>
          <cell r="CQ291">
            <v>4.2699999999999996</v>
          </cell>
          <cell r="CR291">
            <v>56</v>
          </cell>
          <cell r="CS291">
            <v>1565</v>
          </cell>
          <cell r="CU291">
            <v>1605</v>
          </cell>
          <cell r="CW291">
            <v>44.207317073170735</v>
          </cell>
          <cell r="CX291">
            <v>612.745</v>
          </cell>
          <cell r="CZ291">
            <v>303.39</v>
          </cell>
          <cell r="DA291">
            <v>3806.5</v>
          </cell>
          <cell r="DB291">
            <v>11.79</v>
          </cell>
          <cell r="DC291">
            <v>343.2</v>
          </cell>
          <cell r="DD291">
            <v>104.05</v>
          </cell>
        </row>
        <row r="292">
          <cell r="A292">
            <v>39005</v>
          </cell>
          <cell r="C292">
            <v>96.5</v>
          </cell>
          <cell r="D292" t="str">
            <v>#N/A N/A</v>
          </cell>
          <cell r="E292" t="str">
            <v>#N/A N/A</v>
          </cell>
          <cell r="L292">
            <v>1348.6</v>
          </cell>
          <cell r="M292">
            <v>2357.29</v>
          </cell>
          <cell r="N292">
            <v>6157.3</v>
          </cell>
          <cell r="O292">
            <v>4066</v>
          </cell>
          <cell r="Q292">
            <v>555</v>
          </cell>
          <cell r="R292">
            <v>314.5</v>
          </cell>
          <cell r="S292">
            <v>525.5</v>
          </cell>
          <cell r="T292">
            <v>591.5</v>
          </cell>
          <cell r="U292">
            <v>16536.54</v>
          </cell>
          <cell r="V292">
            <v>17988.86</v>
          </cell>
          <cell r="W292">
            <v>7076.85</v>
          </cell>
          <cell r="X292">
            <v>56.55</v>
          </cell>
          <cell r="Y292">
            <v>1150</v>
          </cell>
          <cell r="Z292">
            <v>1330</v>
          </cell>
          <cell r="AA292">
            <v>12736.42</v>
          </cell>
          <cell r="AB292">
            <v>5253.9</v>
          </cell>
          <cell r="AC292">
            <v>38850.160199999998</v>
          </cell>
          <cell r="AE292">
            <v>73.650000000000006</v>
          </cell>
          <cell r="AF292">
            <v>717.05</v>
          </cell>
          <cell r="AG292">
            <v>4169</v>
          </cell>
          <cell r="AH292">
            <v>960</v>
          </cell>
          <cell r="AI292">
            <v>1590</v>
          </cell>
          <cell r="AJ292">
            <v>574.22</v>
          </cell>
          <cell r="AL292">
            <v>1365.62</v>
          </cell>
          <cell r="AP292">
            <v>1784.6559999999999</v>
          </cell>
          <cell r="AV292">
            <v>46.43</v>
          </cell>
          <cell r="AZ292">
            <v>214.8</v>
          </cell>
          <cell r="BE292">
            <v>33630</v>
          </cell>
          <cell r="BG292">
            <v>43</v>
          </cell>
          <cell r="BH292">
            <v>244.11</v>
          </cell>
          <cell r="BY292">
            <v>471.27</v>
          </cell>
          <cell r="CD292">
            <v>344.75</v>
          </cell>
          <cell r="CE292">
            <v>342.53300000000002</v>
          </cell>
          <cell r="CF292">
            <v>326.89</v>
          </cell>
          <cell r="CG292">
            <v>1300</v>
          </cell>
          <cell r="CH292">
            <v>1130</v>
          </cell>
          <cell r="CI292" t="str">
            <v>#N/A N/A</v>
          </cell>
          <cell r="CJ292">
            <v>345</v>
          </cell>
          <cell r="CK292">
            <v>1287</v>
          </cell>
          <cell r="CM292">
            <v>151.81</v>
          </cell>
          <cell r="CN292">
            <v>15.16</v>
          </cell>
          <cell r="CO292" t="str">
            <v>#N/A N/A</v>
          </cell>
          <cell r="CQ292">
            <v>4.2699999999999996</v>
          </cell>
          <cell r="CR292">
            <v>56</v>
          </cell>
          <cell r="CS292">
            <v>1565</v>
          </cell>
          <cell r="CU292">
            <v>1605</v>
          </cell>
          <cell r="CW292">
            <v>44.207317073170735</v>
          </cell>
          <cell r="CX292">
            <v>612.745</v>
          </cell>
          <cell r="CZ292">
            <v>303.39</v>
          </cell>
          <cell r="DA292">
            <v>3806.5</v>
          </cell>
          <cell r="DB292">
            <v>11.79</v>
          </cell>
          <cell r="DC292">
            <v>343.2</v>
          </cell>
          <cell r="DD292">
            <v>104.05</v>
          </cell>
        </row>
        <row r="293">
          <cell r="A293">
            <v>39006</v>
          </cell>
          <cell r="C293">
            <v>99</v>
          </cell>
          <cell r="D293" t="str">
            <v>#N/A N/A</v>
          </cell>
          <cell r="E293" t="str">
            <v>#N/A N/A</v>
          </cell>
          <cell r="L293">
            <v>1356.72</v>
          </cell>
          <cell r="M293">
            <v>2363.84</v>
          </cell>
          <cell r="N293">
            <v>6172.4</v>
          </cell>
          <cell r="O293">
            <v>4065</v>
          </cell>
          <cell r="Q293">
            <v>555</v>
          </cell>
          <cell r="R293">
            <v>316.75</v>
          </cell>
          <cell r="S293">
            <v>542.5</v>
          </cell>
          <cell r="T293">
            <v>589</v>
          </cell>
          <cell r="U293">
            <v>16692.759999999998</v>
          </cell>
          <cell r="V293">
            <v>18010.2</v>
          </cell>
          <cell r="W293">
            <v>7151.42</v>
          </cell>
          <cell r="X293">
            <v>57.25</v>
          </cell>
          <cell r="Y293">
            <v>1150</v>
          </cell>
          <cell r="Z293">
            <v>1330</v>
          </cell>
          <cell r="AA293">
            <v>12928.18</v>
          </cell>
          <cell r="AB293">
            <v>5276.4</v>
          </cell>
          <cell r="AC293">
            <v>39229.058599999997</v>
          </cell>
          <cell r="AE293">
            <v>75.849999999999994</v>
          </cell>
          <cell r="AF293">
            <v>717.05</v>
          </cell>
          <cell r="AG293">
            <v>4182</v>
          </cell>
          <cell r="AH293">
            <v>960</v>
          </cell>
          <cell r="AI293">
            <v>1590</v>
          </cell>
          <cell r="AJ293">
            <v>582.04</v>
          </cell>
          <cell r="AL293">
            <v>1369.05</v>
          </cell>
          <cell r="AP293">
            <v>1771.299</v>
          </cell>
          <cell r="AV293">
            <v>46.8</v>
          </cell>
          <cell r="AZ293">
            <v>222.5</v>
          </cell>
          <cell r="BE293">
            <v>34700</v>
          </cell>
          <cell r="BG293">
            <v>43</v>
          </cell>
          <cell r="BH293">
            <v>249.27</v>
          </cell>
          <cell r="BY293">
            <v>475.46</v>
          </cell>
          <cell r="CD293">
            <v>346.51</v>
          </cell>
          <cell r="CE293">
            <v>344.25900000000001</v>
          </cell>
          <cell r="CF293">
            <v>329.36</v>
          </cell>
          <cell r="CG293">
            <v>1300</v>
          </cell>
          <cell r="CH293">
            <v>1130</v>
          </cell>
          <cell r="CI293" t="str">
            <v>#N/A N/A</v>
          </cell>
          <cell r="CJ293">
            <v>345</v>
          </cell>
          <cell r="CK293">
            <v>1285</v>
          </cell>
          <cell r="CM293">
            <v>153.22</v>
          </cell>
          <cell r="CN293">
            <v>15.07</v>
          </cell>
          <cell r="CO293" t="str">
            <v>#N/A N/A</v>
          </cell>
          <cell r="CQ293">
            <v>5.16</v>
          </cell>
          <cell r="CR293">
            <v>56</v>
          </cell>
          <cell r="CS293">
            <v>1610.5</v>
          </cell>
          <cell r="CU293">
            <v>1605</v>
          </cell>
          <cell r="CW293">
            <v>44.664634146341463</v>
          </cell>
          <cell r="CX293">
            <v>613.48</v>
          </cell>
          <cell r="CZ293">
            <v>308.56</v>
          </cell>
          <cell r="DA293">
            <v>3948.7</v>
          </cell>
          <cell r="DB293">
            <v>12.07</v>
          </cell>
          <cell r="DC293">
            <v>343.2</v>
          </cell>
          <cell r="DD293">
            <v>101.9</v>
          </cell>
        </row>
        <row r="294">
          <cell r="A294">
            <v>39007</v>
          </cell>
          <cell r="C294">
            <v>99</v>
          </cell>
          <cell r="D294" t="str">
            <v>#N/A N/A</v>
          </cell>
          <cell r="E294" t="str">
            <v>#N/A N/A</v>
          </cell>
          <cell r="L294">
            <v>1351.3</v>
          </cell>
          <cell r="M294">
            <v>2344.9499999999998</v>
          </cell>
          <cell r="N294">
            <v>6108.6</v>
          </cell>
          <cell r="O294">
            <v>4064</v>
          </cell>
          <cell r="Q294">
            <v>555</v>
          </cell>
          <cell r="R294">
            <v>321</v>
          </cell>
          <cell r="S294">
            <v>531</v>
          </cell>
          <cell r="T294">
            <v>600.5</v>
          </cell>
          <cell r="U294">
            <v>16611.59</v>
          </cell>
          <cell r="V294">
            <v>18014.84</v>
          </cell>
          <cell r="W294">
            <v>7075.13</v>
          </cell>
          <cell r="X294">
            <v>58.15</v>
          </cell>
          <cell r="Y294">
            <v>1150</v>
          </cell>
          <cell r="Z294">
            <v>1330</v>
          </cell>
          <cell r="AA294">
            <v>12883.83</v>
          </cell>
          <cell r="AB294">
            <v>5251.7</v>
          </cell>
          <cell r="AC294">
            <v>38897.5</v>
          </cell>
          <cell r="AE294">
            <v>75.349999999999994</v>
          </cell>
          <cell r="AF294">
            <v>720.28</v>
          </cell>
          <cell r="AG294">
            <v>4159</v>
          </cell>
          <cell r="AH294">
            <v>960</v>
          </cell>
          <cell r="AI294">
            <v>1590</v>
          </cell>
          <cell r="AJ294">
            <v>577.03</v>
          </cell>
          <cell r="AL294">
            <v>1364.05</v>
          </cell>
          <cell r="AP294">
            <v>1763.9010000000001</v>
          </cell>
          <cell r="AV294">
            <v>46.42</v>
          </cell>
          <cell r="AZ294">
            <v>227.2</v>
          </cell>
          <cell r="BE294">
            <v>33650</v>
          </cell>
          <cell r="BG294">
            <v>43</v>
          </cell>
          <cell r="BH294">
            <v>246.58</v>
          </cell>
          <cell r="BY294">
            <v>463.74</v>
          </cell>
          <cell r="CD294">
            <v>344.69</v>
          </cell>
          <cell r="CE294">
            <v>342.49400000000003</v>
          </cell>
          <cell r="CF294">
            <v>328.14</v>
          </cell>
          <cell r="CG294">
            <v>1300</v>
          </cell>
          <cell r="CH294">
            <v>1130</v>
          </cell>
          <cell r="CI294" t="str">
            <v>#N/A N/A</v>
          </cell>
          <cell r="CJ294">
            <v>345</v>
          </cell>
          <cell r="CK294">
            <v>1289</v>
          </cell>
          <cell r="CM294">
            <v>151.71</v>
          </cell>
          <cell r="CN294">
            <v>15.29</v>
          </cell>
          <cell r="CO294" t="str">
            <v>#N/A N/A</v>
          </cell>
          <cell r="CQ294">
            <v>6.26</v>
          </cell>
          <cell r="CR294">
            <v>56</v>
          </cell>
          <cell r="CS294">
            <v>1549.5</v>
          </cell>
          <cell r="CU294">
            <v>1605</v>
          </cell>
          <cell r="CW294">
            <v>44.81707317073171</v>
          </cell>
          <cell r="CX294">
            <v>615.44000000000005</v>
          </cell>
          <cell r="CZ294">
            <v>308.16000000000003</v>
          </cell>
          <cell r="DA294">
            <v>3886.5</v>
          </cell>
          <cell r="DB294">
            <v>13.14</v>
          </cell>
          <cell r="DC294">
            <v>343.2</v>
          </cell>
          <cell r="DD294">
            <v>102.45</v>
          </cell>
        </row>
        <row r="295">
          <cell r="A295">
            <v>39008</v>
          </cell>
          <cell r="C295">
            <v>99</v>
          </cell>
          <cell r="D295" t="str">
            <v>#N/A N/A</v>
          </cell>
          <cell r="E295" t="str">
            <v>#N/A N/A</v>
          </cell>
          <cell r="L295">
            <v>1354.26</v>
          </cell>
          <cell r="M295">
            <v>2337.15</v>
          </cell>
          <cell r="N295">
            <v>6150.4</v>
          </cell>
          <cell r="O295">
            <v>4062</v>
          </cell>
          <cell r="Q295">
            <v>555</v>
          </cell>
          <cell r="R295">
            <v>315.5</v>
          </cell>
          <cell r="S295">
            <v>512.5</v>
          </cell>
          <cell r="T295">
            <v>604.5</v>
          </cell>
          <cell r="U295">
            <v>16653</v>
          </cell>
          <cell r="V295">
            <v>18048.09</v>
          </cell>
          <cell r="W295">
            <v>7017.6</v>
          </cell>
          <cell r="X295">
            <v>57</v>
          </cell>
          <cell r="Y295">
            <v>1150</v>
          </cell>
          <cell r="Z295">
            <v>1330</v>
          </cell>
          <cell r="AA295">
            <v>12858.48</v>
          </cell>
          <cell r="AB295">
            <v>5282.1</v>
          </cell>
          <cell r="AC295">
            <v>38685.988299999997</v>
          </cell>
          <cell r="AE295">
            <v>73.849999999999994</v>
          </cell>
          <cell r="AF295">
            <v>720.28</v>
          </cell>
          <cell r="AG295">
            <v>4109</v>
          </cell>
          <cell r="AH295">
            <v>960</v>
          </cell>
          <cell r="AI295">
            <v>1590</v>
          </cell>
          <cell r="AJ295">
            <v>578.25</v>
          </cell>
          <cell r="AL295">
            <v>1365.96</v>
          </cell>
          <cell r="AP295">
            <v>1787.1849999999999</v>
          </cell>
          <cell r="AV295">
            <v>46.55</v>
          </cell>
          <cell r="AZ295">
            <v>223.1</v>
          </cell>
          <cell r="BE295">
            <v>33055</v>
          </cell>
          <cell r="BG295">
            <v>43</v>
          </cell>
          <cell r="BH295">
            <v>244.72</v>
          </cell>
          <cell r="BY295">
            <v>450.79</v>
          </cell>
          <cell r="CD295">
            <v>345.68</v>
          </cell>
          <cell r="CE295">
            <v>343.45299999999997</v>
          </cell>
          <cell r="CF295">
            <v>327.51</v>
          </cell>
          <cell r="CG295">
            <v>1300</v>
          </cell>
          <cell r="CH295">
            <v>1130</v>
          </cell>
          <cell r="CI295" t="str">
            <v>#N/A N/A</v>
          </cell>
          <cell r="CJ295">
            <v>345</v>
          </cell>
          <cell r="CK295">
            <v>1310</v>
          </cell>
          <cell r="CM295">
            <v>150.03</v>
          </cell>
          <cell r="CN295">
            <v>15.35</v>
          </cell>
          <cell r="CO295" t="str">
            <v>#N/A N/A</v>
          </cell>
          <cell r="CQ295">
            <v>6.08</v>
          </cell>
          <cell r="CR295">
            <v>56.25</v>
          </cell>
          <cell r="CS295">
            <v>1537</v>
          </cell>
          <cell r="CU295">
            <v>1605</v>
          </cell>
          <cell r="CW295">
            <v>43.902439024390247</v>
          </cell>
          <cell r="CX295">
            <v>613.529</v>
          </cell>
          <cell r="CZ295">
            <v>304.52</v>
          </cell>
          <cell r="DA295">
            <v>3895.1</v>
          </cell>
          <cell r="DB295">
            <v>12.33</v>
          </cell>
          <cell r="DC295">
            <v>343.2</v>
          </cell>
          <cell r="DD295">
            <v>102.25</v>
          </cell>
        </row>
        <row r="296">
          <cell r="A296">
            <v>39009</v>
          </cell>
          <cell r="C296">
            <v>99</v>
          </cell>
          <cell r="D296" t="str">
            <v>#N/A N/A</v>
          </cell>
          <cell r="E296" t="str">
            <v>#N/A N/A</v>
          </cell>
          <cell r="L296">
            <v>1354.06</v>
          </cell>
          <cell r="M296">
            <v>2340.94</v>
          </cell>
          <cell r="N296">
            <v>6156</v>
          </cell>
          <cell r="O296">
            <v>4059</v>
          </cell>
          <cell r="Q296">
            <v>555</v>
          </cell>
          <cell r="R296">
            <v>316</v>
          </cell>
          <cell r="S296">
            <v>513</v>
          </cell>
          <cell r="T296">
            <v>608</v>
          </cell>
          <cell r="U296">
            <v>16551.36</v>
          </cell>
          <cell r="V296">
            <v>17986.97</v>
          </cell>
          <cell r="W296">
            <v>6995.83</v>
          </cell>
          <cell r="X296">
            <v>55.95</v>
          </cell>
          <cell r="Y296">
            <v>1150</v>
          </cell>
          <cell r="Z296">
            <v>1330</v>
          </cell>
          <cell r="AA296">
            <v>12723.59</v>
          </cell>
          <cell r="AB296">
            <v>5256.9</v>
          </cell>
          <cell r="AC296">
            <v>38919.75</v>
          </cell>
          <cell r="AE296">
            <v>72.95</v>
          </cell>
          <cell r="AF296">
            <v>720.28</v>
          </cell>
          <cell r="AG296">
            <v>4053</v>
          </cell>
          <cell r="AH296">
            <v>960</v>
          </cell>
          <cell r="AI296">
            <v>1590</v>
          </cell>
          <cell r="AJ296">
            <v>577.42999999999995</v>
          </cell>
          <cell r="AL296">
            <v>1366.96</v>
          </cell>
          <cell r="AP296">
            <v>1792.2529999999999</v>
          </cell>
          <cell r="AV296">
            <v>46.46</v>
          </cell>
          <cell r="AZ296">
            <v>226.9</v>
          </cell>
          <cell r="BE296">
            <v>33800</v>
          </cell>
          <cell r="BG296">
            <v>43</v>
          </cell>
          <cell r="BH296">
            <v>254.17</v>
          </cell>
          <cell r="BY296">
            <v>449.09</v>
          </cell>
          <cell r="CD296">
            <v>346.75</v>
          </cell>
          <cell r="CE296">
            <v>344.55599999999998</v>
          </cell>
          <cell r="CF296">
            <v>326.66000000000003</v>
          </cell>
          <cell r="CG296">
            <v>1300</v>
          </cell>
          <cell r="CH296">
            <v>1130</v>
          </cell>
          <cell r="CI296" t="str">
            <v>#N/A N/A</v>
          </cell>
          <cell r="CJ296">
            <v>345</v>
          </cell>
          <cell r="CK296">
            <v>1338</v>
          </cell>
          <cell r="CM296">
            <v>153.28</v>
          </cell>
          <cell r="CN296">
            <v>15.55</v>
          </cell>
          <cell r="CO296" t="str">
            <v>#N/A N/A</v>
          </cell>
          <cell r="CQ296">
            <v>6.74</v>
          </cell>
          <cell r="CR296">
            <v>56.25</v>
          </cell>
          <cell r="CS296">
            <v>1523</v>
          </cell>
          <cell r="CU296">
            <v>1605</v>
          </cell>
          <cell r="CW296">
            <v>43.75</v>
          </cell>
          <cell r="CX296">
            <v>617.89</v>
          </cell>
          <cell r="CZ296">
            <v>307.97000000000003</v>
          </cell>
          <cell r="DA296">
            <v>3929.7</v>
          </cell>
          <cell r="DB296">
            <v>12.24</v>
          </cell>
          <cell r="DC296">
            <v>343.2</v>
          </cell>
          <cell r="DD296">
            <v>101.85</v>
          </cell>
        </row>
        <row r="297">
          <cell r="A297">
            <v>39010</v>
          </cell>
          <cell r="C297">
            <v>99</v>
          </cell>
          <cell r="D297" t="str">
            <v>#N/A N/A</v>
          </cell>
          <cell r="E297" t="str">
            <v>#N/A N/A</v>
          </cell>
          <cell r="L297">
            <v>1364.24</v>
          </cell>
          <cell r="M297">
            <v>2342.3000000000002</v>
          </cell>
          <cell r="N297">
            <v>6155.2</v>
          </cell>
          <cell r="O297">
            <v>4057</v>
          </cell>
          <cell r="Q297">
            <v>555</v>
          </cell>
          <cell r="R297">
            <v>312.75</v>
          </cell>
          <cell r="S297">
            <v>505</v>
          </cell>
          <cell r="T297">
            <v>606.5</v>
          </cell>
          <cell r="U297">
            <v>16651.63</v>
          </cell>
          <cell r="V297">
            <v>18113.55</v>
          </cell>
          <cell r="W297">
            <v>7039.37</v>
          </cell>
          <cell r="X297">
            <v>57.4</v>
          </cell>
          <cell r="Y297">
            <v>1100</v>
          </cell>
          <cell r="Z297">
            <v>1290</v>
          </cell>
          <cell r="AA297">
            <v>12709.4</v>
          </cell>
          <cell r="AB297">
            <v>5304.4</v>
          </cell>
          <cell r="AC297">
            <v>38642.820299999999</v>
          </cell>
          <cell r="AE297">
            <v>74.150000000000006</v>
          </cell>
          <cell r="AF297">
            <v>720.28</v>
          </cell>
          <cell r="AG297">
            <v>4017</v>
          </cell>
          <cell r="AH297">
            <v>930</v>
          </cell>
          <cell r="AI297">
            <v>1580</v>
          </cell>
          <cell r="AJ297">
            <v>582.65</v>
          </cell>
          <cell r="AL297">
            <v>1368.6</v>
          </cell>
          <cell r="AP297">
            <v>1790.364</v>
          </cell>
          <cell r="AV297">
            <v>46.47</v>
          </cell>
          <cell r="AZ297">
            <v>224.8</v>
          </cell>
          <cell r="BE297">
            <v>34275</v>
          </cell>
          <cell r="BG297">
            <v>42.75</v>
          </cell>
          <cell r="BH297">
            <v>250.01</v>
          </cell>
          <cell r="BY297">
            <v>447.23</v>
          </cell>
          <cell r="CD297">
            <v>347.47</v>
          </cell>
          <cell r="CE297">
            <v>345.34</v>
          </cell>
          <cell r="CF297">
            <v>328.1</v>
          </cell>
          <cell r="CG297">
            <v>1280</v>
          </cell>
          <cell r="CH297">
            <v>1115</v>
          </cell>
          <cell r="CI297" t="str">
            <v>#N/A N/A</v>
          </cell>
          <cell r="CJ297">
            <v>345</v>
          </cell>
          <cell r="CK297">
            <v>1370</v>
          </cell>
          <cell r="CM297">
            <v>150.94</v>
          </cell>
          <cell r="CN297">
            <v>15.97</v>
          </cell>
          <cell r="CO297" t="str">
            <v>#N/A N/A</v>
          </cell>
          <cell r="CQ297">
            <v>6.9</v>
          </cell>
          <cell r="CR297">
            <v>56.25</v>
          </cell>
          <cell r="CS297">
            <v>1514</v>
          </cell>
          <cell r="CU297">
            <v>1605</v>
          </cell>
          <cell r="CW297">
            <v>43.75</v>
          </cell>
          <cell r="CX297">
            <v>618.28200000000004</v>
          </cell>
          <cell r="CZ297">
            <v>305.74</v>
          </cell>
          <cell r="DA297">
            <v>3910.2</v>
          </cell>
          <cell r="DB297">
            <v>12.24</v>
          </cell>
          <cell r="DC297">
            <v>343.2</v>
          </cell>
          <cell r="DD297">
            <v>102.05</v>
          </cell>
        </row>
        <row r="298">
          <cell r="A298">
            <v>39011</v>
          </cell>
          <cell r="C298">
            <v>99</v>
          </cell>
          <cell r="D298" t="str">
            <v>#N/A N/A</v>
          </cell>
          <cell r="E298" t="str">
            <v>#N/A N/A</v>
          </cell>
          <cell r="L298">
            <v>1364.24</v>
          </cell>
          <cell r="M298">
            <v>2342.3000000000002</v>
          </cell>
          <cell r="N298">
            <v>6155.2</v>
          </cell>
          <cell r="O298">
            <v>4057</v>
          </cell>
          <cell r="Q298">
            <v>555</v>
          </cell>
          <cell r="R298">
            <v>312.75</v>
          </cell>
          <cell r="S298">
            <v>505</v>
          </cell>
          <cell r="T298">
            <v>606.5</v>
          </cell>
          <cell r="U298">
            <v>16651.63</v>
          </cell>
          <cell r="V298">
            <v>18113.55</v>
          </cell>
          <cell r="W298">
            <v>7039.37</v>
          </cell>
          <cell r="X298">
            <v>57.4</v>
          </cell>
          <cell r="Y298">
            <v>1100</v>
          </cell>
          <cell r="Z298">
            <v>1290</v>
          </cell>
          <cell r="AA298">
            <v>12736.82</v>
          </cell>
          <cell r="AB298">
            <v>5304.4</v>
          </cell>
          <cell r="AC298">
            <v>38642.820299999999</v>
          </cell>
          <cell r="AE298">
            <v>74.150000000000006</v>
          </cell>
          <cell r="AF298">
            <v>720.28</v>
          </cell>
          <cell r="AG298">
            <v>4017</v>
          </cell>
          <cell r="AH298">
            <v>930</v>
          </cell>
          <cell r="AI298">
            <v>1580</v>
          </cell>
          <cell r="AJ298">
            <v>582.65</v>
          </cell>
          <cell r="AL298">
            <v>1368.6</v>
          </cell>
          <cell r="AP298">
            <v>1790.364</v>
          </cell>
          <cell r="AV298">
            <v>46.47</v>
          </cell>
          <cell r="AZ298">
            <v>224.8</v>
          </cell>
          <cell r="BE298">
            <v>34275</v>
          </cell>
          <cell r="BG298">
            <v>42.75</v>
          </cell>
          <cell r="BH298">
            <v>250.01</v>
          </cell>
          <cell r="BY298">
            <v>447.23</v>
          </cell>
          <cell r="CD298">
            <v>347.47</v>
          </cell>
          <cell r="CE298">
            <v>345.34</v>
          </cell>
          <cell r="CF298">
            <v>328.1</v>
          </cell>
          <cell r="CG298">
            <v>1280</v>
          </cell>
          <cell r="CH298">
            <v>1115</v>
          </cell>
          <cell r="CI298" t="str">
            <v>#N/A N/A</v>
          </cell>
          <cell r="CJ298">
            <v>345</v>
          </cell>
          <cell r="CK298">
            <v>1370</v>
          </cell>
          <cell r="CM298">
            <v>150.94</v>
          </cell>
          <cell r="CN298">
            <v>15.97</v>
          </cell>
          <cell r="CO298" t="str">
            <v>#N/A N/A</v>
          </cell>
          <cell r="CQ298">
            <v>6.9</v>
          </cell>
          <cell r="CR298">
            <v>56.25</v>
          </cell>
          <cell r="CS298">
            <v>1514</v>
          </cell>
          <cell r="CU298">
            <v>1605</v>
          </cell>
          <cell r="CW298">
            <v>43.75</v>
          </cell>
          <cell r="CX298">
            <v>618.28200000000004</v>
          </cell>
          <cell r="CZ298">
            <v>305.74</v>
          </cell>
          <cell r="DA298">
            <v>3910.2</v>
          </cell>
          <cell r="DB298">
            <v>12.24</v>
          </cell>
          <cell r="DC298">
            <v>343.2</v>
          </cell>
          <cell r="DD298">
            <v>102.05</v>
          </cell>
        </row>
        <row r="299">
          <cell r="A299">
            <v>39012</v>
          </cell>
          <cell r="C299">
            <v>99</v>
          </cell>
          <cell r="D299" t="str">
            <v>#N/A N/A</v>
          </cell>
          <cell r="E299" t="str">
            <v>#N/A N/A</v>
          </cell>
          <cell r="L299">
            <v>1364.24</v>
          </cell>
          <cell r="M299">
            <v>2342.3000000000002</v>
          </cell>
          <cell r="N299">
            <v>6155.2</v>
          </cell>
          <cell r="O299">
            <v>4057</v>
          </cell>
          <cell r="Q299">
            <v>555</v>
          </cell>
          <cell r="R299">
            <v>312.75</v>
          </cell>
          <cell r="S299">
            <v>505</v>
          </cell>
          <cell r="T299">
            <v>606.5</v>
          </cell>
          <cell r="U299">
            <v>16651.63</v>
          </cell>
          <cell r="V299">
            <v>18113.55</v>
          </cell>
          <cell r="W299">
            <v>7039.37</v>
          </cell>
          <cell r="X299">
            <v>57.4</v>
          </cell>
          <cell r="Y299">
            <v>1100</v>
          </cell>
          <cell r="Z299">
            <v>1290</v>
          </cell>
          <cell r="AA299">
            <v>12736.82</v>
          </cell>
          <cell r="AB299">
            <v>5304.4</v>
          </cell>
          <cell r="AC299">
            <v>38642.820299999999</v>
          </cell>
          <cell r="AE299">
            <v>74.150000000000006</v>
          </cell>
          <cell r="AF299">
            <v>720.28</v>
          </cell>
          <cell r="AG299">
            <v>4017</v>
          </cell>
          <cell r="AH299">
            <v>930</v>
          </cell>
          <cell r="AI299">
            <v>1580</v>
          </cell>
          <cell r="AJ299">
            <v>582.65</v>
          </cell>
          <cell r="AL299">
            <v>1368.6</v>
          </cell>
          <cell r="AP299">
            <v>1790.364</v>
          </cell>
          <cell r="AV299">
            <v>46.47</v>
          </cell>
          <cell r="AZ299">
            <v>224.8</v>
          </cell>
          <cell r="BE299">
            <v>34275</v>
          </cell>
          <cell r="BG299">
            <v>42.75</v>
          </cell>
          <cell r="BH299">
            <v>250.01</v>
          </cell>
          <cell r="BY299">
            <v>447.23</v>
          </cell>
          <cell r="CD299">
            <v>347.47</v>
          </cell>
          <cell r="CE299">
            <v>345.34</v>
          </cell>
          <cell r="CF299">
            <v>328.1</v>
          </cell>
          <cell r="CG299">
            <v>1280</v>
          </cell>
          <cell r="CH299">
            <v>1115</v>
          </cell>
          <cell r="CI299" t="str">
            <v>#N/A N/A</v>
          </cell>
          <cell r="CJ299">
            <v>345</v>
          </cell>
          <cell r="CK299">
            <v>1370</v>
          </cell>
          <cell r="CM299">
            <v>150.94</v>
          </cell>
          <cell r="CN299">
            <v>15.97</v>
          </cell>
          <cell r="CO299" t="str">
            <v>#N/A N/A</v>
          </cell>
          <cell r="CQ299">
            <v>6.9</v>
          </cell>
          <cell r="CR299">
            <v>56.25</v>
          </cell>
          <cell r="CS299">
            <v>1514</v>
          </cell>
          <cell r="CU299">
            <v>1605</v>
          </cell>
          <cell r="CW299">
            <v>43.75</v>
          </cell>
          <cell r="CX299">
            <v>618.28200000000004</v>
          </cell>
          <cell r="CZ299">
            <v>305.74</v>
          </cell>
          <cell r="DA299">
            <v>3910.2</v>
          </cell>
          <cell r="DB299">
            <v>12.24</v>
          </cell>
          <cell r="DC299">
            <v>343.2</v>
          </cell>
          <cell r="DD299">
            <v>102.05</v>
          </cell>
        </row>
        <row r="300">
          <cell r="A300">
            <v>39013</v>
          </cell>
          <cell r="C300">
            <v>99</v>
          </cell>
          <cell r="D300" t="str">
            <v>#N/A N/A</v>
          </cell>
          <cell r="E300" t="str">
            <v>#N/A N/A</v>
          </cell>
          <cell r="L300">
            <v>1364.95</v>
          </cell>
          <cell r="M300">
            <v>2355.56</v>
          </cell>
          <cell r="N300">
            <v>6166.1</v>
          </cell>
          <cell r="O300">
            <v>4037</v>
          </cell>
          <cell r="Q300">
            <v>555</v>
          </cell>
          <cell r="R300">
            <v>318.25</v>
          </cell>
          <cell r="S300">
            <v>517</v>
          </cell>
          <cell r="T300">
            <v>617.5</v>
          </cell>
          <cell r="U300">
            <v>16788.82</v>
          </cell>
          <cell r="V300">
            <v>18089.849999999999</v>
          </cell>
          <cell r="W300">
            <v>7040.26</v>
          </cell>
          <cell r="X300">
            <v>55.55</v>
          </cell>
          <cell r="Y300">
            <v>1100</v>
          </cell>
          <cell r="Z300">
            <v>1290</v>
          </cell>
          <cell r="AA300">
            <v>12623.28</v>
          </cell>
          <cell r="AB300">
            <v>5303.7</v>
          </cell>
          <cell r="AC300">
            <v>39226.761700000003</v>
          </cell>
          <cell r="AE300">
            <v>71.400000000000006</v>
          </cell>
          <cell r="AF300">
            <v>720.28</v>
          </cell>
          <cell r="AG300">
            <v>3996</v>
          </cell>
          <cell r="AH300">
            <v>930</v>
          </cell>
          <cell r="AI300">
            <v>1580</v>
          </cell>
          <cell r="AJ300">
            <v>586.79</v>
          </cell>
          <cell r="AL300">
            <v>1377.02</v>
          </cell>
          <cell r="AP300">
            <v>1759.394</v>
          </cell>
          <cell r="AV300">
            <v>46.58</v>
          </cell>
          <cell r="AZ300">
            <v>224.1</v>
          </cell>
          <cell r="BE300">
            <v>34350</v>
          </cell>
          <cell r="BG300">
            <v>42.75</v>
          </cell>
          <cell r="BH300">
            <v>250.16</v>
          </cell>
          <cell r="BY300">
            <v>449.55</v>
          </cell>
          <cell r="CD300">
            <v>348.48</v>
          </cell>
          <cell r="CE300">
            <v>346.53300000000002</v>
          </cell>
          <cell r="CF300">
            <v>326.76</v>
          </cell>
          <cell r="CG300">
            <v>1280</v>
          </cell>
          <cell r="CH300">
            <v>1115</v>
          </cell>
          <cell r="CI300">
            <v>140</v>
          </cell>
          <cell r="CJ300">
            <v>345</v>
          </cell>
          <cell r="CK300">
            <v>1387</v>
          </cell>
          <cell r="CM300">
            <v>150.44</v>
          </cell>
          <cell r="CN300">
            <v>16.329999999999998</v>
          </cell>
          <cell r="CO300" t="str">
            <v>#N/A N/A</v>
          </cell>
          <cell r="CQ300">
            <v>7.28</v>
          </cell>
          <cell r="CR300">
            <v>56.25</v>
          </cell>
          <cell r="CS300">
            <v>1527</v>
          </cell>
          <cell r="CU300">
            <v>1605</v>
          </cell>
          <cell r="CW300">
            <v>42.987804878048784</v>
          </cell>
          <cell r="CX300">
            <v>614.75400000000002</v>
          </cell>
          <cell r="CZ300">
            <v>306.10000000000002</v>
          </cell>
          <cell r="DA300">
            <v>3907.3</v>
          </cell>
          <cell r="DB300">
            <v>12.31</v>
          </cell>
          <cell r="DC300">
            <v>343.2</v>
          </cell>
          <cell r="DD300">
            <v>106.85</v>
          </cell>
        </row>
        <row r="301">
          <cell r="A301">
            <v>39014</v>
          </cell>
          <cell r="C301">
            <v>99</v>
          </cell>
          <cell r="D301" t="str">
            <v>#N/A N/A</v>
          </cell>
          <cell r="E301" t="str">
            <v>#N/A N/A</v>
          </cell>
          <cell r="L301">
            <v>1366.5</v>
          </cell>
          <cell r="M301">
            <v>2344.84</v>
          </cell>
          <cell r="N301">
            <v>6182.5</v>
          </cell>
          <cell r="O301">
            <v>4022</v>
          </cell>
          <cell r="Q301">
            <v>555</v>
          </cell>
          <cell r="R301">
            <v>324.25</v>
          </cell>
          <cell r="S301">
            <v>522.5</v>
          </cell>
          <cell r="T301">
            <v>623.5</v>
          </cell>
          <cell r="U301">
            <v>16780.47</v>
          </cell>
          <cell r="V301">
            <v>18153.41</v>
          </cell>
          <cell r="W301">
            <v>7097.42</v>
          </cell>
          <cell r="X301">
            <v>55.55</v>
          </cell>
          <cell r="Y301">
            <v>1100</v>
          </cell>
          <cell r="Z301">
            <v>1290</v>
          </cell>
          <cell r="AA301">
            <v>12623.28</v>
          </cell>
          <cell r="AB301">
            <v>5288.4</v>
          </cell>
          <cell r="AC301">
            <v>39498.980499999998</v>
          </cell>
          <cell r="AE301">
            <v>71.400000000000006</v>
          </cell>
          <cell r="AF301">
            <v>723.93</v>
          </cell>
          <cell r="AG301">
            <v>3978</v>
          </cell>
          <cell r="AH301">
            <v>930</v>
          </cell>
          <cell r="AI301">
            <v>1580</v>
          </cell>
          <cell r="AJ301">
            <v>585.28</v>
          </cell>
          <cell r="AL301">
            <v>1377.38</v>
          </cell>
          <cell r="AP301">
            <v>1805.181</v>
          </cell>
          <cell r="AV301">
            <v>46.62</v>
          </cell>
          <cell r="AZ301">
            <v>222.4</v>
          </cell>
          <cell r="BE301">
            <v>33925</v>
          </cell>
          <cell r="BG301">
            <v>42.75</v>
          </cell>
          <cell r="BH301">
            <v>256.12</v>
          </cell>
          <cell r="BY301">
            <v>444.45</v>
          </cell>
          <cell r="CD301">
            <v>348.69</v>
          </cell>
          <cell r="CE301">
            <v>346.64600000000002</v>
          </cell>
          <cell r="CF301">
            <v>328.31</v>
          </cell>
          <cell r="CG301">
            <v>1280</v>
          </cell>
          <cell r="CH301">
            <v>1115</v>
          </cell>
          <cell r="CI301">
            <v>140</v>
          </cell>
          <cell r="CJ301">
            <v>345</v>
          </cell>
          <cell r="CK301">
            <v>1376</v>
          </cell>
          <cell r="CM301">
            <v>153.22</v>
          </cell>
          <cell r="CN301">
            <v>16.27</v>
          </cell>
          <cell r="CO301" t="str">
            <v>#N/A N/A</v>
          </cell>
          <cell r="CQ301">
            <v>7.13</v>
          </cell>
          <cell r="CR301">
            <v>56.25</v>
          </cell>
          <cell r="CS301">
            <v>1549</v>
          </cell>
          <cell r="CU301">
            <v>1605</v>
          </cell>
          <cell r="CW301">
            <v>42.987804878048784</v>
          </cell>
          <cell r="CX301">
            <v>615.97899999999993</v>
          </cell>
          <cell r="CZ301">
            <v>307.54000000000002</v>
          </cell>
          <cell r="DA301">
            <v>3884.9</v>
          </cell>
          <cell r="DB301">
            <v>12.22</v>
          </cell>
          <cell r="DC301">
            <v>343.2</v>
          </cell>
          <cell r="DD301">
            <v>107.15</v>
          </cell>
        </row>
        <row r="302">
          <cell r="A302">
            <v>39015</v>
          </cell>
          <cell r="C302">
            <v>99</v>
          </cell>
          <cell r="D302" t="str">
            <v>#N/A N/A</v>
          </cell>
          <cell r="E302" t="str">
            <v>#N/A N/A</v>
          </cell>
          <cell r="L302">
            <v>1371.43</v>
          </cell>
          <cell r="M302">
            <v>2356.59</v>
          </cell>
          <cell r="N302">
            <v>6214.6</v>
          </cell>
          <cell r="O302">
            <v>4014</v>
          </cell>
          <cell r="Q302">
            <v>555</v>
          </cell>
          <cell r="R302">
            <v>327</v>
          </cell>
          <cell r="S302">
            <v>516.75</v>
          </cell>
          <cell r="T302">
            <v>622</v>
          </cell>
          <cell r="U302">
            <v>16699.3</v>
          </cell>
          <cell r="V302">
            <v>18157.939999999999</v>
          </cell>
          <cell r="W302">
            <v>7059.89</v>
          </cell>
          <cell r="X302">
            <v>56.65</v>
          </cell>
          <cell r="Y302">
            <v>1100</v>
          </cell>
          <cell r="Z302">
            <v>1290</v>
          </cell>
          <cell r="AA302">
            <v>12623.28</v>
          </cell>
          <cell r="AB302">
            <v>5324.7</v>
          </cell>
          <cell r="AC302">
            <v>39562.628900000003</v>
          </cell>
          <cell r="AE302">
            <v>73.150000000000006</v>
          </cell>
          <cell r="AF302">
            <v>723.93</v>
          </cell>
          <cell r="AG302">
            <v>3960</v>
          </cell>
          <cell r="AH302">
            <v>930</v>
          </cell>
          <cell r="AI302">
            <v>1580</v>
          </cell>
          <cell r="AJ302">
            <v>587.42999999999995</v>
          </cell>
          <cell r="AL302">
            <v>1382.22</v>
          </cell>
          <cell r="AP302">
            <v>1806.646</v>
          </cell>
          <cell r="AV302">
            <v>47.08</v>
          </cell>
          <cell r="AZ302">
            <v>222.6</v>
          </cell>
          <cell r="BE302">
            <v>33225</v>
          </cell>
          <cell r="BG302">
            <v>42.75</v>
          </cell>
          <cell r="BH302">
            <v>257.61</v>
          </cell>
          <cell r="BY302">
            <v>455.99</v>
          </cell>
          <cell r="CD302">
            <v>350.27</v>
          </cell>
          <cell r="CE302">
            <v>348.19200000000001</v>
          </cell>
          <cell r="CF302">
            <v>329.05</v>
          </cell>
          <cell r="CG302">
            <v>1280</v>
          </cell>
          <cell r="CH302">
            <v>1115</v>
          </cell>
          <cell r="CI302">
            <v>140</v>
          </cell>
          <cell r="CJ302">
            <v>345</v>
          </cell>
          <cell r="CK302">
            <v>1334</v>
          </cell>
          <cell r="CM302">
            <v>158.75</v>
          </cell>
          <cell r="CN302">
            <v>15.72</v>
          </cell>
          <cell r="CO302" t="str">
            <v>#N/A N/A</v>
          </cell>
          <cell r="CQ302">
            <v>7.22</v>
          </cell>
          <cell r="CR302">
            <v>56.25</v>
          </cell>
          <cell r="CS302">
            <v>1605</v>
          </cell>
          <cell r="CU302">
            <v>1605</v>
          </cell>
          <cell r="CW302">
            <v>43.216463414634148</v>
          </cell>
          <cell r="CX302">
            <v>591.58899999999994</v>
          </cell>
          <cell r="CZ302">
            <v>312.77</v>
          </cell>
          <cell r="DA302">
            <v>3908</v>
          </cell>
          <cell r="DB302">
            <v>12.46</v>
          </cell>
          <cell r="DC302">
            <v>343.2</v>
          </cell>
          <cell r="DD302">
            <v>106.85</v>
          </cell>
        </row>
        <row r="303">
          <cell r="A303">
            <v>39016</v>
          </cell>
          <cell r="C303">
            <v>99</v>
          </cell>
          <cell r="D303" t="str">
            <v>#N/A N/A</v>
          </cell>
          <cell r="E303" t="str">
            <v>#N/A N/A</v>
          </cell>
          <cell r="L303">
            <v>1373.65</v>
          </cell>
          <cell r="M303">
            <v>2379.1</v>
          </cell>
          <cell r="N303">
            <v>6184.8</v>
          </cell>
          <cell r="O303">
            <v>4002</v>
          </cell>
          <cell r="Q303">
            <v>555</v>
          </cell>
          <cell r="R303">
            <v>327</v>
          </cell>
          <cell r="S303">
            <v>507.5</v>
          </cell>
          <cell r="T303">
            <v>627.75</v>
          </cell>
          <cell r="U303">
            <v>16811.599999999999</v>
          </cell>
          <cell r="V303">
            <v>18353.740000000002</v>
          </cell>
          <cell r="W303">
            <v>7080.84</v>
          </cell>
          <cell r="X303">
            <v>58.55</v>
          </cell>
          <cell r="Y303">
            <v>1100</v>
          </cell>
          <cell r="Z303">
            <v>1290</v>
          </cell>
          <cell r="AA303">
            <v>12698.41</v>
          </cell>
          <cell r="AB303">
            <v>5360.6</v>
          </cell>
          <cell r="AC303">
            <v>39644.781300000002</v>
          </cell>
          <cell r="AE303">
            <v>74.8</v>
          </cell>
          <cell r="AF303">
            <v>723.93</v>
          </cell>
          <cell r="AG303">
            <v>3955</v>
          </cell>
          <cell r="AH303">
            <v>930</v>
          </cell>
          <cell r="AI303">
            <v>1580</v>
          </cell>
          <cell r="AJ303">
            <v>587.27</v>
          </cell>
          <cell r="AL303">
            <v>1389.08</v>
          </cell>
          <cell r="AP303">
            <v>1810.646</v>
          </cell>
          <cell r="AV303">
            <v>47.35</v>
          </cell>
          <cell r="AZ303">
            <v>224.4</v>
          </cell>
          <cell r="BE303">
            <v>31550</v>
          </cell>
          <cell r="BG303">
            <v>42.75</v>
          </cell>
          <cell r="BH303">
            <v>259.88</v>
          </cell>
          <cell r="BY303">
            <v>461.27</v>
          </cell>
          <cell r="CD303">
            <v>352.44</v>
          </cell>
          <cell r="CE303">
            <v>350.35199999999998</v>
          </cell>
          <cell r="CF303">
            <v>331.41</v>
          </cell>
          <cell r="CG303">
            <v>1280</v>
          </cell>
          <cell r="CH303">
            <v>1115</v>
          </cell>
          <cell r="CI303">
            <v>140</v>
          </cell>
          <cell r="CJ303">
            <v>345</v>
          </cell>
          <cell r="CK303">
            <v>1300</v>
          </cell>
          <cell r="CM303">
            <v>154.22</v>
          </cell>
          <cell r="CN303">
            <v>15.81</v>
          </cell>
          <cell r="CO303" t="str">
            <v>#N/A N/A</v>
          </cell>
          <cell r="CQ303">
            <v>7.89</v>
          </cell>
          <cell r="CR303">
            <v>56.25</v>
          </cell>
          <cell r="CS303">
            <v>1581.5</v>
          </cell>
          <cell r="CU303">
            <v>1605</v>
          </cell>
          <cell r="CW303">
            <v>43.826219512195124</v>
          </cell>
          <cell r="CX303">
            <v>596.75900000000001</v>
          </cell>
          <cell r="CZ303">
            <v>311.77999999999997</v>
          </cell>
          <cell r="DA303">
            <v>3888.5</v>
          </cell>
          <cell r="DB303">
            <v>12.46</v>
          </cell>
          <cell r="DC303">
            <v>343.2</v>
          </cell>
          <cell r="DD303">
            <v>107.6</v>
          </cell>
        </row>
        <row r="304">
          <cell r="A304">
            <v>39017</v>
          </cell>
          <cell r="C304">
            <v>99</v>
          </cell>
          <cell r="D304" t="str">
            <v>#N/A N/A</v>
          </cell>
          <cell r="E304" t="str">
            <v>#N/A N/A</v>
          </cell>
          <cell r="L304">
            <v>1369.09</v>
          </cell>
          <cell r="M304">
            <v>2350.62</v>
          </cell>
          <cell r="N304">
            <v>6160.9</v>
          </cell>
          <cell r="O304">
            <v>3991</v>
          </cell>
          <cell r="Q304">
            <v>555</v>
          </cell>
          <cell r="R304">
            <v>332.5</v>
          </cell>
          <cell r="S304">
            <v>508.5</v>
          </cell>
          <cell r="T304">
            <v>635.5</v>
          </cell>
          <cell r="U304">
            <v>16669.07</v>
          </cell>
          <cell r="V304">
            <v>18297.55</v>
          </cell>
          <cell r="W304">
            <v>7086.74</v>
          </cell>
          <cell r="X304">
            <v>57.5</v>
          </cell>
          <cell r="Y304">
            <v>1100</v>
          </cell>
          <cell r="Z304">
            <v>1285</v>
          </cell>
          <cell r="AA304">
            <v>12906.81</v>
          </cell>
          <cell r="AB304">
            <v>5329.9</v>
          </cell>
          <cell r="AC304">
            <v>39328.468800000002</v>
          </cell>
          <cell r="AE304">
            <v>73.349999999999994</v>
          </cell>
          <cell r="AF304">
            <v>723.93</v>
          </cell>
          <cell r="AG304">
            <v>3982</v>
          </cell>
          <cell r="AH304">
            <v>810</v>
          </cell>
          <cell r="AI304">
            <v>1590</v>
          </cell>
          <cell r="AJ304">
            <v>586.1</v>
          </cell>
          <cell r="AL304">
            <v>1377.34</v>
          </cell>
          <cell r="AP304">
            <v>1807.175</v>
          </cell>
          <cell r="AV304">
            <v>46.75</v>
          </cell>
          <cell r="AZ304">
            <v>216.9</v>
          </cell>
          <cell r="BE304">
            <v>32050</v>
          </cell>
          <cell r="BG304">
            <v>41.9</v>
          </cell>
          <cell r="BH304">
            <v>259.87</v>
          </cell>
          <cell r="BY304">
            <v>452.31</v>
          </cell>
          <cell r="CD304">
            <v>351.21</v>
          </cell>
          <cell r="CE304">
            <v>349.08800000000002</v>
          </cell>
          <cell r="CF304">
            <v>331.79</v>
          </cell>
          <cell r="CG304">
            <v>1275</v>
          </cell>
          <cell r="CH304">
            <v>1115</v>
          </cell>
          <cell r="CI304">
            <v>140</v>
          </cell>
          <cell r="CJ304">
            <v>345</v>
          </cell>
          <cell r="CK304">
            <v>1274</v>
          </cell>
          <cell r="CM304">
            <v>155.63</v>
          </cell>
          <cell r="CN304">
            <v>15.71</v>
          </cell>
          <cell r="CO304" t="str">
            <v>#N/A N/A</v>
          </cell>
          <cell r="CQ304">
            <v>7.39</v>
          </cell>
          <cell r="CR304">
            <v>56.25</v>
          </cell>
          <cell r="CS304">
            <v>1623</v>
          </cell>
          <cell r="CU304">
            <v>1570</v>
          </cell>
          <cell r="CW304">
            <v>43.521341463414636</v>
          </cell>
          <cell r="CX304">
            <v>598.404</v>
          </cell>
          <cell r="CZ304">
            <v>312.37</v>
          </cell>
          <cell r="DA304">
            <v>3928.8</v>
          </cell>
          <cell r="DB304">
            <v>12.45</v>
          </cell>
          <cell r="DC304">
            <v>343.2</v>
          </cell>
          <cell r="DD304">
            <v>108</v>
          </cell>
        </row>
        <row r="305">
          <cell r="A305">
            <v>39018</v>
          </cell>
          <cell r="C305">
            <v>99</v>
          </cell>
          <cell r="D305" t="str">
            <v>#N/A N/A</v>
          </cell>
          <cell r="E305" t="str">
            <v>#N/A N/A</v>
          </cell>
          <cell r="L305">
            <v>1369.09</v>
          </cell>
          <cell r="M305">
            <v>2350.62</v>
          </cell>
          <cell r="N305">
            <v>6160.9</v>
          </cell>
          <cell r="O305">
            <v>3991</v>
          </cell>
          <cell r="Q305">
            <v>555</v>
          </cell>
          <cell r="R305">
            <v>332.5</v>
          </cell>
          <cell r="S305">
            <v>508.5</v>
          </cell>
          <cell r="T305">
            <v>635.5</v>
          </cell>
          <cell r="U305">
            <v>16669.07</v>
          </cell>
          <cell r="V305">
            <v>18297.55</v>
          </cell>
          <cell r="W305">
            <v>7086.74</v>
          </cell>
          <cell r="X305">
            <v>57.5</v>
          </cell>
          <cell r="Y305">
            <v>1100</v>
          </cell>
          <cell r="Z305">
            <v>1285</v>
          </cell>
          <cell r="AA305">
            <v>12906.81</v>
          </cell>
          <cell r="AB305">
            <v>5329.9</v>
          </cell>
          <cell r="AC305">
            <v>39328.468800000002</v>
          </cell>
          <cell r="AE305">
            <v>73.349999999999994</v>
          </cell>
          <cell r="AF305">
            <v>723.93</v>
          </cell>
          <cell r="AG305">
            <v>3982</v>
          </cell>
          <cell r="AH305">
            <v>810</v>
          </cell>
          <cell r="AI305">
            <v>1590</v>
          </cell>
          <cell r="AJ305">
            <v>586.1</v>
          </cell>
          <cell r="AL305">
            <v>1377.34</v>
          </cell>
          <cell r="AP305">
            <v>1807.175</v>
          </cell>
          <cell r="AV305">
            <v>46.75</v>
          </cell>
          <cell r="AZ305">
            <v>216.9</v>
          </cell>
          <cell r="BE305">
            <v>32050</v>
          </cell>
          <cell r="BG305">
            <v>41.9</v>
          </cell>
          <cell r="BH305">
            <v>259.87</v>
          </cell>
          <cell r="BY305">
            <v>452.31</v>
          </cell>
          <cell r="CD305">
            <v>351.21</v>
          </cell>
          <cell r="CE305">
            <v>349.08800000000002</v>
          </cell>
          <cell r="CF305">
            <v>331.79</v>
          </cell>
          <cell r="CG305">
            <v>1275</v>
          </cell>
          <cell r="CH305">
            <v>1115</v>
          </cell>
          <cell r="CI305">
            <v>140</v>
          </cell>
          <cell r="CJ305">
            <v>345</v>
          </cell>
          <cell r="CK305">
            <v>1274</v>
          </cell>
          <cell r="CM305">
            <v>155.63</v>
          </cell>
          <cell r="CN305">
            <v>15.71</v>
          </cell>
          <cell r="CO305" t="str">
            <v>#N/A N/A</v>
          </cell>
          <cell r="CQ305">
            <v>7.39</v>
          </cell>
          <cell r="CR305">
            <v>56.25</v>
          </cell>
          <cell r="CS305">
            <v>1623</v>
          </cell>
          <cell r="CU305">
            <v>1570</v>
          </cell>
          <cell r="CW305">
            <v>43.521341463414636</v>
          </cell>
          <cell r="CX305">
            <v>598.404</v>
          </cell>
          <cell r="CZ305">
            <v>312.37</v>
          </cell>
          <cell r="DA305">
            <v>3928.8</v>
          </cell>
          <cell r="DB305">
            <v>12.45</v>
          </cell>
          <cell r="DC305">
            <v>343.2</v>
          </cell>
          <cell r="DD305">
            <v>108</v>
          </cell>
        </row>
        <row r="306">
          <cell r="A306">
            <v>39019</v>
          </cell>
          <cell r="C306">
            <v>99</v>
          </cell>
          <cell r="D306" t="str">
            <v>#N/A N/A</v>
          </cell>
          <cell r="E306" t="str">
            <v>#N/A N/A</v>
          </cell>
          <cell r="L306">
            <v>1369.09</v>
          </cell>
          <cell r="M306">
            <v>2350.62</v>
          </cell>
          <cell r="N306">
            <v>6160.9</v>
          </cell>
          <cell r="O306">
            <v>3991</v>
          </cell>
          <cell r="Q306">
            <v>555</v>
          </cell>
          <cell r="R306">
            <v>332.5</v>
          </cell>
          <cell r="S306">
            <v>508.5</v>
          </cell>
          <cell r="T306">
            <v>635.5</v>
          </cell>
          <cell r="U306">
            <v>16669.07</v>
          </cell>
          <cell r="V306">
            <v>18297.55</v>
          </cell>
          <cell r="W306">
            <v>7086.74</v>
          </cell>
          <cell r="X306">
            <v>57.5</v>
          </cell>
          <cell r="Y306">
            <v>1100</v>
          </cell>
          <cell r="Z306">
            <v>1285</v>
          </cell>
          <cell r="AA306">
            <v>12906.81</v>
          </cell>
          <cell r="AB306">
            <v>5329.9</v>
          </cell>
          <cell r="AC306">
            <v>39328.468800000002</v>
          </cell>
          <cell r="AE306">
            <v>73.349999999999994</v>
          </cell>
          <cell r="AF306">
            <v>723.93</v>
          </cell>
          <cell r="AG306">
            <v>3982</v>
          </cell>
          <cell r="AH306">
            <v>810</v>
          </cell>
          <cell r="AI306">
            <v>1590</v>
          </cell>
          <cell r="AJ306">
            <v>586.1</v>
          </cell>
          <cell r="AL306">
            <v>1377.34</v>
          </cell>
          <cell r="AP306">
            <v>1807.175</v>
          </cell>
          <cell r="AV306">
            <v>46.75</v>
          </cell>
          <cell r="AZ306">
            <v>216.9</v>
          </cell>
          <cell r="BE306">
            <v>32050</v>
          </cell>
          <cell r="BG306">
            <v>41.9</v>
          </cell>
          <cell r="BH306">
            <v>259.87</v>
          </cell>
          <cell r="BY306">
            <v>452.31</v>
          </cell>
          <cell r="CD306">
            <v>351.21</v>
          </cell>
          <cell r="CE306">
            <v>349.08800000000002</v>
          </cell>
          <cell r="CF306">
            <v>331.79</v>
          </cell>
          <cell r="CG306">
            <v>1275</v>
          </cell>
          <cell r="CH306">
            <v>1115</v>
          </cell>
          <cell r="CI306">
            <v>140</v>
          </cell>
          <cell r="CJ306">
            <v>345</v>
          </cell>
          <cell r="CK306">
            <v>1274</v>
          </cell>
          <cell r="CM306">
            <v>155.63</v>
          </cell>
          <cell r="CN306">
            <v>15.71</v>
          </cell>
          <cell r="CO306" t="str">
            <v>#N/A N/A</v>
          </cell>
          <cell r="CQ306">
            <v>7.39</v>
          </cell>
          <cell r="CR306">
            <v>56.25</v>
          </cell>
          <cell r="CS306">
            <v>1623</v>
          </cell>
          <cell r="CU306">
            <v>1570</v>
          </cell>
          <cell r="CW306">
            <v>43.521341463414636</v>
          </cell>
          <cell r="CX306">
            <v>598.404</v>
          </cell>
          <cell r="CZ306">
            <v>312.37</v>
          </cell>
          <cell r="DA306">
            <v>3928.8</v>
          </cell>
          <cell r="DB306">
            <v>12.45</v>
          </cell>
          <cell r="DC306">
            <v>343.2</v>
          </cell>
          <cell r="DD306">
            <v>108</v>
          </cell>
        </row>
        <row r="307">
          <cell r="A307">
            <v>39020</v>
          </cell>
          <cell r="C307">
            <v>99</v>
          </cell>
          <cell r="D307" t="str">
            <v>#N/A N/A</v>
          </cell>
          <cell r="E307" t="str">
            <v>#N/A N/A</v>
          </cell>
          <cell r="L307">
            <v>1356.11</v>
          </cell>
          <cell r="M307">
            <v>2363.77</v>
          </cell>
          <cell r="N307">
            <v>6126.8</v>
          </cell>
          <cell r="O307">
            <v>3971</v>
          </cell>
          <cell r="Q307">
            <v>555</v>
          </cell>
          <cell r="R307">
            <v>329.5</v>
          </cell>
          <cell r="S307">
            <v>501</v>
          </cell>
          <cell r="T307">
            <v>639.75</v>
          </cell>
          <cell r="U307">
            <v>16351.85</v>
          </cell>
          <cell r="V307">
            <v>18297.55</v>
          </cell>
          <cell r="W307">
            <v>6995.2</v>
          </cell>
          <cell r="X307">
            <v>57.85</v>
          </cell>
          <cell r="Y307">
            <v>1100</v>
          </cell>
          <cell r="Z307">
            <v>1285</v>
          </cell>
          <cell r="AA307">
            <v>13024.26</v>
          </cell>
          <cell r="AB307">
            <v>5367.7</v>
          </cell>
          <cell r="AC307">
            <v>38900.488299999997</v>
          </cell>
          <cell r="AE307">
            <v>73.05</v>
          </cell>
          <cell r="AF307">
            <v>723.93</v>
          </cell>
          <cell r="AG307">
            <v>4006</v>
          </cell>
          <cell r="AH307">
            <v>810</v>
          </cell>
          <cell r="AI307">
            <v>1590</v>
          </cell>
          <cell r="AJ307">
            <v>580.1</v>
          </cell>
          <cell r="AL307">
            <v>1377.93</v>
          </cell>
          <cell r="AP307">
            <v>1809.6559999999999</v>
          </cell>
          <cell r="AV307">
            <v>46.61</v>
          </cell>
          <cell r="AZ307">
            <v>215.7</v>
          </cell>
          <cell r="BE307">
            <v>31625</v>
          </cell>
          <cell r="BG307">
            <v>41.9</v>
          </cell>
          <cell r="BH307">
            <v>256.39999999999998</v>
          </cell>
          <cell r="BY307">
            <v>457.4</v>
          </cell>
          <cell r="CD307">
            <v>349.99</v>
          </cell>
          <cell r="CE307">
            <v>348.08699999999999</v>
          </cell>
          <cell r="CF307">
            <v>330.43</v>
          </cell>
          <cell r="CG307">
            <v>1275</v>
          </cell>
          <cell r="CH307">
            <v>1115</v>
          </cell>
          <cell r="CI307">
            <v>140</v>
          </cell>
          <cell r="CJ307">
            <v>345</v>
          </cell>
          <cell r="CK307">
            <v>1249</v>
          </cell>
          <cell r="CM307">
            <v>146</v>
          </cell>
          <cell r="CN307">
            <v>15.16</v>
          </cell>
          <cell r="CO307" t="str">
            <v>#N/A N/A</v>
          </cell>
          <cell r="CQ307">
            <v>7</v>
          </cell>
          <cell r="CR307">
            <v>56.25</v>
          </cell>
          <cell r="CS307">
            <v>1617</v>
          </cell>
          <cell r="CU307">
            <v>1570</v>
          </cell>
          <cell r="CW307">
            <v>43.368902439024396</v>
          </cell>
          <cell r="CX307">
            <v>597.88700000000006</v>
          </cell>
          <cell r="CZ307">
            <v>306.22000000000003</v>
          </cell>
          <cell r="DA307">
            <v>3896.2</v>
          </cell>
          <cell r="DB307">
            <v>12.24</v>
          </cell>
          <cell r="DC307">
            <v>343.2</v>
          </cell>
          <cell r="DD307">
            <v>108</v>
          </cell>
        </row>
        <row r="308">
          <cell r="A308">
            <v>39021</v>
          </cell>
          <cell r="C308">
            <v>99</v>
          </cell>
          <cell r="D308" t="str">
            <v>#N/A N/A</v>
          </cell>
          <cell r="E308" t="str">
            <v>#N/A N/A</v>
          </cell>
          <cell r="L308">
            <v>1364.55</v>
          </cell>
          <cell r="M308">
            <v>2366.71</v>
          </cell>
          <cell r="N308">
            <v>6129.2</v>
          </cell>
          <cell r="O308">
            <v>3948</v>
          </cell>
          <cell r="Q308">
            <v>555</v>
          </cell>
          <cell r="R308">
            <v>320.75</v>
          </cell>
          <cell r="S308">
            <v>483</v>
          </cell>
          <cell r="T308">
            <v>630.25</v>
          </cell>
          <cell r="U308">
            <v>16399.39</v>
          </cell>
          <cell r="V308">
            <v>18324.349999999999</v>
          </cell>
          <cell r="W308">
            <v>7021.32</v>
          </cell>
          <cell r="X308">
            <v>56.05</v>
          </cell>
          <cell r="Y308">
            <v>1100</v>
          </cell>
          <cell r="Z308">
            <v>1285</v>
          </cell>
          <cell r="AA308">
            <v>12961.9</v>
          </cell>
          <cell r="AB308">
            <v>5352.9</v>
          </cell>
          <cell r="AC308">
            <v>39262.789100000002</v>
          </cell>
          <cell r="AE308">
            <v>70.95</v>
          </cell>
          <cell r="AF308">
            <v>725.23</v>
          </cell>
          <cell r="AG308">
            <v>4037</v>
          </cell>
          <cell r="AH308">
            <v>810</v>
          </cell>
          <cell r="AI308">
            <v>1590</v>
          </cell>
          <cell r="AJ308">
            <v>586.1</v>
          </cell>
          <cell r="AL308">
            <v>1377.94</v>
          </cell>
          <cell r="AP308">
            <v>1837.9929999999999</v>
          </cell>
          <cell r="AV308">
            <v>47.24</v>
          </cell>
          <cell r="AZ308">
            <v>208.4</v>
          </cell>
          <cell r="BE308">
            <v>32450</v>
          </cell>
          <cell r="BG308">
            <v>41.9</v>
          </cell>
          <cell r="BH308">
            <v>256.16000000000003</v>
          </cell>
          <cell r="BY308">
            <v>458.14</v>
          </cell>
          <cell r="CD308">
            <v>350.75</v>
          </cell>
          <cell r="CE308">
            <v>348.61</v>
          </cell>
          <cell r="CF308">
            <v>331.68</v>
          </cell>
          <cell r="CG308">
            <v>1275</v>
          </cell>
          <cell r="CH308">
            <v>1115</v>
          </cell>
          <cell r="CI308">
            <v>140</v>
          </cell>
          <cell r="CJ308">
            <v>345</v>
          </cell>
          <cell r="CK308">
            <v>1237</v>
          </cell>
          <cell r="CM308">
            <v>144.66</v>
          </cell>
          <cell r="CN308">
            <v>15.2</v>
          </cell>
          <cell r="CO308" t="str">
            <v>#N/A N/A</v>
          </cell>
          <cell r="CQ308">
            <v>6.64</v>
          </cell>
          <cell r="CR308">
            <v>56.25</v>
          </cell>
          <cell r="CS308">
            <v>1638</v>
          </cell>
          <cell r="CU308">
            <v>1570</v>
          </cell>
          <cell r="CW308">
            <v>42.759146341463421</v>
          </cell>
          <cell r="CX308">
            <v>600.19000000000005</v>
          </cell>
          <cell r="CZ308">
            <v>305.87</v>
          </cell>
          <cell r="DA308">
            <v>3912.9</v>
          </cell>
          <cell r="DB308">
            <v>12.11</v>
          </cell>
          <cell r="DC308">
            <v>343.2</v>
          </cell>
          <cell r="DD308">
            <v>108.25</v>
          </cell>
        </row>
        <row r="309">
          <cell r="A309">
            <v>39022</v>
          </cell>
          <cell r="C309">
            <v>101</v>
          </cell>
          <cell r="D309" t="str">
            <v>#N/A N/A</v>
          </cell>
          <cell r="E309" t="str">
            <v>#N/A N/A</v>
          </cell>
          <cell r="L309">
            <v>1374.35</v>
          </cell>
          <cell r="M309">
            <v>2334.35</v>
          </cell>
          <cell r="N309">
            <v>6149.6</v>
          </cell>
          <cell r="O309">
            <v>3924</v>
          </cell>
          <cell r="Q309">
            <v>555</v>
          </cell>
          <cell r="R309">
            <v>333.5</v>
          </cell>
          <cell r="S309">
            <v>487.5</v>
          </cell>
          <cell r="T309">
            <v>658.25</v>
          </cell>
          <cell r="U309">
            <v>16375.26</v>
          </cell>
          <cell r="V309">
            <v>18453.650000000001</v>
          </cell>
          <cell r="W309">
            <v>7013.99</v>
          </cell>
          <cell r="X309">
            <v>56.25</v>
          </cell>
          <cell r="Y309">
            <v>1100</v>
          </cell>
          <cell r="Z309">
            <v>1285</v>
          </cell>
          <cell r="AA309">
            <v>13033.04</v>
          </cell>
          <cell r="AB309">
            <v>5383.6</v>
          </cell>
          <cell r="AC309">
            <v>39930.050799999997</v>
          </cell>
          <cell r="AE309">
            <v>70.650000000000006</v>
          </cell>
          <cell r="AF309">
            <v>725.23</v>
          </cell>
          <cell r="AG309">
            <v>4100</v>
          </cell>
          <cell r="AH309">
            <v>810</v>
          </cell>
          <cell r="AI309">
            <v>1590</v>
          </cell>
          <cell r="AJ309">
            <v>594.70000000000005</v>
          </cell>
          <cell r="AL309">
            <v>1367.81</v>
          </cell>
          <cell r="AP309">
            <v>1855.713</v>
          </cell>
          <cell r="AV309">
            <v>47.1</v>
          </cell>
          <cell r="AZ309">
            <v>211</v>
          </cell>
          <cell r="BE309">
            <v>32025</v>
          </cell>
          <cell r="BG309">
            <v>41.9</v>
          </cell>
          <cell r="BH309">
            <v>253.84</v>
          </cell>
          <cell r="BY309">
            <v>449.29</v>
          </cell>
          <cell r="CD309">
            <v>350.17</v>
          </cell>
          <cell r="CE309">
            <v>347.72</v>
          </cell>
          <cell r="CF309">
            <v>333.81</v>
          </cell>
          <cell r="CG309">
            <v>1275</v>
          </cell>
          <cell r="CH309">
            <v>1115</v>
          </cell>
          <cell r="CI309">
            <v>140</v>
          </cell>
          <cell r="CJ309">
            <v>345</v>
          </cell>
          <cell r="CK309">
            <v>1223</v>
          </cell>
          <cell r="CM309">
            <v>149.47999999999999</v>
          </cell>
          <cell r="CN309">
            <v>15.72</v>
          </cell>
          <cell r="CO309" t="str">
            <v>#N/A N/A</v>
          </cell>
          <cell r="CQ309">
            <v>7.18</v>
          </cell>
          <cell r="CR309">
            <v>60.25</v>
          </cell>
          <cell r="CS309">
            <v>1690</v>
          </cell>
          <cell r="CU309">
            <v>1570</v>
          </cell>
          <cell r="CW309">
            <v>42.454268292682933</v>
          </cell>
          <cell r="CX309">
            <v>599.90800000000002</v>
          </cell>
          <cell r="CZ309">
            <v>306.35000000000002</v>
          </cell>
          <cell r="DA309">
            <v>3831.9</v>
          </cell>
          <cell r="DB309">
            <v>12.18</v>
          </cell>
          <cell r="DC309">
            <v>324.10000000000002</v>
          </cell>
          <cell r="DD309">
            <v>108.65</v>
          </cell>
        </row>
        <row r="310">
          <cell r="A310">
            <v>39023</v>
          </cell>
          <cell r="C310">
            <v>101</v>
          </cell>
          <cell r="D310" t="str">
            <v>#N/A N/A</v>
          </cell>
          <cell r="E310" t="str">
            <v>#N/A N/A</v>
          </cell>
          <cell r="L310">
            <v>1383.73</v>
          </cell>
          <cell r="M310">
            <v>2334.02</v>
          </cell>
          <cell r="N310">
            <v>6149.3</v>
          </cell>
          <cell r="O310">
            <v>3910</v>
          </cell>
          <cell r="Q310">
            <v>530</v>
          </cell>
          <cell r="R310">
            <v>344.75</v>
          </cell>
          <cell r="S310">
            <v>491.5</v>
          </cell>
          <cell r="T310">
            <v>661.25</v>
          </cell>
          <cell r="U310">
            <v>16350.02</v>
          </cell>
          <cell r="V310">
            <v>18714.78</v>
          </cell>
          <cell r="W310">
            <v>7078.1</v>
          </cell>
          <cell r="X310">
            <v>56.6</v>
          </cell>
          <cell r="Y310">
            <v>1100</v>
          </cell>
          <cell r="Z310">
            <v>1285</v>
          </cell>
          <cell r="AA310">
            <v>13091.12</v>
          </cell>
          <cell r="AB310">
            <v>5377.1</v>
          </cell>
          <cell r="AC310">
            <v>39930.050799999997</v>
          </cell>
          <cell r="AE310">
            <v>71.25</v>
          </cell>
          <cell r="AF310">
            <v>725.23</v>
          </cell>
          <cell r="AG310">
            <v>4146</v>
          </cell>
          <cell r="AH310">
            <v>810</v>
          </cell>
          <cell r="AI310">
            <v>1590</v>
          </cell>
          <cell r="AJ310">
            <v>595.4</v>
          </cell>
          <cell r="AL310">
            <v>1367.34</v>
          </cell>
          <cell r="AP310">
            <v>1851.3140000000001</v>
          </cell>
          <cell r="AV310">
            <v>47.57</v>
          </cell>
          <cell r="AZ310">
            <v>204.6</v>
          </cell>
          <cell r="BE310">
            <v>32625</v>
          </cell>
          <cell r="BG310">
            <v>41.9</v>
          </cell>
          <cell r="BH310">
            <v>255.92</v>
          </cell>
          <cell r="BY310">
            <v>447.35</v>
          </cell>
          <cell r="CD310">
            <v>349.57</v>
          </cell>
          <cell r="CE310">
            <v>347.10399999999998</v>
          </cell>
          <cell r="CF310">
            <v>336.8</v>
          </cell>
          <cell r="CG310">
            <v>1275</v>
          </cell>
          <cell r="CH310">
            <v>1115</v>
          </cell>
          <cell r="CI310">
            <v>140</v>
          </cell>
          <cell r="CJ310">
            <v>345</v>
          </cell>
          <cell r="CK310">
            <v>1211</v>
          </cell>
          <cell r="CM310">
            <v>147.65</v>
          </cell>
          <cell r="CN310">
            <v>15.71</v>
          </cell>
          <cell r="CO310" t="str">
            <v>#N/A N/A</v>
          </cell>
          <cell r="CQ310">
            <v>7.28</v>
          </cell>
          <cell r="CR310">
            <v>60.25</v>
          </cell>
          <cell r="CS310">
            <v>1688</v>
          </cell>
          <cell r="CU310">
            <v>1570</v>
          </cell>
          <cell r="CW310">
            <v>42.606707317073173</v>
          </cell>
          <cell r="CX310">
            <v>600.19000000000005</v>
          </cell>
          <cell r="CZ310">
            <v>307.64</v>
          </cell>
          <cell r="DA310">
            <v>3881</v>
          </cell>
          <cell r="DB310">
            <v>12.09</v>
          </cell>
          <cell r="DC310">
            <v>326.75</v>
          </cell>
          <cell r="DD310">
            <v>110.55</v>
          </cell>
        </row>
        <row r="311">
          <cell r="A311">
            <v>39024</v>
          </cell>
          <cell r="C311">
            <v>101</v>
          </cell>
          <cell r="D311" t="str">
            <v>#N/A N/A</v>
          </cell>
          <cell r="E311" t="str">
            <v>#N/A N/A</v>
          </cell>
          <cell r="L311">
            <v>1383.88</v>
          </cell>
          <cell r="M311">
            <v>2330.79</v>
          </cell>
          <cell r="N311">
            <v>6148.1</v>
          </cell>
          <cell r="O311">
            <v>3905</v>
          </cell>
          <cell r="Q311">
            <v>530</v>
          </cell>
          <cell r="R311">
            <v>342.25</v>
          </cell>
          <cell r="S311">
            <v>492.5</v>
          </cell>
          <cell r="T311">
            <v>662.75</v>
          </cell>
          <cell r="U311">
            <v>16350.02</v>
          </cell>
          <cell r="V311">
            <v>18749.689999999999</v>
          </cell>
          <cell r="W311">
            <v>7161.61</v>
          </cell>
          <cell r="X311">
            <v>56.75</v>
          </cell>
          <cell r="Y311">
            <v>1090</v>
          </cell>
          <cell r="Z311">
            <v>1260</v>
          </cell>
          <cell r="AA311">
            <v>13130.79</v>
          </cell>
          <cell r="AB311">
            <v>5396.9</v>
          </cell>
          <cell r="AC311">
            <v>40435.179700000001</v>
          </cell>
          <cell r="AE311">
            <v>70.45</v>
          </cell>
          <cell r="AF311">
            <v>725.23</v>
          </cell>
          <cell r="AG311">
            <v>4188</v>
          </cell>
          <cell r="AH311">
            <v>800</v>
          </cell>
          <cell r="AI311">
            <v>1590</v>
          </cell>
          <cell r="AJ311">
            <v>598.79</v>
          </cell>
          <cell r="AL311">
            <v>1364.3</v>
          </cell>
          <cell r="AP311">
            <v>1866.3620000000001</v>
          </cell>
          <cell r="AV311">
            <v>47.77</v>
          </cell>
          <cell r="AZ311">
            <v>204.6</v>
          </cell>
          <cell r="BE311">
            <v>31900</v>
          </cell>
          <cell r="BG311">
            <v>41.9</v>
          </cell>
          <cell r="BH311">
            <v>258</v>
          </cell>
          <cell r="BY311">
            <v>449.17</v>
          </cell>
          <cell r="CD311">
            <v>349.1</v>
          </cell>
          <cell r="CE311">
            <v>346.4</v>
          </cell>
          <cell r="CF311">
            <v>338.56</v>
          </cell>
          <cell r="CG311">
            <v>1240</v>
          </cell>
          <cell r="CH311">
            <v>1115</v>
          </cell>
          <cell r="CI311">
            <v>140</v>
          </cell>
          <cell r="CJ311">
            <v>345</v>
          </cell>
          <cell r="CK311">
            <v>1195</v>
          </cell>
          <cell r="CM311">
            <v>152.57</v>
          </cell>
          <cell r="CN311">
            <v>15.84</v>
          </cell>
          <cell r="CO311" t="str">
            <v>#N/A N/A</v>
          </cell>
          <cell r="CQ311">
            <v>7.34</v>
          </cell>
          <cell r="CR311">
            <v>60.25</v>
          </cell>
          <cell r="CS311">
            <v>1703</v>
          </cell>
          <cell r="CU311">
            <v>1550</v>
          </cell>
          <cell r="CW311">
            <v>42.606707317073173</v>
          </cell>
          <cell r="CX311">
            <v>597.22899999999993</v>
          </cell>
          <cell r="CZ311">
            <v>309.91000000000003</v>
          </cell>
          <cell r="DA311">
            <v>3906.1</v>
          </cell>
          <cell r="DB311">
            <v>11.99</v>
          </cell>
          <cell r="DC311">
            <v>335.1</v>
          </cell>
          <cell r="DD311">
            <v>112.45</v>
          </cell>
        </row>
        <row r="312">
          <cell r="A312">
            <v>39025</v>
          </cell>
          <cell r="C312">
            <v>101</v>
          </cell>
          <cell r="D312" t="str">
            <v>#N/A N/A</v>
          </cell>
          <cell r="E312" t="str">
            <v>#N/A N/A</v>
          </cell>
          <cell r="L312">
            <v>1383.88</v>
          </cell>
          <cell r="M312">
            <v>2330.79</v>
          </cell>
          <cell r="N312">
            <v>6148.1</v>
          </cell>
          <cell r="O312">
            <v>3905</v>
          </cell>
          <cell r="Q312">
            <v>530</v>
          </cell>
          <cell r="R312">
            <v>342.25</v>
          </cell>
          <cell r="S312">
            <v>492.5</v>
          </cell>
          <cell r="T312">
            <v>662.75</v>
          </cell>
          <cell r="U312">
            <v>16350.02</v>
          </cell>
          <cell r="V312">
            <v>18749.689999999999</v>
          </cell>
          <cell r="W312">
            <v>7161.61</v>
          </cell>
          <cell r="X312">
            <v>56.75</v>
          </cell>
          <cell r="Y312">
            <v>1090</v>
          </cell>
          <cell r="Z312">
            <v>1260</v>
          </cell>
          <cell r="AA312">
            <v>13130.79</v>
          </cell>
          <cell r="AB312">
            <v>5396.9</v>
          </cell>
          <cell r="AC312">
            <v>40435.179700000001</v>
          </cell>
          <cell r="AE312">
            <v>70.45</v>
          </cell>
          <cell r="AF312">
            <v>725.23</v>
          </cell>
          <cell r="AG312">
            <v>4188</v>
          </cell>
          <cell r="AH312">
            <v>800</v>
          </cell>
          <cell r="AI312">
            <v>1590</v>
          </cell>
          <cell r="AJ312">
            <v>598.79</v>
          </cell>
          <cell r="AL312">
            <v>1364.3</v>
          </cell>
          <cell r="AP312">
            <v>1866.3620000000001</v>
          </cell>
          <cell r="AV312">
            <v>47.77</v>
          </cell>
          <cell r="AZ312">
            <v>204.6</v>
          </cell>
          <cell r="BE312">
            <v>31900</v>
          </cell>
          <cell r="BG312">
            <v>41.9</v>
          </cell>
          <cell r="BH312">
            <v>258</v>
          </cell>
          <cell r="BY312">
            <v>449.17</v>
          </cell>
          <cell r="CD312">
            <v>349.1</v>
          </cell>
          <cell r="CE312">
            <v>346.4</v>
          </cell>
          <cell r="CF312">
            <v>338.56</v>
          </cell>
          <cell r="CG312">
            <v>1240</v>
          </cell>
          <cell r="CH312">
            <v>1115</v>
          </cell>
          <cell r="CI312">
            <v>140</v>
          </cell>
          <cell r="CJ312">
            <v>345</v>
          </cell>
          <cell r="CK312">
            <v>1195</v>
          </cell>
          <cell r="CM312">
            <v>152.57</v>
          </cell>
          <cell r="CN312">
            <v>15.84</v>
          </cell>
          <cell r="CO312" t="str">
            <v>#N/A N/A</v>
          </cell>
          <cell r="CQ312">
            <v>7.34</v>
          </cell>
          <cell r="CR312">
            <v>60.25</v>
          </cell>
          <cell r="CS312">
            <v>1703</v>
          </cell>
          <cell r="CU312">
            <v>1550</v>
          </cell>
          <cell r="CW312">
            <v>42.606707317073173</v>
          </cell>
          <cell r="CX312">
            <v>597.22899999999993</v>
          </cell>
          <cell r="CZ312">
            <v>309.91000000000003</v>
          </cell>
          <cell r="DA312">
            <v>3906.1</v>
          </cell>
          <cell r="DB312">
            <v>11.99</v>
          </cell>
          <cell r="DC312">
            <v>335.1</v>
          </cell>
          <cell r="DD312">
            <v>112.45</v>
          </cell>
        </row>
        <row r="313">
          <cell r="A313">
            <v>39026</v>
          </cell>
          <cell r="C313">
            <v>101</v>
          </cell>
          <cell r="D313" t="str">
            <v>#N/A N/A</v>
          </cell>
          <cell r="E313" t="str">
            <v>#N/A N/A</v>
          </cell>
          <cell r="L313">
            <v>1383.88</v>
          </cell>
          <cell r="M313">
            <v>2330.79</v>
          </cell>
          <cell r="N313">
            <v>6148.1</v>
          </cell>
          <cell r="O313">
            <v>3905</v>
          </cell>
          <cell r="Q313">
            <v>530</v>
          </cell>
          <cell r="R313">
            <v>342.25</v>
          </cell>
          <cell r="S313">
            <v>492.5</v>
          </cell>
          <cell r="T313">
            <v>662.75</v>
          </cell>
          <cell r="U313">
            <v>16350.02</v>
          </cell>
          <cell r="V313">
            <v>18749.689999999999</v>
          </cell>
          <cell r="W313">
            <v>7161.61</v>
          </cell>
          <cell r="X313">
            <v>56.75</v>
          </cell>
          <cell r="Y313">
            <v>1090</v>
          </cell>
          <cell r="Z313">
            <v>1260</v>
          </cell>
          <cell r="AA313">
            <v>13130.79</v>
          </cell>
          <cell r="AB313">
            <v>5396.9</v>
          </cell>
          <cell r="AC313">
            <v>40435.179700000001</v>
          </cell>
          <cell r="AE313">
            <v>70.45</v>
          </cell>
          <cell r="AF313">
            <v>725.23</v>
          </cell>
          <cell r="AG313">
            <v>4188</v>
          </cell>
          <cell r="AH313">
            <v>800</v>
          </cell>
          <cell r="AI313">
            <v>1590</v>
          </cell>
          <cell r="AJ313">
            <v>598.79</v>
          </cell>
          <cell r="AL313">
            <v>1364.3</v>
          </cell>
          <cell r="AP313">
            <v>1866.3620000000001</v>
          </cell>
          <cell r="AV313">
            <v>47.77</v>
          </cell>
          <cell r="AZ313">
            <v>204.6</v>
          </cell>
          <cell r="BE313">
            <v>31900</v>
          </cell>
          <cell r="BG313">
            <v>41.9</v>
          </cell>
          <cell r="BH313">
            <v>258</v>
          </cell>
          <cell r="BY313">
            <v>449.17</v>
          </cell>
          <cell r="CD313">
            <v>349.1</v>
          </cell>
          <cell r="CE313">
            <v>346.4</v>
          </cell>
          <cell r="CF313">
            <v>338.56</v>
          </cell>
          <cell r="CG313">
            <v>1240</v>
          </cell>
          <cell r="CH313">
            <v>1115</v>
          </cell>
          <cell r="CI313">
            <v>140</v>
          </cell>
          <cell r="CJ313">
            <v>345</v>
          </cell>
          <cell r="CK313">
            <v>1195</v>
          </cell>
          <cell r="CM313">
            <v>152.57</v>
          </cell>
          <cell r="CN313">
            <v>15.84</v>
          </cell>
          <cell r="CO313" t="str">
            <v>#N/A N/A</v>
          </cell>
          <cell r="CQ313">
            <v>7.34</v>
          </cell>
          <cell r="CR313">
            <v>60.25</v>
          </cell>
          <cell r="CS313">
            <v>1703</v>
          </cell>
          <cell r="CU313">
            <v>1550</v>
          </cell>
          <cell r="CW313">
            <v>42.606707317073173</v>
          </cell>
          <cell r="CX313">
            <v>597.22899999999993</v>
          </cell>
          <cell r="CZ313">
            <v>309.91000000000003</v>
          </cell>
          <cell r="DA313">
            <v>3906.1</v>
          </cell>
          <cell r="DB313">
            <v>11.99</v>
          </cell>
          <cell r="DC313">
            <v>335.1</v>
          </cell>
          <cell r="DD313">
            <v>112.45</v>
          </cell>
        </row>
        <row r="314">
          <cell r="A314">
            <v>39027</v>
          </cell>
          <cell r="C314">
            <v>101</v>
          </cell>
          <cell r="D314" t="str">
            <v>#N/A N/A</v>
          </cell>
          <cell r="E314" t="str">
            <v>#N/A N/A</v>
          </cell>
          <cell r="L314">
            <v>1379.19</v>
          </cell>
          <cell r="M314">
            <v>2365.9499999999998</v>
          </cell>
          <cell r="N314">
            <v>6224.5</v>
          </cell>
          <cell r="O314">
            <v>3900</v>
          </cell>
          <cell r="Q314">
            <v>530</v>
          </cell>
          <cell r="R314">
            <v>343.5</v>
          </cell>
          <cell r="S314">
            <v>498</v>
          </cell>
          <cell r="T314">
            <v>662.75</v>
          </cell>
          <cell r="U314">
            <v>16364.76</v>
          </cell>
          <cell r="V314">
            <v>18936.55</v>
          </cell>
          <cell r="W314">
            <v>7120.44</v>
          </cell>
          <cell r="X314">
            <v>57.15</v>
          </cell>
          <cell r="Y314">
            <v>1090</v>
          </cell>
          <cell r="Z314">
            <v>1260</v>
          </cell>
          <cell r="AA314">
            <v>13186.89</v>
          </cell>
          <cell r="AB314">
            <v>5410.1</v>
          </cell>
          <cell r="AC314">
            <v>41246.609400000001</v>
          </cell>
          <cell r="AE314">
            <v>71.599999999999994</v>
          </cell>
          <cell r="AF314">
            <v>725.23</v>
          </cell>
          <cell r="AG314">
            <v>4214</v>
          </cell>
          <cell r="AH314">
            <v>800</v>
          </cell>
          <cell r="AI314">
            <v>1590</v>
          </cell>
          <cell r="AJ314">
            <v>600.05999999999995</v>
          </cell>
          <cell r="AL314">
            <v>1379.78</v>
          </cell>
          <cell r="AP314">
            <v>1886.307</v>
          </cell>
          <cell r="AV314">
            <v>48.09</v>
          </cell>
          <cell r="AZ314">
            <v>206</v>
          </cell>
          <cell r="BE314">
            <v>31845</v>
          </cell>
          <cell r="BG314">
            <v>41.9</v>
          </cell>
          <cell r="BH314">
            <v>257.58</v>
          </cell>
          <cell r="BY314">
            <v>457.09</v>
          </cell>
          <cell r="CD314">
            <v>352.28</v>
          </cell>
          <cell r="CE314">
            <v>349.64800000000002</v>
          </cell>
          <cell r="CF314">
            <v>337.81</v>
          </cell>
          <cell r="CG314">
            <v>1240</v>
          </cell>
          <cell r="CH314">
            <v>1115</v>
          </cell>
          <cell r="CI314">
            <v>140</v>
          </cell>
          <cell r="CJ314">
            <v>345</v>
          </cell>
          <cell r="CK314">
            <v>1179</v>
          </cell>
          <cell r="CM314">
            <v>154.33000000000001</v>
          </cell>
          <cell r="CN314">
            <v>15.96</v>
          </cell>
          <cell r="CO314" t="str">
            <v>#N/A N/A</v>
          </cell>
          <cell r="CQ314">
            <v>6.71</v>
          </cell>
          <cell r="CR314">
            <v>60.25</v>
          </cell>
          <cell r="CS314">
            <v>1732</v>
          </cell>
          <cell r="CU314">
            <v>1550</v>
          </cell>
          <cell r="CW314">
            <v>42.911585365853661</v>
          </cell>
          <cell r="CX314">
            <v>598.02800000000002</v>
          </cell>
          <cell r="CZ314">
            <v>311.72000000000003</v>
          </cell>
          <cell r="DA314">
            <v>3932.6</v>
          </cell>
          <cell r="DB314">
            <v>12.24</v>
          </cell>
          <cell r="DC314">
            <v>335.7</v>
          </cell>
          <cell r="DD314">
            <v>113.2</v>
          </cell>
        </row>
        <row r="315">
          <cell r="A315">
            <v>39028</v>
          </cell>
          <cell r="C315">
            <v>101</v>
          </cell>
          <cell r="D315" t="str">
            <v>#N/A N/A</v>
          </cell>
          <cell r="E315" t="str">
            <v>#N/A N/A</v>
          </cell>
          <cell r="L315">
            <v>1387.44</v>
          </cell>
          <cell r="M315">
            <v>2375.88</v>
          </cell>
          <cell r="N315">
            <v>6244</v>
          </cell>
          <cell r="O315">
            <v>3893</v>
          </cell>
          <cell r="Q315">
            <v>530</v>
          </cell>
          <cell r="R315">
            <v>351</v>
          </cell>
          <cell r="S315">
            <v>497</v>
          </cell>
          <cell r="T315">
            <v>667.25</v>
          </cell>
          <cell r="U315">
            <v>16393.41</v>
          </cell>
          <cell r="V315">
            <v>18939.310000000001</v>
          </cell>
          <cell r="W315">
            <v>7184.65</v>
          </cell>
          <cell r="X315">
            <v>58.15</v>
          </cell>
          <cell r="Y315">
            <v>1090</v>
          </cell>
          <cell r="Z315">
            <v>1260</v>
          </cell>
          <cell r="AA315">
            <v>13156.66</v>
          </cell>
          <cell r="AB315">
            <v>5456.7</v>
          </cell>
          <cell r="AC315">
            <v>41048.308599999997</v>
          </cell>
          <cell r="AE315">
            <v>73.3</v>
          </cell>
          <cell r="AF315">
            <v>727.04</v>
          </cell>
          <cell r="AG315">
            <v>4242</v>
          </cell>
          <cell r="AH315">
            <v>800</v>
          </cell>
          <cell r="AI315">
            <v>1590</v>
          </cell>
          <cell r="AJ315">
            <v>600.69000000000005</v>
          </cell>
          <cell r="AL315">
            <v>1382.84</v>
          </cell>
          <cell r="AP315">
            <v>1889.53</v>
          </cell>
          <cell r="AV315">
            <v>47.9</v>
          </cell>
          <cell r="AZ315">
            <v>205.6</v>
          </cell>
          <cell r="BE315">
            <v>31775</v>
          </cell>
          <cell r="BG315">
            <v>41.9</v>
          </cell>
          <cell r="BH315">
            <v>255.16</v>
          </cell>
          <cell r="BY315">
            <v>465.83</v>
          </cell>
          <cell r="CD315">
            <v>354.5</v>
          </cell>
          <cell r="CE315">
            <v>351.81599999999997</v>
          </cell>
          <cell r="CF315">
            <v>340.64</v>
          </cell>
          <cell r="CG315">
            <v>1240</v>
          </cell>
          <cell r="CH315">
            <v>1115</v>
          </cell>
          <cell r="CI315">
            <v>140</v>
          </cell>
          <cell r="CJ315">
            <v>345</v>
          </cell>
          <cell r="CK315">
            <v>1149</v>
          </cell>
          <cell r="CM315">
            <v>153.56</v>
          </cell>
          <cell r="CN315">
            <v>15.82</v>
          </cell>
          <cell r="CO315" t="str">
            <v>#N/A N/A</v>
          </cell>
          <cell r="CQ315">
            <v>6.68</v>
          </cell>
          <cell r="CR315">
            <v>60.25</v>
          </cell>
          <cell r="CS315">
            <v>1761</v>
          </cell>
          <cell r="CU315">
            <v>1550</v>
          </cell>
          <cell r="CW315">
            <v>43.368902439024396</v>
          </cell>
          <cell r="CX315">
            <v>602.02299999999991</v>
          </cell>
          <cell r="CZ315">
            <v>311.25</v>
          </cell>
          <cell r="DA315">
            <v>3952.8</v>
          </cell>
          <cell r="DB315">
            <v>12.31</v>
          </cell>
          <cell r="DC315">
            <v>334.3</v>
          </cell>
          <cell r="DD315">
            <v>112.95</v>
          </cell>
        </row>
        <row r="316">
          <cell r="A316">
            <v>39029</v>
          </cell>
          <cell r="C316">
            <v>101</v>
          </cell>
          <cell r="D316" t="str">
            <v>#N/A N/A</v>
          </cell>
          <cell r="E316" t="str">
            <v>#N/A N/A</v>
          </cell>
          <cell r="L316">
            <v>1380.07</v>
          </cell>
          <cell r="M316">
            <v>2384.94</v>
          </cell>
          <cell r="N316">
            <v>6239</v>
          </cell>
          <cell r="O316">
            <v>3895</v>
          </cell>
          <cell r="Q316">
            <v>530</v>
          </cell>
          <cell r="R316">
            <v>357.75</v>
          </cell>
          <cell r="S316">
            <v>504</v>
          </cell>
          <cell r="T316">
            <v>678</v>
          </cell>
          <cell r="U316">
            <v>16215.74</v>
          </cell>
          <cell r="V316">
            <v>18811.240000000002</v>
          </cell>
          <cell r="W316">
            <v>7178.34</v>
          </cell>
          <cell r="X316">
            <v>57.15</v>
          </cell>
          <cell r="Y316">
            <v>1090</v>
          </cell>
          <cell r="Z316">
            <v>1260</v>
          </cell>
          <cell r="AA316">
            <v>13072.51</v>
          </cell>
          <cell r="AB316">
            <v>5425.1</v>
          </cell>
          <cell r="AC316">
            <v>41334.230499999998</v>
          </cell>
          <cell r="AE316">
            <v>71.75</v>
          </cell>
          <cell r="AF316">
            <v>727.04</v>
          </cell>
          <cell r="AG316">
            <v>4256</v>
          </cell>
          <cell r="AH316">
            <v>800</v>
          </cell>
          <cell r="AI316">
            <v>1590</v>
          </cell>
          <cell r="AJ316">
            <v>596.61</v>
          </cell>
          <cell r="AL316">
            <v>1385.72</v>
          </cell>
          <cell r="AP316">
            <v>1866.817</v>
          </cell>
          <cell r="AV316">
            <v>48.03</v>
          </cell>
          <cell r="AZ316">
            <v>203.5</v>
          </cell>
          <cell r="BE316">
            <v>30500</v>
          </cell>
          <cell r="BG316">
            <v>41.9</v>
          </cell>
          <cell r="BH316">
            <v>253.72</v>
          </cell>
          <cell r="BY316">
            <v>465.67</v>
          </cell>
          <cell r="CD316">
            <v>353.82</v>
          </cell>
          <cell r="CE316">
            <v>351.15499999999997</v>
          </cell>
          <cell r="CF316">
            <v>339.56</v>
          </cell>
          <cell r="CG316">
            <v>1240</v>
          </cell>
          <cell r="CH316">
            <v>1115</v>
          </cell>
          <cell r="CI316">
            <v>140</v>
          </cell>
          <cell r="CJ316">
            <v>345</v>
          </cell>
          <cell r="CK316">
            <v>1121</v>
          </cell>
          <cell r="CM316">
            <v>157.77000000000001</v>
          </cell>
          <cell r="CN316">
            <v>15.83</v>
          </cell>
          <cell r="CO316" t="str">
            <v>#N/A N/A</v>
          </cell>
          <cell r="CQ316">
            <v>7.43</v>
          </cell>
          <cell r="CR316">
            <v>60.25</v>
          </cell>
          <cell r="CS316">
            <v>1732</v>
          </cell>
          <cell r="CU316">
            <v>1550</v>
          </cell>
          <cell r="CW316">
            <v>43.368902439024396</v>
          </cell>
          <cell r="CX316">
            <v>600.04899999999998</v>
          </cell>
          <cell r="CZ316">
            <v>313.23</v>
          </cell>
          <cell r="DA316">
            <v>3818.5</v>
          </cell>
          <cell r="DB316">
            <v>12.44</v>
          </cell>
          <cell r="DC316">
            <v>328.4</v>
          </cell>
          <cell r="DD316">
            <v>115.75</v>
          </cell>
        </row>
        <row r="317">
          <cell r="A317">
            <v>39030</v>
          </cell>
          <cell r="C317">
            <v>101</v>
          </cell>
          <cell r="D317" t="str">
            <v>#N/A N/A</v>
          </cell>
          <cell r="E317" t="str">
            <v>#N/A N/A</v>
          </cell>
          <cell r="L317">
            <v>1399.44</v>
          </cell>
          <cell r="M317">
            <v>2376.0100000000002</v>
          </cell>
          <cell r="N317">
            <v>6231.5</v>
          </cell>
          <cell r="O317">
            <v>3895</v>
          </cell>
          <cell r="Q317">
            <v>530</v>
          </cell>
          <cell r="R317">
            <v>350</v>
          </cell>
          <cell r="S317">
            <v>488</v>
          </cell>
          <cell r="T317">
            <v>669.5</v>
          </cell>
          <cell r="U317">
            <v>16198.57</v>
          </cell>
          <cell r="V317">
            <v>18952.86</v>
          </cell>
          <cell r="W317">
            <v>7151.13</v>
          </cell>
          <cell r="X317">
            <v>58.45</v>
          </cell>
          <cell r="Y317">
            <v>1090</v>
          </cell>
          <cell r="Z317">
            <v>1260</v>
          </cell>
          <cell r="AA317">
            <v>13137.49</v>
          </cell>
          <cell r="AB317">
            <v>5398.6</v>
          </cell>
          <cell r="AC317">
            <v>40815.480499999998</v>
          </cell>
          <cell r="AE317">
            <v>73.25</v>
          </cell>
          <cell r="AF317">
            <v>727.04</v>
          </cell>
          <cell r="AG317">
            <v>4245</v>
          </cell>
          <cell r="AH317">
            <v>800</v>
          </cell>
          <cell r="AI317">
            <v>1590</v>
          </cell>
          <cell r="AJ317">
            <v>602.79999999999995</v>
          </cell>
          <cell r="AL317">
            <v>1378.33</v>
          </cell>
          <cell r="AP317">
            <v>1896.482</v>
          </cell>
          <cell r="AV317">
            <v>48.48</v>
          </cell>
          <cell r="AZ317">
            <v>205.2</v>
          </cell>
          <cell r="BE317">
            <v>30805</v>
          </cell>
          <cell r="BG317">
            <v>41.9</v>
          </cell>
          <cell r="BH317">
            <v>257.36</v>
          </cell>
          <cell r="BY317">
            <v>456.72</v>
          </cell>
          <cell r="CD317">
            <v>352.93</v>
          </cell>
          <cell r="CE317">
            <v>349.98899999999998</v>
          </cell>
          <cell r="CF317">
            <v>343.01</v>
          </cell>
          <cell r="CG317">
            <v>1240</v>
          </cell>
          <cell r="CH317">
            <v>1115</v>
          </cell>
          <cell r="CI317">
            <v>140</v>
          </cell>
          <cell r="CJ317">
            <v>340</v>
          </cell>
          <cell r="CK317">
            <v>1106</v>
          </cell>
          <cell r="CM317">
            <v>160.52000000000001</v>
          </cell>
          <cell r="CN317">
            <v>16.28</v>
          </cell>
          <cell r="CO317" t="str">
            <v>#N/A N/A</v>
          </cell>
          <cell r="CQ317">
            <v>7.35</v>
          </cell>
          <cell r="CR317">
            <v>60.25</v>
          </cell>
          <cell r="CS317">
            <v>1753</v>
          </cell>
          <cell r="CU317">
            <v>1550</v>
          </cell>
          <cell r="CW317">
            <v>43.064024390243908</v>
          </cell>
          <cell r="CX317">
            <v>603.19799999999998</v>
          </cell>
          <cell r="CZ317">
            <v>317.93</v>
          </cell>
          <cell r="DA317">
            <v>3923.2</v>
          </cell>
          <cell r="DB317">
            <v>12.66</v>
          </cell>
          <cell r="DC317">
            <v>338.9</v>
          </cell>
          <cell r="DD317">
            <v>119.2</v>
          </cell>
        </row>
        <row r="318">
          <cell r="A318">
            <v>39031</v>
          </cell>
          <cell r="C318">
            <v>101</v>
          </cell>
          <cell r="D318" t="str">
            <v>#N/A N/A</v>
          </cell>
          <cell r="E318" t="str">
            <v>#N/A N/A</v>
          </cell>
          <cell r="L318">
            <v>1395.73</v>
          </cell>
          <cell r="M318">
            <v>2389.7199999999998</v>
          </cell>
          <cell r="N318">
            <v>6208.4</v>
          </cell>
          <cell r="O318">
            <v>3881</v>
          </cell>
          <cell r="Q318">
            <v>530</v>
          </cell>
          <cell r="R318">
            <v>343.25</v>
          </cell>
          <cell r="S318">
            <v>480.5</v>
          </cell>
          <cell r="T318">
            <v>662.5</v>
          </cell>
          <cell r="U318">
            <v>16112.43</v>
          </cell>
          <cell r="V318">
            <v>18891.14</v>
          </cell>
          <cell r="W318">
            <v>7174.2</v>
          </cell>
          <cell r="X318">
            <v>59.4</v>
          </cell>
          <cell r="Y318">
            <v>1070</v>
          </cell>
          <cell r="Z318">
            <v>1265</v>
          </cell>
          <cell r="AA318">
            <v>13282.91</v>
          </cell>
          <cell r="AB318">
            <v>5409.2</v>
          </cell>
          <cell r="AC318">
            <v>40719.921900000001</v>
          </cell>
          <cell r="AE318">
            <v>74.150000000000006</v>
          </cell>
          <cell r="AF318">
            <v>727.04</v>
          </cell>
          <cell r="AG318">
            <v>4210</v>
          </cell>
          <cell r="AH318">
            <v>810</v>
          </cell>
          <cell r="AI318">
            <v>1575</v>
          </cell>
          <cell r="AJ318">
            <v>603.96</v>
          </cell>
          <cell r="AL318">
            <v>1380.9</v>
          </cell>
          <cell r="AP318">
            <v>1883.347</v>
          </cell>
          <cell r="AV318">
            <v>48.56</v>
          </cell>
          <cell r="AZ318">
            <v>208.6</v>
          </cell>
          <cell r="BE318">
            <v>29905</v>
          </cell>
          <cell r="BG318">
            <v>41.9</v>
          </cell>
          <cell r="BH318">
            <v>253.76</v>
          </cell>
          <cell r="BY318">
            <v>461.32</v>
          </cell>
          <cell r="CD318">
            <v>353.71</v>
          </cell>
          <cell r="CE318">
            <v>350.80099999999999</v>
          </cell>
          <cell r="CF318">
            <v>343.78</v>
          </cell>
          <cell r="CG318">
            <v>1250</v>
          </cell>
          <cell r="CH318">
            <v>1110</v>
          </cell>
          <cell r="CI318">
            <v>140</v>
          </cell>
          <cell r="CJ318">
            <v>340</v>
          </cell>
          <cell r="CK318">
            <v>1100</v>
          </cell>
          <cell r="CM318">
            <v>156.56</v>
          </cell>
          <cell r="CN318">
            <v>15.67</v>
          </cell>
          <cell r="CO318" t="str">
            <v>#N/A N/A</v>
          </cell>
          <cell r="CQ318">
            <v>7.15</v>
          </cell>
          <cell r="CR318">
            <v>60.25</v>
          </cell>
          <cell r="CS318">
            <v>1691</v>
          </cell>
          <cell r="CU318">
            <v>1450</v>
          </cell>
          <cell r="CW318">
            <v>42.759146341463421</v>
          </cell>
          <cell r="CX318">
            <v>604.18499999999995</v>
          </cell>
          <cell r="CZ318">
            <v>310.74</v>
          </cell>
          <cell r="DA318">
            <v>3733.1</v>
          </cell>
          <cell r="DB318">
            <v>12.65</v>
          </cell>
          <cell r="DC318">
            <v>330.7</v>
          </cell>
          <cell r="DD318">
            <v>115.85</v>
          </cell>
        </row>
        <row r="319">
          <cell r="A319">
            <v>39032</v>
          </cell>
          <cell r="C319">
            <v>101</v>
          </cell>
          <cell r="D319" t="str">
            <v>#N/A N/A</v>
          </cell>
          <cell r="E319" t="str">
            <v>#N/A N/A</v>
          </cell>
          <cell r="L319">
            <v>1395.73</v>
          </cell>
          <cell r="M319">
            <v>2389.7199999999998</v>
          </cell>
          <cell r="N319">
            <v>6208.4</v>
          </cell>
          <cell r="O319">
            <v>3881</v>
          </cell>
          <cell r="Q319">
            <v>530</v>
          </cell>
          <cell r="R319">
            <v>343.25</v>
          </cell>
          <cell r="S319">
            <v>480.5</v>
          </cell>
          <cell r="T319">
            <v>662.5</v>
          </cell>
          <cell r="U319">
            <v>16112.43</v>
          </cell>
          <cell r="V319">
            <v>18891.14</v>
          </cell>
          <cell r="W319">
            <v>7174.2</v>
          </cell>
          <cell r="X319">
            <v>59.4</v>
          </cell>
          <cell r="Y319">
            <v>1070</v>
          </cell>
          <cell r="Z319">
            <v>1265</v>
          </cell>
          <cell r="AA319">
            <v>13282.91</v>
          </cell>
          <cell r="AB319">
            <v>5409.2</v>
          </cell>
          <cell r="AC319">
            <v>40719.921900000001</v>
          </cell>
          <cell r="AE319">
            <v>74.150000000000006</v>
          </cell>
          <cell r="AF319">
            <v>727.04</v>
          </cell>
          <cell r="AG319">
            <v>4210</v>
          </cell>
          <cell r="AH319">
            <v>810</v>
          </cell>
          <cell r="AI319">
            <v>1575</v>
          </cell>
          <cell r="AJ319">
            <v>603.96</v>
          </cell>
          <cell r="AL319">
            <v>1380.9</v>
          </cell>
          <cell r="AP319">
            <v>1883.347</v>
          </cell>
          <cell r="AV319">
            <v>48.56</v>
          </cell>
          <cell r="AZ319">
            <v>208.6</v>
          </cell>
          <cell r="BE319">
            <v>29905</v>
          </cell>
          <cell r="BG319">
            <v>41.9</v>
          </cell>
          <cell r="BH319">
            <v>253.76</v>
          </cell>
          <cell r="BY319">
            <v>461.32</v>
          </cell>
          <cell r="CD319">
            <v>353.71</v>
          </cell>
          <cell r="CE319">
            <v>350.80099999999999</v>
          </cell>
          <cell r="CF319">
            <v>343.78</v>
          </cell>
          <cell r="CG319">
            <v>1250</v>
          </cell>
          <cell r="CH319">
            <v>1110</v>
          </cell>
          <cell r="CI319">
            <v>140</v>
          </cell>
          <cell r="CJ319">
            <v>340</v>
          </cell>
          <cell r="CK319">
            <v>1100</v>
          </cell>
          <cell r="CM319">
            <v>156.56</v>
          </cell>
          <cell r="CN319">
            <v>15.67</v>
          </cell>
          <cell r="CO319" t="str">
            <v>#N/A N/A</v>
          </cell>
          <cell r="CQ319">
            <v>7.15</v>
          </cell>
          <cell r="CR319">
            <v>60.25</v>
          </cell>
          <cell r="CS319">
            <v>1691</v>
          </cell>
          <cell r="CU319">
            <v>1450</v>
          </cell>
          <cell r="CW319">
            <v>42.759146341463421</v>
          </cell>
          <cell r="CX319">
            <v>604.18499999999995</v>
          </cell>
          <cell r="CZ319">
            <v>310.74</v>
          </cell>
          <cell r="DA319">
            <v>3733.1</v>
          </cell>
          <cell r="DB319">
            <v>12.65</v>
          </cell>
          <cell r="DC319">
            <v>330.7</v>
          </cell>
          <cell r="DD319">
            <v>115.85</v>
          </cell>
        </row>
        <row r="320">
          <cell r="A320">
            <v>39033</v>
          </cell>
          <cell r="C320">
            <v>101</v>
          </cell>
          <cell r="D320" t="str">
            <v>#N/A N/A</v>
          </cell>
          <cell r="E320" t="str">
            <v>#N/A N/A</v>
          </cell>
          <cell r="L320">
            <v>1395.73</v>
          </cell>
          <cell r="M320">
            <v>2389.7199999999998</v>
          </cell>
          <cell r="N320">
            <v>6208.4</v>
          </cell>
          <cell r="O320">
            <v>3881</v>
          </cell>
          <cell r="Q320">
            <v>530</v>
          </cell>
          <cell r="R320">
            <v>343.25</v>
          </cell>
          <cell r="S320">
            <v>480.5</v>
          </cell>
          <cell r="T320">
            <v>662.5</v>
          </cell>
          <cell r="U320">
            <v>16112.43</v>
          </cell>
          <cell r="V320">
            <v>18891.14</v>
          </cell>
          <cell r="W320">
            <v>7174.2</v>
          </cell>
          <cell r="X320">
            <v>59.4</v>
          </cell>
          <cell r="Y320">
            <v>1070</v>
          </cell>
          <cell r="Z320">
            <v>1265</v>
          </cell>
          <cell r="AA320">
            <v>13282.91</v>
          </cell>
          <cell r="AB320">
            <v>5409.2</v>
          </cell>
          <cell r="AC320">
            <v>40719.921900000001</v>
          </cell>
          <cell r="AE320">
            <v>74.150000000000006</v>
          </cell>
          <cell r="AF320">
            <v>727.04</v>
          </cell>
          <cell r="AG320">
            <v>4210</v>
          </cell>
          <cell r="AH320">
            <v>810</v>
          </cell>
          <cell r="AI320">
            <v>1575</v>
          </cell>
          <cell r="AJ320">
            <v>603.96</v>
          </cell>
          <cell r="AL320">
            <v>1380.9</v>
          </cell>
          <cell r="AP320">
            <v>1883.347</v>
          </cell>
          <cell r="AV320">
            <v>48.56</v>
          </cell>
          <cell r="AZ320">
            <v>208.6</v>
          </cell>
          <cell r="BE320">
            <v>29905</v>
          </cell>
          <cell r="BG320">
            <v>41.9</v>
          </cell>
          <cell r="BH320">
            <v>253.76</v>
          </cell>
          <cell r="BY320">
            <v>461.32</v>
          </cell>
          <cell r="CD320">
            <v>353.71</v>
          </cell>
          <cell r="CE320">
            <v>350.80099999999999</v>
          </cell>
          <cell r="CF320">
            <v>343.78</v>
          </cell>
          <cell r="CG320">
            <v>1250</v>
          </cell>
          <cell r="CH320">
            <v>1110</v>
          </cell>
          <cell r="CI320">
            <v>140</v>
          </cell>
          <cell r="CJ320">
            <v>340</v>
          </cell>
          <cell r="CK320">
            <v>1100</v>
          </cell>
          <cell r="CM320">
            <v>156.56</v>
          </cell>
          <cell r="CN320">
            <v>15.67</v>
          </cell>
          <cell r="CO320" t="str">
            <v>#N/A N/A</v>
          </cell>
          <cell r="CQ320">
            <v>7.15</v>
          </cell>
          <cell r="CR320">
            <v>60.25</v>
          </cell>
          <cell r="CS320">
            <v>1691</v>
          </cell>
          <cell r="CU320">
            <v>1450</v>
          </cell>
          <cell r="CW320">
            <v>42.759146341463421</v>
          </cell>
          <cell r="CX320">
            <v>604.18499999999995</v>
          </cell>
          <cell r="CZ320">
            <v>310.74</v>
          </cell>
          <cell r="DA320">
            <v>3733.1</v>
          </cell>
          <cell r="DB320">
            <v>12.65</v>
          </cell>
          <cell r="DC320">
            <v>330.7</v>
          </cell>
          <cell r="DD320">
            <v>115.85</v>
          </cell>
        </row>
        <row r="321">
          <cell r="A321">
            <v>39034</v>
          </cell>
          <cell r="C321">
            <v>101</v>
          </cell>
          <cell r="D321" t="str">
            <v>#N/A N/A</v>
          </cell>
          <cell r="E321" t="str">
            <v>#N/A N/A</v>
          </cell>
          <cell r="L321">
            <v>1396.69</v>
          </cell>
          <cell r="M321">
            <v>2406.38</v>
          </cell>
          <cell r="N321">
            <v>6194.2</v>
          </cell>
          <cell r="O321">
            <v>3880</v>
          </cell>
          <cell r="Q321">
            <v>530</v>
          </cell>
          <cell r="R321">
            <v>342.5</v>
          </cell>
          <cell r="S321">
            <v>477</v>
          </cell>
          <cell r="T321">
            <v>657.5</v>
          </cell>
          <cell r="U321">
            <v>16022.49</v>
          </cell>
          <cell r="V321">
            <v>18868.54</v>
          </cell>
          <cell r="W321">
            <v>7136.06</v>
          </cell>
          <cell r="X321">
            <v>58.85</v>
          </cell>
          <cell r="Y321">
            <v>1070</v>
          </cell>
          <cell r="Z321">
            <v>1265</v>
          </cell>
          <cell r="AA321">
            <v>13399</v>
          </cell>
          <cell r="AB321">
            <v>5389.9</v>
          </cell>
          <cell r="AC321">
            <v>40605.789100000002</v>
          </cell>
          <cell r="AE321">
            <v>73.599999999999994</v>
          </cell>
          <cell r="AF321">
            <v>727.04</v>
          </cell>
          <cell r="AG321">
            <v>4180</v>
          </cell>
          <cell r="AH321">
            <v>810</v>
          </cell>
          <cell r="AI321">
            <v>1575</v>
          </cell>
          <cell r="AJ321">
            <v>604.9</v>
          </cell>
          <cell r="AL321">
            <v>1384.42</v>
          </cell>
          <cell r="AP321">
            <v>1863.7650000000001</v>
          </cell>
          <cell r="AV321">
            <v>48.96</v>
          </cell>
          <cell r="AZ321">
            <v>209</v>
          </cell>
          <cell r="BE321">
            <v>30525</v>
          </cell>
          <cell r="BG321">
            <v>41.9</v>
          </cell>
          <cell r="BH321">
            <v>252.58</v>
          </cell>
          <cell r="BY321">
            <v>468.53</v>
          </cell>
          <cell r="CD321">
            <v>353.27</v>
          </cell>
          <cell r="CE321">
            <v>350.39699999999999</v>
          </cell>
          <cell r="CF321">
            <v>343.74</v>
          </cell>
          <cell r="CG321">
            <v>1250</v>
          </cell>
          <cell r="CH321">
            <v>1110</v>
          </cell>
          <cell r="CI321">
            <v>140</v>
          </cell>
          <cell r="CJ321">
            <v>340</v>
          </cell>
          <cell r="CK321">
            <v>1090</v>
          </cell>
          <cell r="CM321">
            <v>154.71</v>
          </cell>
          <cell r="CN321">
            <v>15.76</v>
          </cell>
          <cell r="CO321" t="str">
            <v>#N/A N/A</v>
          </cell>
          <cell r="CQ321">
            <v>7.28</v>
          </cell>
          <cell r="CR321">
            <v>60.25</v>
          </cell>
          <cell r="CS321">
            <v>1581.5</v>
          </cell>
          <cell r="CU321">
            <v>1450</v>
          </cell>
          <cell r="CW321">
            <v>41.996951219512198</v>
          </cell>
          <cell r="CX321">
            <v>601.78800000000001</v>
          </cell>
          <cell r="CZ321">
            <v>308.02999999999997</v>
          </cell>
          <cell r="DA321">
            <v>3739.4</v>
          </cell>
          <cell r="DB321">
            <v>12.43</v>
          </cell>
          <cell r="DC321">
            <v>326.75</v>
          </cell>
          <cell r="DD321">
            <v>115.15</v>
          </cell>
        </row>
        <row r="322">
          <cell r="A322">
            <v>39035</v>
          </cell>
          <cell r="C322">
            <v>101</v>
          </cell>
          <cell r="D322" t="str">
            <v>#N/A N/A</v>
          </cell>
          <cell r="E322" t="str">
            <v>#N/A N/A</v>
          </cell>
          <cell r="L322">
            <v>1407.37</v>
          </cell>
          <cell r="M322">
            <v>2430.66</v>
          </cell>
          <cell r="N322">
            <v>6186.6</v>
          </cell>
          <cell r="O322">
            <v>3887</v>
          </cell>
          <cell r="Q322">
            <v>530</v>
          </cell>
          <cell r="R322">
            <v>357.75</v>
          </cell>
          <cell r="S322">
            <v>486.5</v>
          </cell>
          <cell r="T322">
            <v>671.25</v>
          </cell>
          <cell r="U322">
            <v>16289.55</v>
          </cell>
          <cell r="V322">
            <v>18878.419999999998</v>
          </cell>
          <cell r="W322">
            <v>7204.04</v>
          </cell>
          <cell r="X322">
            <v>58.15</v>
          </cell>
          <cell r="Y322">
            <v>1070</v>
          </cell>
          <cell r="Z322">
            <v>1265</v>
          </cell>
          <cell r="AA322">
            <v>13425.5</v>
          </cell>
          <cell r="AB322">
            <v>5405.4</v>
          </cell>
          <cell r="AC322">
            <v>41290.699200000003</v>
          </cell>
          <cell r="AE322">
            <v>72.7</v>
          </cell>
          <cell r="AF322">
            <v>728.03</v>
          </cell>
          <cell r="AG322">
            <v>4153</v>
          </cell>
          <cell r="AH322">
            <v>810</v>
          </cell>
          <cell r="AI322">
            <v>1575</v>
          </cell>
          <cell r="AJ322">
            <v>608.09</v>
          </cell>
          <cell r="AL322">
            <v>1393.22</v>
          </cell>
          <cell r="AP322">
            <v>1888.239</v>
          </cell>
          <cell r="AV322">
            <v>49.42</v>
          </cell>
          <cell r="AZ322">
            <v>201.8</v>
          </cell>
          <cell r="BE322">
            <v>29950</v>
          </cell>
          <cell r="BG322">
            <v>41.9</v>
          </cell>
          <cell r="BH322">
            <v>250.21</v>
          </cell>
          <cell r="BY322">
            <v>481.77</v>
          </cell>
          <cell r="CD322">
            <v>354.99</v>
          </cell>
          <cell r="CE322">
            <v>351.99700000000001</v>
          </cell>
          <cell r="CF322">
            <v>346.29</v>
          </cell>
          <cell r="CG322">
            <v>1250</v>
          </cell>
          <cell r="CH322">
            <v>1110</v>
          </cell>
          <cell r="CI322">
            <v>140</v>
          </cell>
          <cell r="CJ322">
            <v>340</v>
          </cell>
          <cell r="CK322">
            <v>1077</v>
          </cell>
          <cell r="CM322">
            <v>155.77000000000001</v>
          </cell>
          <cell r="CN322">
            <v>15.74</v>
          </cell>
          <cell r="CO322" t="str">
            <v>#N/A N/A</v>
          </cell>
          <cell r="CQ322">
            <v>7.42</v>
          </cell>
          <cell r="CR322">
            <v>60.25</v>
          </cell>
          <cell r="CS322">
            <v>1498</v>
          </cell>
          <cell r="CU322">
            <v>1450</v>
          </cell>
          <cell r="CW322">
            <v>40.929878048780488</v>
          </cell>
          <cell r="CX322">
            <v>602.44600000000003</v>
          </cell>
          <cell r="CZ322">
            <v>308.43</v>
          </cell>
          <cell r="DA322">
            <v>3678.1</v>
          </cell>
          <cell r="DB322">
            <v>12.3</v>
          </cell>
          <cell r="DC322">
            <v>319.5</v>
          </cell>
          <cell r="DD322">
            <v>115.8</v>
          </cell>
        </row>
        <row r="323">
          <cell r="A323">
            <v>39036</v>
          </cell>
          <cell r="C323">
            <v>101</v>
          </cell>
          <cell r="D323" t="str">
            <v>#N/A N/A</v>
          </cell>
          <cell r="E323" t="str">
            <v>#N/A N/A</v>
          </cell>
          <cell r="L323">
            <v>1412.54</v>
          </cell>
          <cell r="M323">
            <v>2442.75</v>
          </cell>
          <cell r="N323">
            <v>6229.8</v>
          </cell>
          <cell r="O323">
            <v>3887</v>
          </cell>
          <cell r="Q323">
            <v>530</v>
          </cell>
          <cell r="R323">
            <v>358.25</v>
          </cell>
          <cell r="S323">
            <v>481.5</v>
          </cell>
          <cell r="T323">
            <v>663.75</v>
          </cell>
          <cell r="U323">
            <v>16243.47</v>
          </cell>
          <cell r="V323">
            <v>19093</v>
          </cell>
          <cell r="W323">
            <v>7236.85</v>
          </cell>
          <cell r="X323">
            <v>58.2</v>
          </cell>
          <cell r="Y323">
            <v>1070</v>
          </cell>
          <cell r="Z323">
            <v>1265</v>
          </cell>
          <cell r="AA323">
            <v>13469.37</v>
          </cell>
          <cell r="AB323">
            <v>5399.1</v>
          </cell>
          <cell r="AC323">
            <v>41290.699200000003</v>
          </cell>
          <cell r="AE323">
            <v>72.95</v>
          </cell>
          <cell r="AF323">
            <v>728.03</v>
          </cell>
          <cell r="AG323">
            <v>4134</v>
          </cell>
          <cell r="AH323">
            <v>810</v>
          </cell>
          <cell r="AI323">
            <v>1575</v>
          </cell>
          <cell r="AJ323">
            <v>606.54</v>
          </cell>
          <cell r="AL323">
            <v>1396.57</v>
          </cell>
          <cell r="AP323">
            <v>1922.9349999999999</v>
          </cell>
          <cell r="AV323">
            <v>49.3</v>
          </cell>
          <cell r="AZ323">
            <v>198.5</v>
          </cell>
          <cell r="BE323">
            <v>30625</v>
          </cell>
          <cell r="BG323">
            <v>41.9</v>
          </cell>
          <cell r="BH323">
            <v>253.67</v>
          </cell>
          <cell r="BY323">
            <v>483.81</v>
          </cell>
          <cell r="CD323">
            <v>355.94</v>
          </cell>
          <cell r="CE323">
            <v>353.00799999999998</v>
          </cell>
          <cell r="CF323">
            <v>347.24</v>
          </cell>
          <cell r="CG323">
            <v>1250</v>
          </cell>
          <cell r="CH323">
            <v>1110</v>
          </cell>
          <cell r="CI323">
            <v>140</v>
          </cell>
          <cell r="CJ323">
            <v>340</v>
          </cell>
          <cell r="CK323">
            <v>1058</v>
          </cell>
          <cell r="CM323">
            <v>159.47</v>
          </cell>
          <cell r="CN323">
            <v>15.92</v>
          </cell>
          <cell r="CO323" t="str">
            <v>#N/A N/A</v>
          </cell>
          <cell r="CQ323">
            <v>7.43</v>
          </cell>
          <cell r="CR323">
            <v>61</v>
          </cell>
          <cell r="CS323">
            <v>1530</v>
          </cell>
          <cell r="CU323">
            <v>1450</v>
          </cell>
          <cell r="CW323">
            <v>40.396341463414636</v>
          </cell>
          <cell r="CX323">
            <v>602.35200000000009</v>
          </cell>
          <cell r="CZ323">
            <v>310.85000000000002</v>
          </cell>
          <cell r="DA323">
            <v>3715</v>
          </cell>
          <cell r="DB323">
            <v>12.54</v>
          </cell>
          <cell r="DC323">
            <v>318.8</v>
          </cell>
          <cell r="DD323">
            <v>118.15</v>
          </cell>
        </row>
        <row r="324">
          <cell r="A324">
            <v>39037</v>
          </cell>
          <cell r="C324">
            <v>103</v>
          </cell>
          <cell r="D324" t="str">
            <v>#N/A N/A</v>
          </cell>
          <cell r="E324" t="str">
            <v>#N/A N/A</v>
          </cell>
          <cell r="L324">
            <v>1410.75</v>
          </cell>
          <cell r="M324">
            <v>2449.06</v>
          </cell>
          <cell r="N324">
            <v>6254.9</v>
          </cell>
          <cell r="O324">
            <v>3878</v>
          </cell>
          <cell r="Q324">
            <v>530</v>
          </cell>
          <cell r="R324">
            <v>351.5</v>
          </cell>
          <cell r="S324">
            <v>468.75</v>
          </cell>
          <cell r="T324">
            <v>656.5</v>
          </cell>
          <cell r="U324">
            <v>16163.87</v>
          </cell>
          <cell r="V324">
            <v>19154.07</v>
          </cell>
          <cell r="W324">
            <v>7257.48</v>
          </cell>
          <cell r="X324">
            <v>58.95</v>
          </cell>
          <cell r="Y324">
            <v>1070</v>
          </cell>
          <cell r="Z324">
            <v>1265</v>
          </cell>
          <cell r="AA324">
            <v>13505.89</v>
          </cell>
          <cell r="AB324">
            <v>5363.9</v>
          </cell>
          <cell r="AC324">
            <v>41161.871099999997</v>
          </cell>
          <cell r="AE324">
            <v>74.150000000000006</v>
          </cell>
          <cell r="AF324">
            <v>728.03</v>
          </cell>
          <cell r="AG324">
            <v>4121</v>
          </cell>
          <cell r="AH324">
            <v>810</v>
          </cell>
          <cell r="AI324">
            <v>1575</v>
          </cell>
          <cell r="AJ324">
            <v>609.64</v>
          </cell>
          <cell r="AL324">
            <v>1399.76</v>
          </cell>
          <cell r="AP324">
            <v>1941.547</v>
          </cell>
          <cell r="AV324">
            <v>49.26</v>
          </cell>
          <cell r="AZ324">
            <v>195.3</v>
          </cell>
          <cell r="BE324">
            <v>30275</v>
          </cell>
          <cell r="BG324">
            <v>41.9</v>
          </cell>
          <cell r="BH324">
            <v>250.44</v>
          </cell>
          <cell r="BY324">
            <v>485.93</v>
          </cell>
          <cell r="CD324">
            <v>356.3</v>
          </cell>
          <cell r="CE324">
            <v>353.28399999999999</v>
          </cell>
          <cell r="CF324">
            <v>348.96</v>
          </cell>
          <cell r="CG324">
            <v>1250</v>
          </cell>
          <cell r="CH324">
            <v>1110</v>
          </cell>
          <cell r="CI324">
            <v>140</v>
          </cell>
          <cell r="CJ324">
            <v>340</v>
          </cell>
          <cell r="CK324">
            <v>1063</v>
          </cell>
          <cell r="CM324">
            <v>154.11000000000001</v>
          </cell>
          <cell r="CN324">
            <v>16.05</v>
          </cell>
          <cell r="CO324" t="str">
            <v>#N/A N/A</v>
          </cell>
          <cell r="CQ324">
            <v>7.61</v>
          </cell>
          <cell r="CR324">
            <v>61</v>
          </cell>
          <cell r="CS324">
            <v>1547</v>
          </cell>
          <cell r="CU324">
            <v>1450</v>
          </cell>
          <cell r="CW324">
            <v>40.320121951219512</v>
          </cell>
          <cell r="CX324">
            <v>601.36500000000001</v>
          </cell>
          <cell r="CZ324">
            <v>304.85000000000002</v>
          </cell>
          <cell r="DA324">
            <v>3680.1</v>
          </cell>
          <cell r="DB324">
            <v>12.26</v>
          </cell>
          <cell r="DC324">
            <v>322.25</v>
          </cell>
          <cell r="DD324">
            <v>116.5</v>
          </cell>
        </row>
        <row r="325">
          <cell r="A325">
            <v>39038</v>
          </cell>
          <cell r="C325">
            <v>103</v>
          </cell>
          <cell r="D325" t="str">
            <v>#N/A N/A</v>
          </cell>
          <cell r="E325" t="str">
            <v>#N/A N/A</v>
          </cell>
          <cell r="L325">
            <v>1412.22</v>
          </cell>
          <cell r="M325">
            <v>2445.86</v>
          </cell>
          <cell r="N325">
            <v>6192</v>
          </cell>
          <cell r="O325">
            <v>3878</v>
          </cell>
          <cell r="Q325">
            <v>530</v>
          </cell>
          <cell r="R325">
            <v>355.25</v>
          </cell>
          <cell r="S325">
            <v>474</v>
          </cell>
          <cell r="T325">
            <v>660.5</v>
          </cell>
          <cell r="U325">
            <v>16091.73</v>
          </cell>
          <cell r="V325">
            <v>19182.71</v>
          </cell>
          <cell r="W325">
            <v>7259.54</v>
          </cell>
          <cell r="X325">
            <v>57.95</v>
          </cell>
          <cell r="Y325">
            <v>1060</v>
          </cell>
          <cell r="Z325">
            <v>1275</v>
          </cell>
          <cell r="AA325">
            <v>13429.48</v>
          </cell>
          <cell r="AB325">
            <v>5391.5</v>
          </cell>
          <cell r="AC325">
            <v>41029.429700000001</v>
          </cell>
          <cell r="AE325">
            <v>73.55</v>
          </cell>
          <cell r="AF325">
            <v>728.03</v>
          </cell>
          <cell r="AG325">
            <v>4129</v>
          </cell>
          <cell r="AH325">
            <v>810</v>
          </cell>
          <cell r="AI325">
            <v>1585</v>
          </cell>
          <cell r="AJ325">
            <v>610.92999999999995</v>
          </cell>
          <cell r="AL325">
            <v>1401.2</v>
          </cell>
          <cell r="AP325">
            <v>1971.7929999999999</v>
          </cell>
          <cell r="AV325">
            <v>49.06</v>
          </cell>
          <cell r="AZ325">
            <v>191.3</v>
          </cell>
          <cell r="BE325">
            <v>30525</v>
          </cell>
          <cell r="BG325">
            <v>42.9</v>
          </cell>
          <cell r="BH325">
            <v>252.83</v>
          </cell>
          <cell r="BY325">
            <v>483.25</v>
          </cell>
          <cell r="CD325">
            <v>355.54</v>
          </cell>
          <cell r="CE325">
            <v>352.73200000000003</v>
          </cell>
          <cell r="CF325">
            <v>348.12</v>
          </cell>
          <cell r="CG325">
            <v>1270</v>
          </cell>
          <cell r="CH325">
            <v>1100</v>
          </cell>
          <cell r="CI325">
            <v>140</v>
          </cell>
          <cell r="CJ325">
            <v>340</v>
          </cell>
          <cell r="CK325">
            <v>1067</v>
          </cell>
          <cell r="CM325">
            <v>154.93</v>
          </cell>
          <cell r="CN325">
            <v>16.100000000000001</v>
          </cell>
          <cell r="CO325" t="str">
            <v>#N/A N/A</v>
          </cell>
          <cell r="CQ325">
            <v>7.29</v>
          </cell>
          <cell r="CR325">
            <v>61</v>
          </cell>
          <cell r="CS325">
            <v>1495.5</v>
          </cell>
          <cell r="CU325">
            <v>1400</v>
          </cell>
          <cell r="CW325">
            <v>39.710365853658537</v>
          </cell>
          <cell r="CX325">
            <v>602.72799999999995</v>
          </cell>
          <cell r="CZ325">
            <v>305.79000000000002</v>
          </cell>
          <cell r="DA325">
            <v>3640.1</v>
          </cell>
          <cell r="DB325">
            <v>12.01</v>
          </cell>
          <cell r="DC325">
            <v>317.95</v>
          </cell>
          <cell r="DD325">
            <v>113.1</v>
          </cell>
        </row>
        <row r="326">
          <cell r="A326">
            <v>39039</v>
          </cell>
          <cell r="C326">
            <v>103</v>
          </cell>
          <cell r="D326" t="str">
            <v>#N/A N/A</v>
          </cell>
          <cell r="E326" t="str">
            <v>#N/A N/A</v>
          </cell>
          <cell r="L326">
            <v>1412.22</v>
          </cell>
          <cell r="M326">
            <v>2445.86</v>
          </cell>
          <cell r="N326">
            <v>6192</v>
          </cell>
          <cell r="O326">
            <v>3878</v>
          </cell>
          <cell r="Q326">
            <v>530</v>
          </cell>
          <cell r="R326">
            <v>355.25</v>
          </cell>
          <cell r="S326">
            <v>474</v>
          </cell>
          <cell r="T326">
            <v>660.5</v>
          </cell>
          <cell r="U326">
            <v>16091.73</v>
          </cell>
          <cell r="V326">
            <v>19182.71</v>
          </cell>
          <cell r="W326">
            <v>7259.54</v>
          </cell>
          <cell r="X326">
            <v>57.95</v>
          </cell>
          <cell r="Y326">
            <v>1060</v>
          </cell>
          <cell r="Z326">
            <v>1275</v>
          </cell>
          <cell r="AA326">
            <v>13429.48</v>
          </cell>
          <cell r="AB326">
            <v>5391.5</v>
          </cell>
          <cell r="AC326">
            <v>41029.429700000001</v>
          </cell>
          <cell r="AE326">
            <v>73.55</v>
          </cell>
          <cell r="AF326">
            <v>728.03</v>
          </cell>
          <cell r="AG326">
            <v>4129</v>
          </cell>
          <cell r="AH326">
            <v>810</v>
          </cell>
          <cell r="AI326">
            <v>1585</v>
          </cell>
          <cell r="AJ326">
            <v>610.92999999999995</v>
          </cell>
          <cell r="AL326">
            <v>1401.2</v>
          </cell>
          <cell r="AP326">
            <v>1971.7929999999999</v>
          </cell>
          <cell r="AV326">
            <v>49.06</v>
          </cell>
          <cell r="AZ326">
            <v>191.3</v>
          </cell>
          <cell r="BE326">
            <v>30525</v>
          </cell>
          <cell r="BG326">
            <v>42.9</v>
          </cell>
          <cell r="BH326">
            <v>252.83</v>
          </cell>
          <cell r="BY326">
            <v>483.25</v>
          </cell>
          <cell r="CD326">
            <v>355.54</v>
          </cell>
          <cell r="CE326">
            <v>352.73200000000003</v>
          </cell>
          <cell r="CF326">
            <v>348.12</v>
          </cell>
          <cell r="CG326">
            <v>1270</v>
          </cell>
          <cell r="CH326">
            <v>1100</v>
          </cell>
          <cell r="CI326">
            <v>140</v>
          </cell>
          <cell r="CJ326">
            <v>340</v>
          </cell>
          <cell r="CK326">
            <v>1067</v>
          </cell>
          <cell r="CM326">
            <v>154.93</v>
          </cell>
          <cell r="CN326">
            <v>16.100000000000001</v>
          </cell>
          <cell r="CO326" t="str">
            <v>#N/A N/A</v>
          </cell>
          <cell r="CQ326">
            <v>7.29</v>
          </cell>
          <cell r="CR326">
            <v>61</v>
          </cell>
          <cell r="CS326">
            <v>1495.5</v>
          </cell>
          <cell r="CU326">
            <v>1400</v>
          </cell>
          <cell r="CW326">
            <v>39.710365853658537</v>
          </cell>
          <cell r="CX326">
            <v>602.72799999999995</v>
          </cell>
          <cell r="CZ326">
            <v>305.79000000000002</v>
          </cell>
          <cell r="DA326">
            <v>3640.1</v>
          </cell>
          <cell r="DB326">
            <v>12.01</v>
          </cell>
          <cell r="DC326">
            <v>317.95</v>
          </cell>
          <cell r="DD326">
            <v>113.1</v>
          </cell>
        </row>
        <row r="327">
          <cell r="A327">
            <v>39040</v>
          </cell>
          <cell r="C327">
            <v>103</v>
          </cell>
          <cell r="D327" t="str">
            <v>#N/A N/A</v>
          </cell>
          <cell r="E327" t="str">
            <v>#N/A N/A</v>
          </cell>
          <cell r="L327">
            <v>1412.22</v>
          </cell>
          <cell r="M327">
            <v>2445.86</v>
          </cell>
          <cell r="N327">
            <v>6192</v>
          </cell>
          <cell r="O327">
            <v>3878</v>
          </cell>
          <cell r="Q327">
            <v>530</v>
          </cell>
          <cell r="R327">
            <v>355.25</v>
          </cell>
          <cell r="S327">
            <v>474</v>
          </cell>
          <cell r="T327">
            <v>660.5</v>
          </cell>
          <cell r="U327">
            <v>16091.73</v>
          </cell>
          <cell r="V327">
            <v>19182.71</v>
          </cell>
          <cell r="W327">
            <v>7259.54</v>
          </cell>
          <cell r="X327">
            <v>57.95</v>
          </cell>
          <cell r="Y327">
            <v>1060</v>
          </cell>
          <cell r="Z327">
            <v>1275</v>
          </cell>
          <cell r="AA327">
            <v>13429.48</v>
          </cell>
          <cell r="AB327">
            <v>5391.5</v>
          </cell>
          <cell r="AC327">
            <v>41029.429700000001</v>
          </cell>
          <cell r="AE327">
            <v>73.55</v>
          </cell>
          <cell r="AF327">
            <v>728.03</v>
          </cell>
          <cell r="AG327">
            <v>4129</v>
          </cell>
          <cell r="AH327">
            <v>810</v>
          </cell>
          <cell r="AI327">
            <v>1585</v>
          </cell>
          <cell r="AJ327">
            <v>610.92999999999995</v>
          </cell>
          <cell r="AL327">
            <v>1401.2</v>
          </cell>
          <cell r="AP327">
            <v>1971.7929999999999</v>
          </cell>
          <cell r="AV327">
            <v>49.06</v>
          </cell>
          <cell r="AZ327">
            <v>191.3</v>
          </cell>
          <cell r="BE327">
            <v>30525</v>
          </cell>
          <cell r="BG327">
            <v>42.9</v>
          </cell>
          <cell r="BH327">
            <v>252.83</v>
          </cell>
          <cell r="BY327">
            <v>483.25</v>
          </cell>
          <cell r="CD327">
            <v>355.54</v>
          </cell>
          <cell r="CE327">
            <v>352.73200000000003</v>
          </cell>
          <cell r="CF327">
            <v>348.12</v>
          </cell>
          <cell r="CG327">
            <v>1270</v>
          </cell>
          <cell r="CH327">
            <v>1100</v>
          </cell>
          <cell r="CI327">
            <v>140</v>
          </cell>
          <cell r="CJ327">
            <v>340</v>
          </cell>
          <cell r="CK327">
            <v>1067</v>
          </cell>
          <cell r="CM327">
            <v>154.93</v>
          </cell>
          <cell r="CN327">
            <v>16.100000000000001</v>
          </cell>
          <cell r="CO327" t="str">
            <v>#N/A N/A</v>
          </cell>
          <cell r="CQ327">
            <v>7.29</v>
          </cell>
          <cell r="CR327">
            <v>61</v>
          </cell>
          <cell r="CS327">
            <v>1495.5</v>
          </cell>
          <cell r="CU327">
            <v>1400</v>
          </cell>
          <cell r="CW327">
            <v>39.710365853658537</v>
          </cell>
          <cell r="CX327">
            <v>602.72799999999995</v>
          </cell>
          <cell r="CZ327">
            <v>305.79000000000002</v>
          </cell>
          <cell r="DA327">
            <v>3640.1</v>
          </cell>
          <cell r="DB327">
            <v>12.01</v>
          </cell>
          <cell r="DC327">
            <v>317.95</v>
          </cell>
          <cell r="DD327">
            <v>113.1</v>
          </cell>
        </row>
        <row r="328">
          <cell r="A328">
            <v>39041</v>
          </cell>
          <cell r="C328">
            <v>103</v>
          </cell>
          <cell r="D328" t="str">
            <v>#N/A N/A</v>
          </cell>
          <cell r="E328">
            <v>21.83</v>
          </cell>
          <cell r="L328">
            <v>1402.21</v>
          </cell>
          <cell r="M328">
            <v>2452.7199999999998</v>
          </cell>
          <cell r="N328">
            <v>6204.5</v>
          </cell>
          <cell r="O328">
            <v>3867</v>
          </cell>
          <cell r="Q328">
            <v>530</v>
          </cell>
          <cell r="R328">
            <v>360</v>
          </cell>
          <cell r="S328">
            <v>475</v>
          </cell>
          <cell r="T328">
            <v>667.5</v>
          </cell>
          <cell r="U328">
            <v>15725.94</v>
          </cell>
          <cell r="V328">
            <v>18954.63</v>
          </cell>
          <cell r="W328">
            <v>7261.48</v>
          </cell>
          <cell r="X328">
            <v>57.7</v>
          </cell>
          <cell r="Y328">
            <v>1060</v>
          </cell>
          <cell r="Z328">
            <v>1275</v>
          </cell>
          <cell r="AA328">
            <v>13430.71</v>
          </cell>
          <cell r="AB328">
            <v>5303.4</v>
          </cell>
          <cell r="AC328">
            <v>41029.429700000001</v>
          </cell>
          <cell r="AE328">
            <v>72.900000000000006</v>
          </cell>
          <cell r="AF328">
            <v>728.03</v>
          </cell>
          <cell r="AG328">
            <v>4137</v>
          </cell>
          <cell r="AH328">
            <v>810</v>
          </cell>
          <cell r="AI328">
            <v>1585</v>
          </cell>
          <cell r="AJ328">
            <v>608.24</v>
          </cell>
          <cell r="AL328">
            <v>1400.5</v>
          </cell>
          <cell r="AP328">
            <v>2017.279</v>
          </cell>
          <cell r="AV328">
            <v>48.77</v>
          </cell>
          <cell r="AZ328">
            <v>186.5</v>
          </cell>
          <cell r="BE328">
            <v>30895</v>
          </cell>
          <cell r="BG328">
            <v>42.9</v>
          </cell>
          <cell r="BH328">
            <v>253.22</v>
          </cell>
          <cell r="BY328">
            <v>491.72</v>
          </cell>
          <cell r="CD328">
            <v>354.61</v>
          </cell>
          <cell r="CE328">
            <v>351.71499999999997</v>
          </cell>
          <cell r="CF328">
            <v>347.46</v>
          </cell>
          <cell r="CG328">
            <v>1270</v>
          </cell>
          <cell r="CH328">
            <v>1100</v>
          </cell>
          <cell r="CI328">
            <v>140</v>
          </cell>
          <cell r="CJ328">
            <v>340</v>
          </cell>
          <cell r="CK328">
            <v>1082</v>
          </cell>
          <cell r="CM328">
            <v>156.05000000000001</v>
          </cell>
          <cell r="CN328">
            <v>17.16</v>
          </cell>
          <cell r="CO328" t="str">
            <v>#N/A N/A</v>
          </cell>
          <cell r="CQ328">
            <v>7.8</v>
          </cell>
          <cell r="CR328">
            <v>61</v>
          </cell>
          <cell r="CS328">
            <v>1534</v>
          </cell>
          <cell r="CU328">
            <v>1400</v>
          </cell>
          <cell r="CW328">
            <v>39.100609756097562</v>
          </cell>
          <cell r="CX328">
            <v>602.25800000000004</v>
          </cell>
          <cell r="CZ328">
            <v>306.3</v>
          </cell>
          <cell r="DA328">
            <v>3687.1</v>
          </cell>
          <cell r="DB328">
            <v>12.35</v>
          </cell>
          <cell r="DC328">
            <v>323.05</v>
          </cell>
          <cell r="DD328">
            <v>115.15</v>
          </cell>
        </row>
        <row r="329">
          <cell r="A329">
            <v>39042</v>
          </cell>
          <cell r="C329">
            <v>103</v>
          </cell>
          <cell r="D329" t="str">
            <v>#N/A N/A</v>
          </cell>
          <cell r="E329">
            <v>21.76</v>
          </cell>
          <cell r="L329">
            <v>1405.9</v>
          </cell>
          <cell r="M329">
            <v>2454.84</v>
          </cell>
          <cell r="N329">
            <v>6202.6</v>
          </cell>
          <cell r="O329">
            <v>3864</v>
          </cell>
          <cell r="Q329">
            <v>530</v>
          </cell>
          <cell r="R329">
            <v>361.25</v>
          </cell>
          <cell r="S329">
            <v>479.75</v>
          </cell>
          <cell r="T329">
            <v>673</v>
          </cell>
          <cell r="U329">
            <v>15734.14</v>
          </cell>
          <cell r="V329">
            <v>19008.3</v>
          </cell>
          <cell r="W329">
            <v>7309.69</v>
          </cell>
          <cell r="X329">
            <v>57.95</v>
          </cell>
          <cell r="Y329">
            <v>1060</v>
          </cell>
          <cell r="Z329">
            <v>1275</v>
          </cell>
          <cell r="AA329">
            <v>13616.77</v>
          </cell>
          <cell r="AB329">
            <v>5339.3</v>
          </cell>
          <cell r="AC329">
            <v>41570.398399999998</v>
          </cell>
          <cell r="AE329">
            <v>73.8</v>
          </cell>
          <cell r="AF329">
            <v>728.96</v>
          </cell>
          <cell r="AG329">
            <v>4138</v>
          </cell>
          <cell r="AH329">
            <v>810</v>
          </cell>
          <cell r="AI329">
            <v>1585</v>
          </cell>
          <cell r="AJ329">
            <v>607.42999999999995</v>
          </cell>
          <cell r="AL329">
            <v>1402.81</v>
          </cell>
          <cell r="AP329">
            <v>2037.5519999999999</v>
          </cell>
          <cell r="AV329">
            <v>49.14</v>
          </cell>
          <cell r="AZ329">
            <v>184.2</v>
          </cell>
          <cell r="BE329">
            <v>32000</v>
          </cell>
          <cell r="BG329">
            <v>42.9</v>
          </cell>
          <cell r="BH329">
            <v>256.58999999999997</v>
          </cell>
          <cell r="BY329">
            <v>486.32</v>
          </cell>
          <cell r="CD329">
            <v>355.68</v>
          </cell>
          <cell r="CE329">
            <v>352.64</v>
          </cell>
          <cell r="CF329">
            <v>349.05</v>
          </cell>
          <cell r="CG329">
            <v>1270</v>
          </cell>
          <cell r="CH329">
            <v>1100</v>
          </cell>
          <cell r="CI329">
            <v>140</v>
          </cell>
          <cell r="CJ329">
            <v>340</v>
          </cell>
          <cell r="CK329">
            <v>1093</v>
          </cell>
          <cell r="CM329">
            <v>164.27</v>
          </cell>
          <cell r="CN329">
            <v>17.34</v>
          </cell>
          <cell r="CO329" t="str">
            <v>#N/A N/A</v>
          </cell>
          <cell r="CQ329">
            <v>7.56</v>
          </cell>
          <cell r="CR329">
            <v>61</v>
          </cell>
          <cell r="CS329">
            <v>1557</v>
          </cell>
          <cell r="CU329">
            <v>1400</v>
          </cell>
          <cell r="CW329">
            <v>39.329268292682926</v>
          </cell>
          <cell r="CX329">
            <v>602.63400000000001</v>
          </cell>
          <cell r="CZ329">
            <v>310.32</v>
          </cell>
          <cell r="DA329">
            <v>3763.1</v>
          </cell>
          <cell r="DB329">
            <v>12.09</v>
          </cell>
          <cell r="DC329">
            <v>328.35</v>
          </cell>
          <cell r="DD329">
            <v>115.4</v>
          </cell>
        </row>
        <row r="330">
          <cell r="A330">
            <v>39043</v>
          </cell>
          <cell r="C330">
            <v>103</v>
          </cell>
          <cell r="D330" t="str">
            <v>#N/A N/A</v>
          </cell>
          <cell r="E330">
            <v>21.8</v>
          </cell>
          <cell r="L330">
            <v>1422.54</v>
          </cell>
          <cell r="M330">
            <v>2465.98</v>
          </cell>
          <cell r="N330">
            <v>6160.3</v>
          </cell>
          <cell r="O330">
            <v>3842</v>
          </cell>
          <cell r="Q330">
            <v>530</v>
          </cell>
          <cell r="R330">
            <v>362.75</v>
          </cell>
          <cell r="S330">
            <v>486.25</v>
          </cell>
          <cell r="T330">
            <v>674</v>
          </cell>
          <cell r="U330">
            <v>15914.23</v>
          </cell>
          <cell r="V330">
            <v>19250.79</v>
          </cell>
          <cell r="W330">
            <v>7348.77</v>
          </cell>
          <cell r="X330">
            <v>58.7</v>
          </cell>
          <cell r="Y330">
            <v>1060</v>
          </cell>
          <cell r="Z330">
            <v>1275</v>
          </cell>
          <cell r="AA330">
            <v>13706.53</v>
          </cell>
          <cell r="AB330">
            <v>5422.8</v>
          </cell>
          <cell r="AC330">
            <v>41912.921900000001</v>
          </cell>
          <cell r="AE330">
            <v>74.900000000000006</v>
          </cell>
          <cell r="AF330">
            <v>728.96</v>
          </cell>
          <cell r="AG330">
            <v>4144</v>
          </cell>
          <cell r="AH330">
            <v>810</v>
          </cell>
          <cell r="AI330">
            <v>1585</v>
          </cell>
          <cell r="AJ330">
            <v>614.87</v>
          </cell>
          <cell r="AL330">
            <v>1406.09</v>
          </cell>
          <cell r="AP330">
            <v>2041.355</v>
          </cell>
          <cell r="AV330">
            <v>49.69</v>
          </cell>
          <cell r="AZ330">
            <v>179.9</v>
          </cell>
          <cell r="BE330">
            <v>31900</v>
          </cell>
          <cell r="BG330">
            <v>42.9</v>
          </cell>
          <cell r="BH330">
            <v>257.10000000000002</v>
          </cell>
          <cell r="BY330">
            <v>492.33</v>
          </cell>
          <cell r="CD330">
            <v>358.19</v>
          </cell>
          <cell r="CE330">
            <v>355.01600000000002</v>
          </cell>
          <cell r="CF330">
            <v>353.85</v>
          </cell>
          <cell r="CG330">
            <v>1270</v>
          </cell>
          <cell r="CH330">
            <v>1100</v>
          </cell>
          <cell r="CI330">
            <v>140</v>
          </cell>
          <cell r="CJ330">
            <v>340</v>
          </cell>
          <cell r="CK330">
            <v>1086</v>
          </cell>
          <cell r="CM330">
            <v>159.66999999999999</v>
          </cell>
          <cell r="CN330">
            <v>17.16</v>
          </cell>
          <cell r="CO330" t="str">
            <v>#N/A N/A</v>
          </cell>
          <cell r="CQ330">
            <v>7.45</v>
          </cell>
          <cell r="CR330">
            <v>63</v>
          </cell>
          <cell r="CS330">
            <v>1554</v>
          </cell>
          <cell r="CU330">
            <v>1400</v>
          </cell>
          <cell r="CW330">
            <v>40.243902439024396</v>
          </cell>
          <cell r="CX330">
            <v>607.52199999999993</v>
          </cell>
          <cell r="CZ330">
            <v>307.72000000000003</v>
          </cell>
          <cell r="DA330">
            <v>3749.2</v>
          </cell>
          <cell r="DB330">
            <v>12.1</v>
          </cell>
          <cell r="DC330">
            <v>326</v>
          </cell>
          <cell r="DD330">
            <v>115.55</v>
          </cell>
        </row>
        <row r="331">
          <cell r="A331">
            <v>39044</v>
          </cell>
          <cell r="C331">
            <v>103</v>
          </cell>
          <cell r="D331" t="str">
            <v>#N/A N/A</v>
          </cell>
          <cell r="E331">
            <v>21.39</v>
          </cell>
          <cell r="L331">
            <v>1419.23</v>
          </cell>
          <cell r="M331">
            <v>2465.98</v>
          </cell>
          <cell r="N331">
            <v>6140</v>
          </cell>
          <cell r="O331">
            <v>3838</v>
          </cell>
          <cell r="Q331">
            <v>530</v>
          </cell>
          <cell r="R331">
            <v>362.75</v>
          </cell>
          <cell r="S331">
            <v>486.25</v>
          </cell>
          <cell r="T331">
            <v>674</v>
          </cell>
          <cell r="U331">
            <v>15914.23</v>
          </cell>
          <cell r="V331">
            <v>19265.32</v>
          </cell>
          <cell r="W331">
            <v>7384.69</v>
          </cell>
          <cell r="X331">
            <v>58.1</v>
          </cell>
          <cell r="Y331">
            <v>1060</v>
          </cell>
          <cell r="Z331">
            <v>1275</v>
          </cell>
          <cell r="AA331">
            <v>13680.83</v>
          </cell>
          <cell r="AB331">
            <v>5441.6</v>
          </cell>
          <cell r="AC331">
            <v>42069.828099999999</v>
          </cell>
          <cell r="AE331">
            <v>73.900000000000006</v>
          </cell>
          <cell r="AF331">
            <v>728.96</v>
          </cell>
          <cell r="AG331">
            <v>4163</v>
          </cell>
          <cell r="AH331">
            <v>810</v>
          </cell>
          <cell r="AI331">
            <v>1585</v>
          </cell>
          <cell r="AJ331">
            <v>618.08000000000004</v>
          </cell>
          <cell r="AL331">
            <v>1406.09</v>
          </cell>
          <cell r="AP331">
            <v>2062.3629999999998</v>
          </cell>
          <cell r="AV331">
            <v>49.69</v>
          </cell>
          <cell r="AZ331">
            <v>179.9</v>
          </cell>
          <cell r="BE331">
            <v>33250</v>
          </cell>
          <cell r="BG331">
            <v>42.9</v>
          </cell>
          <cell r="BH331">
            <v>257.91000000000003</v>
          </cell>
          <cell r="BY331">
            <v>492.33</v>
          </cell>
          <cell r="CD331">
            <v>358.37</v>
          </cell>
          <cell r="CE331">
            <v>355.15199999999999</v>
          </cell>
          <cell r="CF331">
            <v>354.65</v>
          </cell>
          <cell r="CG331">
            <v>1270</v>
          </cell>
          <cell r="CH331">
            <v>1100</v>
          </cell>
          <cell r="CI331">
            <v>138</v>
          </cell>
          <cell r="CJ331">
            <v>340</v>
          </cell>
          <cell r="CK331">
            <v>1078</v>
          </cell>
          <cell r="CM331">
            <v>159.66999999999999</v>
          </cell>
          <cell r="CN331">
            <v>17.34</v>
          </cell>
          <cell r="CO331" t="str">
            <v>#N/A N/A</v>
          </cell>
          <cell r="CQ331">
            <v>7.45</v>
          </cell>
          <cell r="CR331">
            <v>63</v>
          </cell>
          <cell r="CS331">
            <v>1571</v>
          </cell>
          <cell r="CU331">
            <v>1400</v>
          </cell>
          <cell r="CW331">
            <v>39.634146341463421</v>
          </cell>
          <cell r="CX331">
            <v>608.74399999999991</v>
          </cell>
          <cell r="CZ331">
            <v>307.91000000000003</v>
          </cell>
          <cell r="DA331">
            <v>3806.9</v>
          </cell>
          <cell r="DB331">
            <v>12.1</v>
          </cell>
          <cell r="DC331">
            <v>326</v>
          </cell>
          <cell r="DD331">
            <v>115.55</v>
          </cell>
        </row>
        <row r="332">
          <cell r="A332">
            <v>39045</v>
          </cell>
          <cell r="C332">
            <v>103</v>
          </cell>
          <cell r="D332" t="str">
            <v>#N/A N/A</v>
          </cell>
          <cell r="E332">
            <v>21.04</v>
          </cell>
          <cell r="L332">
            <v>1421.73</v>
          </cell>
          <cell r="M332">
            <v>2460.2600000000002</v>
          </cell>
          <cell r="N332">
            <v>6122.1</v>
          </cell>
          <cell r="O332">
            <v>3835</v>
          </cell>
          <cell r="Q332">
            <v>530</v>
          </cell>
          <cell r="R332">
            <v>369.25</v>
          </cell>
          <cell r="S332">
            <v>500</v>
          </cell>
          <cell r="T332">
            <v>684.25</v>
          </cell>
          <cell r="U332">
            <v>15734.6</v>
          </cell>
          <cell r="V332">
            <v>19260.3</v>
          </cell>
          <cell r="W332">
            <v>7427.36</v>
          </cell>
          <cell r="X332">
            <v>58.55</v>
          </cell>
          <cell r="Y332">
            <v>1060</v>
          </cell>
          <cell r="Z332">
            <v>1280</v>
          </cell>
          <cell r="AA332">
            <v>13703.33</v>
          </cell>
          <cell r="AB332">
            <v>5431.4</v>
          </cell>
          <cell r="AC332">
            <v>41757.718800000002</v>
          </cell>
          <cell r="AE332">
            <v>73.55</v>
          </cell>
          <cell r="AF332">
            <v>728.96</v>
          </cell>
          <cell r="AG332">
            <v>4185</v>
          </cell>
          <cell r="AH332">
            <v>800</v>
          </cell>
          <cell r="AI332">
            <v>1575</v>
          </cell>
          <cell r="AJ332">
            <v>616.67999999999995</v>
          </cell>
          <cell r="AL332">
            <v>1400.95</v>
          </cell>
          <cell r="AP332">
            <v>2050.8119999999999</v>
          </cell>
          <cell r="AV332">
            <v>49.39</v>
          </cell>
          <cell r="AZ332">
            <v>175.4</v>
          </cell>
          <cell r="BE332">
            <v>34310</v>
          </cell>
          <cell r="BG332">
            <v>44.85</v>
          </cell>
          <cell r="BH332">
            <v>258.16000000000003</v>
          </cell>
          <cell r="BY332">
            <v>489.33</v>
          </cell>
          <cell r="CD332">
            <v>358.03</v>
          </cell>
          <cell r="CE332">
            <v>354.73399999999998</v>
          </cell>
          <cell r="CF332">
            <v>354.96</v>
          </cell>
          <cell r="CG332">
            <v>1270</v>
          </cell>
          <cell r="CH332">
            <v>1090</v>
          </cell>
          <cell r="CI332">
            <v>138</v>
          </cell>
          <cell r="CJ332">
            <v>340</v>
          </cell>
          <cell r="CK332">
            <v>1066</v>
          </cell>
          <cell r="CM332">
            <v>159.66999999999999</v>
          </cell>
          <cell r="CN332">
            <v>18.07</v>
          </cell>
          <cell r="CO332" t="str">
            <v>#N/A N/A</v>
          </cell>
          <cell r="CQ332">
            <v>7.45</v>
          </cell>
          <cell r="CR332">
            <v>63</v>
          </cell>
          <cell r="CS332">
            <v>1596</v>
          </cell>
          <cell r="CU332">
            <v>1320</v>
          </cell>
          <cell r="CW332">
            <v>39.329268292682926</v>
          </cell>
          <cell r="CX332">
            <v>615.13599999999997</v>
          </cell>
          <cell r="CZ332">
            <v>308.97000000000003</v>
          </cell>
          <cell r="DA332">
            <v>3886</v>
          </cell>
          <cell r="DB332">
            <v>12.1</v>
          </cell>
          <cell r="DC332">
            <v>326</v>
          </cell>
          <cell r="DD332">
            <v>115.55</v>
          </cell>
        </row>
        <row r="333">
          <cell r="A333">
            <v>39046</v>
          </cell>
          <cell r="C333">
            <v>103</v>
          </cell>
          <cell r="D333" t="str">
            <v>#N/A N/A</v>
          </cell>
          <cell r="E333">
            <v>21.04</v>
          </cell>
          <cell r="L333">
            <v>1421.73</v>
          </cell>
          <cell r="M333">
            <v>2460.2600000000002</v>
          </cell>
          <cell r="N333">
            <v>6122.1</v>
          </cell>
          <cell r="O333">
            <v>3835</v>
          </cell>
          <cell r="Q333">
            <v>530</v>
          </cell>
          <cell r="R333">
            <v>369.25</v>
          </cell>
          <cell r="S333">
            <v>500</v>
          </cell>
          <cell r="T333">
            <v>684.25</v>
          </cell>
          <cell r="U333">
            <v>15734.6</v>
          </cell>
          <cell r="V333">
            <v>19260.3</v>
          </cell>
          <cell r="W333">
            <v>7427.36</v>
          </cell>
          <cell r="X333">
            <v>58.55</v>
          </cell>
          <cell r="Y333">
            <v>1060</v>
          </cell>
          <cell r="Z333">
            <v>1280</v>
          </cell>
          <cell r="AA333">
            <v>13703.33</v>
          </cell>
          <cell r="AB333">
            <v>5431.4</v>
          </cell>
          <cell r="AC333">
            <v>41757.718800000002</v>
          </cell>
          <cell r="AE333">
            <v>73.55</v>
          </cell>
          <cell r="AF333">
            <v>728.96</v>
          </cell>
          <cell r="AG333">
            <v>4185</v>
          </cell>
          <cell r="AH333">
            <v>800</v>
          </cell>
          <cell r="AI333">
            <v>1575</v>
          </cell>
          <cell r="AJ333">
            <v>616.67999999999995</v>
          </cell>
          <cell r="AL333">
            <v>1400.95</v>
          </cell>
          <cell r="AP333">
            <v>2050.8119999999999</v>
          </cell>
          <cell r="AV333">
            <v>49.39</v>
          </cell>
          <cell r="AZ333">
            <v>175.4</v>
          </cell>
          <cell r="BE333">
            <v>34310</v>
          </cell>
          <cell r="BG333">
            <v>44.85</v>
          </cell>
          <cell r="BH333">
            <v>258.16000000000003</v>
          </cell>
          <cell r="BY333">
            <v>489.33</v>
          </cell>
          <cell r="CD333">
            <v>358.03</v>
          </cell>
          <cell r="CE333">
            <v>354.73399999999998</v>
          </cell>
          <cell r="CF333">
            <v>354.96</v>
          </cell>
          <cell r="CG333">
            <v>1270</v>
          </cell>
          <cell r="CH333">
            <v>1090</v>
          </cell>
          <cell r="CI333">
            <v>138</v>
          </cell>
          <cell r="CJ333">
            <v>340</v>
          </cell>
          <cell r="CK333">
            <v>1066</v>
          </cell>
          <cell r="CM333">
            <v>159.66999999999999</v>
          </cell>
          <cell r="CN333">
            <v>18.07</v>
          </cell>
          <cell r="CO333" t="str">
            <v>#N/A N/A</v>
          </cell>
          <cell r="CQ333">
            <v>7.45</v>
          </cell>
          <cell r="CR333">
            <v>63</v>
          </cell>
          <cell r="CS333">
            <v>1596</v>
          </cell>
          <cell r="CU333">
            <v>1320</v>
          </cell>
          <cell r="CW333">
            <v>39.329268292682926</v>
          </cell>
          <cell r="CX333">
            <v>615.13599999999997</v>
          </cell>
          <cell r="CZ333">
            <v>308.97000000000003</v>
          </cell>
          <cell r="DA333">
            <v>3886</v>
          </cell>
          <cell r="DB333">
            <v>12.1</v>
          </cell>
          <cell r="DC333">
            <v>326</v>
          </cell>
          <cell r="DD333">
            <v>115.55</v>
          </cell>
        </row>
        <row r="334">
          <cell r="A334">
            <v>39047</v>
          </cell>
          <cell r="C334">
            <v>103</v>
          </cell>
          <cell r="D334" t="str">
            <v>#N/A N/A</v>
          </cell>
          <cell r="E334">
            <v>21.04</v>
          </cell>
          <cell r="L334">
            <v>1421.73</v>
          </cell>
          <cell r="M334">
            <v>2460.2600000000002</v>
          </cell>
          <cell r="N334">
            <v>6122.1</v>
          </cell>
          <cell r="O334">
            <v>3835</v>
          </cell>
          <cell r="Q334">
            <v>530</v>
          </cell>
          <cell r="R334">
            <v>369.25</v>
          </cell>
          <cell r="S334">
            <v>500</v>
          </cell>
          <cell r="T334">
            <v>684.25</v>
          </cell>
          <cell r="U334">
            <v>15734.6</v>
          </cell>
          <cell r="V334">
            <v>19260.3</v>
          </cell>
          <cell r="W334">
            <v>7427.36</v>
          </cell>
          <cell r="X334">
            <v>58.55</v>
          </cell>
          <cell r="Y334">
            <v>1060</v>
          </cell>
          <cell r="Z334">
            <v>1280</v>
          </cell>
          <cell r="AA334">
            <v>13703.33</v>
          </cell>
          <cell r="AB334">
            <v>5431.4</v>
          </cell>
          <cell r="AC334">
            <v>41757.718800000002</v>
          </cell>
          <cell r="AE334">
            <v>73.55</v>
          </cell>
          <cell r="AF334">
            <v>728.96</v>
          </cell>
          <cell r="AG334">
            <v>4185</v>
          </cell>
          <cell r="AH334">
            <v>800</v>
          </cell>
          <cell r="AI334">
            <v>1575</v>
          </cell>
          <cell r="AJ334">
            <v>616.67999999999995</v>
          </cell>
          <cell r="AL334">
            <v>1400.95</v>
          </cell>
          <cell r="AP334">
            <v>2050.8119999999999</v>
          </cell>
          <cell r="AV334">
            <v>49.39</v>
          </cell>
          <cell r="AZ334">
            <v>175.4</v>
          </cell>
          <cell r="BE334">
            <v>34310</v>
          </cell>
          <cell r="BG334">
            <v>44.85</v>
          </cell>
          <cell r="BH334">
            <v>258.16000000000003</v>
          </cell>
          <cell r="BY334">
            <v>489.33</v>
          </cell>
          <cell r="CD334">
            <v>358.03</v>
          </cell>
          <cell r="CE334">
            <v>354.73399999999998</v>
          </cell>
          <cell r="CF334">
            <v>354.96</v>
          </cell>
          <cell r="CG334">
            <v>1270</v>
          </cell>
          <cell r="CH334">
            <v>1090</v>
          </cell>
          <cell r="CI334">
            <v>138</v>
          </cell>
          <cell r="CJ334">
            <v>340</v>
          </cell>
          <cell r="CK334">
            <v>1066</v>
          </cell>
          <cell r="CM334">
            <v>159.66999999999999</v>
          </cell>
          <cell r="CN334">
            <v>18.07</v>
          </cell>
          <cell r="CO334" t="str">
            <v>#N/A N/A</v>
          </cell>
          <cell r="CQ334">
            <v>7.45</v>
          </cell>
          <cell r="CR334">
            <v>63</v>
          </cell>
          <cell r="CS334">
            <v>1596</v>
          </cell>
          <cell r="CU334">
            <v>1320</v>
          </cell>
          <cell r="CW334">
            <v>39.329268292682926</v>
          </cell>
          <cell r="CX334">
            <v>615.13599999999997</v>
          </cell>
          <cell r="CZ334">
            <v>308.97000000000003</v>
          </cell>
          <cell r="DA334">
            <v>3886</v>
          </cell>
          <cell r="DB334">
            <v>12.1</v>
          </cell>
          <cell r="DC334">
            <v>326</v>
          </cell>
          <cell r="DD334">
            <v>115.55</v>
          </cell>
        </row>
        <row r="335">
          <cell r="A335">
            <v>39048</v>
          </cell>
          <cell r="C335">
            <v>103</v>
          </cell>
          <cell r="D335" t="str">
            <v>#N/A N/A</v>
          </cell>
          <cell r="E335">
            <v>20.66</v>
          </cell>
          <cell r="L335">
            <v>1425.13</v>
          </cell>
          <cell r="M335">
            <v>2405.92</v>
          </cell>
          <cell r="N335">
            <v>6050.1</v>
          </cell>
          <cell r="O335">
            <v>3827</v>
          </cell>
          <cell r="Q335">
            <v>530</v>
          </cell>
          <cell r="R335">
            <v>371.5</v>
          </cell>
          <cell r="S335">
            <v>490.25</v>
          </cell>
          <cell r="T335">
            <v>688</v>
          </cell>
          <cell r="U335">
            <v>15885.38</v>
          </cell>
          <cell r="V335">
            <v>19204.009999999998</v>
          </cell>
          <cell r="W335">
            <v>7498.15</v>
          </cell>
          <cell r="X335">
            <v>59.65</v>
          </cell>
          <cell r="Y335">
            <v>1060</v>
          </cell>
          <cell r="Z335">
            <v>1280</v>
          </cell>
          <cell r="AA335">
            <v>13773.59</v>
          </cell>
          <cell r="AB335">
            <v>5432.5</v>
          </cell>
          <cell r="AC335">
            <v>40914.628900000003</v>
          </cell>
          <cell r="AE335">
            <v>74.349999999999994</v>
          </cell>
          <cell r="AF335">
            <v>728.96</v>
          </cell>
          <cell r="AG335">
            <v>4208</v>
          </cell>
          <cell r="AH335">
            <v>800</v>
          </cell>
          <cell r="AI335">
            <v>1575</v>
          </cell>
          <cell r="AJ335">
            <v>615.78</v>
          </cell>
          <cell r="AL335">
            <v>1381.9</v>
          </cell>
          <cell r="AP335">
            <v>2047.277</v>
          </cell>
          <cell r="AV335">
            <v>48.7</v>
          </cell>
          <cell r="AZ335">
            <v>180</v>
          </cell>
          <cell r="BE335">
            <v>34340</v>
          </cell>
          <cell r="BG335">
            <v>44.85</v>
          </cell>
          <cell r="BH335">
            <v>255.52</v>
          </cell>
          <cell r="BY335">
            <v>477.82</v>
          </cell>
          <cell r="CD335">
            <v>354.58</v>
          </cell>
          <cell r="CE335">
            <v>351.02199999999999</v>
          </cell>
          <cell r="CF335">
            <v>356.66</v>
          </cell>
          <cell r="CG335">
            <v>1270</v>
          </cell>
          <cell r="CH335">
            <v>1090</v>
          </cell>
          <cell r="CI335">
            <v>138</v>
          </cell>
          <cell r="CJ335">
            <v>340</v>
          </cell>
          <cell r="CK335">
            <v>1057</v>
          </cell>
          <cell r="CM335">
            <v>159.75</v>
          </cell>
          <cell r="CN335">
            <v>18.91</v>
          </cell>
          <cell r="CO335" t="str">
            <v>#N/A N/A</v>
          </cell>
          <cell r="CQ335">
            <v>7.54</v>
          </cell>
          <cell r="CR335">
            <v>63</v>
          </cell>
          <cell r="CS335">
            <v>1601</v>
          </cell>
          <cell r="CU335">
            <v>1320</v>
          </cell>
          <cell r="CW335">
            <v>39.634146341463421</v>
          </cell>
          <cell r="CX335">
            <v>616.68700000000001</v>
          </cell>
          <cell r="CZ335">
            <v>313.01</v>
          </cell>
          <cell r="DA335">
            <v>3861.3</v>
          </cell>
          <cell r="DB335">
            <v>12.38</v>
          </cell>
          <cell r="DC335">
            <v>325</v>
          </cell>
          <cell r="DD335">
            <v>118</v>
          </cell>
        </row>
        <row r="336">
          <cell r="A336">
            <v>39049</v>
          </cell>
          <cell r="C336">
            <v>103</v>
          </cell>
          <cell r="D336" t="str">
            <v>#N/A N/A</v>
          </cell>
          <cell r="E336">
            <v>20.239999999999998</v>
          </cell>
          <cell r="L336">
            <v>1411.47</v>
          </cell>
          <cell r="M336">
            <v>2412.61</v>
          </cell>
          <cell r="N336">
            <v>6025.9</v>
          </cell>
          <cell r="O336">
            <v>3824</v>
          </cell>
          <cell r="Q336">
            <v>530</v>
          </cell>
          <cell r="R336">
            <v>368.75</v>
          </cell>
          <cell r="S336">
            <v>487.25</v>
          </cell>
          <cell r="T336">
            <v>686.25</v>
          </cell>
          <cell r="U336">
            <v>15855.26</v>
          </cell>
          <cell r="V336">
            <v>18639.53</v>
          </cell>
          <cell r="W336">
            <v>7444.94</v>
          </cell>
          <cell r="X336">
            <v>59.55</v>
          </cell>
          <cell r="Y336">
            <v>1060</v>
          </cell>
          <cell r="Z336">
            <v>1280</v>
          </cell>
          <cell r="AA336">
            <v>13601.95</v>
          </cell>
          <cell r="AB336">
            <v>5367.8</v>
          </cell>
          <cell r="AC336">
            <v>41043.148399999998</v>
          </cell>
          <cell r="AE336">
            <v>75.25</v>
          </cell>
          <cell r="AF336">
            <v>729.88</v>
          </cell>
          <cell r="AG336">
            <v>4255</v>
          </cell>
          <cell r="AH336">
            <v>800</v>
          </cell>
          <cell r="AI336">
            <v>1575</v>
          </cell>
          <cell r="AJ336">
            <v>612.92999999999995</v>
          </cell>
          <cell r="AL336">
            <v>1386.72</v>
          </cell>
          <cell r="AP336">
            <v>2038.721</v>
          </cell>
          <cell r="AV336">
            <v>48.87</v>
          </cell>
          <cell r="AZ336">
            <v>180.9</v>
          </cell>
          <cell r="BE336">
            <v>33665</v>
          </cell>
          <cell r="BG336">
            <v>44.85</v>
          </cell>
          <cell r="BH336">
            <v>256.52</v>
          </cell>
          <cell r="BY336">
            <v>478.46</v>
          </cell>
          <cell r="CD336">
            <v>354.46</v>
          </cell>
          <cell r="CE336">
            <v>351.24900000000002</v>
          </cell>
          <cell r="CF336">
            <v>350.48</v>
          </cell>
          <cell r="CG336">
            <v>1270</v>
          </cell>
          <cell r="CH336">
            <v>1090</v>
          </cell>
          <cell r="CI336">
            <v>138</v>
          </cell>
          <cell r="CJ336">
            <v>340</v>
          </cell>
          <cell r="CK336">
            <v>1039</v>
          </cell>
          <cell r="CM336">
            <v>163.71</v>
          </cell>
          <cell r="CN336">
            <v>17.8</v>
          </cell>
          <cell r="CO336" t="str">
            <v>#N/A N/A</v>
          </cell>
          <cell r="CQ336">
            <v>7.59</v>
          </cell>
          <cell r="CR336">
            <v>63</v>
          </cell>
          <cell r="CS336">
            <v>1608.5</v>
          </cell>
          <cell r="CU336">
            <v>1320</v>
          </cell>
          <cell r="CW336">
            <v>39.329268292682926</v>
          </cell>
          <cell r="CX336">
            <v>618.42600000000004</v>
          </cell>
          <cell r="CZ336">
            <v>314.97000000000003</v>
          </cell>
          <cell r="DA336">
            <v>3813.4</v>
          </cell>
          <cell r="DB336">
            <v>12.56</v>
          </cell>
          <cell r="DC336">
            <v>323.35000000000002</v>
          </cell>
          <cell r="DD336">
            <v>120.35</v>
          </cell>
        </row>
        <row r="337">
          <cell r="A337">
            <v>39050</v>
          </cell>
          <cell r="C337">
            <v>103</v>
          </cell>
          <cell r="D337" t="str">
            <v>#N/A N/A</v>
          </cell>
          <cell r="E337">
            <v>19.809999999999999</v>
          </cell>
          <cell r="L337">
            <v>1422.55</v>
          </cell>
          <cell r="M337">
            <v>2432.23</v>
          </cell>
          <cell r="N337">
            <v>6084.4</v>
          </cell>
          <cell r="O337">
            <v>3829</v>
          </cell>
          <cell r="Q337">
            <v>530</v>
          </cell>
          <cell r="R337">
            <v>370.25</v>
          </cell>
          <cell r="S337">
            <v>490.5</v>
          </cell>
          <cell r="T337">
            <v>682.25</v>
          </cell>
          <cell r="U337">
            <v>16076.2</v>
          </cell>
          <cell r="V337">
            <v>18780.93</v>
          </cell>
          <cell r="W337">
            <v>7474.19</v>
          </cell>
          <cell r="X337">
            <v>60.2</v>
          </cell>
          <cell r="Y337">
            <v>1060</v>
          </cell>
          <cell r="Z337">
            <v>1280</v>
          </cell>
          <cell r="AA337">
            <v>13616.73</v>
          </cell>
          <cell r="AB337">
            <v>5432.5</v>
          </cell>
          <cell r="AC337">
            <v>41970.011700000003</v>
          </cell>
          <cell r="AE337">
            <v>75.95</v>
          </cell>
          <cell r="AF337">
            <v>729.88</v>
          </cell>
          <cell r="AG337">
            <v>4298</v>
          </cell>
          <cell r="AH337">
            <v>800</v>
          </cell>
          <cell r="AI337">
            <v>1575</v>
          </cell>
          <cell r="AJ337">
            <v>617.19000000000005</v>
          </cell>
          <cell r="AL337">
            <v>1399.48</v>
          </cell>
          <cell r="AP337">
            <v>2054.0909999999999</v>
          </cell>
          <cell r="AV337">
            <v>49.5</v>
          </cell>
          <cell r="AZ337">
            <v>185.1</v>
          </cell>
          <cell r="BE337">
            <v>33300</v>
          </cell>
          <cell r="BG337">
            <v>44.85</v>
          </cell>
          <cell r="BH337">
            <v>263.51</v>
          </cell>
          <cell r="BY337">
            <v>476.39</v>
          </cell>
          <cell r="CD337">
            <v>358.69</v>
          </cell>
          <cell r="CE337">
            <v>355.32299999999998</v>
          </cell>
          <cell r="CF337">
            <v>354.34</v>
          </cell>
          <cell r="CG337">
            <v>1270</v>
          </cell>
          <cell r="CH337">
            <v>1090</v>
          </cell>
          <cell r="CI337">
            <v>138</v>
          </cell>
          <cell r="CJ337">
            <v>340</v>
          </cell>
          <cell r="CK337">
            <v>1011</v>
          </cell>
          <cell r="CM337">
            <v>170.84</v>
          </cell>
          <cell r="CN337">
            <v>18.3</v>
          </cell>
          <cell r="CO337" t="str">
            <v>#N/A N/A</v>
          </cell>
          <cell r="CQ337">
            <v>7.76</v>
          </cell>
          <cell r="CR337">
            <v>64</v>
          </cell>
          <cell r="CS337">
            <v>1662</v>
          </cell>
          <cell r="CU337">
            <v>1320</v>
          </cell>
          <cell r="CW337">
            <v>39.634146341463421</v>
          </cell>
          <cell r="CX337">
            <v>618.28499999999997</v>
          </cell>
          <cell r="CZ337">
            <v>318.17</v>
          </cell>
          <cell r="DA337">
            <v>3812.1</v>
          </cell>
          <cell r="DB337">
            <v>12.88</v>
          </cell>
          <cell r="DC337">
            <v>322.3</v>
          </cell>
          <cell r="DD337">
            <v>118.55</v>
          </cell>
        </row>
        <row r="338">
          <cell r="A338">
            <v>39051</v>
          </cell>
          <cell r="C338">
            <v>103</v>
          </cell>
          <cell r="D338" t="str">
            <v>#N/A N/A</v>
          </cell>
          <cell r="E338">
            <v>19.54</v>
          </cell>
          <cell r="L338">
            <v>1432.21</v>
          </cell>
          <cell r="M338">
            <v>2431.77</v>
          </cell>
          <cell r="N338">
            <v>6048.8</v>
          </cell>
          <cell r="O338">
            <v>3832</v>
          </cell>
          <cell r="Q338">
            <v>520</v>
          </cell>
          <cell r="R338">
            <v>377</v>
          </cell>
          <cell r="S338">
            <v>502</v>
          </cell>
          <cell r="T338">
            <v>685.5</v>
          </cell>
          <cell r="U338">
            <v>16274.33</v>
          </cell>
          <cell r="V338">
            <v>18960.48</v>
          </cell>
          <cell r="W338">
            <v>7567.72</v>
          </cell>
          <cell r="X338">
            <v>62.35</v>
          </cell>
          <cell r="Y338">
            <v>1060</v>
          </cell>
          <cell r="Z338">
            <v>1280</v>
          </cell>
          <cell r="AA338">
            <v>13696.31</v>
          </cell>
          <cell r="AB338">
            <v>5461.6</v>
          </cell>
          <cell r="AC338">
            <v>41931.839800000002</v>
          </cell>
          <cell r="AE338">
            <v>77.650000000000006</v>
          </cell>
          <cell r="AF338">
            <v>729.88</v>
          </cell>
          <cell r="AG338">
            <v>4336</v>
          </cell>
          <cell r="AH338">
            <v>800</v>
          </cell>
          <cell r="AI338">
            <v>1575</v>
          </cell>
          <cell r="AJ338">
            <v>622.16999999999996</v>
          </cell>
          <cell r="AL338">
            <v>1400.63</v>
          </cell>
          <cell r="AP338">
            <v>2099.2890000000002</v>
          </cell>
          <cell r="AV338">
            <v>49.5</v>
          </cell>
          <cell r="AZ338">
            <v>188.1</v>
          </cell>
          <cell r="BE338">
            <v>34675</v>
          </cell>
          <cell r="BG338">
            <v>44.85</v>
          </cell>
          <cell r="BH338">
            <v>266.04000000000002</v>
          </cell>
          <cell r="BY338">
            <v>479.02</v>
          </cell>
          <cell r="CD338">
            <v>360.04</v>
          </cell>
          <cell r="CE338">
            <v>356.50799999999998</v>
          </cell>
          <cell r="CF338">
            <v>358.4</v>
          </cell>
          <cell r="CG338">
            <v>1270</v>
          </cell>
          <cell r="CH338">
            <v>1090</v>
          </cell>
          <cell r="CI338">
            <v>138</v>
          </cell>
          <cell r="CJ338">
            <v>340</v>
          </cell>
          <cell r="CK338">
            <v>996</v>
          </cell>
          <cell r="CM338">
            <v>170.24</v>
          </cell>
          <cell r="CN338">
            <v>18.260000000000002</v>
          </cell>
          <cell r="CO338" t="str">
            <v>#N/A N/A</v>
          </cell>
          <cell r="CQ338">
            <v>8.35</v>
          </cell>
          <cell r="CR338">
            <v>64</v>
          </cell>
          <cell r="CS338">
            <v>1687</v>
          </cell>
          <cell r="CU338">
            <v>1320</v>
          </cell>
          <cell r="CW338">
            <v>40.091463414634148</v>
          </cell>
          <cell r="CX338">
            <v>622.98500000000001</v>
          </cell>
          <cell r="CZ338">
            <v>321.52999999999997</v>
          </cell>
          <cell r="DA338">
            <v>3869.5</v>
          </cell>
          <cell r="DB338">
            <v>13.08</v>
          </cell>
          <cell r="DC338">
            <v>329.35</v>
          </cell>
          <cell r="DD338">
            <v>119.7</v>
          </cell>
        </row>
        <row r="339">
          <cell r="A339">
            <v>39052</v>
          </cell>
          <cell r="C339">
            <v>103</v>
          </cell>
          <cell r="D339" t="str">
            <v>#N/A N/A</v>
          </cell>
          <cell r="E339">
            <v>19.329999999999998</v>
          </cell>
          <cell r="L339">
            <v>1434.36</v>
          </cell>
          <cell r="M339">
            <v>2413.21</v>
          </cell>
          <cell r="N339">
            <v>6021.5</v>
          </cell>
          <cell r="O339">
            <v>3837</v>
          </cell>
          <cell r="Q339">
            <v>520</v>
          </cell>
          <cell r="R339">
            <v>387</v>
          </cell>
          <cell r="S339">
            <v>520.75</v>
          </cell>
          <cell r="T339">
            <v>677</v>
          </cell>
          <cell r="U339">
            <v>16321.78</v>
          </cell>
          <cell r="V339">
            <v>18690.82</v>
          </cell>
          <cell r="W339">
            <v>7613.57</v>
          </cell>
          <cell r="X339">
            <v>63.55</v>
          </cell>
          <cell r="Y339">
            <v>1060</v>
          </cell>
          <cell r="Z339">
            <v>1290</v>
          </cell>
          <cell r="AA339">
            <v>13844.78</v>
          </cell>
          <cell r="AB339">
            <v>5415.2</v>
          </cell>
          <cell r="AC339">
            <v>41327.070299999999</v>
          </cell>
          <cell r="AE339">
            <v>79.849999999999994</v>
          </cell>
          <cell r="AF339">
            <v>729.88</v>
          </cell>
          <cell r="AG339">
            <v>4369</v>
          </cell>
          <cell r="AH339">
            <v>790</v>
          </cell>
          <cell r="AI339">
            <v>1560</v>
          </cell>
          <cell r="AJ339">
            <v>619.76</v>
          </cell>
          <cell r="AL339">
            <v>1396.71</v>
          </cell>
          <cell r="AP339">
            <v>2102.049</v>
          </cell>
          <cell r="AV339">
            <v>49.51</v>
          </cell>
          <cell r="AZ339">
            <v>184.1</v>
          </cell>
          <cell r="BE339">
            <v>34750</v>
          </cell>
          <cell r="BG339">
            <v>50.05</v>
          </cell>
          <cell r="BH339">
            <v>268</v>
          </cell>
          <cell r="BY339">
            <v>474.09</v>
          </cell>
          <cell r="CD339">
            <v>359.6</v>
          </cell>
          <cell r="CE339">
            <v>355.97399999999999</v>
          </cell>
          <cell r="CF339">
            <v>360.01</v>
          </cell>
          <cell r="CG339">
            <v>1260</v>
          </cell>
          <cell r="CH339">
            <v>1090</v>
          </cell>
          <cell r="CI339">
            <v>138</v>
          </cell>
          <cell r="CJ339">
            <v>340</v>
          </cell>
          <cell r="CK339">
            <v>978</v>
          </cell>
          <cell r="CM339">
            <v>170.21</v>
          </cell>
          <cell r="CN339">
            <v>19.39</v>
          </cell>
          <cell r="CO339" t="str">
            <v>#N/A N/A</v>
          </cell>
          <cell r="CQ339">
            <v>8.4499999999999993</v>
          </cell>
          <cell r="CR339">
            <v>64</v>
          </cell>
          <cell r="CS339">
            <v>1735</v>
          </cell>
          <cell r="CU339">
            <v>1240</v>
          </cell>
          <cell r="CW339">
            <v>40.548780487804883</v>
          </cell>
          <cell r="CX339">
            <v>626.27499999999998</v>
          </cell>
          <cell r="CZ339">
            <v>321.23</v>
          </cell>
          <cell r="DA339">
            <v>3889.9</v>
          </cell>
          <cell r="DB339">
            <v>13.08</v>
          </cell>
          <cell r="DC339">
            <v>329.35</v>
          </cell>
          <cell r="DD339">
            <v>127.6</v>
          </cell>
        </row>
        <row r="340">
          <cell r="A340">
            <v>39053</v>
          </cell>
          <cell r="C340">
            <v>103</v>
          </cell>
          <cell r="D340" t="str">
            <v>#N/A N/A</v>
          </cell>
          <cell r="E340">
            <v>19.329999999999998</v>
          </cell>
          <cell r="L340">
            <v>1434.36</v>
          </cell>
          <cell r="M340">
            <v>2413.21</v>
          </cell>
          <cell r="N340">
            <v>6021.5</v>
          </cell>
          <cell r="O340">
            <v>3837</v>
          </cell>
          <cell r="Q340">
            <v>520</v>
          </cell>
          <cell r="R340">
            <v>387</v>
          </cell>
          <cell r="S340">
            <v>520.75</v>
          </cell>
          <cell r="T340">
            <v>677</v>
          </cell>
          <cell r="U340">
            <v>16321.78</v>
          </cell>
          <cell r="V340">
            <v>18690.82</v>
          </cell>
          <cell r="W340">
            <v>7613.57</v>
          </cell>
          <cell r="X340">
            <v>63.55</v>
          </cell>
          <cell r="Y340">
            <v>1060</v>
          </cell>
          <cell r="Z340">
            <v>1290</v>
          </cell>
          <cell r="AA340">
            <v>13844.78</v>
          </cell>
          <cell r="AB340">
            <v>5415.2</v>
          </cell>
          <cell r="AC340">
            <v>41327.070299999999</v>
          </cell>
          <cell r="AE340">
            <v>79.849999999999994</v>
          </cell>
          <cell r="AF340">
            <v>729.88</v>
          </cell>
          <cell r="AG340">
            <v>4369</v>
          </cell>
          <cell r="AH340">
            <v>790</v>
          </cell>
          <cell r="AI340">
            <v>1560</v>
          </cell>
          <cell r="AJ340">
            <v>619.76</v>
          </cell>
          <cell r="AL340">
            <v>1396.71</v>
          </cell>
          <cell r="AP340">
            <v>2102.049</v>
          </cell>
          <cell r="AV340">
            <v>49.51</v>
          </cell>
          <cell r="AZ340">
            <v>184.1</v>
          </cell>
          <cell r="BE340">
            <v>34750</v>
          </cell>
          <cell r="BG340">
            <v>50.05</v>
          </cell>
          <cell r="BH340">
            <v>268</v>
          </cell>
          <cell r="BY340">
            <v>474.09</v>
          </cell>
          <cell r="CD340">
            <v>359.6</v>
          </cell>
          <cell r="CE340">
            <v>355.97399999999999</v>
          </cell>
          <cell r="CF340">
            <v>360.01</v>
          </cell>
          <cell r="CG340">
            <v>1260</v>
          </cell>
          <cell r="CH340">
            <v>1090</v>
          </cell>
          <cell r="CI340">
            <v>138</v>
          </cell>
          <cell r="CJ340">
            <v>340</v>
          </cell>
          <cell r="CK340">
            <v>978</v>
          </cell>
          <cell r="CM340">
            <v>170.21</v>
          </cell>
          <cell r="CN340">
            <v>19.39</v>
          </cell>
          <cell r="CO340" t="str">
            <v>#N/A N/A</v>
          </cell>
          <cell r="CQ340">
            <v>8.4499999999999993</v>
          </cell>
          <cell r="CR340">
            <v>64</v>
          </cell>
          <cell r="CS340">
            <v>1735</v>
          </cell>
          <cell r="CU340">
            <v>1240</v>
          </cell>
          <cell r="CW340">
            <v>40.548780487804883</v>
          </cell>
          <cell r="CX340">
            <v>626.27499999999998</v>
          </cell>
          <cell r="CZ340">
            <v>321.23</v>
          </cell>
          <cell r="DA340">
            <v>3889.9</v>
          </cell>
          <cell r="DB340">
            <v>13.08</v>
          </cell>
          <cell r="DC340">
            <v>329.35</v>
          </cell>
          <cell r="DD340">
            <v>127.6</v>
          </cell>
        </row>
        <row r="341">
          <cell r="A341">
            <v>39054</v>
          </cell>
          <cell r="C341">
            <v>103</v>
          </cell>
          <cell r="D341" t="str">
            <v>#N/A N/A</v>
          </cell>
          <cell r="E341">
            <v>19.329999999999998</v>
          </cell>
          <cell r="L341">
            <v>1434.36</v>
          </cell>
          <cell r="M341">
            <v>2413.21</v>
          </cell>
          <cell r="N341">
            <v>6021.5</v>
          </cell>
          <cell r="O341">
            <v>3837</v>
          </cell>
          <cell r="Q341">
            <v>520</v>
          </cell>
          <cell r="R341">
            <v>387</v>
          </cell>
          <cell r="S341">
            <v>520.75</v>
          </cell>
          <cell r="T341">
            <v>677</v>
          </cell>
          <cell r="U341">
            <v>16321.78</v>
          </cell>
          <cell r="V341">
            <v>18690.82</v>
          </cell>
          <cell r="W341">
            <v>7613.57</v>
          </cell>
          <cell r="X341">
            <v>63.55</v>
          </cell>
          <cell r="Y341">
            <v>1060</v>
          </cell>
          <cell r="Z341">
            <v>1290</v>
          </cell>
          <cell r="AA341">
            <v>13844.78</v>
          </cell>
          <cell r="AB341">
            <v>5415.2</v>
          </cell>
          <cell r="AC341">
            <v>41327.070299999999</v>
          </cell>
          <cell r="AE341">
            <v>79.849999999999994</v>
          </cell>
          <cell r="AF341">
            <v>729.88</v>
          </cell>
          <cell r="AG341">
            <v>4369</v>
          </cell>
          <cell r="AH341">
            <v>790</v>
          </cell>
          <cell r="AI341">
            <v>1560</v>
          </cell>
          <cell r="AJ341">
            <v>619.76</v>
          </cell>
          <cell r="AL341">
            <v>1396.71</v>
          </cell>
          <cell r="AP341">
            <v>2102.049</v>
          </cell>
          <cell r="AV341">
            <v>49.51</v>
          </cell>
          <cell r="AZ341">
            <v>184.1</v>
          </cell>
          <cell r="BE341">
            <v>34750</v>
          </cell>
          <cell r="BG341">
            <v>50.05</v>
          </cell>
          <cell r="BH341">
            <v>268</v>
          </cell>
          <cell r="BY341">
            <v>474.09</v>
          </cell>
          <cell r="CD341">
            <v>359.6</v>
          </cell>
          <cell r="CE341">
            <v>355.97399999999999</v>
          </cell>
          <cell r="CF341">
            <v>360.01</v>
          </cell>
          <cell r="CG341">
            <v>1260</v>
          </cell>
          <cell r="CH341">
            <v>1090</v>
          </cell>
          <cell r="CI341">
            <v>138</v>
          </cell>
          <cell r="CJ341">
            <v>340</v>
          </cell>
          <cell r="CK341">
            <v>978</v>
          </cell>
          <cell r="CM341">
            <v>170.21</v>
          </cell>
          <cell r="CN341">
            <v>19.39</v>
          </cell>
          <cell r="CO341" t="str">
            <v>#N/A N/A</v>
          </cell>
          <cell r="CQ341">
            <v>8.4499999999999993</v>
          </cell>
          <cell r="CR341">
            <v>64</v>
          </cell>
          <cell r="CS341">
            <v>1735</v>
          </cell>
          <cell r="CU341">
            <v>1240</v>
          </cell>
          <cell r="CW341">
            <v>40.548780487804883</v>
          </cell>
          <cell r="CX341">
            <v>626.27499999999998</v>
          </cell>
          <cell r="CZ341">
            <v>321.23</v>
          </cell>
          <cell r="DA341">
            <v>3889.9</v>
          </cell>
          <cell r="DB341">
            <v>13.08</v>
          </cell>
          <cell r="DC341">
            <v>329.35</v>
          </cell>
          <cell r="DD341">
            <v>127.6</v>
          </cell>
        </row>
        <row r="342">
          <cell r="A342">
            <v>39055</v>
          </cell>
          <cell r="C342">
            <v>103</v>
          </cell>
          <cell r="D342" t="str">
            <v>#N/A N/A</v>
          </cell>
          <cell r="E342">
            <v>19.239999999999998</v>
          </cell>
          <cell r="L342">
            <v>1426.46</v>
          </cell>
          <cell r="M342">
            <v>2448.39</v>
          </cell>
          <cell r="N342">
            <v>6050.4</v>
          </cell>
          <cell r="O342">
            <v>3845</v>
          </cell>
          <cell r="Q342">
            <v>520</v>
          </cell>
          <cell r="R342">
            <v>375.5</v>
          </cell>
          <cell r="S342">
            <v>518</v>
          </cell>
          <cell r="T342">
            <v>659.25</v>
          </cell>
          <cell r="U342">
            <v>16303.59</v>
          </cell>
          <cell r="V342">
            <v>18702.73</v>
          </cell>
          <cell r="W342">
            <v>7647.01</v>
          </cell>
          <cell r="X342">
            <v>64.25</v>
          </cell>
          <cell r="Y342">
            <v>1060</v>
          </cell>
          <cell r="Z342">
            <v>1290</v>
          </cell>
          <cell r="AA342">
            <v>13874.33</v>
          </cell>
          <cell r="AB342">
            <v>5412.5</v>
          </cell>
          <cell r="AC342">
            <v>42654.328099999999</v>
          </cell>
          <cell r="AE342">
            <v>79.05</v>
          </cell>
          <cell r="AF342">
            <v>729.88</v>
          </cell>
          <cell r="AG342">
            <v>4400</v>
          </cell>
          <cell r="AH342">
            <v>790</v>
          </cell>
          <cell r="AI342">
            <v>1560</v>
          </cell>
          <cell r="AJ342">
            <v>618.13</v>
          </cell>
          <cell r="AL342">
            <v>1409.12</v>
          </cell>
          <cell r="AP342">
            <v>2161.6480000000001</v>
          </cell>
          <cell r="AV342">
            <v>50.05</v>
          </cell>
          <cell r="AZ342">
            <v>185.1</v>
          </cell>
          <cell r="BE342">
            <v>34385</v>
          </cell>
          <cell r="BG342">
            <v>50.05</v>
          </cell>
          <cell r="BH342">
            <v>269.10000000000002</v>
          </cell>
          <cell r="BY342">
            <v>483.42</v>
          </cell>
          <cell r="CD342">
            <v>361.92</v>
          </cell>
          <cell r="CE342">
            <v>358.18900000000002</v>
          </cell>
          <cell r="CF342">
            <v>359.44</v>
          </cell>
          <cell r="CG342">
            <v>1260</v>
          </cell>
          <cell r="CH342">
            <v>1090</v>
          </cell>
          <cell r="CI342">
            <v>138</v>
          </cell>
          <cell r="CJ342">
            <v>340</v>
          </cell>
          <cell r="CK342">
            <v>965</v>
          </cell>
          <cell r="CM342">
            <v>166.31</v>
          </cell>
          <cell r="CN342">
            <v>19.350000000000001</v>
          </cell>
          <cell r="CO342" t="str">
            <v>#N/A N/A</v>
          </cell>
          <cell r="CQ342">
            <v>7.8</v>
          </cell>
          <cell r="CR342">
            <v>64</v>
          </cell>
          <cell r="CS342">
            <v>1776.5</v>
          </cell>
          <cell r="CU342">
            <v>1240</v>
          </cell>
          <cell r="CW342">
            <v>41.006097560975611</v>
          </cell>
          <cell r="CX342">
            <v>626.322</v>
          </cell>
          <cell r="CZ342">
            <v>315.38</v>
          </cell>
          <cell r="DA342">
            <v>3889.8</v>
          </cell>
          <cell r="DB342">
            <v>12.58</v>
          </cell>
          <cell r="DC342">
            <v>329.35</v>
          </cell>
          <cell r="DD342">
            <v>124.2</v>
          </cell>
        </row>
        <row r="343">
          <cell r="A343">
            <v>39056</v>
          </cell>
          <cell r="C343">
            <v>103</v>
          </cell>
          <cell r="D343" t="str">
            <v>#N/A N/A</v>
          </cell>
          <cell r="E343">
            <v>18.98</v>
          </cell>
          <cell r="L343">
            <v>1420.59</v>
          </cell>
          <cell r="M343">
            <v>2452.38</v>
          </cell>
          <cell r="N343">
            <v>6086.4</v>
          </cell>
          <cell r="O343">
            <v>3848</v>
          </cell>
          <cell r="Q343">
            <v>520</v>
          </cell>
          <cell r="R343">
            <v>378</v>
          </cell>
          <cell r="S343">
            <v>517.25</v>
          </cell>
          <cell r="T343">
            <v>664.25</v>
          </cell>
          <cell r="U343">
            <v>16265.76</v>
          </cell>
          <cell r="V343">
            <v>18944.189999999999</v>
          </cell>
          <cell r="W343">
            <v>7609.9</v>
          </cell>
          <cell r="X343">
            <v>62.65</v>
          </cell>
          <cell r="Y343">
            <v>1060</v>
          </cell>
          <cell r="Z343">
            <v>1290</v>
          </cell>
          <cell r="AA343">
            <v>13937.65</v>
          </cell>
          <cell r="AB343">
            <v>5414.2</v>
          </cell>
          <cell r="AC343">
            <v>43157.281300000002</v>
          </cell>
          <cell r="AE343">
            <v>77.849999999999994</v>
          </cell>
          <cell r="AF343">
            <v>729.92</v>
          </cell>
          <cell r="AG343">
            <v>4407</v>
          </cell>
          <cell r="AH343">
            <v>790</v>
          </cell>
          <cell r="AI343">
            <v>1560</v>
          </cell>
          <cell r="AJ343">
            <v>619.87</v>
          </cell>
          <cell r="AL343">
            <v>1414.76</v>
          </cell>
          <cell r="AP343">
            <v>2173.2849999999999</v>
          </cell>
          <cell r="AV343">
            <v>50.05</v>
          </cell>
          <cell r="AZ343">
            <v>194</v>
          </cell>
          <cell r="BE343">
            <v>35075</v>
          </cell>
          <cell r="BG343">
            <v>50.05</v>
          </cell>
          <cell r="BH343">
            <v>271.92</v>
          </cell>
          <cell r="BY343">
            <v>487.12</v>
          </cell>
          <cell r="CD343">
            <v>363.33</v>
          </cell>
          <cell r="CE343">
            <v>359.54199999999997</v>
          </cell>
          <cell r="CF343">
            <v>362.05</v>
          </cell>
          <cell r="CG343">
            <v>1260</v>
          </cell>
          <cell r="CH343">
            <v>1090</v>
          </cell>
          <cell r="CI343">
            <v>138</v>
          </cell>
          <cell r="CJ343">
            <v>340</v>
          </cell>
          <cell r="CK343">
            <v>954</v>
          </cell>
          <cell r="CM343">
            <v>164.39</v>
          </cell>
          <cell r="CN343">
            <v>18.82</v>
          </cell>
          <cell r="CO343" t="str">
            <v>#N/A N/A</v>
          </cell>
          <cell r="CQ343">
            <v>7.34</v>
          </cell>
          <cell r="CR343">
            <v>64</v>
          </cell>
          <cell r="CS343">
            <v>1765.5</v>
          </cell>
          <cell r="CU343">
            <v>1240</v>
          </cell>
          <cell r="CW343">
            <v>41.006097560975611</v>
          </cell>
          <cell r="CX343">
            <v>626.27499999999998</v>
          </cell>
          <cell r="CZ343">
            <v>316.43</v>
          </cell>
          <cell r="DA343">
            <v>3957.1</v>
          </cell>
          <cell r="DB343">
            <v>12.44</v>
          </cell>
          <cell r="DC343">
            <v>329.35</v>
          </cell>
          <cell r="DD343">
            <v>127.25</v>
          </cell>
        </row>
        <row r="344">
          <cell r="A344">
            <v>39057</v>
          </cell>
          <cell r="C344">
            <v>103</v>
          </cell>
          <cell r="D344" t="str">
            <v>#N/A N/A</v>
          </cell>
          <cell r="E344">
            <v>18.78</v>
          </cell>
          <cell r="L344">
            <v>1413.73</v>
          </cell>
          <cell r="M344">
            <v>2445.86</v>
          </cell>
          <cell r="N344">
            <v>6090.3</v>
          </cell>
          <cell r="O344">
            <v>3853</v>
          </cell>
          <cell r="Q344">
            <v>520</v>
          </cell>
          <cell r="R344">
            <v>366</v>
          </cell>
          <cell r="S344">
            <v>495.5</v>
          </cell>
          <cell r="T344">
            <v>654.25</v>
          </cell>
          <cell r="U344">
            <v>16371.28</v>
          </cell>
          <cell r="V344">
            <v>19026.36</v>
          </cell>
          <cell r="W344">
            <v>7693.33</v>
          </cell>
          <cell r="X344">
            <v>61.95</v>
          </cell>
          <cell r="Y344">
            <v>1060</v>
          </cell>
          <cell r="Z344">
            <v>1290</v>
          </cell>
          <cell r="AA344">
            <v>13949</v>
          </cell>
          <cell r="AB344">
            <v>5453.6</v>
          </cell>
          <cell r="AC344">
            <v>43096.160199999998</v>
          </cell>
          <cell r="AE344">
            <v>79.099999999999994</v>
          </cell>
          <cell r="AF344">
            <v>729.92</v>
          </cell>
          <cell r="AG344">
            <v>4367</v>
          </cell>
          <cell r="AH344">
            <v>790</v>
          </cell>
          <cell r="AI344">
            <v>1560</v>
          </cell>
          <cell r="AJ344">
            <v>614.99</v>
          </cell>
          <cell r="AL344">
            <v>1412.9</v>
          </cell>
          <cell r="AP344">
            <v>2156.6039999999998</v>
          </cell>
          <cell r="AV344">
            <v>49.66</v>
          </cell>
          <cell r="AZ344">
            <v>193.9</v>
          </cell>
          <cell r="BE344">
            <v>35090</v>
          </cell>
          <cell r="BG344">
            <v>50.05</v>
          </cell>
          <cell r="BH344">
            <v>271.72000000000003</v>
          </cell>
          <cell r="BY344">
            <v>488.83</v>
          </cell>
          <cell r="CD344">
            <v>363.82</v>
          </cell>
          <cell r="CE344">
            <v>359.959</v>
          </cell>
          <cell r="CF344">
            <v>363.95</v>
          </cell>
          <cell r="CG344">
            <v>1260</v>
          </cell>
          <cell r="CH344">
            <v>1090</v>
          </cell>
          <cell r="CI344">
            <v>138</v>
          </cell>
          <cell r="CJ344">
            <v>340</v>
          </cell>
          <cell r="CK344">
            <v>968</v>
          </cell>
          <cell r="CM344">
            <v>162.13</v>
          </cell>
          <cell r="CN344">
            <v>18.68</v>
          </cell>
          <cell r="CO344" t="str">
            <v>#N/A N/A</v>
          </cell>
          <cell r="CQ344">
            <v>7.38</v>
          </cell>
          <cell r="CR344">
            <v>64</v>
          </cell>
          <cell r="CS344">
            <v>1754.5</v>
          </cell>
          <cell r="CU344">
            <v>1240</v>
          </cell>
          <cell r="CW344">
            <v>41.082317073170735</v>
          </cell>
          <cell r="CX344">
            <v>625.14700000000005</v>
          </cell>
          <cell r="CZ344">
            <v>313.06</v>
          </cell>
          <cell r="DA344">
            <v>3882.3</v>
          </cell>
          <cell r="DB344">
            <v>12.14</v>
          </cell>
          <cell r="DC344">
            <v>329.35</v>
          </cell>
          <cell r="DD344">
            <v>125.8</v>
          </cell>
        </row>
        <row r="345">
          <cell r="A345">
            <v>39058</v>
          </cell>
          <cell r="C345">
            <v>103</v>
          </cell>
          <cell r="D345" t="str">
            <v>#N/A N/A</v>
          </cell>
          <cell r="E345">
            <v>18.510000000000002</v>
          </cell>
          <cell r="L345">
            <v>1410.3</v>
          </cell>
          <cell r="M345">
            <v>2427.69</v>
          </cell>
          <cell r="N345">
            <v>6131.5</v>
          </cell>
          <cell r="O345">
            <v>3853</v>
          </cell>
          <cell r="Q345">
            <v>520</v>
          </cell>
          <cell r="R345">
            <v>372.5</v>
          </cell>
          <cell r="S345">
            <v>495.75</v>
          </cell>
          <cell r="T345">
            <v>662</v>
          </cell>
          <cell r="U345">
            <v>16473.36</v>
          </cell>
          <cell r="V345">
            <v>18842.990000000002</v>
          </cell>
          <cell r="W345">
            <v>7686.52</v>
          </cell>
          <cell r="X345">
            <v>60.55</v>
          </cell>
          <cell r="Y345">
            <v>1060</v>
          </cell>
          <cell r="Z345">
            <v>1290</v>
          </cell>
          <cell r="AA345">
            <v>13972.03</v>
          </cell>
          <cell r="AB345">
            <v>5450.6</v>
          </cell>
          <cell r="AC345">
            <v>42909.289100000002</v>
          </cell>
          <cell r="AE345">
            <v>79.25</v>
          </cell>
          <cell r="AF345">
            <v>729.92</v>
          </cell>
          <cell r="AG345">
            <v>4323</v>
          </cell>
          <cell r="AH345">
            <v>790</v>
          </cell>
          <cell r="AI345">
            <v>1560</v>
          </cell>
          <cell r="AJ345">
            <v>614.42999999999995</v>
          </cell>
          <cell r="AL345">
            <v>1407.29</v>
          </cell>
          <cell r="AP345">
            <v>2156.75</v>
          </cell>
          <cell r="AV345">
            <v>49.42</v>
          </cell>
          <cell r="AZ345">
            <v>194.5</v>
          </cell>
          <cell r="BE345">
            <v>34425</v>
          </cell>
          <cell r="BG345">
            <v>50.05</v>
          </cell>
          <cell r="BH345">
            <v>272.60000000000002</v>
          </cell>
          <cell r="BY345">
            <v>480.56</v>
          </cell>
          <cell r="CD345">
            <v>363.7</v>
          </cell>
          <cell r="CE345">
            <v>359.82900000000001</v>
          </cell>
          <cell r="CF345">
            <v>363.08</v>
          </cell>
          <cell r="CG345">
            <v>1260</v>
          </cell>
          <cell r="CH345">
            <v>1090</v>
          </cell>
          <cell r="CI345">
            <v>138</v>
          </cell>
          <cell r="CJ345">
            <v>340</v>
          </cell>
          <cell r="CK345">
            <v>982</v>
          </cell>
          <cell r="CM345">
            <v>162.32</v>
          </cell>
          <cell r="CN345">
            <v>18.23</v>
          </cell>
          <cell r="CO345" t="str">
            <v>#N/A N/A</v>
          </cell>
          <cell r="CQ345">
            <v>7.56</v>
          </cell>
          <cell r="CR345">
            <v>64</v>
          </cell>
          <cell r="CS345">
            <v>1732.5</v>
          </cell>
          <cell r="CU345">
            <v>1240</v>
          </cell>
          <cell r="CW345">
            <v>41.387195121951223</v>
          </cell>
          <cell r="CX345">
            <v>624.8180000000001</v>
          </cell>
          <cell r="CZ345">
            <v>313.08</v>
          </cell>
          <cell r="DA345">
            <v>3845.3</v>
          </cell>
          <cell r="DB345">
            <v>11.98</v>
          </cell>
          <cell r="DC345">
            <v>329.35</v>
          </cell>
          <cell r="DD345">
            <v>125.9</v>
          </cell>
        </row>
        <row r="346">
          <cell r="A346">
            <v>39059</v>
          </cell>
          <cell r="C346">
            <v>103</v>
          </cell>
          <cell r="D346" t="str">
            <v>#N/A N/A</v>
          </cell>
          <cell r="E346">
            <v>18.45</v>
          </cell>
          <cell r="L346">
            <v>1390.43</v>
          </cell>
          <cell r="M346">
            <v>2437.36</v>
          </cell>
          <cell r="N346">
            <v>6152.4</v>
          </cell>
          <cell r="O346">
            <v>3848</v>
          </cell>
          <cell r="Q346">
            <v>520</v>
          </cell>
          <cell r="R346">
            <v>368.5</v>
          </cell>
          <cell r="S346">
            <v>485.75</v>
          </cell>
          <cell r="T346">
            <v>656</v>
          </cell>
          <cell r="U346">
            <v>16417.82</v>
          </cell>
          <cell r="V346">
            <v>18739.990000000002</v>
          </cell>
          <cell r="W346">
            <v>7636.3</v>
          </cell>
          <cell r="X346">
            <v>60.55</v>
          </cell>
          <cell r="Y346">
            <v>1130</v>
          </cell>
          <cell r="Z346">
            <v>1300</v>
          </cell>
          <cell r="AA346">
            <v>13799.49</v>
          </cell>
          <cell r="AB346">
            <v>5415.4</v>
          </cell>
          <cell r="AC346">
            <v>42977.578099999999</v>
          </cell>
          <cell r="AE346">
            <v>78.55</v>
          </cell>
          <cell r="AF346">
            <v>729.92</v>
          </cell>
          <cell r="AG346">
            <v>4294</v>
          </cell>
          <cell r="AH346">
            <v>790</v>
          </cell>
          <cell r="AI346">
            <v>1570</v>
          </cell>
          <cell r="AJ346">
            <v>608.39</v>
          </cell>
          <cell r="AL346">
            <v>1409.84</v>
          </cell>
          <cell r="AP346">
            <v>2093.6379999999999</v>
          </cell>
          <cell r="AV346">
            <v>48.65</v>
          </cell>
          <cell r="AZ346">
            <v>202</v>
          </cell>
          <cell r="BE346">
            <v>35125</v>
          </cell>
          <cell r="BG346">
            <v>50.75</v>
          </cell>
          <cell r="BH346">
            <v>273.58</v>
          </cell>
          <cell r="BY346">
            <v>477.38</v>
          </cell>
          <cell r="CD346">
            <v>363.68</v>
          </cell>
          <cell r="CE346">
            <v>360.017</v>
          </cell>
          <cell r="CF346">
            <v>358.28</v>
          </cell>
          <cell r="CG346">
            <v>1280</v>
          </cell>
          <cell r="CH346">
            <v>1130</v>
          </cell>
          <cell r="CI346">
            <v>138</v>
          </cell>
          <cell r="CJ346">
            <v>340</v>
          </cell>
          <cell r="CK346">
            <v>1014</v>
          </cell>
          <cell r="CM346">
            <v>161.71</v>
          </cell>
          <cell r="CN346">
            <v>18.600000000000001</v>
          </cell>
          <cell r="CO346" t="str">
            <v>#N/A N/A</v>
          </cell>
          <cell r="CQ346">
            <v>7.42</v>
          </cell>
          <cell r="CR346">
            <v>64</v>
          </cell>
          <cell r="CS346">
            <v>1759</v>
          </cell>
          <cell r="CU346">
            <v>1240</v>
          </cell>
          <cell r="CW346">
            <v>41.387195121951223</v>
          </cell>
          <cell r="CX346">
            <v>621.62199999999996</v>
          </cell>
          <cell r="CZ346">
            <v>312.38</v>
          </cell>
          <cell r="DA346">
            <v>3871.1</v>
          </cell>
          <cell r="DB346">
            <v>11.99</v>
          </cell>
          <cell r="DC346">
            <v>329.35</v>
          </cell>
          <cell r="DD346">
            <v>125.85</v>
          </cell>
        </row>
        <row r="347">
          <cell r="A347">
            <v>39060</v>
          </cell>
          <cell r="C347">
            <v>103</v>
          </cell>
          <cell r="D347" t="str">
            <v>#N/A N/A</v>
          </cell>
          <cell r="E347">
            <v>18.45</v>
          </cell>
          <cell r="L347">
            <v>1390.43</v>
          </cell>
          <cell r="M347">
            <v>2437.36</v>
          </cell>
          <cell r="N347">
            <v>6152.4</v>
          </cell>
          <cell r="O347">
            <v>3848</v>
          </cell>
          <cell r="Q347">
            <v>520</v>
          </cell>
          <cell r="R347">
            <v>368.5</v>
          </cell>
          <cell r="S347">
            <v>485.75</v>
          </cell>
          <cell r="T347">
            <v>656</v>
          </cell>
          <cell r="U347">
            <v>16417.82</v>
          </cell>
          <cell r="V347">
            <v>18739.990000000002</v>
          </cell>
          <cell r="W347">
            <v>7636.3</v>
          </cell>
          <cell r="X347">
            <v>60.55</v>
          </cell>
          <cell r="Y347">
            <v>1130</v>
          </cell>
          <cell r="Z347">
            <v>1300</v>
          </cell>
          <cell r="AA347">
            <v>13799.49</v>
          </cell>
          <cell r="AB347">
            <v>5415.4</v>
          </cell>
          <cell r="AC347">
            <v>42977.578099999999</v>
          </cell>
          <cell r="AE347">
            <v>78.55</v>
          </cell>
          <cell r="AF347">
            <v>729.92</v>
          </cell>
          <cell r="AG347">
            <v>4294</v>
          </cell>
          <cell r="AH347">
            <v>790</v>
          </cell>
          <cell r="AI347">
            <v>1570</v>
          </cell>
          <cell r="AJ347">
            <v>608.39</v>
          </cell>
          <cell r="AL347">
            <v>1409.84</v>
          </cell>
          <cell r="AP347">
            <v>2093.6379999999999</v>
          </cell>
          <cell r="AV347">
            <v>48.65</v>
          </cell>
          <cell r="AZ347">
            <v>202</v>
          </cell>
          <cell r="BE347">
            <v>35125</v>
          </cell>
          <cell r="BG347">
            <v>50.75</v>
          </cell>
          <cell r="BH347">
            <v>273.58</v>
          </cell>
          <cell r="BY347">
            <v>477.38</v>
          </cell>
          <cell r="CD347">
            <v>363.68</v>
          </cell>
          <cell r="CE347">
            <v>360.017</v>
          </cell>
          <cell r="CF347">
            <v>358.28</v>
          </cell>
          <cell r="CG347">
            <v>1280</v>
          </cell>
          <cell r="CH347">
            <v>1130</v>
          </cell>
          <cell r="CI347">
            <v>138</v>
          </cell>
          <cell r="CJ347">
            <v>340</v>
          </cell>
          <cell r="CK347">
            <v>1014</v>
          </cell>
          <cell r="CM347">
            <v>161.71</v>
          </cell>
          <cell r="CN347">
            <v>18.600000000000001</v>
          </cell>
          <cell r="CO347" t="str">
            <v>#N/A N/A</v>
          </cell>
          <cell r="CQ347">
            <v>7.42</v>
          </cell>
          <cell r="CR347">
            <v>64</v>
          </cell>
          <cell r="CS347">
            <v>1759</v>
          </cell>
          <cell r="CU347">
            <v>1240</v>
          </cell>
          <cell r="CW347">
            <v>41.387195121951223</v>
          </cell>
          <cell r="CX347">
            <v>621.62199999999996</v>
          </cell>
          <cell r="CZ347">
            <v>312.38</v>
          </cell>
          <cell r="DA347">
            <v>3871.1</v>
          </cell>
          <cell r="DB347">
            <v>11.99</v>
          </cell>
          <cell r="DC347">
            <v>329.35</v>
          </cell>
          <cell r="DD347">
            <v>125.85</v>
          </cell>
        </row>
        <row r="348">
          <cell r="A348">
            <v>39061</v>
          </cell>
          <cell r="C348">
            <v>103</v>
          </cell>
          <cell r="D348" t="str">
            <v>#N/A N/A</v>
          </cell>
          <cell r="E348">
            <v>18.45</v>
          </cell>
          <cell r="L348">
            <v>1390.43</v>
          </cell>
          <cell r="M348">
            <v>2437.36</v>
          </cell>
          <cell r="N348">
            <v>6152.4</v>
          </cell>
          <cell r="O348">
            <v>3848</v>
          </cell>
          <cell r="Q348">
            <v>520</v>
          </cell>
          <cell r="R348">
            <v>368.5</v>
          </cell>
          <cell r="S348">
            <v>485.75</v>
          </cell>
          <cell r="T348">
            <v>656</v>
          </cell>
          <cell r="U348">
            <v>16417.82</v>
          </cell>
          <cell r="V348">
            <v>18739.990000000002</v>
          </cell>
          <cell r="W348">
            <v>7636.3</v>
          </cell>
          <cell r="X348">
            <v>60.55</v>
          </cell>
          <cell r="Y348">
            <v>1130</v>
          </cell>
          <cell r="Z348">
            <v>1300</v>
          </cell>
          <cell r="AA348">
            <v>13799.49</v>
          </cell>
          <cell r="AB348">
            <v>5415.4</v>
          </cell>
          <cell r="AC348">
            <v>42977.578099999999</v>
          </cell>
          <cell r="AE348">
            <v>78.55</v>
          </cell>
          <cell r="AF348">
            <v>729.92</v>
          </cell>
          <cell r="AG348">
            <v>4294</v>
          </cell>
          <cell r="AH348">
            <v>790</v>
          </cell>
          <cell r="AI348">
            <v>1570</v>
          </cell>
          <cell r="AJ348">
            <v>608.39</v>
          </cell>
          <cell r="AL348">
            <v>1409.84</v>
          </cell>
          <cell r="AP348">
            <v>2093.6379999999999</v>
          </cell>
          <cell r="AV348">
            <v>48.65</v>
          </cell>
          <cell r="AZ348">
            <v>202</v>
          </cell>
          <cell r="BE348">
            <v>35125</v>
          </cell>
          <cell r="BG348">
            <v>50.75</v>
          </cell>
          <cell r="BH348">
            <v>273.58</v>
          </cell>
          <cell r="BY348">
            <v>477.38</v>
          </cell>
          <cell r="CD348">
            <v>363.68</v>
          </cell>
          <cell r="CE348">
            <v>360.017</v>
          </cell>
          <cell r="CF348">
            <v>358.28</v>
          </cell>
          <cell r="CG348">
            <v>1280</v>
          </cell>
          <cell r="CH348">
            <v>1130</v>
          </cell>
          <cell r="CI348">
            <v>138</v>
          </cell>
          <cell r="CJ348">
            <v>340</v>
          </cell>
          <cell r="CK348">
            <v>1014</v>
          </cell>
          <cell r="CM348">
            <v>161.71</v>
          </cell>
          <cell r="CN348">
            <v>18.600000000000001</v>
          </cell>
          <cell r="CO348" t="str">
            <v>#N/A N/A</v>
          </cell>
          <cell r="CQ348">
            <v>7.42</v>
          </cell>
          <cell r="CR348">
            <v>64</v>
          </cell>
          <cell r="CS348">
            <v>1759</v>
          </cell>
          <cell r="CU348">
            <v>1240</v>
          </cell>
          <cell r="CW348">
            <v>41.387195121951223</v>
          </cell>
          <cell r="CX348">
            <v>621.62199999999996</v>
          </cell>
          <cell r="CZ348">
            <v>312.38</v>
          </cell>
          <cell r="DA348">
            <v>3871.1</v>
          </cell>
          <cell r="DB348">
            <v>11.99</v>
          </cell>
          <cell r="DC348">
            <v>329.35</v>
          </cell>
          <cell r="DD348">
            <v>125.85</v>
          </cell>
        </row>
        <row r="349">
          <cell r="A349">
            <v>39062</v>
          </cell>
          <cell r="C349">
            <v>103</v>
          </cell>
          <cell r="D349" t="str">
            <v>#N/A N/A</v>
          </cell>
          <cell r="E349">
            <v>18.39</v>
          </cell>
          <cell r="L349">
            <v>1390.73</v>
          </cell>
          <cell r="M349">
            <v>2442.86</v>
          </cell>
          <cell r="N349">
            <v>6159.8</v>
          </cell>
          <cell r="O349">
            <v>3848</v>
          </cell>
          <cell r="Q349">
            <v>520</v>
          </cell>
          <cell r="R349">
            <v>370.75</v>
          </cell>
          <cell r="S349">
            <v>490</v>
          </cell>
          <cell r="T349">
            <v>666.75</v>
          </cell>
          <cell r="U349">
            <v>16527.990000000002</v>
          </cell>
          <cell r="V349">
            <v>18924.66</v>
          </cell>
          <cell r="W349">
            <v>7612.12</v>
          </cell>
          <cell r="X349">
            <v>60.05</v>
          </cell>
          <cell r="Y349">
            <v>1130</v>
          </cell>
          <cell r="Z349">
            <v>1300</v>
          </cell>
          <cell r="AA349">
            <v>13399.43</v>
          </cell>
          <cell r="AB349">
            <v>5455.5</v>
          </cell>
          <cell r="AC349">
            <v>43297.058599999997</v>
          </cell>
          <cell r="AE349">
            <v>78.2</v>
          </cell>
          <cell r="AF349">
            <v>729.92</v>
          </cell>
          <cell r="AG349">
            <v>4275</v>
          </cell>
          <cell r="AH349">
            <v>790</v>
          </cell>
          <cell r="AI349">
            <v>1570</v>
          </cell>
          <cell r="AJ349">
            <v>610.03</v>
          </cell>
          <cell r="AL349">
            <v>1413.04</v>
          </cell>
          <cell r="AP349">
            <v>2180.4960000000001</v>
          </cell>
          <cell r="AV349">
            <v>48.55</v>
          </cell>
          <cell r="AZ349">
            <v>203.5</v>
          </cell>
          <cell r="BE349">
            <v>34820</v>
          </cell>
          <cell r="BG349">
            <v>50.75</v>
          </cell>
          <cell r="BH349">
            <v>268.39</v>
          </cell>
          <cell r="BY349">
            <v>476.18</v>
          </cell>
          <cell r="CD349">
            <v>363.46</v>
          </cell>
          <cell r="CE349">
            <v>359.91399999999999</v>
          </cell>
          <cell r="CF349">
            <v>356.43</v>
          </cell>
          <cell r="CG349">
            <v>1280</v>
          </cell>
          <cell r="CH349">
            <v>1130</v>
          </cell>
          <cell r="CI349">
            <v>135</v>
          </cell>
          <cell r="CJ349">
            <v>330</v>
          </cell>
          <cell r="CK349">
            <v>1032</v>
          </cell>
          <cell r="CM349">
            <v>159.58000000000001</v>
          </cell>
          <cell r="CN349">
            <v>18.18</v>
          </cell>
          <cell r="CO349" t="str">
            <v>#N/A N/A</v>
          </cell>
          <cell r="CQ349">
            <v>6.82</v>
          </cell>
          <cell r="CR349">
            <v>64</v>
          </cell>
          <cell r="CS349">
            <v>1800</v>
          </cell>
          <cell r="CU349">
            <v>1240</v>
          </cell>
          <cell r="CW349">
            <v>41.539634146341463</v>
          </cell>
          <cell r="CX349">
            <v>623.12600000000009</v>
          </cell>
          <cell r="CZ349">
            <v>312.08</v>
          </cell>
          <cell r="DA349">
            <v>3871.3</v>
          </cell>
          <cell r="DB349">
            <v>11.83</v>
          </cell>
          <cell r="DC349">
            <v>329.35</v>
          </cell>
          <cell r="DD349">
            <v>128.65</v>
          </cell>
        </row>
        <row r="350">
          <cell r="A350">
            <v>39063</v>
          </cell>
          <cell r="C350">
            <v>103</v>
          </cell>
          <cell r="D350" t="str">
            <v>#N/A N/A</v>
          </cell>
          <cell r="E350">
            <v>17.98</v>
          </cell>
          <cell r="L350">
            <v>1376.98</v>
          </cell>
          <cell r="M350">
            <v>2431.6</v>
          </cell>
          <cell r="N350">
            <v>6156.4</v>
          </cell>
          <cell r="O350">
            <v>3854</v>
          </cell>
          <cell r="Q350">
            <v>520</v>
          </cell>
          <cell r="R350">
            <v>372.75</v>
          </cell>
          <cell r="S350">
            <v>482</v>
          </cell>
          <cell r="T350">
            <v>663</v>
          </cell>
          <cell r="U350">
            <v>16637.78</v>
          </cell>
          <cell r="V350">
            <v>18907.169999999998</v>
          </cell>
          <cell r="W350">
            <v>7458.56</v>
          </cell>
          <cell r="X350">
            <v>59.75</v>
          </cell>
          <cell r="Y350">
            <v>1130</v>
          </cell>
          <cell r="Z350">
            <v>1300</v>
          </cell>
          <cell r="AA350">
            <v>12995.02</v>
          </cell>
          <cell r="AB350">
            <v>5456.1</v>
          </cell>
          <cell r="AC350">
            <v>43018.449200000003</v>
          </cell>
          <cell r="AE350">
            <v>77.849999999999994</v>
          </cell>
          <cell r="AF350">
            <v>729.91</v>
          </cell>
          <cell r="AG350">
            <v>4270</v>
          </cell>
          <cell r="AH350">
            <v>790</v>
          </cell>
          <cell r="AI350">
            <v>1570</v>
          </cell>
          <cell r="AJ350">
            <v>597.46</v>
          </cell>
          <cell r="AL350">
            <v>1411.56</v>
          </cell>
          <cell r="AP350">
            <v>2218.951</v>
          </cell>
          <cell r="AV350">
            <v>48.08</v>
          </cell>
          <cell r="AZ350">
            <v>202.3</v>
          </cell>
          <cell r="BE350">
            <v>33620</v>
          </cell>
          <cell r="BG350">
            <v>50.75</v>
          </cell>
          <cell r="BH350">
            <v>264.97000000000003</v>
          </cell>
          <cell r="BY350">
            <v>472.83</v>
          </cell>
          <cell r="CD350">
            <v>363.79</v>
          </cell>
          <cell r="CE350">
            <v>360.495</v>
          </cell>
          <cell r="CF350">
            <v>352.75</v>
          </cell>
          <cell r="CG350">
            <v>1280</v>
          </cell>
          <cell r="CH350">
            <v>1130</v>
          </cell>
          <cell r="CI350">
            <v>135</v>
          </cell>
          <cell r="CJ350">
            <v>330</v>
          </cell>
          <cell r="CK350">
            <v>1107</v>
          </cell>
          <cell r="CM350">
            <v>159.69999999999999</v>
          </cell>
          <cell r="CN350">
            <v>17.559999999999999</v>
          </cell>
          <cell r="CO350" t="str">
            <v>#N/A N/A</v>
          </cell>
          <cell r="CQ350">
            <v>6.96</v>
          </cell>
          <cell r="CR350">
            <v>64</v>
          </cell>
          <cell r="CS350">
            <v>1765</v>
          </cell>
          <cell r="CU350">
            <v>1240</v>
          </cell>
          <cell r="CW350">
            <v>41.539634146341463</v>
          </cell>
          <cell r="CX350">
            <v>622.23300000000006</v>
          </cell>
          <cell r="CZ350">
            <v>310.83</v>
          </cell>
          <cell r="DA350">
            <v>3836</v>
          </cell>
          <cell r="DB350">
            <v>12.14</v>
          </cell>
          <cell r="DC350">
            <v>329.35</v>
          </cell>
          <cell r="DD350">
            <v>127.75</v>
          </cell>
        </row>
        <row r="351">
          <cell r="A351">
            <v>39064</v>
          </cell>
          <cell r="C351">
            <v>103</v>
          </cell>
          <cell r="D351" t="str">
            <v>#N/A N/A</v>
          </cell>
          <cell r="E351">
            <v>17.829999999999998</v>
          </cell>
          <cell r="L351">
            <v>1383.28</v>
          </cell>
          <cell r="M351">
            <v>2432.41</v>
          </cell>
          <cell r="N351">
            <v>6192.5</v>
          </cell>
          <cell r="O351">
            <v>3854</v>
          </cell>
          <cell r="Q351">
            <v>520</v>
          </cell>
          <cell r="R351">
            <v>368.25</v>
          </cell>
          <cell r="S351">
            <v>488.5</v>
          </cell>
          <cell r="T351">
            <v>661</v>
          </cell>
          <cell r="U351">
            <v>16692.93</v>
          </cell>
          <cell r="V351">
            <v>18718.189999999999</v>
          </cell>
          <cell r="W351">
            <v>7450.3</v>
          </cell>
          <cell r="X351">
            <v>59.4</v>
          </cell>
          <cell r="Y351">
            <v>1130</v>
          </cell>
          <cell r="Z351">
            <v>1300</v>
          </cell>
          <cell r="AA351">
            <v>13181.34</v>
          </cell>
          <cell r="AB351">
            <v>5471.4</v>
          </cell>
          <cell r="AC351">
            <v>43284.519500000002</v>
          </cell>
          <cell r="AE351">
            <v>75.95</v>
          </cell>
          <cell r="AF351">
            <v>729.91</v>
          </cell>
          <cell r="AG351">
            <v>4294</v>
          </cell>
          <cell r="AH351">
            <v>790</v>
          </cell>
          <cell r="AI351">
            <v>1570</v>
          </cell>
          <cell r="AJ351">
            <v>598.35</v>
          </cell>
          <cell r="AL351">
            <v>1413.21</v>
          </cell>
          <cell r="AP351">
            <v>2223.4549999999999</v>
          </cell>
          <cell r="AV351">
            <v>48.47</v>
          </cell>
          <cell r="AZ351">
            <v>195.5</v>
          </cell>
          <cell r="BE351">
            <v>34100</v>
          </cell>
          <cell r="BG351">
            <v>50.75</v>
          </cell>
          <cell r="BH351">
            <v>265.86</v>
          </cell>
          <cell r="BY351">
            <v>467.01</v>
          </cell>
          <cell r="CD351">
            <v>364.56</v>
          </cell>
          <cell r="CE351">
            <v>361.30200000000002</v>
          </cell>
          <cell r="CF351">
            <v>352.99</v>
          </cell>
          <cell r="CG351">
            <v>1280</v>
          </cell>
          <cell r="CH351">
            <v>1130</v>
          </cell>
          <cell r="CI351">
            <v>135</v>
          </cell>
          <cell r="CJ351">
            <v>330</v>
          </cell>
          <cell r="CK351">
            <v>1207</v>
          </cell>
          <cell r="CM351">
            <v>162.21</v>
          </cell>
          <cell r="CN351">
            <v>17.16</v>
          </cell>
          <cell r="CO351" t="str">
            <v>#N/A N/A</v>
          </cell>
          <cell r="CQ351">
            <v>7.22</v>
          </cell>
          <cell r="CR351">
            <v>65</v>
          </cell>
          <cell r="CS351">
            <v>1670.5</v>
          </cell>
          <cell r="CU351">
            <v>1240</v>
          </cell>
          <cell r="CW351">
            <v>40.47256097560976</v>
          </cell>
          <cell r="CX351">
            <v>620.68200000000002</v>
          </cell>
          <cell r="CZ351">
            <v>311.55</v>
          </cell>
          <cell r="DA351">
            <v>3792.5</v>
          </cell>
          <cell r="DB351">
            <v>11.98</v>
          </cell>
          <cell r="DC351">
            <v>329.35</v>
          </cell>
          <cell r="DD351">
            <v>128.85</v>
          </cell>
        </row>
        <row r="352">
          <cell r="A352">
            <v>39065</v>
          </cell>
          <cell r="C352">
            <v>103</v>
          </cell>
          <cell r="D352" t="str">
            <v>#N/A N/A</v>
          </cell>
          <cell r="E352">
            <v>17.89</v>
          </cell>
          <cell r="L352">
            <v>1418.38</v>
          </cell>
          <cell r="M352">
            <v>2453.85</v>
          </cell>
          <cell r="N352">
            <v>6228</v>
          </cell>
          <cell r="O352">
            <v>3854</v>
          </cell>
          <cell r="Q352">
            <v>520</v>
          </cell>
          <cell r="R352">
            <v>371.75</v>
          </cell>
          <cell r="S352">
            <v>491.5</v>
          </cell>
          <cell r="T352">
            <v>662.75</v>
          </cell>
          <cell r="U352">
            <v>16829.2</v>
          </cell>
          <cell r="V352">
            <v>18919.400000000001</v>
          </cell>
          <cell r="W352">
            <v>7480.41</v>
          </cell>
          <cell r="X352">
            <v>60.3</v>
          </cell>
          <cell r="Y352">
            <v>1130</v>
          </cell>
          <cell r="Z352">
            <v>1300</v>
          </cell>
          <cell r="AA352">
            <v>13487.16</v>
          </cell>
          <cell r="AB352">
            <v>5550.9</v>
          </cell>
          <cell r="AC352">
            <v>43754.558599999997</v>
          </cell>
          <cell r="AE352">
            <v>77.55</v>
          </cell>
          <cell r="AF352">
            <v>729.91</v>
          </cell>
          <cell r="AG352">
            <v>4307</v>
          </cell>
          <cell r="AH352">
            <v>790</v>
          </cell>
          <cell r="AI352">
            <v>1570</v>
          </cell>
          <cell r="AJ352">
            <v>605.89</v>
          </cell>
          <cell r="AL352">
            <v>1425.49</v>
          </cell>
          <cell r="AP352">
            <v>2249.11</v>
          </cell>
          <cell r="AV352">
            <v>49.99</v>
          </cell>
          <cell r="AZ352">
            <v>197.4</v>
          </cell>
          <cell r="BE352">
            <v>35635</v>
          </cell>
          <cell r="BG352">
            <v>50.75</v>
          </cell>
          <cell r="BH352">
            <v>264.69</v>
          </cell>
          <cell r="BY352">
            <v>475.71</v>
          </cell>
          <cell r="CD352">
            <v>366.96</v>
          </cell>
          <cell r="CE352">
            <v>363.50799999999998</v>
          </cell>
          <cell r="CF352">
            <v>358.11</v>
          </cell>
          <cell r="CG352">
            <v>1280</v>
          </cell>
          <cell r="CH352">
            <v>1130</v>
          </cell>
          <cell r="CI352">
            <v>135</v>
          </cell>
          <cell r="CJ352">
            <v>330</v>
          </cell>
          <cell r="CK352">
            <v>1366</v>
          </cell>
          <cell r="CM352">
            <v>167.01</v>
          </cell>
          <cell r="CN352">
            <v>16.98</v>
          </cell>
          <cell r="CO352" t="str">
            <v>#N/A N/A</v>
          </cell>
          <cell r="CQ352">
            <v>7.23</v>
          </cell>
          <cell r="CR352">
            <v>65</v>
          </cell>
          <cell r="CS352">
            <v>1699</v>
          </cell>
          <cell r="CU352">
            <v>1240</v>
          </cell>
          <cell r="CW352">
            <v>40.625</v>
          </cell>
          <cell r="CX352">
            <v>618.28499999999997</v>
          </cell>
          <cell r="CZ352">
            <v>314.39999999999998</v>
          </cell>
          <cell r="DA352">
            <v>3855.3</v>
          </cell>
          <cell r="DB352">
            <v>11.87</v>
          </cell>
          <cell r="DC352">
            <v>329.35</v>
          </cell>
          <cell r="DD352">
            <v>128.9</v>
          </cell>
        </row>
        <row r="353">
          <cell r="A353">
            <v>39066</v>
          </cell>
          <cell r="C353">
            <v>103</v>
          </cell>
          <cell r="D353" t="str">
            <v>#N/A N/A</v>
          </cell>
          <cell r="E353">
            <v>17.850000000000001</v>
          </cell>
          <cell r="L353">
            <v>1421.87</v>
          </cell>
          <cell r="M353">
            <v>2457.1999999999998</v>
          </cell>
          <cell r="N353">
            <v>6260</v>
          </cell>
          <cell r="O353">
            <v>3859</v>
          </cell>
          <cell r="Q353">
            <v>520</v>
          </cell>
          <cell r="R353">
            <v>369</v>
          </cell>
          <cell r="S353">
            <v>494.25</v>
          </cell>
          <cell r="T353">
            <v>657.5</v>
          </cell>
          <cell r="U353">
            <v>16914.310000000001</v>
          </cell>
          <cell r="V353">
            <v>19110.650000000001</v>
          </cell>
          <cell r="W353">
            <v>7538.82</v>
          </cell>
          <cell r="X353">
            <v>61.05</v>
          </cell>
          <cell r="Y353">
            <v>1150</v>
          </cell>
          <cell r="Z353">
            <v>1310</v>
          </cell>
          <cell r="AA353">
            <v>13614.52</v>
          </cell>
          <cell r="AB353">
            <v>5557</v>
          </cell>
          <cell r="AC353">
            <v>43595.699200000003</v>
          </cell>
          <cell r="AE353">
            <v>79.25</v>
          </cell>
          <cell r="AF353">
            <v>729.91</v>
          </cell>
          <cell r="AG353">
            <v>4318</v>
          </cell>
          <cell r="AH353">
            <v>810</v>
          </cell>
          <cell r="AI353">
            <v>1630</v>
          </cell>
          <cell r="AJ353">
            <v>612.29</v>
          </cell>
          <cell r="AL353">
            <v>1427.09</v>
          </cell>
          <cell r="AP353">
            <v>2273.9079999999999</v>
          </cell>
          <cell r="AV353">
            <v>49.89</v>
          </cell>
          <cell r="AZ353">
            <v>196.9</v>
          </cell>
          <cell r="BE353">
            <v>35260</v>
          </cell>
          <cell r="BG353">
            <v>51.75</v>
          </cell>
          <cell r="BH353">
            <v>265.08999999999997</v>
          </cell>
          <cell r="BY353">
            <v>475.84</v>
          </cell>
          <cell r="CD353">
            <v>367.13</v>
          </cell>
          <cell r="CE353">
            <v>363.51600000000002</v>
          </cell>
          <cell r="CF353">
            <v>360.37</v>
          </cell>
          <cell r="CG353">
            <v>1290</v>
          </cell>
          <cell r="CH353">
            <v>1130</v>
          </cell>
          <cell r="CI353">
            <v>135</v>
          </cell>
          <cell r="CJ353">
            <v>330</v>
          </cell>
          <cell r="CK353">
            <v>1425</v>
          </cell>
          <cell r="CM353">
            <v>170.39</v>
          </cell>
          <cell r="CN353">
            <v>17.12</v>
          </cell>
          <cell r="CO353" t="str">
            <v>#N/A N/A</v>
          </cell>
          <cell r="CQ353">
            <v>6.82</v>
          </cell>
          <cell r="CR353">
            <v>65</v>
          </cell>
          <cell r="CS353">
            <v>1687.5</v>
          </cell>
          <cell r="CU353">
            <v>1140</v>
          </cell>
          <cell r="CW353">
            <v>41.234756097560975</v>
          </cell>
          <cell r="CX353">
            <v>614.57199999999989</v>
          </cell>
          <cell r="CZ353">
            <v>313.33999999999997</v>
          </cell>
          <cell r="DA353">
            <v>3791.2</v>
          </cell>
          <cell r="DB353">
            <v>12.1</v>
          </cell>
          <cell r="DC353">
            <v>329.35</v>
          </cell>
          <cell r="DD353">
            <v>125.4</v>
          </cell>
        </row>
        <row r="354">
          <cell r="A354">
            <v>39067</v>
          </cell>
          <cell r="C354">
            <v>103</v>
          </cell>
          <cell r="D354" t="str">
            <v>#N/A N/A</v>
          </cell>
          <cell r="E354">
            <v>17.850000000000001</v>
          </cell>
          <cell r="L354">
            <v>1421.87</v>
          </cell>
          <cell r="M354">
            <v>2457.1999999999998</v>
          </cell>
          <cell r="N354">
            <v>6260</v>
          </cell>
          <cell r="O354">
            <v>3859</v>
          </cell>
          <cell r="Q354">
            <v>520</v>
          </cell>
          <cell r="R354">
            <v>369</v>
          </cell>
          <cell r="S354">
            <v>494.25</v>
          </cell>
          <cell r="T354">
            <v>657.5</v>
          </cell>
          <cell r="U354">
            <v>16914.310000000001</v>
          </cell>
          <cell r="V354">
            <v>19110.650000000001</v>
          </cell>
          <cell r="W354">
            <v>7538.82</v>
          </cell>
          <cell r="X354">
            <v>61.05</v>
          </cell>
          <cell r="Y354">
            <v>1150</v>
          </cell>
          <cell r="Z354">
            <v>1310</v>
          </cell>
          <cell r="AA354">
            <v>13614.52</v>
          </cell>
          <cell r="AB354">
            <v>5557</v>
          </cell>
          <cell r="AC354">
            <v>43595.699200000003</v>
          </cell>
          <cell r="AE354">
            <v>79.25</v>
          </cell>
          <cell r="AF354">
            <v>729.91</v>
          </cell>
          <cell r="AG354">
            <v>4318</v>
          </cell>
          <cell r="AH354">
            <v>810</v>
          </cell>
          <cell r="AI354">
            <v>1630</v>
          </cell>
          <cell r="AJ354">
            <v>612.29</v>
          </cell>
          <cell r="AL354">
            <v>1427.09</v>
          </cell>
          <cell r="AP354">
            <v>2273.9079999999999</v>
          </cell>
          <cell r="AV354">
            <v>49.89</v>
          </cell>
          <cell r="AZ354">
            <v>196.9</v>
          </cell>
          <cell r="BE354">
            <v>35260</v>
          </cell>
          <cell r="BG354">
            <v>51.75</v>
          </cell>
          <cell r="BH354">
            <v>265.08999999999997</v>
          </cell>
          <cell r="BY354">
            <v>475.84</v>
          </cell>
          <cell r="CD354">
            <v>367.13</v>
          </cell>
          <cell r="CE354">
            <v>363.51600000000002</v>
          </cell>
          <cell r="CF354">
            <v>360.37</v>
          </cell>
          <cell r="CG354">
            <v>1290</v>
          </cell>
          <cell r="CH354">
            <v>1130</v>
          </cell>
          <cell r="CI354">
            <v>135</v>
          </cell>
          <cell r="CJ354">
            <v>330</v>
          </cell>
          <cell r="CK354">
            <v>1425</v>
          </cell>
          <cell r="CM354">
            <v>170.39</v>
          </cell>
          <cell r="CN354">
            <v>17.12</v>
          </cell>
          <cell r="CO354" t="str">
            <v>#N/A N/A</v>
          </cell>
          <cell r="CQ354">
            <v>6.82</v>
          </cell>
          <cell r="CR354">
            <v>65</v>
          </cell>
          <cell r="CS354">
            <v>1687.5</v>
          </cell>
          <cell r="CU354">
            <v>1140</v>
          </cell>
          <cell r="CW354">
            <v>41.234756097560975</v>
          </cell>
          <cell r="CX354">
            <v>614.57199999999989</v>
          </cell>
          <cell r="CZ354">
            <v>313.33999999999997</v>
          </cell>
          <cell r="DA354">
            <v>3791.2</v>
          </cell>
          <cell r="DB354">
            <v>12.1</v>
          </cell>
          <cell r="DC354">
            <v>329.35</v>
          </cell>
          <cell r="DD354">
            <v>125.4</v>
          </cell>
        </row>
        <row r="355">
          <cell r="A355">
            <v>39068</v>
          </cell>
          <cell r="C355">
            <v>103</v>
          </cell>
          <cell r="D355" t="str">
            <v>#N/A N/A</v>
          </cell>
          <cell r="E355">
            <v>17.850000000000001</v>
          </cell>
          <cell r="L355">
            <v>1421.87</v>
          </cell>
          <cell r="M355">
            <v>2457.1999999999998</v>
          </cell>
          <cell r="N355">
            <v>6260</v>
          </cell>
          <cell r="O355">
            <v>3859</v>
          </cell>
          <cell r="Q355">
            <v>520</v>
          </cell>
          <cell r="R355">
            <v>369</v>
          </cell>
          <cell r="S355">
            <v>494.25</v>
          </cell>
          <cell r="T355">
            <v>657.5</v>
          </cell>
          <cell r="U355">
            <v>16914.310000000001</v>
          </cell>
          <cell r="V355">
            <v>19110.650000000001</v>
          </cell>
          <cell r="W355">
            <v>7538.82</v>
          </cell>
          <cell r="X355">
            <v>61.05</v>
          </cell>
          <cell r="Y355">
            <v>1150</v>
          </cell>
          <cell r="Z355">
            <v>1310</v>
          </cell>
          <cell r="AA355">
            <v>13614.52</v>
          </cell>
          <cell r="AB355">
            <v>5557</v>
          </cell>
          <cell r="AC355">
            <v>43595.699200000003</v>
          </cell>
          <cell r="AE355">
            <v>79.25</v>
          </cell>
          <cell r="AF355">
            <v>729.91</v>
          </cell>
          <cell r="AG355">
            <v>4318</v>
          </cell>
          <cell r="AH355">
            <v>810</v>
          </cell>
          <cell r="AI355">
            <v>1630</v>
          </cell>
          <cell r="AJ355">
            <v>612.29</v>
          </cell>
          <cell r="AL355">
            <v>1427.09</v>
          </cell>
          <cell r="AP355">
            <v>2273.9079999999999</v>
          </cell>
          <cell r="AV355">
            <v>49.89</v>
          </cell>
          <cell r="AZ355">
            <v>196.9</v>
          </cell>
          <cell r="BE355">
            <v>35260</v>
          </cell>
          <cell r="BG355">
            <v>51.75</v>
          </cell>
          <cell r="BH355">
            <v>265.08999999999997</v>
          </cell>
          <cell r="BY355">
            <v>475.84</v>
          </cell>
          <cell r="CD355">
            <v>367.13</v>
          </cell>
          <cell r="CE355">
            <v>363.51600000000002</v>
          </cell>
          <cell r="CF355">
            <v>360.37</v>
          </cell>
          <cell r="CG355">
            <v>1290</v>
          </cell>
          <cell r="CH355">
            <v>1130</v>
          </cell>
          <cell r="CI355">
            <v>135</v>
          </cell>
          <cell r="CJ355">
            <v>330</v>
          </cell>
          <cell r="CK355">
            <v>1425</v>
          </cell>
          <cell r="CM355">
            <v>170.39</v>
          </cell>
          <cell r="CN355">
            <v>17.12</v>
          </cell>
          <cell r="CO355" t="str">
            <v>#N/A N/A</v>
          </cell>
          <cell r="CQ355">
            <v>6.82</v>
          </cell>
          <cell r="CR355">
            <v>65</v>
          </cell>
          <cell r="CS355">
            <v>1687.5</v>
          </cell>
          <cell r="CU355">
            <v>1140</v>
          </cell>
          <cell r="CW355">
            <v>41.234756097560975</v>
          </cell>
          <cell r="CX355">
            <v>614.57199999999989</v>
          </cell>
          <cell r="CZ355">
            <v>313.33999999999997</v>
          </cell>
          <cell r="DA355">
            <v>3791.2</v>
          </cell>
          <cell r="DB355">
            <v>12.1</v>
          </cell>
          <cell r="DC355">
            <v>329.35</v>
          </cell>
          <cell r="DD355">
            <v>125.4</v>
          </cell>
        </row>
        <row r="356">
          <cell r="A356">
            <v>39069</v>
          </cell>
          <cell r="C356">
            <v>103</v>
          </cell>
          <cell r="D356" t="str">
            <v>#N/A N/A</v>
          </cell>
          <cell r="E356">
            <v>17.760000000000002</v>
          </cell>
          <cell r="L356">
            <v>1433.23</v>
          </cell>
          <cell r="M356">
            <v>2435.5700000000002</v>
          </cell>
          <cell r="N356">
            <v>6247.4</v>
          </cell>
          <cell r="O356">
            <v>3859</v>
          </cell>
          <cell r="Q356">
            <v>520</v>
          </cell>
          <cell r="R356">
            <v>365.75</v>
          </cell>
          <cell r="S356">
            <v>487.5</v>
          </cell>
          <cell r="T356">
            <v>648</v>
          </cell>
          <cell r="U356">
            <v>16962.11</v>
          </cell>
          <cell r="V356">
            <v>19192.91</v>
          </cell>
          <cell r="W356">
            <v>7624.62</v>
          </cell>
          <cell r="X356">
            <v>60.45</v>
          </cell>
          <cell r="Y356">
            <v>1150</v>
          </cell>
          <cell r="Z356">
            <v>1310</v>
          </cell>
          <cell r="AA356">
            <v>13731.09</v>
          </cell>
          <cell r="AB356">
            <v>5572.2</v>
          </cell>
          <cell r="AC356">
            <v>43508.730499999998</v>
          </cell>
          <cell r="AE356">
            <v>78.400000000000006</v>
          </cell>
          <cell r="AF356">
            <v>729.91</v>
          </cell>
          <cell r="AG356">
            <v>4324</v>
          </cell>
          <cell r="AH356">
            <v>810</v>
          </cell>
          <cell r="AI356">
            <v>1630</v>
          </cell>
          <cell r="AJ356">
            <v>616.59</v>
          </cell>
          <cell r="AL356">
            <v>1422.48</v>
          </cell>
          <cell r="AP356">
            <v>2332.4340000000002</v>
          </cell>
          <cell r="AV356">
            <v>49.71</v>
          </cell>
          <cell r="AZ356">
            <v>202.7</v>
          </cell>
          <cell r="BE356">
            <v>34735</v>
          </cell>
          <cell r="BG356">
            <v>51.75</v>
          </cell>
          <cell r="BH356">
            <v>258.67</v>
          </cell>
          <cell r="BY356">
            <v>476.43</v>
          </cell>
          <cell r="CD356">
            <v>366.39</v>
          </cell>
          <cell r="CE356">
            <v>362.584</v>
          </cell>
          <cell r="CF356">
            <v>363.09</v>
          </cell>
          <cell r="CG356">
            <v>1290</v>
          </cell>
          <cell r="CH356">
            <v>1130</v>
          </cell>
          <cell r="CI356">
            <v>135</v>
          </cell>
          <cell r="CJ356">
            <v>330</v>
          </cell>
          <cell r="CK356">
            <v>1442</v>
          </cell>
          <cell r="CM356">
            <v>167.49</v>
          </cell>
          <cell r="CN356">
            <v>17.29</v>
          </cell>
          <cell r="CO356" t="str">
            <v>#N/A N/A</v>
          </cell>
          <cell r="CQ356">
            <v>6.48</v>
          </cell>
          <cell r="CR356">
            <v>65</v>
          </cell>
          <cell r="CS356">
            <v>1708</v>
          </cell>
          <cell r="CU356">
            <v>1140</v>
          </cell>
          <cell r="CW356">
            <v>41.310975609756099</v>
          </cell>
          <cell r="CX356">
            <v>614.38400000000001</v>
          </cell>
          <cell r="CZ356">
            <v>310.39</v>
          </cell>
          <cell r="DA356">
            <v>3794.2</v>
          </cell>
          <cell r="DB356">
            <v>12.74</v>
          </cell>
          <cell r="DC356">
            <v>329.35</v>
          </cell>
          <cell r="DD356">
            <v>124.45</v>
          </cell>
        </row>
        <row r="357">
          <cell r="A357">
            <v>39070</v>
          </cell>
          <cell r="C357">
            <v>103</v>
          </cell>
          <cell r="D357" t="str">
            <v>#N/A N/A</v>
          </cell>
          <cell r="E357">
            <v>16.86</v>
          </cell>
          <cell r="L357">
            <v>1427.76</v>
          </cell>
          <cell r="M357">
            <v>2429.5500000000002</v>
          </cell>
          <cell r="N357">
            <v>6203.9</v>
          </cell>
          <cell r="O357">
            <v>3859</v>
          </cell>
          <cell r="Q357">
            <v>520</v>
          </cell>
          <cell r="R357">
            <v>373</v>
          </cell>
          <cell r="S357">
            <v>492</v>
          </cell>
          <cell r="T357">
            <v>653.5</v>
          </cell>
          <cell r="U357">
            <v>16776.88</v>
          </cell>
          <cell r="V357">
            <v>18964.55</v>
          </cell>
          <cell r="W357">
            <v>7598.88</v>
          </cell>
          <cell r="X357">
            <v>60.05</v>
          </cell>
          <cell r="Y357">
            <v>1150</v>
          </cell>
          <cell r="Z357">
            <v>1310</v>
          </cell>
          <cell r="AA357">
            <v>13382.01</v>
          </cell>
          <cell r="AB357">
            <v>5541.6</v>
          </cell>
          <cell r="AC357">
            <v>43589.718800000002</v>
          </cell>
          <cell r="AE357">
            <v>77.45</v>
          </cell>
          <cell r="AF357">
            <v>730</v>
          </cell>
          <cell r="AG357">
            <v>4330</v>
          </cell>
          <cell r="AH357">
            <v>810</v>
          </cell>
          <cell r="AI357">
            <v>1630</v>
          </cell>
          <cell r="AJ357">
            <v>613.42999999999995</v>
          </cell>
          <cell r="AL357">
            <v>1425.55</v>
          </cell>
          <cell r="AP357">
            <v>2364.1770000000001</v>
          </cell>
          <cell r="AV357">
            <v>49.52</v>
          </cell>
          <cell r="AZ357">
            <v>209</v>
          </cell>
          <cell r="BE357">
            <v>34185</v>
          </cell>
          <cell r="BG357">
            <v>51.75</v>
          </cell>
          <cell r="BH357">
            <v>259.35000000000002</v>
          </cell>
          <cell r="BY357">
            <v>469.7</v>
          </cell>
          <cell r="CD357">
            <v>365.92</v>
          </cell>
          <cell r="CE357">
            <v>362.57400000000001</v>
          </cell>
          <cell r="CF357">
            <v>356.34</v>
          </cell>
          <cell r="CG357">
            <v>1290</v>
          </cell>
          <cell r="CH357">
            <v>1130</v>
          </cell>
          <cell r="CI357">
            <v>135</v>
          </cell>
          <cell r="CJ357">
            <v>330</v>
          </cell>
          <cell r="CK357">
            <v>1456</v>
          </cell>
          <cell r="CM357">
            <v>171.06</v>
          </cell>
          <cell r="CN357">
            <v>17.239999999999998</v>
          </cell>
          <cell r="CO357" t="str">
            <v>#N/A N/A</v>
          </cell>
          <cell r="CQ357">
            <v>6.28</v>
          </cell>
          <cell r="CR357">
            <v>65</v>
          </cell>
          <cell r="CS357">
            <v>1663.5</v>
          </cell>
          <cell r="CU357">
            <v>1140</v>
          </cell>
          <cell r="CW357">
            <v>40.777439024390247</v>
          </cell>
          <cell r="CX357">
            <v>620.30599999999993</v>
          </cell>
          <cell r="CZ357">
            <v>312.45999999999998</v>
          </cell>
          <cell r="DA357">
            <v>3779.8</v>
          </cell>
          <cell r="DB357">
            <v>12.82</v>
          </cell>
          <cell r="DC357">
            <v>329.35</v>
          </cell>
          <cell r="DD357">
            <v>123</v>
          </cell>
        </row>
        <row r="358">
          <cell r="A358">
            <v>39071</v>
          </cell>
          <cell r="C358">
            <v>103</v>
          </cell>
          <cell r="D358" t="str">
            <v>#N/A N/A</v>
          </cell>
          <cell r="E358">
            <v>16.399999999999999</v>
          </cell>
          <cell r="L358">
            <v>1442.28</v>
          </cell>
          <cell r="M358">
            <v>2427.61</v>
          </cell>
          <cell r="N358">
            <v>6198.6</v>
          </cell>
          <cell r="O358">
            <v>3859</v>
          </cell>
          <cell r="Q358">
            <v>520</v>
          </cell>
          <cell r="R358">
            <v>372.75</v>
          </cell>
          <cell r="S358">
            <v>493.75</v>
          </cell>
          <cell r="T358">
            <v>648.25</v>
          </cell>
          <cell r="U358">
            <v>17011.04</v>
          </cell>
          <cell r="V358">
            <v>19240.12</v>
          </cell>
          <cell r="W358">
            <v>7648.35</v>
          </cell>
          <cell r="X358">
            <v>60.85</v>
          </cell>
          <cell r="Y358">
            <v>1150</v>
          </cell>
          <cell r="Z358">
            <v>1310</v>
          </cell>
          <cell r="AA358">
            <v>13340.21</v>
          </cell>
          <cell r="AB358">
            <v>5586.9</v>
          </cell>
          <cell r="AC358">
            <v>43502.359400000001</v>
          </cell>
          <cell r="AE358">
            <v>77.349999999999994</v>
          </cell>
          <cell r="AF358">
            <v>730</v>
          </cell>
          <cell r="AG358">
            <v>4336</v>
          </cell>
          <cell r="AH358">
            <v>810</v>
          </cell>
          <cell r="AI358">
            <v>1630</v>
          </cell>
          <cell r="AJ358">
            <v>614.27</v>
          </cell>
          <cell r="AL358">
            <v>1423.53</v>
          </cell>
          <cell r="AP358">
            <v>2373.2049999999999</v>
          </cell>
          <cell r="AV358">
            <v>49.73</v>
          </cell>
          <cell r="AZ358">
            <v>213.3</v>
          </cell>
          <cell r="BE358">
            <v>33395</v>
          </cell>
          <cell r="BG358">
            <v>51.75</v>
          </cell>
          <cell r="BH358">
            <v>257.39999999999998</v>
          </cell>
          <cell r="BY358">
            <v>472.88</v>
          </cell>
          <cell r="CD358">
            <v>367.15</v>
          </cell>
          <cell r="CE358">
            <v>363.51100000000002</v>
          </cell>
          <cell r="CF358">
            <v>361.98</v>
          </cell>
          <cell r="CG358">
            <v>1290</v>
          </cell>
          <cell r="CH358">
            <v>1130</v>
          </cell>
          <cell r="CI358">
            <v>135</v>
          </cell>
          <cell r="CJ358">
            <v>330</v>
          </cell>
          <cell r="CK358">
            <v>1457</v>
          </cell>
          <cell r="CM358">
            <v>169.3</v>
          </cell>
          <cell r="CN358">
            <v>17.05</v>
          </cell>
          <cell r="CO358" t="str">
            <v>#N/A N/A</v>
          </cell>
          <cell r="CQ358">
            <v>6.44</v>
          </cell>
          <cell r="CR358">
            <v>72</v>
          </cell>
          <cell r="CS358">
            <v>1643</v>
          </cell>
          <cell r="CU358">
            <v>1140</v>
          </cell>
          <cell r="CW358">
            <v>41.158536585365859</v>
          </cell>
          <cell r="CX358">
            <v>618.80200000000002</v>
          </cell>
          <cell r="CZ358">
            <v>311.01</v>
          </cell>
          <cell r="DA358">
            <v>3715.5</v>
          </cell>
          <cell r="DB358">
            <v>12.8</v>
          </cell>
          <cell r="DC358">
            <v>329.35</v>
          </cell>
          <cell r="DD358">
            <v>126.75</v>
          </cell>
        </row>
        <row r="359">
          <cell r="A359">
            <v>39072</v>
          </cell>
          <cell r="C359">
            <v>103</v>
          </cell>
          <cell r="D359" t="str">
            <v>#N/A N/A</v>
          </cell>
          <cell r="E359">
            <v>16.12</v>
          </cell>
          <cell r="L359">
            <v>1436.47</v>
          </cell>
          <cell r="M359">
            <v>2415.85</v>
          </cell>
          <cell r="N359">
            <v>6183.7</v>
          </cell>
          <cell r="O359">
            <v>3859</v>
          </cell>
          <cell r="Q359">
            <v>520</v>
          </cell>
          <cell r="R359">
            <v>377.75</v>
          </cell>
          <cell r="S359">
            <v>503.25</v>
          </cell>
          <cell r="T359">
            <v>650.25</v>
          </cell>
          <cell r="U359">
            <v>17047.830000000002</v>
          </cell>
          <cell r="V359">
            <v>19222.84</v>
          </cell>
          <cell r="W359">
            <v>7620.94</v>
          </cell>
          <cell r="X359">
            <v>60.4</v>
          </cell>
          <cell r="Y359">
            <v>1150</v>
          </cell>
          <cell r="Z359">
            <v>1310</v>
          </cell>
          <cell r="AA359">
            <v>13384.86</v>
          </cell>
          <cell r="AB359">
            <v>5561.7</v>
          </cell>
          <cell r="AC359">
            <v>43385.019500000002</v>
          </cell>
          <cell r="AE359">
            <v>77.45</v>
          </cell>
          <cell r="AF359">
            <v>730</v>
          </cell>
          <cell r="AG359">
            <v>4362</v>
          </cell>
          <cell r="AH359">
            <v>810</v>
          </cell>
          <cell r="AI359">
            <v>1630</v>
          </cell>
          <cell r="AJ359">
            <v>608.69000000000005</v>
          </cell>
          <cell r="AL359">
            <v>1418.3</v>
          </cell>
          <cell r="AP359">
            <v>2342.9380000000001</v>
          </cell>
          <cell r="AV359">
            <v>49.49</v>
          </cell>
          <cell r="AZ359">
            <v>210.3</v>
          </cell>
          <cell r="BE359">
            <v>32780</v>
          </cell>
          <cell r="BG359">
            <v>51.75</v>
          </cell>
          <cell r="BH359">
            <v>254.36</v>
          </cell>
          <cell r="BY359">
            <v>466.5</v>
          </cell>
          <cell r="CD359">
            <v>366.18</v>
          </cell>
          <cell r="CE359">
            <v>362.44900000000001</v>
          </cell>
          <cell r="CF359">
            <v>361.54</v>
          </cell>
          <cell r="CG359">
            <v>1290</v>
          </cell>
          <cell r="CH359">
            <v>1130</v>
          </cell>
          <cell r="CI359">
            <v>130</v>
          </cell>
          <cell r="CJ359">
            <v>325</v>
          </cell>
          <cell r="CK359">
            <v>1463</v>
          </cell>
          <cell r="CM359">
            <v>164.89</v>
          </cell>
          <cell r="CN359">
            <v>17.239999999999998</v>
          </cell>
          <cell r="CO359" t="str">
            <v>#N/A N/A</v>
          </cell>
          <cell r="CQ359">
            <v>6.08</v>
          </cell>
          <cell r="CR359">
            <v>72</v>
          </cell>
          <cell r="CS359">
            <v>1608</v>
          </cell>
          <cell r="CU359">
            <v>1140</v>
          </cell>
          <cell r="CW359">
            <v>41.768292682926834</v>
          </cell>
          <cell r="CX359">
            <v>618.42600000000004</v>
          </cell>
          <cell r="CZ359">
            <v>309.11</v>
          </cell>
          <cell r="DA359">
            <v>3644.9</v>
          </cell>
          <cell r="DB359">
            <v>12.77</v>
          </cell>
          <cell r="DC359">
            <v>329.35</v>
          </cell>
          <cell r="DD359">
            <v>126.35</v>
          </cell>
        </row>
        <row r="360">
          <cell r="A360">
            <v>39073</v>
          </cell>
          <cell r="C360">
            <v>103</v>
          </cell>
          <cell r="D360" t="str">
            <v>#N/A N/A</v>
          </cell>
          <cell r="E360">
            <v>15.81</v>
          </cell>
          <cell r="L360">
            <v>1437.49</v>
          </cell>
          <cell r="M360">
            <v>2401.1799999999998</v>
          </cell>
          <cell r="N360">
            <v>6190</v>
          </cell>
          <cell r="O360">
            <v>3859</v>
          </cell>
          <cell r="Q360">
            <v>520</v>
          </cell>
          <cell r="R360">
            <v>384</v>
          </cell>
          <cell r="S360">
            <v>514</v>
          </cell>
          <cell r="T360">
            <v>659.5</v>
          </cell>
          <cell r="U360">
            <v>17104.96</v>
          </cell>
          <cell r="V360">
            <v>19320.52</v>
          </cell>
          <cell r="W360">
            <v>7652.47</v>
          </cell>
          <cell r="X360">
            <v>61.05</v>
          </cell>
          <cell r="Y360">
            <v>1200</v>
          </cell>
          <cell r="Z360">
            <v>1320</v>
          </cell>
          <cell r="AA360">
            <v>13471.74</v>
          </cell>
          <cell r="AB360">
            <v>5577.8</v>
          </cell>
          <cell r="AC360">
            <v>43355.730499999998</v>
          </cell>
          <cell r="AE360">
            <v>76.150000000000006</v>
          </cell>
          <cell r="AF360">
            <v>730</v>
          </cell>
          <cell r="AG360">
            <v>4397</v>
          </cell>
          <cell r="AH360">
            <v>820</v>
          </cell>
          <cell r="AI360">
            <v>1600</v>
          </cell>
          <cell r="AJ360">
            <v>601.6</v>
          </cell>
          <cell r="AL360">
            <v>1410.76</v>
          </cell>
          <cell r="AP360">
            <v>2343.6680000000001</v>
          </cell>
          <cell r="AV360">
            <v>49.16</v>
          </cell>
          <cell r="AZ360">
            <v>220.3</v>
          </cell>
          <cell r="BE360">
            <v>34005</v>
          </cell>
          <cell r="BG360">
            <v>51.75</v>
          </cell>
          <cell r="BH360">
            <v>253.26</v>
          </cell>
          <cell r="BY360">
            <v>463.67</v>
          </cell>
          <cell r="CD360">
            <v>364.72</v>
          </cell>
          <cell r="CE360">
            <v>360.875</v>
          </cell>
          <cell r="CF360">
            <v>362.6</v>
          </cell>
          <cell r="CG360">
            <v>1305</v>
          </cell>
          <cell r="CH360">
            <v>1130</v>
          </cell>
          <cell r="CI360">
            <v>130</v>
          </cell>
          <cell r="CJ360">
            <v>325</v>
          </cell>
          <cell r="CK360">
            <v>1461</v>
          </cell>
          <cell r="CM360">
            <v>163.09</v>
          </cell>
          <cell r="CN360">
            <v>17.739999999999998</v>
          </cell>
          <cell r="CO360" t="str">
            <v>#N/A N/A</v>
          </cell>
          <cell r="CQ360">
            <v>5.88</v>
          </cell>
          <cell r="CR360">
            <v>72</v>
          </cell>
          <cell r="CS360">
            <v>1636</v>
          </cell>
          <cell r="CU360">
            <v>1140</v>
          </cell>
          <cell r="CW360">
            <v>42.987804878048784</v>
          </cell>
          <cell r="CX360">
            <v>616.54600000000005</v>
          </cell>
          <cell r="CZ360">
            <v>308.86</v>
          </cell>
          <cell r="DA360">
            <v>3679.9</v>
          </cell>
          <cell r="DB360">
            <v>12.84</v>
          </cell>
          <cell r="DC360">
            <v>329.35</v>
          </cell>
          <cell r="DD360">
            <v>125.4</v>
          </cell>
        </row>
        <row r="361">
          <cell r="A361">
            <v>39074</v>
          </cell>
          <cell r="C361">
            <v>103</v>
          </cell>
          <cell r="D361" t="str">
            <v>#N/A N/A</v>
          </cell>
          <cell r="E361">
            <v>15.81</v>
          </cell>
          <cell r="L361">
            <v>1437.49</v>
          </cell>
          <cell r="M361">
            <v>2401.1799999999998</v>
          </cell>
          <cell r="N361">
            <v>6190</v>
          </cell>
          <cell r="O361">
            <v>3859</v>
          </cell>
          <cell r="Q361">
            <v>520</v>
          </cell>
          <cell r="R361">
            <v>384</v>
          </cell>
          <cell r="S361">
            <v>514</v>
          </cell>
          <cell r="T361">
            <v>659.5</v>
          </cell>
          <cell r="U361">
            <v>17104.96</v>
          </cell>
          <cell r="V361">
            <v>19320.52</v>
          </cell>
          <cell r="W361">
            <v>7652.47</v>
          </cell>
          <cell r="X361">
            <v>61.05</v>
          </cell>
          <cell r="Y361">
            <v>1200</v>
          </cell>
          <cell r="Z361">
            <v>1320</v>
          </cell>
          <cell r="AA361">
            <v>13471.74</v>
          </cell>
          <cell r="AB361">
            <v>5577.8</v>
          </cell>
          <cell r="AC361">
            <v>43355.730499999998</v>
          </cell>
          <cell r="AE361">
            <v>76.150000000000006</v>
          </cell>
          <cell r="AF361">
            <v>730</v>
          </cell>
          <cell r="AG361">
            <v>4397</v>
          </cell>
          <cell r="AH361">
            <v>820</v>
          </cell>
          <cell r="AI361">
            <v>1600</v>
          </cell>
          <cell r="AJ361">
            <v>601.6</v>
          </cell>
          <cell r="AL361">
            <v>1410.76</v>
          </cell>
          <cell r="AP361">
            <v>2343.6680000000001</v>
          </cell>
          <cell r="AV361">
            <v>49.16</v>
          </cell>
          <cell r="AZ361">
            <v>220.3</v>
          </cell>
          <cell r="BE361">
            <v>34005</v>
          </cell>
          <cell r="BG361">
            <v>51.75</v>
          </cell>
          <cell r="BH361">
            <v>253.26</v>
          </cell>
          <cell r="BY361">
            <v>463.67</v>
          </cell>
          <cell r="CD361">
            <v>364.72</v>
          </cell>
          <cell r="CE361">
            <v>360.875</v>
          </cell>
          <cell r="CF361">
            <v>362.6</v>
          </cell>
          <cell r="CG361">
            <v>1305</v>
          </cell>
          <cell r="CH361">
            <v>1130</v>
          </cell>
          <cell r="CI361">
            <v>130</v>
          </cell>
          <cell r="CJ361">
            <v>325</v>
          </cell>
          <cell r="CK361">
            <v>1461</v>
          </cell>
          <cell r="CM361">
            <v>163.09</v>
          </cell>
          <cell r="CN361">
            <v>17.739999999999998</v>
          </cell>
          <cell r="CO361" t="str">
            <v>#N/A N/A</v>
          </cell>
          <cell r="CQ361">
            <v>5.88</v>
          </cell>
          <cell r="CR361">
            <v>72</v>
          </cell>
          <cell r="CS361">
            <v>1636</v>
          </cell>
          <cell r="CU361">
            <v>1140</v>
          </cell>
          <cell r="CW361">
            <v>42.987804878048784</v>
          </cell>
          <cell r="CX361">
            <v>616.54600000000005</v>
          </cell>
          <cell r="CZ361">
            <v>308.86</v>
          </cell>
          <cell r="DA361">
            <v>3679.9</v>
          </cell>
          <cell r="DB361">
            <v>12.84</v>
          </cell>
          <cell r="DC361">
            <v>329.35</v>
          </cell>
          <cell r="DD361">
            <v>125.4</v>
          </cell>
        </row>
        <row r="362">
          <cell r="A362">
            <v>39075</v>
          </cell>
          <cell r="C362">
            <v>103</v>
          </cell>
          <cell r="D362" t="str">
            <v>#N/A N/A</v>
          </cell>
          <cell r="E362">
            <v>15.81</v>
          </cell>
          <cell r="L362">
            <v>1437.49</v>
          </cell>
          <cell r="M362">
            <v>2401.1799999999998</v>
          </cell>
          <cell r="N362">
            <v>6190</v>
          </cell>
          <cell r="O362">
            <v>3859</v>
          </cell>
          <cell r="Q362">
            <v>520</v>
          </cell>
          <cell r="R362">
            <v>384</v>
          </cell>
          <cell r="S362">
            <v>514</v>
          </cell>
          <cell r="T362">
            <v>659.5</v>
          </cell>
          <cell r="U362">
            <v>17104.96</v>
          </cell>
          <cell r="V362">
            <v>19320.52</v>
          </cell>
          <cell r="W362">
            <v>7652.47</v>
          </cell>
          <cell r="X362">
            <v>61.05</v>
          </cell>
          <cell r="Y362">
            <v>1200</v>
          </cell>
          <cell r="Z362">
            <v>1320</v>
          </cell>
          <cell r="AA362">
            <v>13471.74</v>
          </cell>
          <cell r="AB362">
            <v>5577.8</v>
          </cell>
          <cell r="AC362">
            <v>43355.730499999998</v>
          </cell>
          <cell r="AE362">
            <v>76.150000000000006</v>
          </cell>
          <cell r="AF362">
            <v>730</v>
          </cell>
          <cell r="AG362">
            <v>4397</v>
          </cell>
          <cell r="AH362">
            <v>820</v>
          </cell>
          <cell r="AI362">
            <v>1600</v>
          </cell>
          <cell r="AJ362">
            <v>601.6</v>
          </cell>
          <cell r="AL362">
            <v>1410.76</v>
          </cell>
          <cell r="AP362">
            <v>2343.6680000000001</v>
          </cell>
          <cell r="AV362">
            <v>49.16</v>
          </cell>
          <cell r="AZ362">
            <v>220.3</v>
          </cell>
          <cell r="BE362">
            <v>34005</v>
          </cell>
          <cell r="BG362">
            <v>51.75</v>
          </cell>
          <cell r="BH362">
            <v>253.26</v>
          </cell>
          <cell r="BY362">
            <v>463.67</v>
          </cell>
          <cell r="CD362">
            <v>364.72</v>
          </cell>
          <cell r="CE362">
            <v>360.875</v>
          </cell>
          <cell r="CF362">
            <v>362.6</v>
          </cell>
          <cell r="CG362">
            <v>1305</v>
          </cell>
          <cell r="CH362">
            <v>1130</v>
          </cell>
          <cell r="CI362">
            <v>130</v>
          </cell>
          <cell r="CJ362">
            <v>325</v>
          </cell>
          <cell r="CK362">
            <v>1461</v>
          </cell>
          <cell r="CM362">
            <v>163.09</v>
          </cell>
          <cell r="CN362">
            <v>17.739999999999998</v>
          </cell>
          <cell r="CO362" t="str">
            <v>#N/A N/A</v>
          </cell>
          <cell r="CQ362">
            <v>5.88</v>
          </cell>
          <cell r="CR362">
            <v>72</v>
          </cell>
          <cell r="CS362">
            <v>1636</v>
          </cell>
          <cell r="CU362">
            <v>1140</v>
          </cell>
          <cell r="CW362">
            <v>42.987804878048784</v>
          </cell>
          <cell r="CX362">
            <v>616.54600000000005</v>
          </cell>
          <cell r="CZ362">
            <v>308.86</v>
          </cell>
          <cell r="DA362">
            <v>3679.9</v>
          </cell>
          <cell r="DB362">
            <v>12.84</v>
          </cell>
          <cell r="DC362">
            <v>329.35</v>
          </cell>
          <cell r="DD362">
            <v>125.4</v>
          </cell>
        </row>
        <row r="363">
          <cell r="A363">
            <v>39076</v>
          </cell>
          <cell r="C363">
            <v>103</v>
          </cell>
          <cell r="D363" t="str">
            <v>#N/A N/A</v>
          </cell>
          <cell r="E363">
            <v>15.82</v>
          </cell>
          <cell r="L363">
            <v>1437.49</v>
          </cell>
          <cell r="M363">
            <v>2401.1799999999998</v>
          </cell>
          <cell r="N363">
            <v>6190</v>
          </cell>
          <cell r="O363">
            <v>3877</v>
          </cell>
          <cell r="Q363">
            <v>520</v>
          </cell>
          <cell r="R363">
            <v>384</v>
          </cell>
          <cell r="S363">
            <v>514</v>
          </cell>
          <cell r="T363">
            <v>659.5</v>
          </cell>
          <cell r="U363">
            <v>17092.89</v>
          </cell>
          <cell r="V363">
            <v>19320.52</v>
          </cell>
          <cell r="W363">
            <v>7646.81</v>
          </cell>
          <cell r="X363">
            <v>61.05</v>
          </cell>
          <cell r="Y363">
            <v>1200</v>
          </cell>
          <cell r="Z363">
            <v>1320</v>
          </cell>
          <cell r="AA363">
            <v>13471.74</v>
          </cell>
          <cell r="AB363">
            <v>5577.8</v>
          </cell>
          <cell r="AC363">
            <v>43355.730499999998</v>
          </cell>
          <cell r="AE363">
            <v>76.150000000000006</v>
          </cell>
          <cell r="AF363">
            <v>730</v>
          </cell>
          <cell r="AG363">
            <v>4397</v>
          </cell>
          <cell r="AH363">
            <v>820</v>
          </cell>
          <cell r="AI363">
            <v>1600</v>
          </cell>
          <cell r="AJ363">
            <v>601.6</v>
          </cell>
          <cell r="AL363">
            <v>1410.76</v>
          </cell>
          <cell r="AP363">
            <v>2435.7620000000002</v>
          </cell>
          <cell r="AV363">
            <v>49.16</v>
          </cell>
          <cell r="AZ363">
            <v>220.3</v>
          </cell>
          <cell r="BE363">
            <v>34005</v>
          </cell>
          <cell r="BG363">
            <v>51.75</v>
          </cell>
          <cell r="BH363">
            <v>253.26</v>
          </cell>
          <cell r="BY363">
            <v>463.67</v>
          </cell>
          <cell r="CD363">
            <v>364.55</v>
          </cell>
          <cell r="CE363">
            <v>360.73599999999999</v>
          </cell>
          <cell r="CF363">
            <v>362.36</v>
          </cell>
          <cell r="CG363">
            <v>1305</v>
          </cell>
          <cell r="CH363">
            <v>1130</v>
          </cell>
          <cell r="CI363">
            <v>130</v>
          </cell>
          <cell r="CJ363">
            <v>325</v>
          </cell>
          <cell r="CK363">
            <v>1461</v>
          </cell>
          <cell r="CM363">
            <v>163.09</v>
          </cell>
          <cell r="CN363">
            <v>17.739999999999998</v>
          </cell>
          <cell r="CO363" t="str">
            <v>#N/A N/A</v>
          </cell>
          <cell r="CQ363">
            <v>5.88</v>
          </cell>
          <cell r="CR363">
            <v>72</v>
          </cell>
          <cell r="CS363">
            <v>1636</v>
          </cell>
          <cell r="CU363">
            <v>1140</v>
          </cell>
          <cell r="CW363">
            <v>42.987804878048784</v>
          </cell>
          <cell r="CX363">
            <v>617.11</v>
          </cell>
          <cell r="CZ363">
            <v>308.86</v>
          </cell>
          <cell r="DA363">
            <v>3679.9</v>
          </cell>
          <cell r="DB363">
            <v>12.84</v>
          </cell>
          <cell r="DC363">
            <v>329.35</v>
          </cell>
          <cell r="DD363">
            <v>125.4</v>
          </cell>
        </row>
        <row r="364">
          <cell r="A364">
            <v>39077</v>
          </cell>
          <cell r="C364">
            <v>103</v>
          </cell>
          <cell r="D364" t="str">
            <v>#N/A N/A</v>
          </cell>
          <cell r="E364">
            <v>15.82</v>
          </cell>
          <cell r="L364">
            <v>1433.92</v>
          </cell>
          <cell r="M364">
            <v>2413.5100000000002</v>
          </cell>
          <cell r="N364">
            <v>6190</v>
          </cell>
          <cell r="O364">
            <v>3886</v>
          </cell>
          <cell r="Q364">
            <v>520</v>
          </cell>
          <cell r="R364">
            <v>388</v>
          </cell>
          <cell r="S364">
            <v>516.75</v>
          </cell>
          <cell r="T364">
            <v>671.5</v>
          </cell>
          <cell r="U364">
            <v>17169.189999999999</v>
          </cell>
          <cell r="V364">
            <v>19320.52</v>
          </cell>
          <cell r="W364">
            <v>7727.59</v>
          </cell>
          <cell r="X364">
            <v>61.55</v>
          </cell>
          <cell r="Y364">
            <v>1200</v>
          </cell>
          <cell r="Z364">
            <v>1320</v>
          </cell>
          <cell r="AA364">
            <v>13708.34</v>
          </cell>
          <cell r="AB364">
            <v>5577.8</v>
          </cell>
          <cell r="AC364">
            <v>43603.078099999999</v>
          </cell>
          <cell r="AE364">
            <v>76.05</v>
          </cell>
          <cell r="AF364">
            <v>730</v>
          </cell>
          <cell r="AG364">
            <v>4397</v>
          </cell>
          <cell r="AH364">
            <v>820</v>
          </cell>
          <cell r="AI364">
            <v>1600</v>
          </cell>
          <cell r="AJ364">
            <v>590.12</v>
          </cell>
          <cell r="AL364">
            <v>1416.9</v>
          </cell>
          <cell r="AP364">
            <v>2479.732</v>
          </cell>
          <cell r="AV364">
            <v>49.57</v>
          </cell>
          <cell r="AZ364">
            <v>227.4</v>
          </cell>
          <cell r="BE364">
            <v>34005</v>
          </cell>
          <cell r="BG364">
            <v>51.75</v>
          </cell>
          <cell r="BH364">
            <v>252.88</v>
          </cell>
          <cell r="BY364">
            <v>467.49</v>
          </cell>
          <cell r="CD364">
            <v>365.15</v>
          </cell>
          <cell r="CE364">
            <v>361.32299999999998</v>
          </cell>
          <cell r="CF364">
            <v>363.36</v>
          </cell>
          <cell r="CG364">
            <v>1305</v>
          </cell>
          <cell r="CH364">
            <v>1130</v>
          </cell>
          <cell r="CI364">
            <v>130</v>
          </cell>
          <cell r="CJ364">
            <v>325</v>
          </cell>
          <cell r="CK364">
            <v>1461</v>
          </cell>
          <cell r="CM364">
            <v>157.16</v>
          </cell>
          <cell r="CN364">
            <v>17.739999999999998</v>
          </cell>
          <cell r="CO364" t="str">
            <v>#N/A N/A</v>
          </cell>
          <cell r="CQ364">
            <v>5.69</v>
          </cell>
          <cell r="CR364">
            <v>72</v>
          </cell>
          <cell r="CS364">
            <v>1636</v>
          </cell>
          <cell r="CU364">
            <v>1140</v>
          </cell>
          <cell r="CW364">
            <v>43.902439024390247</v>
          </cell>
          <cell r="CX364">
            <v>615.41800000000001</v>
          </cell>
          <cell r="CZ364">
            <v>306.45</v>
          </cell>
          <cell r="DA364">
            <v>3679.9</v>
          </cell>
          <cell r="DB364">
            <v>12.9</v>
          </cell>
          <cell r="DC364">
            <v>329.35</v>
          </cell>
          <cell r="DD364">
            <v>127.7</v>
          </cell>
        </row>
        <row r="365">
          <cell r="A365">
            <v>39078</v>
          </cell>
          <cell r="C365">
            <v>103</v>
          </cell>
          <cell r="D365" t="str">
            <v>#N/A N/A</v>
          </cell>
          <cell r="E365">
            <v>15.78</v>
          </cell>
          <cell r="L365">
            <v>1425.1</v>
          </cell>
          <cell r="M365">
            <v>2431.2199999999998</v>
          </cell>
          <cell r="N365">
            <v>6245.2</v>
          </cell>
          <cell r="O365">
            <v>3898</v>
          </cell>
          <cell r="Q365">
            <v>520</v>
          </cell>
          <cell r="R365">
            <v>386.75</v>
          </cell>
          <cell r="S365">
            <v>507</v>
          </cell>
          <cell r="T365">
            <v>669.5</v>
          </cell>
          <cell r="U365">
            <v>17223.150000000001</v>
          </cell>
          <cell r="V365">
            <v>19725.73</v>
          </cell>
          <cell r="W365">
            <v>7733.18</v>
          </cell>
          <cell r="X365">
            <v>60.55</v>
          </cell>
          <cell r="Y365">
            <v>1200</v>
          </cell>
          <cell r="Z365">
            <v>1320</v>
          </cell>
          <cell r="AA365">
            <v>13859.69</v>
          </cell>
          <cell r="AB365">
            <v>5616.3</v>
          </cell>
          <cell r="AC365">
            <v>44526.359400000001</v>
          </cell>
          <cell r="AE365">
            <v>74.05</v>
          </cell>
          <cell r="AF365">
            <v>730</v>
          </cell>
          <cell r="AG365">
            <v>4397</v>
          </cell>
          <cell r="AH365">
            <v>820</v>
          </cell>
          <cell r="AI365">
            <v>1600</v>
          </cell>
          <cell r="AJ365">
            <v>592.17999999999995</v>
          </cell>
          <cell r="AL365">
            <v>1426.84</v>
          </cell>
          <cell r="AP365">
            <v>2536.39</v>
          </cell>
          <cell r="AV365">
            <v>49.65</v>
          </cell>
          <cell r="AZ365">
            <v>232.6</v>
          </cell>
          <cell r="BE365">
            <v>34315</v>
          </cell>
          <cell r="BG365">
            <v>51.75</v>
          </cell>
          <cell r="BH365">
            <v>255.8</v>
          </cell>
          <cell r="BY365">
            <v>469.97</v>
          </cell>
          <cell r="CD365">
            <v>368.17</v>
          </cell>
          <cell r="CE365">
            <v>364.14100000000002</v>
          </cell>
          <cell r="CF365">
            <v>368.11</v>
          </cell>
          <cell r="CG365">
            <v>1305</v>
          </cell>
          <cell r="CH365">
            <v>1130</v>
          </cell>
          <cell r="CI365">
            <v>130</v>
          </cell>
          <cell r="CJ365">
            <v>325</v>
          </cell>
          <cell r="CK365">
            <v>1461</v>
          </cell>
          <cell r="CM365">
            <v>158.88999999999999</v>
          </cell>
          <cell r="CN365">
            <v>18.3</v>
          </cell>
          <cell r="CO365" t="str">
            <v>#N/A N/A</v>
          </cell>
          <cell r="CQ365">
            <v>5.58</v>
          </cell>
          <cell r="CR365">
            <v>72</v>
          </cell>
          <cell r="CS365">
            <v>1667</v>
          </cell>
          <cell r="CU365">
            <v>1140</v>
          </cell>
          <cell r="CW365">
            <v>43.59756097560976</v>
          </cell>
          <cell r="CX365">
            <v>616.92200000000003</v>
          </cell>
          <cell r="CZ365">
            <v>306.04000000000002</v>
          </cell>
          <cell r="DA365">
            <v>3720.4</v>
          </cell>
          <cell r="DB365">
            <v>12.68</v>
          </cell>
          <cell r="DC365">
            <v>329.35</v>
          </cell>
          <cell r="DD365">
            <v>128.9</v>
          </cell>
        </row>
        <row r="366">
          <cell r="A366">
            <v>39079</v>
          </cell>
          <cell r="C366">
            <v>103</v>
          </cell>
          <cell r="D366" t="str">
            <v>#N/A N/A</v>
          </cell>
          <cell r="E366">
            <v>15.7</v>
          </cell>
          <cell r="L366">
            <v>1434.46</v>
          </cell>
          <cell r="M366">
            <v>2425.5700000000002</v>
          </cell>
          <cell r="N366">
            <v>6240.9</v>
          </cell>
          <cell r="O366">
            <v>3905</v>
          </cell>
          <cell r="Q366">
            <v>520</v>
          </cell>
          <cell r="R366">
            <v>388.5</v>
          </cell>
          <cell r="S366">
            <v>504.25</v>
          </cell>
          <cell r="T366">
            <v>675.75</v>
          </cell>
          <cell r="U366">
            <v>17224.810000000001</v>
          </cell>
          <cell r="V366">
            <v>20001.91</v>
          </cell>
          <cell r="W366">
            <v>7732.93</v>
          </cell>
          <cell r="X366">
            <v>60.75</v>
          </cell>
          <cell r="Y366">
            <v>1200</v>
          </cell>
          <cell r="Z366">
            <v>1320</v>
          </cell>
          <cell r="AA366">
            <v>13846.34</v>
          </cell>
          <cell r="AB366">
            <v>5634</v>
          </cell>
          <cell r="AC366">
            <v>44473.710899999998</v>
          </cell>
          <cell r="AE366">
            <v>73.25</v>
          </cell>
          <cell r="AF366">
            <v>730</v>
          </cell>
          <cell r="AG366">
            <v>4397</v>
          </cell>
          <cell r="AH366">
            <v>820</v>
          </cell>
          <cell r="AI366">
            <v>1600</v>
          </cell>
          <cell r="AJ366">
            <v>606.15</v>
          </cell>
          <cell r="AL366">
            <v>1424.73</v>
          </cell>
          <cell r="AP366">
            <v>2567.59</v>
          </cell>
          <cell r="AV366">
            <v>49.4</v>
          </cell>
          <cell r="AZ366">
            <v>238</v>
          </cell>
          <cell r="BE366">
            <v>33885</v>
          </cell>
          <cell r="BG366">
            <v>51.75</v>
          </cell>
          <cell r="BH366">
            <v>254.9</v>
          </cell>
          <cell r="BY366">
            <v>469</v>
          </cell>
          <cell r="CD366">
            <v>368.4</v>
          </cell>
          <cell r="CE366">
            <v>364.21800000000002</v>
          </cell>
          <cell r="CF366">
            <v>370.18</v>
          </cell>
          <cell r="CG366">
            <v>1305</v>
          </cell>
          <cell r="CH366">
            <v>1130</v>
          </cell>
          <cell r="CI366">
            <v>130</v>
          </cell>
          <cell r="CJ366">
            <v>325</v>
          </cell>
          <cell r="CK366">
            <v>1461</v>
          </cell>
          <cell r="CM366">
            <v>159.80000000000001</v>
          </cell>
          <cell r="CN366">
            <v>18.22</v>
          </cell>
          <cell r="CO366" t="str">
            <v>#N/A N/A</v>
          </cell>
          <cell r="CQ366">
            <v>5.66</v>
          </cell>
          <cell r="CR366">
            <v>72</v>
          </cell>
          <cell r="CS366">
            <v>1698</v>
          </cell>
          <cell r="CU366">
            <v>1140</v>
          </cell>
          <cell r="CW366">
            <v>43.216463414634148</v>
          </cell>
          <cell r="CX366">
            <v>618.80200000000002</v>
          </cell>
          <cell r="CZ366">
            <v>306.70999999999998</v>
          </cell>
          <cell r="DA366">
            <v>3724</v>
          </cell>
          <cell r="DB366">
            <v>12.82</v>
          </cell>
          <cell r="DC366">
            <v>329.35</v>
          </cell>
          <cell r="DD366">
            <v>125</v>
          </cell>
        </row>
        <row r="367">
          <cell r="A367">
            <v>39080</v>
          </cell>
          <cell r="C367">
            <v>103</v>
          </cell>
          <cell r="D367" t="str">
            <v>#N/A N/A</v>
          </cell>
          <cell r="E367">
            <v>15.68</v>
          </cell>
          <cell r="L367">
            <v>1434.46</v>
          </cell>
          <cell r="M367">
            <v>2415.29</v>
          </cell>
          <cell r="N367">
            <v>6220.8</v>
          </cell>
          <cell r="O367">
            <v>3922</v>
          </cell>
          <cell r="Q367">
            <v>520</v>
          </cell>
          <cell r="R367">
            <v>390.25</v>
          </cell>
          <cell r="S367">
            <v>501</v>
          </cell>
          <cell r="T367">
            <v>683.5</v>
          </cell>
          <cell r="U367">
            <v>17225.830000000002</v>
          </cell>
          <cell r="V367">
            <v>19964.72</v>
          </cell>
          <cell r="W367">
            <v>7823.72</v>
          </cell>
          <cell r="X367">
            <v>59.75</v>
          </cell>
          <cell r="Y367">
            <v>1205</v>
          </cell>
          <cell r="Z367">
            <v>1330</v>
          </cell>
          <cell r="AA367">
            <v>13786.91</v>
          </cell>
          <cell r="AB367">
            <v>5644.3</v>
          </cell>
          <cell r="AC367">
            <v>44473.710899999998</v>
          </cell>
          <cell r="AE367">
            <v>72.55</v>
          </cell>
          <cell r="AF367">
            <v>730</v>
          </cell>
          <cell r="AG367">
            <v>4397</v>
          </cell>
          <cell r="AH367">
            <v>830</v>
          </cell>
          <cell r="AI367">
            <v>1585</v>
          </cell>
          <cell r="AJ367">
            <v>606.15</v>
          </cell>
          <cell r="AL367">
            <v>1418.3</v>
          </cell>
          <cell r="AP367">
            <v>2675.4740000000002</v>
          </cell>
          <cell r="AV367">
            <v>49.4</v>
          </cell>
          <cell r="AZ367">
            <v>239.2</v>
          </cell>
          <cell r="BE367">
            <v>34025</v>
          </cell>
          <cell r="BG367">
            <v>51.75</v>
          </cell>
          <cell r="BH367">
            <v>253.15</v>
          </cell>
          <cell r="BY367">
            <v>467.92</v>
          </cell>
          <cell r="CD367">
            <v>367.78</v>
          </cell>
          <cell r="CE367">
            <v>363.46899999999999</v>
          </cell>
          <cell r="CF367">
            <v>371.46</v>
          </cell>
          <cell r="CG367">
            <v>1315</v>
          </cell>
          <cell r="CH367">
            <v>1130</v>
          </cell>
          <cell r="CI367">
            <v>130</v>
          </cell>
          <cell r="CJ367">
            <v>325</v>
          </cell>
          <cell r="CK367">
            <v>1461</v>
          </cell>
          <cell r="CM367">
            <v>160.21</v>
          </cell>
          <cell r="CN367">
            <v>18.2</v>
          </cell>
          <cell r="CO367" t="str">
            <v>#N/A N/A</v>
          </cell>
          <cell r="CQ367">
            <v>5.5</v>
          </cell>
          <cell r="CR367">
            <v>72</v>
          </cell>
          <cell r="CS367">
            <v>1705.5</v>
          </cell>
          <cell r="CU367">
            <v>1140</v>
          </cell>
          <cell r="CW367">
            <v>43.216463414634148</v>
          </cell>
          <cell r="CX367">
            <v>619.88300000000004</v>
          </cell>
          <cell r="CZ367">
            <v>307.26</v>
          </cell>
          <cell r="DA367">
            <v>3701.1</v>
          </cell>
          <cell r="DB367">
            <v>12.8</v>
          </cell>
          <cell r="DC367">
            <v>329.35</v>
          </cell>
          <cell r="DD367">
            <v>126.2</v>
          </cell>
        </row>
        <row r="368">
          <cell r="A368">
            <v>39081</v>
          </cell>
          <cell r="C368">
            <v>103</v>
          </cell>
          <cell r="D368" t="str">
            <v>#N/A N/A</v>
          </cell>
          <cell r="E368">
            <v>15.68</v>
          </cell>
          <cell r="L368">
            <v>1434.46</v>
          </cell>
          <cell r="M368">
            <v>2415.29</v>
          </cell>
          <cell r="N368">
            <v>6220.8</v>
          </cell>
          <cell r="O368">
            <v>3922</v>
          </cell>
          <cell r="Q368">
            <v>520</v>
          </cell>
          <cell r="R368">
            <v>390.25</v>
          </cell>
          <cell r="S368">
            <v>501</v>
          </cell>
          <cell r="T368">
            <v>683.5</v>
          </cell>
          <cell r="U368">
            <v>17225.830000000002</v>
          </cell>
          <cell r="V368">
            <v>19964.72</v>
          </cell>
          <cell r="W368">
            <v>7823.72</v>
          </cell>
          <cell r="X368">
            <v>59.75</v>
          </cell>
          <cell r="Y368">
            <v>1205</v>
          </cell>
          <cell r="Z368">
            <v>1330</v>
          </cell>
          <cell r="AA368">
            <v>13786.91</v>
          </cell>
          <cell r="AB368">
            <v>5644.3</v>
          </cell>
          <cell r="AC368">
            <v>44473.710899999998</v>
          </cell>
          <cell r="AE368">
            <v>72.55</v>
          </cell>
          <cell r="AF368">
            <v>730</v>
          </cell>
          <cell r="AG368">
            <v>4397</v>
          </cell>
          <cell r="AH368">
            <v>830</v>
          </cell>
          <cell r="AI368">
            <v>1585</v>
          </cell>
          <cell r="AJ368">
            <v>606.15</v>
          </cell>
          <cell r="AL368">
            <v>1418.3</v>
          </cell>
          <cell r="AP368">
            <v>2675.4740000000002</v>
          </cell>
          <cell r="AV368">
            <v>49.4</v>
          </cell>
          <cell r="AZ368">
            <v>239.2</v>
          </cell>
          <cell r="BE368">
            <v>34025</v>
          </cell>
          <cell r="BG368">
            <v>51.75</v>
          </cell>
          <cell r="BH368">
            <v>253.15</v>
          </cell>
          <cell r="BY368">
            <v>467.92</v>
          </cell>
          <cell r="CD368">
            <v>367.78</v>
          </cell>
          <cell r="CE368">
            <v>363.46899999999999</v>
          </cell>
          <cell r="CF368">
            <v>371.46</v>
          </cell>
          <cell r="CG368">
            <v>1315</v>
          </cell>
          <cell r="CH368">
            <v>1130</v>
          </cell>
          <cell r="CI368">
            <v>130</v>
          </cell>
          <cell r="CJ368">
            <v>325</v>
          </cell>
          <cell r="CK368">
            <v>1461</v>
          </cell>
          <cell r="CM368">
            <v>160.21</v>
          </cell>
          <cell r="CN368">
            <v>18.2</v>
          </cell>
          <cell r="CO368" t="str">
            <v>#N/A N/A</v>
          </cell>
          <cell r="CQ368">
            <v>5.5</v>
          </cell>
          <cell r="CR368">
            <v>72</v>
          </cell>
          <cell r="CS368">
            <v>1705.5</v>
          </cell>
          <cell r="CU368">
            <v>1140</v>
          </cell>
          <cell r="CW368">
            <v>43.216463414634148</v>
          </cell>
          <cell r="CX368">
            <v>619.88300000000004</v>
          </cell>
          <cell r="CZ368">
            <v>307.26</v>
          </cell>
          <cell r="DA368">
            <v>3701.1</v>
          </cell>
          <cell r="DB368">
            <v>12.8</v>
          </cell>
          <cell r="DC368">
            <v>329.35</v>
          </cell>
          <cell r="DD368">
            <v>126.2</v>
          </cell>
        </row>
        <row r="369">
          <cell r="A369">
            <v>39082</v>
          </cell>
          <cell r="C369">
            <v>103</v>
          </cell>
          <cell r="D369" t="str">
            <v>#N/A N/A</v>
          </cell>
          <cell r="E369">
            <v>15.68</v>
          </cell>
          <cell r="L369">
            <v>1434.46</v>
          </cell>
          <cell r="M369">
            <v>2415.29</v>
          </cell>
          <cell r="N369">
            <v>6220.8</v>
          </cell>
          <cell r="O369">
            <v>3922</v>
          </cell>
          <cell r="Q369">
            <v>520</v>
          </cell>
          <cell r="R369">
            <v>390.25</v>
          </cell>
          <cell r="S369">
            <v>501</v>
          </cell>
          <cell r="T369">
            <v>683.5</v>
          </cell>
          <cell r="U369">
            <v>17225.830000000002</v>
          </cell>
          <cell r="V369">
            <v>19964.72</v>
          </cell>
          <cell r="W369">
            <v>7823.72</v>
          </cell>
          <cell r="X369">
            <v>59.75</v>
          </cell>
          <cell r="Y369">
            <v>1205</v>
          </cell>
          <cell r="Z369">
            <v>1330</v>
          </cell>
          <cell r="AA369">
            <v>13786.91</v>
          </cell>
          <cell r="AB369">
            <v>5644.3</v>
          </cell>
          <cell r="AC369">
            <v>44473.710899999998</v>
          </cell>
          <cell r="AE369">
            <v>72.55</v>
          </cell>
          <cell r="AF369">
            <v>730</v>
          </cell>
          <cell r="AG369">
            <v>4397</v>
          </cell>
          <cell r="AH369">
            <v>830</v>
          </cell>
          <cell r="AI369">
            <v>1585</v>
          </cell>
          <cell r="AJ369">
            <v>606.15</v>
          </cell>
          <cell r="AL369">
            <v>1418.3</v>
          </cell>
          <cell r="AP369">
            <v>2675.4740000000002</v>
          </cell>
          <cell r="AV369">
            <v>49.4</v>
          </cell>
          <cell r="AZ369">
            <v>239.2</v>
          </cell>
          <cell r="BE369">
            <v>34025</v>
          </cell>
          <cell r="BG369">
            <v>51.75</v>
          </cell>
          <cell r="BH369">
            <v>253.15</v>
          </cell>
          <cell r="BY369">
            <v>467.92</v>
          </cell>
          <cell r="CD369">
            <v>367.78</v>
          </cell>
          <cell r="CE369">
            <v>363.46899999999999</v>
          </cell>
          <cell r="CF369">
            <v>371.46</v>
          </cell>
          <cell r="CG369">
            <v>1315</v>
          </cell>
          <cell r="CH369">
            <v>1130</v>
          </cell>
          <cell r="CI369">
            <v>130</v>
          </cell>
          <cell r="CJ369">
            <v>325</v>
          </cell>
          <cell r="CK369">
            <v>1461</v>
          </cell>
          <cell r="CM369">
            <v>160.21</v>
          </cell>
          <cell r="CN369">
            <v>18.2</v>
          </cell>
          <cell r="CO369" t="str">
            <v>#N/A N/A</v>
          </cell>
          <cell r="CQ369">
            <v>5.5</v>
          </cell>
          <cell r="CR369">
            <v>72</v>
          </cell>
          <cell r="CS369">
            <v>1705.5</v>
          </cell>
          <cell r="CU369">
            <v>1140</v>
          </cell>
          <cell r="CW369">
            <v>43.216463414634148</v>
          </cell>
          <cell r="CX369">
            <v>619.88300000000004</v>
          </cell>
          <cell r="CZ369">
            <v>307.26</v>
          </cell>
          <cell r="DA369">
            <v>3701.1</v>
          </cell>
          <cell r="DB369">
            <v>12.8</v>
          </cell>
          <cell r="DC369">
            <v>329.35</v>
          </cell>
          <cell r="DD369">
            <v>126.2</v>
          </cell>
        </row>
        <row r="370">
          <cell r="A370">
            <v>39083</v>
          </cell>
          <cell r="C370">
            <v>103</v>
          </cell>
          <cell r="D370" t="str">
            <v>#N/A N/A</v>
          </cell>
          <cell r="E370">
            <v>15.68</v>
          </cell>
          <cell r="L370">
            <v>1434.46</v>
          </cell>
          <cell r="M370">
            <v>2415.29</v>
          </cell>
          <cell r="N370">
            <v>6220.8</v>
          </cell>
          <cell r="O370">
            <v>3922</v>
          </cell>
          <cell r="Q370">
            <v>520</v>
          </cell>
          <cell r="R370">
            <v>390.25</v>
          </cell>
          <cell r="S370">
            <v>501</v>
          </cell>
          <cell r="T370">
            <v>683.5</v>
          </cell>
          <cell r="U370">
            <v>17225.830000000002</v>
          </cell>
          <cell r="V370">
            <v>19964.72</v>
          </cell>
          <cell r="W370">
            <v>7823.72</v>
          </cell>
          <cell r="X370">
            <v>59.75</v>
          </cell>
          <cell r="Y370">
            <v>1205</v>
          </cell>
          <cell r="Z370">
            <v>1330</v>
          </cell>
          <cell r="AA370">
            <v>13786.91</v>
          </cell>
          <cell r="AB370">
            <v>5644.3</v>
          </cell>
          <cell r="AC370">
            <v>44473.710899999998</v>
          </cell>
          <cell r="AE370">
            <v>72.55</v>
          </cell>
          <cell r="AF370">
            <v>730</v>
          </cell>
          <cell r="AG370">
            <v>4397</v>
          </cell>
          <cell r="AH370">
            <v>830</v>
          </cell>
          <cell r="AI370">
            <v>1585</v>
          </cell>
          <cell r="AJ370">
            <v>606.15</v>
          </cell>
          <cell r="AL370">
            <v>1418.3</v>
          </cell>
          <cell r="AP370">
            <v>2675.4740000000002</v>
          </cell>
          <cell r="AV370">
            <v>49.4</v>
          </cell>
          <cell r="AZ370">
            <v>239.2</v>
          </cell>
          <cell r="BE370">
            <v>34025</v>
          </cell>
          <cell r="BG370">
            <v>51.75</v>
          </cell>
          <cell r="BH370">
            <v>253.15</v>
          </cell>
          <cell r="BY370">
            <v>467.92</v>
          </cell>
          <cell r="CD370">
            <v>367.79</v>
          </cell>
          <cell r="CE370">
            <v>363.46899999999999</v>
          </cell>
          <cell r="CF370">
            <v>371.46</v>
          </cell>
          <cell r="CG370">
            <v>1315</v>
          </cell>
          <cell r="CH370">
            <v>1130</v>
          </cell>
          <cell r="CI370">
            <v>130</v>
          </cell>
          <cell r="CJ370">
            <v>325</v>
          </cell>
          <cell r="CK370">
            <v>1461</v>
          </cell>
          <cell r="CM370">
            <v>160.21</v>
          </cell>
          <cell r="CN370">
            <v>18.2</v>
          </cell>
          <cell r="CO370" t="str">
            <v>#N/A N/A</v>
          </cell>
          <cell r="CQ370">
            <v>5.5</v>
          </cell>
          <cell r="CR370">
            <v>72</v>
          </cell>
          <cell r="CS370">
            <v>1705.5</v>
          </cell>
          <cell r="CU370">
            <v>1140</v>
          </cell>
          <cell r="CW370">
            <v>43.216463414634148</v>
          </cell>
          <cell r="CX370">
            <v>620.30599999999993</v>
          </cell>
          <cell r="CZ370">
            <v>307.26</v>
          </cell>
          <cell r="DA370">
            <v>3701.1</v>
          </cell>
          <cell r="DB370">
            <v>12.8</v>
          </cell>
          <cell r="DC370">
            <v>329.35</v>
          </cell>
          <cell r="DD370">
            <v>126.2</v>
          </cell>
        </row>
        <row r="371">
          <cell r="A371">
            <v>39084</v>
          </cell>
          <cell r="C371">
            <v>103</v>
          </cell>
          <cell r="D371" t="str">
            <v>#N/A N/A</v>
          </cell>
          <cell r="E371">
            <v>15.02</v>
          </cell>
          <cell r="L371">
            <v>1435.26</v>
          </cell>
          <cell r="M371">
            <v>2415.29</v>
          </cell>
          <cell r="N371">
            <v>6310.9</v>
          </cell>
          <cell r="O371">
            <v>3922</v>
          </cell>
          <cell r="Q371">
            <v>520</v>
          </cell>
          <cell r="R371">
            <v>390.25</v>
          </cell>
          <cell r="S371">
            <v>501</v>
          </cell>
          <cell r="T371">
            <v>697.25</v>
          </cell>
          <cell r="U371">
            <v>17225.830000000002</v>
          </cell>
          <cell r="V371">
            <v>20310.18</v>
          </cell>
          <cell r="W371">
            <v>7920.8</v>
          </cell>
          <cell r="X371">
            <v>59.75</v>
          </cell>
          <cell r="Y371">
            <v>1205</v>
          </cell>
          <cell r="Z371">
            <v>1330</v>
          </cell>
          <cell r="AA371">
            <v>13942.24</v>
          </cell>
          <cell r="AB371">
            <v>5645.9</v>
          </cell>
          <cell r="AC371">
            <v>45382.609400000001</v>
          </cell>
          <cell r="AE371">
            <v>72.55</v>
          </cell>
          <cell r="AF371">
            <v>729.95</v>
          </cell>
          <cell r="AG371">
            <v>4421</v>
          </cell>
          <cell r="AH371">
            <v>830</v>
          </cell>
          <cell r="AI371">
            <v>1585</v>
          </cell>
          <cell r="AJ371">
            <v>608.72</v>
          </cell>
          <cell r="AL371">
            <v>1418.3</v>
          </cell>
          <cell r="AP371">
            <v>2675.4740000000002</v>
          </cell>
          <cell r="AV371">
            <v>49.4</v>
          </cell>
          <cell r="AZ371">
            <v>239.2</v>
          </cell>
          <cell r="BE371">
            <v>33150</v>
          </cell>
          <cell r="BG371">
            <v>51.75</v>
          </cell>
          <cell r="BH371">
            <v>256.54000000000002</v>
          </cell>
          <cell r="BY371">
            <v>467.92</v>
          </cell>
          <cell r="CD371">
            <v>370.68</v>
          </cell>
          <cell r="CE371">
            <v>366.101</v>
          </cell>
          <cell r="CF371">
            <v>377.21</v>
          </cell>
          <cell r="CG371">
            <v>1315</v>
          </cell>
          <cell r="CH371">
            <v>1130</v>
          </cell>
          <cell r="CI371">
            <v>130</v>
          </cell>
          <cell r="CJ371">
            <v>325</v>
          </cell>
          <cell r="CK371">
            <v>1316</v>
          </cell>
          <cell r="CM371">
            <v>160.21</v>
          </cell>
          <cell r="CN371">
            <v>17.489999999999998</v>
          </cell>
          <cell r="CO371" t="str">
            <v>#N/A N/A</v>
          </cell>
          <cell r="CQ371">
            <v>5.4</v>
          </cell>
          <cell r="CR371">
            <v>72</v>
          </cell>
          <cell r="CS371">
            <v>1691</v>
          </cell>
          <cell r="CU371">
            <v>1140</v>
          </cell>
          <cell r="CW371">
            <v>43.216463414634148</v>
          </cell>
          <cell r="CX371">
            <v>624.53599999999994</v>
          </cell>
          <cell r="CZ371">
            <v>307.08</v>
          </cell>
          <cell r="DA371">
            <v>3614.1</v>
          </cell>
          <cell r="DB371">
            <v>12.8</v>
          </cell>
          <cell r="DC371">
            <v>329.35</v>
          </cell>
          <cell r="DD371">
            <v>126.2</v>
          </cell>
        </row>
        <row r="372">
          <cell r="A372">
            <v>39085</v>
          </cell>
          <cell r="C372">
            <v>103</v>
          </cell>
          <cell r="D372" t="str">
            <v>#N/A N/A</v>
          </cell>
          <cell r="E372">
            <v>14.88</v>
          </cell>
          <cell r="L372">
            <v>1409.35</v>
          </cell>
          <cell r="M372">
            <v>2423.16</v>
          </cell>
          <cell r="N372">
            <v>6319</v>
          </cell>
          <cell r="O372">
            <v>3922</v>
          </cell>
          <cell r="Q372">
            <v>520</v>
          </cell>
          <cell r="R372">
            <v>370.5</v>
          </cell>
          <cell r="S372">
            <v>476.5</v>
          </cell>
          <cell r="T372">
            <v>682</v>
          </cell>
          <cell r="U372">
            <v>17225.830000000002</v>
          </cell>
          <cell r="V372">
            <v>20413.39</v>
          </cell>
          <cell r="W372">
            <v>7917.3</v>
          </cell>
          <cell r="X372">
            <v>59.8</v>
          </cell>
          <cell r="Y372">
            <v>1205</v>
          </cell>
          <cell r="Z372">
            <v>1330</v>
          </cell>
          <cell r="AA372">
            <v>14014.92</v>
          </cell>
          <cell r="AB372">
            <v>5626.8</v>
          </cell>
          <cell r="AC372">
            <v>44445.289100000002</v>
          </cell>
          <cell r="AE372">
            <v>73</v>
          </cell>
          <cell r="AF372">
            <v>729.95</v>
          </cell>
          <cell r="AG372">
            <v>4452</v>
          </cell>
          <cell r="AH372">
            <v>830</v>
          </cell>
          <cell r="AI372">
            <v>1585</v>
          </cell>
          <cell r="AJ372">
            <v>602.69000000000005</v>
          </cell>
          <cell r="AL372">
            <v>1416.6</v>
          </cell>
          <cell r="AP372">
            <v>2675.4740000000002</v>
          </cell>
          <cell r="AV372">
            <v>48.73</v>
          </cell>
          <cell r="AZ372">
            <v>239.2</v>
          </cell>
          <cell r="BE372">
            <v>33505</v>
          </cell>
          <cell r="BG372">
            <v>51.75</v>
          </cell>
          <cell r="BH372">
            <v>247.88</v>
          </cell>
          <cell r="BY372">
            <v>465.06</v>
          </cell>
          <cell r="CD372">
            <v>369.2</v>
          </cell>
          <cell r="CE372">
            <v>364.70699999999999</v>
          </cell>
          <cell r="CF372">
            <v>376.06</v>
          </cell>
          <cell r="CG372">
            <v>1315</v>
          </cell>
          <cell r="CH372">
            <v>1130</v>
          </cell>
          <cell r="CI372">
            <v>130</v>
          </cell>
          <cell r="CJ372">
            <v>325</v>
          </cell>
          <cell r="CK372">
            <v>1310</v>
          </cell>
          <cell r="CM372">
            <v>154.88999999999999</v>
          </cell>
          <cell r="CN372">
            <v>16.75</v>
          </cell>
          <cell r="CO372" t="str">
            <v>#N/A N/A</v>
          </cell>
          <cell r="CQ372">
            <v>5.49</v>
          </cell>
          <cell r="CR372">
            <v>72</v>
          </cell>
          <cell r="CS372">
            <v>1764</v>
          </cell>
          <cell r="CU372">
            <v>1140</v>
          </cell>
          <cell r="CW372">
            <v>43.521341463414636</v>
          </cell>
          <cell r="CX372">
            <v>618.52</v>
          </cell>
          <cell r="CZ372">
            <v>298.49</v>
          </cell>
          <cell r="DA372">
            <v>3545.6</v>
          </cell>
          <cell r="DB372">
            <v>12.37</v>
          </cell>
          <cell r="DC372">
            <v>329.35</v>
          </cell>
          <cell r="DD372">
            <v>123.6</v>
          </cell>
        </row>
        <row r="373">
          <cell r="A373">
            <v>39086</v>
          </cell>
          <cell r="C373">
            <v>103</v>
          </cell>
          <cell r="D373" t="str">
            <v>#N/A N/A</v>
          </cell>
          <cell r="E373">
            <v>14.52</v>
          </cell>
          <cell r="L373">
            <v>1397.29</v>
          </cell>
          <cell r="M373">
            <v>2453.4299999999998</v>
          </cell>
          <cell r="N373">
            <v>6287</v>
          </cell>
          <cell r="O373">
            <v>4012</v>
          </cell>
          <cell r="Q373">
            <v>520</v>
          </cell>
          <cell r="R373">
            <v>362.25</v>
          </cell>
          <cell r="S373">
            <v>467.5</v>
          </cell>
          <cell r="T373">
            <v>675.5</v>
          </cell>
          <cell r="U373">
            <v>17353.669999999998</v>
          </cell>
          <cell r="V373">
            <v>20025.580000000002</v>
          </cell>
          <cell r="W373">
            <v>7934.51</v>
          </cell>
          <cell r="X373">
            <v>57.85</v>
          </cell>
          <cell r="Y373">
            <v>1205</v>
          </cell>
          <cell r="Z373">
            <v>1330</v>
          </cell>
          <cell r="AA373">
            <v>13871.71</v>
          </cell>
          <cell r="AB373">
            <v>5563.9</v>
          </cell>
          <cell r="AC373">
            <v>44019.769500000002</v>
          </cell>
          <cell r="AE373">
            <v>72.150000000000006</v>
          </cell>
          <cell r="AF373">
            <v>729.95</v>
          </cell>
          <cell r="AG373">
            <v>4494</v>
          </cell>
          <cell r="AH373">
            <v>830</v>
          </cell>
          <cell r="AI373">
            <v>1585</v>
          </cell>
          <cell r="AJ373">
            <v>603.94000000000005</v>
          </cell>
          <cell r="AL373">
            <v>1418.34</v>
          </cell>
          <cell r="AP373">
            <v>2715.7190000000001</v>
          </cell>
          <cell r="AV373">
            <v>48.19</v>
          </cell>
          <cell r="AZ373">
            <v>238.8</v>
          </cell>
          <cell r="BE373">
            <v>35225</v>
          </cell>
          <cell r="BG373">
            <v>51.75</v>
          </cell>
          <cell r="BH373">
            <v>243.33</v>
          </cell>
          <cell r="BY373">
            <v>474.42</v>
          </cell>
          <cell r="CD373">
            <v>367.76</v>
          </cell>
          <cell r="CE373">
            <v>363.65899999999999</v>
          </cell>
          <cell r="CF373">
            <v>370.65</v>
          </cell>
          <cell r="CG373">
            <v>1315</v>
          </cell>
          <cell r="CH373">
            <v>1130</v>
          </cell>
          <cell r="CI373">
            <v>130</v>
          </cell>
          <cell r="CJ373">
            <v>325</v>
          </cell>
          <cell r="CK373">
            <v>1297</v>
          </cell>
          <cell r="CM373">
            <v>148.69999999999999</v>
          </cell>
          <cell r="CN373">
            <v>16.45</v>
          </cell>
          <cell r="CO373" t="str">
            <v>#N/A N/A</v>
          </cell>
          <cell r="CQ373">
            <v>5.59</v>
          </cell>
          <cell r="CR373">
            <v>72</v>
          </cell>
          <cell r="CS373">
            <v>1751</v>
          </cell>
          <cell r="CU373">
            <v>1140</v>
          </cell>
          <cell r="CW373">
            <v>42.835365853658537</v>
          </cell>
          <cell r="CX373">
            <v>615.46500000000003</v>
          </cell>
          <cell r="CZ373">
            <v>292.61</v>
          </cell>
          <cell r="DA373">
            <v>3515.9</v>
          </cell>
          <cell r="DB373">
            <v>12.33</v>
          </cell>
          <cell r="DC373">
            <v>329.35</v>
          </cell>
          <cell r="DD373">
            <v>125</v>
          </cell>
        </row>
        <row r="374">
          <cell r="A374">
            <v>39087</v>
          </cell>
          <cell r="C374">
            <v>102</v>
          </cell>
          <cell r="D374" t="str">
            <v>#N/A N/A</v>
          </cell>
          <cell r="E374">
            <v>14.53</v>
          </cell>
          <cell r="L374">
            <v>1385.76</v>
          </cell>
          <cell r="M374">
            <v>2434.25</v>
          </cell>
          <cell r="N374">
            <v>6220.1</v>
          </cell>
          <cell r="O374">
            <v>4025</v>
          </cell>
          <cell r="Q374">
            <v>520</v>
          </cell>
          <cell r="R374">
            <v>368.25</v>
          </cell>
          <cell r="S374">
            <v>470.25</v>
          </cell>
          <cell r="T374">
            <v>681.5</v>
          </cell>
          <cell r="U374">
            <v>17091.59</v>
          </cell>
          <cell r="V374">
            <v>20211.28</v>
          </cell>
          <cell r="W374">
            <v>7835.57</v>
          </cell>
          <cell r="X374">
            <v>56.45</v>
          </cell>
          <cell r="Y374">
            <v>1205</v>
          </cell>
          <cell r="Z374">
            <v>1340</v>
          </cell>
          <cell r="AA374">
            <v>13860.52</v>
          </cell>
          <cell r="AB374">
            <v>5549.8</v>
          </cell>
          <cell r="AC374">
            <v>42245.160199999998</v>
          </cell>
          <cell r="AE374">
            <v>70.25</v>
          </cell>
          <cell r="AF374">
            <v>729.95</v>
          </cell>
          <cell r="AG374">
            <v>4539</v>
          </cell>
          <cell r="AH374">
            <v>830</v>
          </cell>
          <cell r="AI374">
            <v>1590</v>
          </cell>
          <cell r="AJ374">
            <v>602.35</v>
          </cell>
          <cell r="AL374">
            <v>1409.71</v>
          </cell>
          <cell r="AP374">
            <v>2641.3339999999998</v>
          </cell>
          <cell r="AV374">
            <v>47.03</v>
          </cell>
          <cell r="AZ374">
            <v>230.7</v>
          </cell>
          <cell r="BE374">
            <v>34100</v>
          </cell>
          <cell r="BG374">
            <v>51.7</v>
          </cell>
          <cell r="BH374">
            <v>242.71</v>
          </cell>
          <cell r="BY374">
            <v>469.09</v>
          </cell>
          <cell r="CD374">
            <v>364.03</v>
          </cell>
          <cell r="CE374">
            <v>360.09399999999999</v>
          </cell>
          <cell r="CF374">
            <v>367.47</v>
          </cell>
          <cell r="CG374">
            <v>1315</v>
          </cell>
          <cell r="CH374">
            <v>1140</v>
          </cell>
          <cell r="CI374">
            <v>130</v>
          </cell>
          <cell r="CJ374">
            <v>325</v>
          </cell>
          <cell r="CK374">
            <v>1271</v>
          </cell>
          <cell r="CM374">
            <v>149.31</v>
          </cell>
          <cell r="CN374">
            <v>15.69</v>
          </cell>
          <cell r="CO374" t="str">
            <v>#N/A N/A</v>
          </cell>
          <cell r="CQ374">
            <v>5.51</v>
          </cell>
          <cell r="CR374">
            <v>72</v>
          </cell>
          <cell r="CS374">
            <v>1681</v>
          </cell>
          <cell r="CU374">
            <v>1130</v>
          </cell>
          <cell r="CW374">
            <v>41.768292682926834</v>
          </cell>
          <cell r="CX374">
            <v>611.09400000000005</v>
          </cell>
          <cell r="CZ374">
            <v>291.11</v>
          </cell>
          <cell r="DA374">
            <v>3416.3</v>
          </cell>
          <cell r="DB374">
            <v>12.05</v>
          </cell>
          <cell r="DC374">
            <v>329.35</v>
          </cell>
          <cell r="DD374">
            <v>120.45</v>
          </cell>
        </row>
        <row r="375">
          <cell r="A375">
            <v>39088</v>
          </cell>
          <cell r="C375">
            <v>102</v>
          </cell>
          <cell r="D375" t="str">
            <v>#N/A N/A</v>
          </cell>
          <cell r="E375">
            <v>14.53</v>
          </cell>
          <cell r="L375">
            <v>1385.76</v>
          </cell>
          <cell r="M375">
            <v>2434.25</v>
          </cell>
          <cell r="N375">
            <v>6220.1</v>
          </cell>
          <cell r="O375">
            <v>4025</v>
          </cell>
          <cell r="Q375">
            <v>520</v>
          </cell>
          <cell r="R375">
            <v>368.25</v>
          </cell>
          <cell r="S375">
            <v>470.25</v>
          </cell>
          <cell r="T375">
            <v>681.5</v>
          </cell>
          <cell r="U375">
            <v>17091.59</v>
          </cell>
          <cell r="V375">
            <v>20211.28</v>
          </cell>
          <cell r="W375">
            <v>7835.57</v>
          </cell>
          <cell r="X375">
            <v>56.45</v>
          </cell>
          <cell r="Y375">
            <v>1205</v>
          </cell>
          <cell r="Z375">
            <v>1340</v>
          </cell>
          <cell r="AA375">
            <v>13860.52</v>
          </cell>
          <cell r="AB375">
            <v>5549.8</v>
          </cell>
          <cell r="AC375">
            <v>42245.160199999998</v>
          </cell>
          <cell r="AE375">
            <v>70.25</v>
          </cell>
          <cell r="AF375">
            <v>729.95</v>
          </cell>
          <cell r="AG375">
            <v>4539</v>
          </cell>
          <cell r="AH375">
            <v>830</v>
          </cell>
          <cell r="AI375">
            <v>1590</v>
          </cell>
          <cell r="AJ375">
            <v>602.35</v>
          </cell>
          <cell r="AL375">
            <v>1409.71</v>
          </cell>
          <cell r="AP375">
            <v>2641.3339999999998</v>
          </cell>
          <cell r="AV375">
            <v>47.03</v>
          </cell>
          <cell r="AZ375">
            <v>230.7</v>
          </cell>
          <cell r="BE375">
            <v>34100</v>
          </cell>
          <cell r="BG375">
            <v>51.7</v>
          </cell>
          <cell r="BH375">
            <v>242.71</v>
          </cell>
          <cell r="BY375">
            <v>469.09</v>
          </cell>
          <cell r="CD375">
            <v>364.03</v>
          </cell>
          <cell r="CE375">
            <v>360.09399999999999</v>
          </cell>
          <cell r="CF375">
            <v>367.47</v>
          </cell>
          <cell r="CG375">
            <v>1315</v>
          </cell>
          <cell r="CH375">
            <v>1140</v>
          </cell>
          <cell r="CI375">
            <v>130</v>
          </cell>
          <cell r="CJ375">
            <v>325</v>
          </cell>
          <cell r="CK375">
            <v>1271</v>
          </cell>
          <cell r="CM375">
            <v>149.31</v>
          </cell>
          <cell r="CN375">
            <v>15.69</v>
          </cell>
          <cell r="CO375" t="str">
            <v>#N/A N/A</v>
          </cell>
          <cell r="CQ375">
            <v>5.51</v>
          </cell>
          <cell r="CR375">
            <v>72</v>
          </cell>
          <cell r="CS375">
            <v>1681</v>
          </cell>
          <cell r="CU375">
            <v>1130</v>
          </cell>
          <cell r="CW375">
            <v>41.768292682926834</v>
          </cell>
          <cell r="CX375">
            <v>611.09400000000005</v>
          </cell>
          <cell r="CZ375">
            <v>291.11</v>
          </cell>
          <cell r="DA375">
            <v>3416.3</v>
          </cell>
          <cell r="DB375">
            <v>12.05</v>
          </cell>
          <cell r="DC375">
            <v>329.35</v>
          </cell>
          <cell r="DD375">
            <v>120.45</v>
          </cell>
        </row>
        <row r="376">
          <cell r="A376">
            <v>39089</v>
          </cell>
          <cell r="C376">
            <v>102</v>
          </cell>
          <cell r="D376" t="str">
            <v>#N/A N/A</v>
          </cell>
          <cell r="E376">
            <v>14.53</v>
          </cell>
          <cell r="L376">
            <v>1385.76</v>
          </cell>
          <cell r="M376">
            <v>2434.25</v>
          </cell>
          <cell r="N376">
            <v>6220.1</v>
          </cell>
          <cell r="O376">
            <v>4025</v>
          </cell>
          <cell r="Q376">
            <v>520</v>
          </cell>
          <cell r="R376">
            <v>368.25</v>
          </cell>
          <cell r="S376">
            <v>470.25</v>
          </cell>
          <cell r="T376">
            <v>681.5</v>
          </cell>
          <cell r="U376">
            <v>17091.59</v>
          </cell>
          <cell r="V376">
            <v>20211.28</v>
          </cell>
          <cell r="W376">
            <v>7835.57</v>
          </cell>
          <cell r="X376">
            <v>56.45</v>
          </cell>
          <cell r="Y376">
            <v>1205</v>
          </cell>
          <cell r="Z376">
            <v>1340</v>
          </cell>
          <cell r="AA376">
            <v>13860.52</v>
          </cell>
          <cell r="AB376">
            <v>5549.8</v>
          </cell>
          <cell r="AC376">
            <v>42245.160199999998</v>
          </cell>
          <cell r="AE376">
            <v>70.25</v>
          </cell>
          <cell r="AF376">
            <v>729.95</v>
          </cell>
          <cell r="AG376">
            <v>4539</v>
          </cell>
          <cell r="AH376">
            <v>830</v>
          </cell>
          <cell r="AI376">
            <v>1590</v>
          </cell>
          <cell r="AJ376">
            <v>602.35</v>
          </cell>
          <cell r="AL376">
            <v>1409.71</v>
          </cell>
          <cell r="AP376">
            <v>2641.3339999999998</v>
          </cell>
          <cell r="AV376">
            <v>47.03</v>
          </cell>
          <cell r="AZ376">
            <v>230.7</v>
          </cell>
          <cell r="BE376">
            <v>34100</v>
          </cell>
          <cell r="BG376">
            <v>51.7</v>
          </cell>
          <cell r="BH376">
            <v>242.71</v>
          </cell>
          <cell r="BY376">
            <v>469.09</v>
          </cell>
          <cell r="CD376">
            <v>364.03</v>
          </cell>
          <cell r="CE376">
            <v>360.09399999999999</v>
          </cell>
          <cell r="CF376">
            <v>367.47</v>
          </cell>
          <cell r="CG376">
            <v>1315</v>
          </cell>
          <cell r="CH376">
            <v>1140</v>
          </cell>
          <cell r="CI376">
            <v>130</v>
          </cell>
          <cell r="CJ376">
            <v>325</v>
          </cell>
          <cell r="CK376">
            <v>1271</v>
          </cell>
          <cell r="CM376">
            <v>149.31</v>
          </cell>
          <cell r="CN376">
            <v>15.69</v>
          </cell>
          <cell r="CO376" t="str">
            <v>#N/A N/A</v>
          </cell>
          <cell r="CQ376">
            <v>5.51</v>
          </cell>
          <cell r="CR376">
            <v>72</v>
          </cell>
          <cell r="CS376">
            <v>1681</v>
          </cell>
          <cell r="CU376">
            <v>1130</v>
          </cell>
          <cell r="CW376">
            <v>41.768292682926834</v>
          </cell>
          <cell r="CX376">
            <v>611.09400000000005</v>
          </cell>
          <cell r="CZ376">
            <v>291.11</v>
          </cell>
          <cell r="DA376">
            <v>3416.3</v>
          </cell>
          <cell r="DB376">
            <v>12.05</v>
          </cell>
          <cell r="DC376">
            <v>329.35</v>
          </cell>
          <cell r="DD376">
            <v>120.45</v>
          </cell>
        </row>
        <row r="377">
          <cell r="A377">
            <v>39090</v>
          </cell>
          <cell r="C377">
            <v>102</v>
          </cell>
          <cell r="D377" t="str">
            <v>#N/A N/A</v>
          </cell>
          <cell r="E377">
            <v>14.48</v>
          </cell>
          <cell r="L377">
            <v>1370.81</v>
          </cell>
          <cell r="M377">
            <v>2438.1999999999998</v>
          </cell>
          <cell r="N377">
            <v>6194.2</v>
          </cell>
          <cell r="O377">
            <v>4064</v>
          </cell>
          <cell r="Q377">
            <v>520</v>
          </cell>
          <cell r="R377">
            <v>363.5</v>
          </cell>
          <cell r="S377">
            <v>464</v>
          </cell>
          <cell r="T377">
            <v>677.25</v>
          </cell>
          <cell r="U377">
            <v>17091.59</v>
          </cell>
          <cell r="V377">
            <v>20029.66</v>
          </cell>
          <cell r="W377">
            <v>7736.71</v>
          </cell>
          <cell r="X377">
            <v>56.95</v>
          </cell>
          <cell r="Y377">
            <v>1205</v>
          </cell>
          <cell r="Z377">
            <v>1340</v>
          </cell>
          <cell r="AA377">
            <v>13652.15</v>
          </cell>
          <cell r="AB377">
            <v>5484.5</v>
          </cell>
          <cell r="AC377">
            <v>42829.929700000001</v>
          </cell>
          <cell r="AE377">
            <v>71.25</v>
          </cell>
          <cell r="AF377">
            <v>729.95</v>
          </cell>
          <cell r="AG377">
            <v>4579</v>
          </cell>
          <cell r="AH377">
            <v>830</v>
          </cell>
          <cell r="AI377">
            <v>1590</v>
          </cell>
          <cell r="AJ377">
            <v>597.83000000000004</v>
          </cell>
          <cell r="AL377">
            <v>1412.84</v>
          </cell>
          <cell r="AP377">
            <v>2707.1990000000001</v>
          </cell>
          <cell r="AV377">
            <v>47.12</v>
          </cell>
          <cell r="AZ377">
            <v>230.7</v>
          </cell>
          <cell r="BE377">
            <v>32400</v>
          </cell>
          <cell r="BG377">
            <v>51.7</v>
          </cell>
          <cell r="BH377">
            <v>244.52</v>
          </cell>
          <cell r="BY377">
            <v>471.94</v>
          </cell>
          <cell r="CD377">
            <v>364.22</v>
          </cell>
          <cell r="CE377">
            <v>360.48</v>
          </cell>
          <cell r="CF377">
            <v>362.1</v>
          </cell>
          <cell r="CG377">
            <v>1315</v>
          </cell>
          <cell r="CH377">
            <v>1140</v>
          </cell>
          <cell r="CI377">
            <v>125</v>
          </cell>
          <cell r="CJ377">
            <v>315</v>
          </cell>
          <cell r="CK377">
            <v>1251</v>
          </cell>
          <cell r="CM377">
            <v>146.85</v>
          </cell>
          <cell r="CN377">
            <v>14.61</v>
          </cell>
          <cell r="CO377" t="str">
            <v>#N/A N/A</v>
          </cell>
          <cell r="CQ377">
            <v>6</v>
          </cell>
          <cell r="CR377">
            <v>72</v>
          </cell>
          <cell r="CS377">
            <v>1591.5</v>
          </cell>
          <cell r="CU377">
            <v>1130</v>
          </cell>
          <cell r="CW377">
            <v>42.759146341463421</v>
          </cell>
          <cell r="CX377">
            <v>612.17499999999995</v>
          </cell>
          <cell r="CZ377">
            <v>290.73</v>
          </cell>
          <cell r="DA377">
            <v>3362</v>
          </cell>
          <cell r="DB377">
            <v>11.94</v>
          </cell>
          <cell r="DC377">
            <v>329.35</v>
          </cell>
          <cell r="DD377">
            <v>120.1</v>
          </cell>
        </row>
        <row r="378">
          <cell r="A378">
            <v>39091</v>
          </cell>
          <cell r="C378">
            <v>102</v>
          </cell>
          <cell r="D378" t="str">
            <v>#N/A N/A</v>
          </cell>
          <cell r="E378">
            <v>14.34</v>
          </cell>
          <cell r="L378">
            <v>1374.34</v>
          </cell>
          <cell r="M378">
            <v>2443.83</v>
          </cell>
          <cell r="N378">
            <v>6196.1</v>
          </cell>
          <cell r="O378">
            <v>4120</v>
          </cell>
          <cell r="Q378">
            <v>520</v>
          </cell>
          <cell r="R378">
            <v>354.5</v>
          </cell>
          <cell r="S378">
            <v>453</v>
          </cell>
          <cell r="T378">
            <v>664.5</v>
          </cell>
          <cell r="U378">
            <v>17237.77</v>
          </cell>
          <cell r="V378">
            <v>19898.080000000002</v>
          </cell>
          <cell r="W378">
            <v>7790.01</v>
          </cell>
          <cell r="X378">
            <v>56.4</v>
          </cell>
          <cell r="Y378">
            <v>1205</v>
          </cell>
          <cell r="Z378">
            <v>1340</v>
          </cell>
          <cell r="AA378">
            <v>13566.33</v>
          </cell>
          <cell r="AB378">
            <v>5564.1</v>
          </cell>
          <cell r="AC378">
            <v>42006.781300000002</v>
          </cell>
          <cell r="AE378">
            <v>70.849999999999994</v>
          </cell>
          <cell r="AF378">
            <v>735</v>
          </cell>
          <cell r="AG378">
            <v>4617</v>
          </cell>
          <cell r="AH378">
            <v>830</v>
          </cell>
          <cell r="AI378">
            <v>1590</v>
          </cell>
          <cell r="AJ378">
            <v>601.95000000000005</v>
          </cell>
          <cell r="AL378">
            <v>1412.11</v>
          </cell>
          <cell r="AP378">
            <v>2807.8040000000001</v>
          </cell>
          <cell r="AV378">
            <v>46.6</v>
          </cell>
          <cell r="AZ378">
            <v>240.7</v>
          </cell>
          <cell r="BE378">
            <v>31575</v>
          </cell>
          <cell r="BG378">
            <v>51.7</v>
          </cell>
          <cell r="BH378">
            <v>244.3</v>
          </cell>
          <cell r="BY378">
            <v>475.38</v>
          </cell>
          <cell r="CD378">
            <v>364.15</v>
          </cell>
          <cell r="CE378">
            <v>360.81099999999998</v>
          </cell>
          <cell r="CF378">
            <v>361.15</v>
          </cell>
          <cell r="CG378">
            <v>1315</v>
          </cell>
          <cell r="CH378">
            <v>1140</v>
          </cell>
          <cell r="CI378">
            <v>125</v>
          </cell>
          <cell r="CJ378">
            <v>315</v>
          </cell>
          <cell r="CK378">
            <v>1224</v>
          </cell>
          <cell r="CM378">
            <v>146.96</v>
          </cell>
          <cell r="CN378">
            <v>14.76</v>
          </cell>
          <cell r="CO378" t="str">
            <v>#N/A N/A</v>
          </cell>
          <cell r="CQ378">
            <v>6.15</v>
          </cell>
          <cell r="CR378">
            <v>72</v>
          </cell>
          <cell r="CS378">
            <v>1578</v>
          </cell>
          <cell r="CU378">
            <v>1130</v>
          </cell>
          <cell r="CW378">
            <v>43.064024390243908</v>
          </cell>
          <cell r="CX378">
            <v>611.37599999999998</v>
          </cell>
          <cell r="CZ378">
            <v>289.51</v>
          </cell>
          <cell r="DA378">
            <v>3340.6</v>
          </cell>
          <cell r="DB378">
            <v>11.92</v>
          </cell>
          <cell r="DC378">
            <v>329.35</v>
          </cell>
          <cell r="DD378">
            <v>118.4</v>
          </cell>
        </row>
        <row r="379">
          <cell r="A379">
            <v>39092</v>
          </cell>
          <cell r="C379">
            <v>102</v>
          </cell>
          <cell r="D379" t="str">
            <v>#N/A N/A</v>
          </cell>
          <cell r="E379">
            <v>14.28</v>
          </cell>
          <cell r="L379">
            <v>1355.79</v>
          </cell>
          <cell r="M379">
            <v>2459.33</v>
          </cell>
          <cell r="N379">
            <v>6160.7</v>
          </cell>
          <cell r="O379">
            <v>4134</v>
          </cell>
          <cell r="Q379">
            <v>520</v>
          </cell>
          <cell r="R379">
            <v>360.25</v>
          </cell>
          <cell r="S379">
            <v>449.5</v>
          </cell>
          <cell r="T379">
            <v>664.75</v>
          </cell>
          <cell r="U379">
            <v>16942.400000000001</v>
          </cell>
          <cell r="V379">
            <v>19568.34</v>
          </cell>
          <cell r="W379">
            <v>7698.52</v>
          </cell>
          <cell r="X379">
            <v>56.65</v>
          </cell>
          <cell r="Y379">
            <v>1205</v>
          </cell>
          <cell r="Z379">
            <v>1340</v>
          </cell>
          <cell r="AA379">
            <v>13362.16</v>
          </cell>
          <cell r="AB379">
            <v>5502.1</v>
          </cell>
          <cell r="AC379">
            <v>42335.671900000001</v>
          </cell>
          <cell r="AE379">
            <v>70.45</v>
          </cell>
          <cell r="AF379">
            <v>735</v>
          </cell>
          <cell r="AG379">
            <v>4640</v>
          </cell>
          <cell r="AH379">
            <v>830</v>
          </cell>
          <cell r="AI379">
            <v>1590</v>
          </cell>
          <cell r="AJ379">
            <v>596.78</v>
          </cell>
          <cell r="AL379">
            <v>1414.85</v>
          </cell>
          <cell r="AP379">
            <v>2825.576</v>
          </cell>
          <cell r="AV379">
            <v>46.45</v>
          </cell>
          <cell r="AZ379">
            <v>241.9</v>
          </cell>
          <cell r="BE379">
            <v>34000</v>
          </cell>
          <cell r="BG379">
            <v>51.7</v>
          </cell>
          <cell r="BH379">
            <v>243.22</v>
          </cell>
          <cell r="BY379">
            <v>483.77</v>
          </cell>
          <cell r="CD379">
            <v>362.12</v>
          </cell>
          <cell r="CE379">
            <v>359</v>
          </cell>
          <cell r="CF379">
            <v>354.9</v>
          </cell>
          <cell r="CG379">
            <v>1315</v>
          </cell>
          <cell r="CH379">
            <v>1140</v>
          </cell>
          <cell r="CI379">
            <v>125</v>
          </cell>
          <cell r="CJ379">
            <v>315</v>
          </cell>
          <cell r="CK379">
            <v>1206</v>
          </cell>
          <cell r="CM379">
            <v>142.91999999999999</v>
          </cell>
          <cell r="CN379">
            <v>14.84</v>
          </cell>
          <cell r="CO379" t="str">
            <v>#N/A N/A</v>
          </cell>
          <cell r="CQ379">
            <v>6.38</v>
          </cell>
          <cell r="CR379">
            <v>72</v>
          </cell>
          <cell r="CS379">
            <v>1626</v>
          </cell>
          <cell r="CU379">
            <v>1130</v>
          </cell>
          <cell r="CW379">
            <v>42.759146341463421</v>
          </cell>
          <cell r="CX379">
            <v>608.03899999999999</v>
          </cell>
          <cell r="CZ379">
            <v>289.33</v>
          </cell>
          <cell r="DA379">
            <v>3496.5</v>
          </cell>
          <cell r="DB379">
            <v>11.98</v>
          </cell>
          <cell r="DC379">
            <v>329.35</v>
          </cell>
          <cell r="DD379">
            <v>120.75</v>
          </cell>
        </row>
        <row r="380">
          <cell r="A380">
            <v>39093</v>
          </cell>
          <cell r="C380">
            <v>102</v>
          </cell>
          <cell r="D380" t="str">
            <v>#N/A N/A</v>
          </cell>
          <cell r="E380">
            <v>14.26</v>
          </cell>
          <cell r="L380">
            <v>1365.31</v>
          </cell>
          <cell r="M380">
            <v>2484.85</v>
          </cell>
          <cell r="N380">
            <v>6230.1</v>
          </cell>
          <cell r="O380">
            <v>4143</v>
          </cell>
          <cell r="Q380">
            <v>520</v>
          </cell>
          <cell r="R380">
            <v>376.5</v>
          </cell>
          <cell r="S380">
            <v>456.5</v>
          </cell>
          <cell r="T380">
            <v>674.25</v>
          </cell>
          <cell r="U380">
            <v>16838.169999999998</v>
          </cell>
          <cell r="V380">
            <v>19385.37</v>
          </cell>
          <cell r="W380">
            <v>7618.55</v>
          </cell>
          <cell r="X380">
            <v>55.4</v>
          </cell>
          <cell r="Y380">
            <v>1205</v>
          </cell>
          <cell r="Z380">
            <v>1340</v>
          </cell>
          <cell r="AA380">
            <v>13630.71</v>
          </cell>
          <cell r="AB380">
            <v>5542.7</v>
          </cell>
          <cell r="AC380">
            <v>42670.320299999999</v>
          </cell>
          <cell r="AE380">
            <v>68.45</v>
          </cell>
          <cell r="AF380">
            <v>735</v>
          </cell>
          <cell r="AG380">
            <v>4647</v>
          </cell>
          <cell r="AH380">
            <v>830</v>
          </cell>
          <cell r="AI380">
            <v>1590</v>
          </cell>
          <cell r="AJ380">
            <v>600.94000000000005</v>
          </cell>
          <cell r="AL380">
            <v>1423.82</v>
          </cell>
          <cell r="AP380">
            <v>2770.11</v>
          </cell>
          <cell r="AV380">
            <v>46.81</v>
          </cell>
          <cell r="AZ380">
            <v>246.6</v>
          </cell>
          <cell r="BE380">
            <v>35440</v>
          </cell>
          <cell r="BG380">
            <v>51.7</v>
          </cell>
          <cell r="BH380">
            <v>245.16</v>
          </cell>
          <cell r="BY380">
            <v>482.36</v>
          </cell>
          <cell r="CD380">
            <v>364.66</v>
          </cell>
          <cell r="CE380">
            <v>361.48599999999999</v>
          </cell>
          <cell r="CF380">
            <v>354.97</v>
          </cell>
          <cell r="CG380">
            <v>1315</v>
          </cell>
          <cell r="CH380">
            <v>1140</v>
          </cell>
          <cell r="CI380">
            <v>125</v>
          </cell>
          <cell r="CJ380">
            <v>315</v>
          </cell>
          <cell r="CK380">
            <v>1202</v>
          </cell>
          <cell r="CM380">
            <v>139.05000000000001</v>
          </cell>
          <cell r="CN380">
            <v>14.91</v>
          </cell>
          <cell r="CO380" t="str">
            <v>#N/A N/A</v>
          </cell>
          <cell r="CQ380">
            <v>6.05</v>
          </cell>
          <cell r="CR380">
            <v>72</v>
          </cell>
          <cell r="CS380">
            <v>1658</v>
          </cell>
          <cell r="CU380">
            <v>1130</v>
          </cell>
          <cell r="CW380">
            <v>42.759146341463421</v>
          </cell>
          <cell r="CX380">
            <v>606.58199999999999</v>
          </cell>
          <cell r="CZ380">
            <v>286.06</v>
          </cell>
          <cell r="DA380">
            <v>3528.1</v>
          </cell>
          <cell r="DB380">
            <v>12</v>
          </cell>
          <cell r="DC380">
            <v>329.35</v>
          </cell>
          <cell r="DD380">
            <v>120.65</v>
          </cell>
        </row>
        <row r="381">
          <cell r="A381">
            <v>39094</v>
          </cell>
          <cell r="C381">
            <v>102</v>
          </cell>
          <cell r="D381" t="str">
            <v>#N/A N/A</v>
          </cell>
          <cell r="E381">
            <v>14.13</v>
          </cell>
          <cell r="L381">
            <v>1388.37</v>
          </cell>
          <cell r="M381">
            <v>2502.8200000000002</v>
          </cell>
          <cell r="N381">
            <v>6239</v>
          </cell>
          <cell r="O381">
            <v>4143</v>
          </cell>
          <cell r="Q381">
            <v>520</v>
          </cell>
          <cell r="R381">
            <v>396.5</v>
          </cell>
          <cell r="S381">
            <v>479.5</v>
          </cell>
          <cell r="T381">
            <v>716.5</v>
          </cell>
          <cell r="U381">
            <v>17057.009999999998</v>
          </cell>
          <cell r="V381">
            <v>19613.41</v>
          </cell>
          <cell r="W381">
            <v>7761.71</v>
          </cell>
          <cell r="X381">
            <v>54.35</v>
          </cell>
          <cell r="Y381">
            <v>1300</v>
          </cell>
          <cell r="Z381">
            <v>1340</v>
          </cell>
          <cell r="AA381">
            <v>14056.53</v>
          </cell>
          <cell r="AB381">
            <v>5611.9</v>
          </cell>
          <cell r="AC381">
            <v>43094.968800000002</v>
          </cell>
          <cell r="AE381">
            <v>67.75</v>
          </cell>
          <cell r="AF381">
            <v>735</v>
          </cell>
          <cell r="AG381">
            <v>4642</v>
          </cell>
          <cell r="AH381">
            <v>830</v>
          </cell>
          <cell r="AI381">
            <v>1590</v>
          </cell>
          <cell r="AJ381">
            <v>608.01</v>
          </cell>
          <cell r="AL381">
            <v>1430.73</v>
          </cell>
          <cell r="AP381">
            <v>2668.11</v>
          </cell>
          <cell r="AV381">
            <v>47.86</v>
          </cell>
          <cell r="AZ381">
            <v>243.8</v>
          </cell>
          <cell r="BE381">
            <v>34530</v>
          </cell>
          <cell r="BG381">
            <v>51.6</v>
          </cell>
          <cell r="BH381">
            <v>249.91</v>
          </cell>
          <cell r="BY381">
            <v>482.51</v>
          </cell>
          <cell r="CD381">
            <v>367.76</v>
          </cell>
          <cell r="CE381">
            <v>364.44400000000002</v>
          </cell>
          <cell r="CF381">
            <v>361.66</v>
          </cell>
          <cell r="CG381">
            <v>1305</v>
          </cell>
          <cell r="CH381">
            <v>1130</v>
          </cell>
          <cell r="CI381">
            <v>125</v>
          </cell>
          <cell r="CJ381">
            <v>315</v>
          </cell>
          <cell r="CK381">
            <v>1206</v>
          </cell>
          <cell r="CM381">
            <v>143.19999999999999</v>
          </cell>
          <cell r="CN381">
            <v>15.5</v>
          </cell>
          <cell r="CO381" t="str">
            <v>#N/A N/A</v>
          </cell>
          <cell r="CQ381">
            <v>5.92</v>
          </cell>
          <cell r="CR381">
            <v>72</v>
          </cell>
          <cell r="CS381">
            <v>1635</v>
          </cell>
          <cell r="CU381">
            <v>1125</v>
          </cell>
          <cell r="CW381">
            <v>42.759146341463421</v>
          </cell>
          <cell r="CX381">
            <v>607.33400000000006</v>
          </cell>
          <cell r="CZ381">
            <v>290.62</v>
          </cell>
          <cell r="DA381">
            <v>3449.8</v>
          </cell>
          <cell r="DB381">
            <v>11.73</v>
          </cell>
          <cell r="DC381">
            <v>329.35</v>
          </cell>
          <cell r="DD381">
            <v>120.3</v>
          </cell>
        </row>
        <row r="382">
          <cell r="A382">
            <v>39095</v>
          </cell>
          <cell r="C382">
            <v>102</v>
          </cell>
          <cell r="D382" t="str">
            <v>#N/A N/A</v>
          </cell>
          <cell r="E382">
            <v>14.13</v>
          </cell>
          <cell r="L382">
            <v>1388.37</v>
          </cell>
          <cell r="M382">
            <v>2502.8200000000002</v>
          </cell>
          <cell r="N382">
            <v>6239</v>
          </cell>
          <cell r="O382">
            <v>4143</v>
          </cell>
          <cell r="Q382">
            <v>520</v>
          </cell>
          <cell r="R382">
            <v>396.5</v>
          </cell>
          <cell r="S382">
            <v>479.5</v>
          </cell>
          <cell r="T382">
            <v>716.5</v>
          </cell>
          <cell r="U382">
            <v>17057.009999999998</v>
          </cell>
          <cell r="V382">
            <v>19613.41</v>
          </cell>
          <cell r="W382">
            <v>7761.71</v>
          </cell>
          <cell r="X382">
            <v>54.35</v>
          </cell>
          <cell r="Y382">
            <v>1300</v>
          </cell>
          <cell r="Z382">
            <v>1340</v>
          </cell>
          <cell r="AA382">
            <v>14056.53</v>
          </cell>
          <cell r="AB382">
            <v>5611.9</v>
          </cell>
          <cell r="AC382">
            <v>43094.968800000002</v>
          </cell>
          <cell r="AE382">
            <v>67.75</v>
          </cell>
          <cell r="AF382">
            <v>735</v>
          </cell>
          <cell r="AG382">
            <v>4642</v>
          </cell>
          <cell r="AH382">
            <v>830</v>
          </cell>
          <cell r="AI382">
            <v>1590</v>
          </cell>
          <cell r="AJ382">
            <v>608.01</v>
          </cell>
          <cell r="AL382">
            <v>1430.73</v>
          </cell>
          <cell r="AP382">
            <v>2668.11</v>
          </cell>
          <cell r="AV382">
            <v>47.86</v>
          </cell>
          <cell r="AZ382">
            <v>243.8</v>
          </cell>
          <cell r="BE382">
            <v>34530</v>
          </cell>
          <cell r="BG382">
            <v>51.6</v>
          </cell>
          <cell r="BH382">
            <v>249.91</v>
          </cell>
          <cell r="BY382">
            <v>482.51</v>
          </cell>
          <cell r="CD382">
            <v>367.76</v>
          </cell>
          <cell r="CE382">
            <v>364.44400000000002</v>
          </cell>
          <cell r="CF382">
            <v>361.66</v>
          </cell>
          <cell r="CG382">
            <v>1305</v>
          </cell>
          <cell r="CH382">
            <v>1130</v>
          </cell>
          <cell r="CI382">
            <v>125</v>
          </cell>
          <cell r="CJ382">
            <v>315</v>
          </cell>
          <cell r="CK382">
            <v>1206</v>
          </cell>
          <cell r="CM382">
            <v>143.19999999999999</v>
          </cell>
          <cell r="CN382">
            <v>15.5</v>
          </cell>
          <cell r="CO382" t="str">
            <v>#N/A N/A</v>
          </cell>
          <cell r="CQ382">
            <v>5.92</v>
          </cell>
          <cell r="CR382">
            <v>72</v>
          </cell>
          <cell r="CS382">
            <v>1635</v>
          </cell>
          <cell r="CU382">
            <v>1125</v>
          </cell>
          <cell r="CW382">
            <v>42.759146341463421</v>
          </cell>
          <cell r="CX382">
            <v>607.33400000000006</v>
          </cell>
          <cell r="CZ382">
            <v>290.62</v>
          </cell>
          <cell r="DA382">
            <v>3449.8</v>
          </cell>
          <cell r="DB382">
            <v>11.73</v>
          </cell>
          <cell r="DC382">
            <v>329.35</v>
          </cell>
          <cell r="DD382">
            <v>120.3</v>
          </cell>
        </row>
        <row r="383">
          <cell r="A383">
            <v>39096</v>
          </cell>
          <cell r="C383">
            <v>102</v>
          </cell>
          <cell r="D383" t="str">
            <v>#N/A N/A</v>
          </cell>
          <cell r="E383">
            <v>14.13</v>
          </cell>
          <cell r="L383">
            <v>1388.37</v>
          </cell>
          <cell r="M383">
            <v>2502.8200000000002</v>
          </cell>
          <cell r="N383">
            <v>6239</v>
          </cell>
          <cell r="O383">
            <v>4143</v>
          </cell>
          <cell r="Q383">
            <v>520</v>
          </cell>
          <cell r="R383">
            <v>396.5</v>
          </cell>
          <cell r="S383">
            <v>479.5</v>
          </cell>
          <cell r="T383">
            <v>716.5</v>
          </cell>
          <cell r="U383">
            <v>17057.009999999998</v>
          </cell>
          <cell r="V383">
            <v>19613.41</v>
          </cell>
          <cell r="W383">
            <v>7761.71</v>
          </cell>
          <cell r="X383">
            <v>54.35</v>
          </cell>
          <cell r="Y383">
            <v>1300</v>
          </cell>
          <cell r="Z383">
            <v>1340</v>
          </cell>
          <cell r="AA383">
            <v>14056.53</v>
          </cell>
          <cell r="AB383">
            <v>5611.9</v>
          </cell>
          <cell r="AC383">
            <v>43094.968800000002</v>
          </cell>
          <cell r="AE383">
            <v>67.75</v>
          </cell>
          <cell r="AF383">
            <v>735</v>
          </cell>
          <cell r="AG383">
            <v>4642</v>
          </cell>
          <cell r="AH383">
            <v>830</v>
          </cell>
          <cell r="AI383">
            <v>1590</v>
          </cell>
          <cell r="AJ383">
            <v>608.01</v>
          </cell>
          <cell r="AL383">
            <v>1430.73</v>
          </cell>
          <cell r="AP383">
            <v>2668.11</v>
          </cell>
          <cell r="AV383">
            <v>47.86</v>
          </cell>
          <cell r="AZ383">
            <v>243.8</v>
          </cell>
          <cell r="BE383">
            <v>34530</v>
          </cell>
          <cell r="BG383">
            <v>51.6</v>
          </cell>
          <cell r="BH383">
            <v>249.91</v>
          </cell>
          <cell r="BY383">
            <v>482.51</v>
          </cell>
          <cell r="CD383">
            <v>367.76</v>
          </cell>
          <cell r="CE383">
            <v>364.44400000000002</v>
          </cell>
          <cell r="CF383">
            <v>361.66</v>
          </cell>
          <cell r="CG383">
            <v>1305</v>
          </cell>
          <cell r="CH383">
            <v>1130</v>
          </cell>
          <cell r="CI383">
            <v>125</v>
          </cell>
          <cell r="CJ383">
            <v>315</v>
          </cell>
          <cell r="CK383">
            <v>1206</v>
          </cell>
          <cell r="CM383">
            <v>143.19999999999999</v>
          </cell>
          <cell r="CN383">
            <v>15.5</v>
          </cell>
          <cell r="CO383" t="str">
            <v>#N/A N/A</v>
          </cell>
          <cell r="CQ383">
            <v>5.92</v>
          </cell>
          <cell r="CR383">
            <v>72</v>
          </cell>
          <cell r="CS383">
            <v>1635</v>
          </cell>
          <cell r="CU383">
            <v>1125</v>
          </cell>
          <cell r="CW383">
            <v>42.759146341463421</v>
          </cell>
          <cell r="CX383">
            <v>607.33400000000006</v>
          </cell>
          <cell r="CZ383">
            <v>290.62</v>
          </cell>
          <cell r="DA383">
            <v>3449.8</v>
          </cell>
          <cell r="DB383">
            <v>11.73</v>
          </cell>
          <cell r="DC383">
            <v>329.35</v>
          </cell>
          <cell r="DD383">
            <v>120.3</v>
          </cell>
        </row>
        <row r="384">
          <cell r="A384">
            <v>39097</v>
          </cell>
          <cell r="C384">
            <v>102</v>
          </cell>
          <cell r="D384" t="str">
            <v>#N/A N/A</v>
          </cell>
          <cell r="E384">
            <v>14</v>
          </cell>
          <cell r="L384">
            <v>1390.96</v>
          </cell>
          <cell r="M384">
            <v>2502.8200000000002</v>
          </cell>
          <cell r="N384">
            <v>6263.5</v>
          </cell>
          <cell r="O384">
            <v>4143</v>
          </cell>
          <cell r="Q384">
            <v>520</v>
          </cell>
          <cell r="R384">
            <v>396.5</v>
          </cell>
          <cell r="S384">
            <v>479.5</v>
          </cell>
          <cell r="T384">
            <v>716.5</v>
          </cell>
          <cell r="U384">
            <v>17209.919999999998</v>
          </cell>
          <cell r="V384">
            <v>20068.560000000001</v>
          </cell>
          <cell r="W384">
            <v>7783.5</v>
          </cell>
          <cell r="X384">
            <v>55.65</v>
          </cell>
          <cell r="Y384">
            <v>1300</v>
          </cell>
          <cell r="Z384">
            <v>1340</v>
          </cell>
          <cell r="AA384">
            <v>14129.64</v>
          </cell>
          <cell r="AB384">
            <v>5649</v>
          </cell>
          <cell r="AC384">
            <v>42919.171900000001</v>
          </cell>
          <cell r="AE384">
            <v>68.45</v>
          </cell>
          <cell r="AF384">
            <v>735</v>
          </cell>
          <cell r="AG384">
            <v>4629</v>
          </cell>
          <cell r="AH384">
            <v>830</v>
          </cell>
          <cell r="AI384">
            <v>1590</v>
          </cell>
          <cell r="AJ384">
            <v>608.47</v>
          </cell>
          <cell r="AL384">
            <v>1430.73</v>
          </cell>
          <cell r="AP384">
            <v>2794.701</v>
          </cell>
          <cell r="AV384">
            <v>47.86</v>
          </cell>
          <cell r="AZ384">
            <v>253.8</v>
          </cell>
          <cell r="BE384">
            <v>35175</v>
          </cell>
          <cell r="BG384">
            <v>51.6</v>
          </cell>
          <cell r="BH384">
            <v>252.05</v>
          </cell>
          <cell r="BY384">
            <v>482.51</v>
          </cell>
          <cell r="CD384">
            <v>369.47</v>
          </cell>
          <cell r="CE384">
            <v>365.85500000000002</v>
          </cell>
          <cell r="CF384">
            <v>366.66</v>
          </cell>
          <cell r="CG384">
            <v>1305</v>
          </cell>
          <cell r="CH384">
            <v>1130</v>
          </cell>
          <cell r="CI384">
            <v>125</v>
          </cell>
          <cell r="CJ384">
            <v>315</v>
          </cell>
          <cell r="CK384">
            <v>1203</v>
          </cell>
          <cell r="CM384">
            <v>143.19999999999999</v>
          </cell>
          <cell r="CN384">
            <v>16.14</v>
          </cell>
          <cell r="CO384" t="str">
            <v>#N/A N/A</v>
          </cell>
          <cell r="CQ384">
            <v>5.92</v>
          </cell>
          <cell r="CR384">
            <v>72</v>
          </cell>
          <cell r="CS384">
            <v>1640</v>
          </cell>
          <cell r="CU384">
            <v>1125</v>
          </cell>
          <cell r="CW384">
            <v>42.759146341463421</v>
          </cell>
          <cell r="CX384">
            <v>607.851</v>
          </cell>
          <cell r="CZ384">
            <v>290.62</v>
          </cell>
          <cell r="DA384">
            <v>3433.1</v>
          </cell>
          <cell r="DB384">
            <v>11.73</v>
          </cell>
          <cell r="DC384">
            <v>329.35</v>
          </cell>
          <cell r="DD384">
            <v>120.3</v>
          </cell>
        </row>
        <row r="385">
          <cell r="A385">
            <v>39098</v>
          </cell>
          <cell r="C385">
            <v>102</v>
          </cell>
          <cell r="D385" t="str">
            <v>#N/A N/A</v>
          </cell>
          <cell r="E385">
            <v>13.77</v>
          </cell>
          <cell r="L385">
            <v>1389.71</v>
          </cell>
          <cell r="M385">
            <v>2497.7800000000002</v>
          </cell>
          <cell r="N385">
            <v>6215.7</v>
          </cell>
          <cell r="O385">
            <v>4152</v>
          </cell>
          <cell r="Q385">
            <v>520</v>
          </cell>
          <cell r="R385">
            <v>403</v>
          </cell>
          <cell r="S385">
            <v>464</v>
          </cell>
          <cell r="T385">
            <v>708.5</v>
          </cell>
          <cell r="U385">
            <v>17202.46</v>
          </cell>
          <cell r="V385">
            <v>20027.95</v>
          </cell>
          <cell r="W385">
            <v>7792.08</v>
          </cell>
          <cell r="X385">
            <v>55.25</v>
          </cell>
          <cell r="Y385">
            <v>1300</v>
          </cell>
          <cell r="Z385">
            <v>1340</v>
          </cell>
          <cell r="AA385">
            <v>14114.73</v>
          </cell>
          <cell r="AB385">
            <v>5650.4</v>
          </cell>
          <cell r="AC385">
            <v>42624.218800000002</v>
          </cell>
          <cell r="AE385">
            <v>68.349999999999994</v>
          </cell>
          <cell r="AF385">
            <v>740.93</v>
          </cell>
          <cell r="AG385">
            <v>4555</v>
          </cell>
          <cell r="AH385">
            <v>830</v>
          </cell>
          <cell r="AI385">
            <v>1590</v>
          </cell>
          <cell r="AJ385">
            <v>605.5</v>
          </cell>
          <cell r="AL385">
            <v>1431.9</v>
          </cell>
          <cell r="AP385">
            <v>2821.0169999999998</v>
          </cell>
          <cell r="AV385">
            <v>48.01</v>
          </cell>
          <cell r="AZ385">
            <v>252.3</v>
          </cell>
          <cell r="BE385">
            <v>35500</v>
          </cell>
          <cell r="BG385">
            <v>51.6</v>
          </cell>
          <cell r="BH385">
            <v>249.18</v>
          </cell>
          <cell r="BY385">
            <v>476.51</v>
          </cell>
          <cell r="CD385">
            <v>368.71</v>
          </cell>
          <cell r="CE385">
            <v>365.09100000000001</v>
          </cell>
          <cell r="CF385">
            <v>367.78</v>
          </cell>
          <cell r="CG385">
            <v>1305</v>
          </cell>
          <cell r="CH385">
            <v>1130</v>
          </cell>
          <cell r="CI385">
            <v>125</v>
          </cell>
          <cell r="CJ385">
            <v>315</v>
          </cell>
          <cell r="CK385">
            <v>1201</v>
          </cell>
          <cell r="CM385">
            <v>136.93</v>
          </cell>
          <cell r="CN385">
            <v>16.399999999999999</v>
          </cell>
          <cell r="CO385" t="str">
            <v>#N/A N/A</v>
          </cell>
          <cell r="CQ385">
            <v>6.78</v>
          </cell>
          <cell r="CR385">
            <v>72</v>
          </cell>
          <cell r="CS385">
            <v>1614</v>
          </cell>
          <cell r="CU385">
            <v>1125</v>
          </cell>
          <cell r="CW385">
            <v>42.301829268292686</v>
          </cell>
          <cell r="CX385">
            <v>607.19299999999998</v>
          </cell>
          <cell r="CZ385">
            <v>287.20999999999998</v>
          </cell>
          <cell r="DA385">
            <v>3447.2</v>
          </cell>
          <cell r="DB385">
            <v>11.84</v>
          </cell>
          <cell r="DC385">
            <v>329.35</v>
          </cell>
          <cell r="DD385">
            <v>121.65</v>
          </cell>
        </row>
        <row r="386">
          <cell r="A386">
            <v>39099</v>
          </cell>
          <cell r="C386">
            <v>102</v>
          </cell>
          <cell r="D386" t="str">
            <v>#N/A N/A</v>
          </cell>
          <cell r="E386">
            <v>13.62</v>
          </cell>
          <cell r="L386">
            <v>1379.48</v>
          </cell>
          <cell r="M386">
            <v>2479.42</v>
          </cell>
          <cell r="N386">
            <v>6204.5</v>
          </cell>
          <cell r="O386">
            <v>4152</v>
          </cell>
          <cell r="Q386">
            <v>520</v>
          </cell>
          <cell r="R386">
            <v>408</v>
          </cell>
          <cell r="S386">
            <v>477</v>
          </cell>
          <cell r="T386">
            <v>722</v>
          </cell>
          <cell r="U386">
            <v>17261.349999999999</v>
          </cell>
          <cell r="V386">
            <v>20064.57</v>
          </cell>
          <cell r="W386">
            <v>7833.98</v>
          </cell>
          <cell r="X386">
            <v>52.95</v>
          </cell>
          <cell r="Y386">
            <v>1300</v>
          </cell>
          <cell r="Z386">
            <v>1340</v>
          </cell>
          <cell r="AA386">
            <v>14131.34</v>
          </cell>
          <cell r="AB386">
            <v>5626.1</v>
          </cell>
          <cell r="AC386">
            <v>42735.480499999998</v>
          </cell>
          <cell r="AE386">
            <v>67.650000000000006</v>
          </cell>
          <cell r="AF386">
            <v>740.93</v>
          </cell>
          <cell r="AG386">
            <v>4481</v>
          </cell>
          <cell r="AH386">
            <v>830</v>
          </cell>
          <cell r="AI386">
            <v>1590</v>
          </cell>
          <cell r="AJ386">
            <v>598.16999999999996</v>
          </cell>
          <cell r="AL386">
            <v>1430.62</v>
          </cell>
          <cell r="AP386">
            <v>2778.9</v>
          </cell>
          <cell r="AV386">
            <v>47.62</v>
          </cell>
          <cell r="AZ386">
            <v>256.8</v>
          </cell>
          <cell r="BE386">
            <v>37400</v>
          </cell>
          <cell r="BG386">
            <v>51.6</v>
          </cell>
          <cell r="BH386">
            <v>249.49</v>
          </cell>
          <cell r="BY386">
            <v>472.63</v>
          </cell>
          <cell r="CD386">
            <v>368.76</v>
          </cell>
          <cell r="CE386">
            <v>365.19799999999998</v>
          </cell>
          <cell r="CF386">
            <v>366.67</v>
          </cell>
          <cell r="CG386">
            <v>1305</v>
          </cell>
          <cell r="CH386">
            <v>1130</v>
          </cell>
          <cell r="CI386">
            <v>125</v>
          </cell>
          <cell r="CJ386">
            <v>315</v>
          </cell>
          <cell r="CK386">
            <v>1201</v>
          </cell>
          <cell r="CM386">
            <v>137.86000000000001</v>
          </cell>
          <cell r="CN386">
            <v>15.54</v>
          </cell>
          <cell r="CO386" t="str">
            <v>#N/A N/A</v>
          </cell>
          <cell r="CQ386">
            <v>6.57</v>
          </cell>
          <cell r="CR386">
            <v>72</v>
          </cell>
          <cell r="CS386">
            <v>1582</v>
          </cell>
          <cell r="CU386">
            <v>1125</v>
          </cell>
          <cell r="CW386">
            <v>40.777439024390247</v>
          </cell>
          <cell r="CX386">
            <v>569.62400000000002</v>
          </cell>
          <cell r="CZ386">
            <v>289.08999999999997</v>
          </cell>
          <cell r="DA386">
            <v>3449.4</v>
          </cell>
          <cell r="DB386">
            <v>11.64</v>
          </cell>
          <cell r="DC386">
            <v>329.35</v>
          </cell>
          <cell r="DD386">
            <v>121.6</v>
          </cell>
        </row>
        <row r="387">
          <cell r="A387">
            <v>39100</v>
          </cell>
          <cell r="C387">
            <v>102</v>
          </cell>
          <cell r="D387" t="str">
            <v>#N/A N/A</v>
          </cell>
          <cell r="E387">
            <v>13.47</v>
          </cell>
          <cell r="L387">
            <v>1383.21</v>
          </cell>
          <cell r="M387">
            <v>2443.21</v>
          </cell>
          <cell r="N387">
            <v>6210.3</v>
          </cell>
          <cell r="O387">
            <v>4160</v>
          </cell>
          <cell r="Q387">
            <v>520</v>
          </cell>
          <cell r="R387">
            <v>412.25</v>
          </cell>
          <cell r="S387">
            <v>471</v>
          </cell>
          <cell r="T387">
            <v>716.25</v>
          </cell>
          <cell r="U387">
            <v>17370.93</v>
          </cell>
          <cell r="V387">
            <v>20277.509999999998</v>
          </cell>
          <cell r="W387">
            <v>7895.18</v>
          </cell>
          <cell r="X387">
            <v>54.35</v>
          </cell>
          <cell r="Y387">
            <v>1300</v>
          </cell>
          <cell r="Z387">
            <v>1340</v>
          </cell>
          <cell r="AA387">
            <v>14217.75</v>
          </cell>
          <cell r="AB387">
            <v>5650.8</v>
          </cell>
          <cell r="AC387">
            <v>42477.921900000001</v>
          </cell>
          <cell r="AE387">
            <v>68.5</v>
          </cell>
          <cell r="AF387">
            <v>740.93</v>
          </cell>
          <cell r="AG387">
            <v>4411</v>
          </cell>
          <cell r="AH387">
            <v>830</v>
          </cell>
          <cell r="AI387">
            <v>1590</v>
          </cell>
          <cell r="AJ387">
            <v>597.04999999999995</v>
          </cell>
          <cell r="AL387">
            <v>1426.37</v>
          </cell>
          <cell r="AP387">
            <v>2756.9830000000002</v>
          </cell>
          <cell r="AV387">
            <v>47.35</v>
          </cell>
          <cell r="AZ387">
            <v>259.7</v>
          </cell>
          <cell r="BE387">
            <v>37040</v>
          </cell>
          <cell r="BG387">
            <v>51.6</v>
          </cell>
          <cell r="BH387">
            <v>254.13</v>
          </cell>
          <cell r="BY387">
            <v>454.37</v>
          </cell>
          <cell r="CD387">
            <v>368.22</v>
          </cell>
          <cell r="CE387">
            <v>364.50700000000001</v>
          </cell>
          <cell r="CF387">
            <v>368.51</v>
          </cell>
          <cell r="CG387">
            <v>1305</v>
          </cell>
          <cell r="CH387">
            <v>1130</v>
          </cell>
          <cell r="CI387">
            <v>125</v>
          </cell>
          <cell r="CJ387">
            <v>315</v>
          </cell>
          <cell r="CK387">
            <v>1214</v>
          </cell>
          <cell r="CM387">
            <v>135.53</v>
          </cell>
          <cell r="CN387">
            <v>15.81</v>
          </cell>
          <cell r="CO387" t="str">
            <v>#N/A N/A</v>
          </cell>
          <cell r="CQ387">
            <v>6.28</v>
          </cell>
          <cell r="CR387">
            <v>72</v>
          </cell>
          <cell r="CS387">
            <v>1596</v>
          </cell>
          <cell r="CU387">
            <v>1125</v>
          </cell>
          <cell r="CW387">
            <v>40.548780487804883</v>
          </cell>
          <cell r="CX387">
            <v>569.79999999999995</v>
          </cell>
          <cell r="CZ387">
            <v>285.88</v>
          </cell>
          <cell r="DA387">
            <v>3429.5</v>
          </cell>
          <cell r="DB387">
            <v>11.71</v>
          </cell>
          <cell r="DC387">
            <v>329.35</v>
          </cell>
          <cell r="DD387">
            <v>119.75</v>
          </cell>
        </row>
        <row r="388">
          <cell r="A388">
            <v>39101</v>
          </cell>
          <cell r="C388">
            <v>102</v>
          </cell>
          <cell r="D388" t="str">
            <v>#N/A N/A</v>
          </cell>
          <cell r="E388">
            <v>13.43</v>
          </cell>
          <cell r="L388">
            <v>1360.56</v>
          </cell>
          <cell r="M388">
            <v>2451.31</v>
          </cell>
          <cell r="N388">
            <v>6237.2</v>
          </cell>
          <cell r="O388">
            <v>4157</v>
          </cell>
          <cell r="Q388">
            <v>520</v>
          </cell>
          <cell r="R388">
            <v>406.75</v>
          </cell>
          <cell r="S388">
            <v>467</v>
          </cell>
          <cell r="T388">
            <v>717.75</v>
          </cell>
          <cell r="U388">
            <v>17310.439999999999</v>
          </cell>
          <cell r="V388">
            <v>20327.72</v>
          </cell>
          <cell r="W388">
            <v>7840.08</v>
          </cell>
          <cell r="X388">
            <v>54.35</v>
          </cell>
          <cell r="Y388">
            <v>1310</v>
          </cell>
          <cell r="Z388">
            <v>1340</v>
          </cell>
          <cell r="AA388">
            <v>14182.71</v>
          </cell>
          <cell r="AB388">
            <v>5652.1</v>
          </cell>
          <cell r="AC388">
            <v>43427.640599999999</v>
          </cell>
          <cell r="AE388">
            <v>67.349999999999994</v>
          </cell>
          <cell r="AF388">
            <v>740.93</v>
          </cell>
          <cell r="AG388">
            <v>4362</v>
          </cell>
          <cell r="AH388">
            <v>830</v>
          </cell>
          <cell r="AI388">
            <v>1580</v>
          </cell>
          <cell r="AJ388">
            <v>583.62</v>
          </cell>
          <cell r="AL388">
            <v>1430.5</v>
          </cell>
          <cell r="AP388">
            <v>2832.2069999999999</v>
          </cell>
          <cell r="AV388">
            <v>47.47</v>
          </cell>
          <cell r="AZ388">
            <v>252.2</v>
          </cell>
          <cell r="BE388">
            <v>37785</v>
          </cell>
          <cell r="BG388">
            <v>51.6</v>
          </cell>
          <cell r="BH388">
            <v>256.23</v>
          </cell>
          <cell r="BY388">
            <v>456.83</v>
          </cell>
          <cell r="CD388">
            <v>369.53</v>
          </cell>
          <cell r="CE388">
            <v>365.91399999999999</v>
          </cell>
          <cell r="CF388">
            <v>366.07</v>
          </cell>
          <cell r="CG388">
            <v>1300</v>
          </cell>
          <cell r="CH388">
            <v>1120</v>
          </cell>
          <cell r="CI388">
            <v>125</v>
          </cell>
          <cell r="CJ388">
            <v>315</v>
          </cell>
          <cell r="CK388">
            <v>1222</v>
          </cell>
          <cell r="CM388">
            <v>139.80000000000001</v>
          </cell>
          <cell r="CN388">
            <v>15.75</v>
          </cell>
          <cell r="CO388" t="str">
            <v>#N/A N/A</v>
          </cell>
          <cell r="CQ388">
            <v>6.4</v>
          </cell>
          <cell r="CR388">
            <v>72</v>
          </cell>
          <cell r="CS388">
            <v>1595</v>
          </cell>
          <cell r="CU388">
            <v>1115</v>
          </cell>
          <cell r="CW388">
            <v>40.396341463414636</v>
          </cell>
          <cell r="CX388">
            <v>570.50400000000002</v>
          </cell>
          <cell r="CZ388">
            <v>290.48</v>
          </cell>
          <cell r="DA388">
            <v>3471</v>
          </cell>
          <cell r="DB388">
            <v>11.78</v>
          </cell>
          <cell r="DC388">
            <v>329.35</v>
          </cell>
          <cell r="DD388">
            <v>119.7</v>
          </cell>
        </row>
        <row r="389">
          <cell r="A389">
            <v>39102</v>
          </cell>
          <cell r="C389">
            <v>102</v>
          </cell>
          <cell r="D389" t="str">
            <v>#N/A N/A</v>
          </cell>
          <cell r="E389">
            <v>13.43</v>
          </cell>
          <cell r="L389">
            <v>1360.56</v>
          </cell>
          <cell r="M389">
            <v>2451.31</v>
          </cell>
          <cell r="N389">
            <v>6237.2</v>
          </cell>
          <cell r="O389">
            <v>4157</v>
          </cell>
          <cell r="Q389">
            <v>520</v>
          </cell>
          <cell r="R389">
            <v>406.75</v>
          </cell>
          <cell r="S389">
            <v>467</v>
          </cell>
          <cell r="T389">
            <v>717.75</v>
          </cell>
          <cell r="U389">
            <v>17310.439999999999</v>
          </cell>
          <cell r="V389">
            <v>20327.72</v>
          </cell>
          <cell r="W389">
            <v>7840.08</v>
          </cell>
          <cell r="X389">
            <v>54.35</v>
          </cell>
          <cell r="Y389">
            <v>1310</v>
          </cell>
          <cell r="Z389">
            <v>1340</v>
          </cell>
          <cell r="AA389">
            <v>14182.71</v>
          </cell>
          <cell r="AB389">
            <v>5652.1</v>
          </cell>
          <cell r="AC389">
            <v>43427.640599999999</v>
          </cell>
          <cell r="AE389">
            <v>67.349999999999994</v>
          </cell>
          <cell r="AF389">
            <v>740.93</v>
          </cell>
          <cell r="AG389">
            <v>4362</v>
          </cell>
          <cell r="AH389">
            <v>830</v>
          </cell>
          <cell r="AI389">
            <v>1580</v>
          </cell>
          <cell r="AJ389">
            <v>583.62</v>
          </cell>
          <cell r="AL389">
            <v>1430.5</v>
          </cell>
          <cell r="AP389">
            <v>2832.2069999999999</v>
          </cell>
          <cell r="AV389">
            <v>47.47</v>
          </cell>
          <cell r="AZ389">
            <v>252.2</v>
          </cell>
          <cell r="BE389">
            <v>37785</v>
          </cell>
          <cell r="BG389">
            <v>51.6</v>
          </cell>
          <cell r="BH389">
            <v>256.23</v>
          </cell>
          <cell r="BY389">
            <v>456.83</v>
          </cell>
          <cell r="CD389">
            <v>369.53</v>
          </cell>
          <cell r="CE389">
            <v>365.91399999999999</v>
          </cell>
          <cell r="CF389">
            <v>366.07</v>
          </cell>
          <cell r="CG389">
            <v>1300</v>
          </cell>
          <cell r="CH389">
            <v>1120</v>
          </cell>
          <cell r="CI389">
            <v>125</v>
          </cell>
          <cell r="CJ389">
            <v>315</v>
          </cell>
          <cell r="CK389">
            <v>1222</v>
          </cell>
          <cell r="CM389">
            <v>139.80000000000001</v>
          </cell>
          <cell r="CN389">
            <v>15.75</v>
          </cell>
          <cell r="CO389" t="str">
            <v>#N/A N/A</v>
          </cell>
          <cell r="CQ389">
            <v>6.4</v>
          </cell>
          <cell r="CR389">
            <v>72</v>
          </cell>
          <cell r="CS389">
            <v>1595</v>
          </cell>
          <cell r="CU389">
            <v>1115</v>
          </cell>
          <cell r="CW389">
            <v>40.396341463414636</v>
          </cell>
          <cell r="CX389">
            <v>570.50400000000002</v>
          </cell>
          <cell r="CZ389">
            <v>290.48</v>
          </cell>
          <cell r="DA389">
            <v>3471</v>
          </cell>
          <cell r="DB389">
            <v>11.78</v>
          </cell>
          <cell r="DC389">
            <v>329.35</v>
          </cell>
          <cell r="DD389">
            <v>119.7</v>
          </cell>
        </row>
        <row r="390">
          <cell r="A390">
            <v>39103</v>
          </cell>
          <cell r="C390">
            <v>102</v>
          </cell>
          <cell r="D390" t="str">
            <v>#N/A N/A</v>
          </cell>
          <cell r="E390">
            <v>13.43</v>
          </cell>
          <cell r="L390">
            <v>1360.56</v>
          </cell>
          <cell r="M390">
            <v>2451.31</v>
          </cell>
          <cell r="N390">
            <v>6237.2</v>
          </cell>
          <cell r="O390">
            <v>4157</v>
          </cell>
          <cell r="Q390">
            <v>520</v>
          </cell>
          <cell r="R390">
            <v>406.75</v>
          </cell>
          <cell r="S390">
            <v>467</v>
          </cell>
          <cell r="T390">
            <v>717.75</v>
          </cell>
          <cell r="U390">
            <v>17310.439999999999</v>
          </cell>
          <cell r="V390">
            <v>20327.72</v>
          </cell>
          <cell r="W390">
            <v>7840.08</v>
          </cell>
          <cell r="X390">
            <v>54.35</v>
          </cell>
          <cell r="Y390">
            <v>1310</v>
          </cell>
          <cell r="Z390">
            <v>1340</v>
          </cell>
          <cell r="AA390">
            <v>14182.71</v>
          </cell>
          <cell r="AB390">
            <v>5652.1</v>
          </cell>
          <cell r="AC390">
            <v>43427.640599999999</v>
          </cell>
          <cell r="AE390">
            <v>67.349999999999994</v>
          </cell>
          <cell r="AF390">
            <v>740.93</v>
          </cell>
          <cell r="AG390">
            <v>4362</v>
          </cell>
          <cell r="AH390">
            <v>830</v>
          </cell>
          <cell r="AI390">
            <v>1580</v>
          </cell>
          <cell r="AJ390">
            <v>583.62</v>
          </cell>
          <cell r="AL390">
            <v>1430.5</v>
          </cell>
          <cell r="AP390">
            <v>2832.2069999999999</v>
          </cell>
          <cell r="AV390">
            <v>47.47</v>
          </cell>
          <cell r="AZ390">
            <v>252.2</v>
          </cell>
          <cell r="BE390">
            <v>37785</v>
          </cell>
          <cell r="BG390">
            <v>51.6</v>
          </cell>
          <cell r="BH390">
            <v>256.23</v>
          </cell>
          <cell r="BY390">
            <v>456.83</v>
          </cell>
          <cell r="CD390">
            <v>369.53</v>
          </cell>
          <cell r="CE390">
            <v>365.91399999999999</v>
          </cell>
          <cell r="CF390">
            <v>366.07</v>
          </cell>
          <cell r="CG390">
            <v>1300</v>
          </cell>
          <cell r="CH390">
            <v>1120</v>
          </cell>
          <cell r="CI390">
            <v>125</v>
          </cell>
          <cell r="CJ390">
            <v>315</v>
          </cell>
          <cell r="CK390">
            <v>1222</v>
          </cell>
          <cell r="CM390">
            <v>139.80000000000001</v>
          </cell>
          <cell r="CN390">
            <v>15.75</v>
          </cell>
          <cell r="CO390" t="str">
            <v>#N/A N/A</v>
          </cell>
          <cell r="CQ390">
            <v>6.4</v>
          </cell>
          <cell r="CR390">
            <v>72</v>
          </cell>
          <cell r="CS390">
            <v>1595</v>
          </cell>
          <cell r="CU390">
            <v>1115</v>
          </cell>
          <cell r="CW390">
            <v>40.396341463414636</v>
          </cell>
          <cell r="CX390">
            <v>570.50400000000002</v>
          </cell>
          <cell r="CZ390">
            <v>290.48</v>
          </cell>
          <cell r="DA390">
            <v>3471</v>
          </cell>
          <cell r="DB390">
            <v>11.78</v>
          </cell>
          <cell r="DC390">
            <v>329.35</v>
          </cell>
          <cell r="DD390">
            <v>119.7</v>
          </cell>
        </row>
        <row r="391">
          <cell r="A391">
            <v>39104</v>
          </cell>
          <cell r="C391">
            <v>102</v>
          </cell>
          <cell r="D391" t="str">
            <v>#N/A N/A</v>
          </cell>
          <cell r="E391">
            <v>13.42</v>
          </cell>
          <cell r="L391">
            <v>1363.41</v>
          </cell>
          <cell r="M391">
            <v>2431.0700000000002</v>
          </cell>
          <cell r="N391">
            <v>6218.4</v>
          </cell>
          <cell r="O391">
            <v>4158</v>
          </cell>
          <cell r="Q391">
            <v>520</v>
          </cell>
          <cell r="R391">
            <v>404.25</v>
          </cell>
          <cell r="S391">
            <v>465</v>
          </cell>
          <cell r="T391">
            <v>717.25</v>
          </cell>
          <cell r="U391">
            <v>17424.18</v>
          </cell>
          <cell r="V391">
            <v>20772.22</v>
          </cell>
          <cell r="W391">
            <v>7842.47</v>
          </cell>
          <cell r="X391">
            <v>57</v>
          </cell>
          <cell r="Y391">
            <v>1310</v>
          </cell>
          <cell r="Z391">
            <v>1340</v>
          </cell>
          <cell r="AA391">
            <v>14209.24</v>
          </cell>
          <cell r="AB391">
            <v>5704</v>
          </cell>
          <cell r="AC391">
            <v>43553.300799999997</v>
          </cell>
          <cell r="AE391">
            <v>69.099999999999994</v>
          </cell>
          <cell r="AF391">
            <v>740.93</v>
          </cell>
          <cell r="AG391">
            <v>4340</v>
          </cell>
          <cell r="AH391">
            <v>830</v>
          </cell>
          <cell r="AI391">
            <v>1580</v>
          </cell>
          <cell r="AJ391">
            <v>577.12</v>
          </cell>
          <cell r="AL391">
            <v>1422.95</v>
          </cell>
          <cell r="AP391">
            <v>2933.19</v>
          </cell>
          <cell r="AV391">
            <v>47</v>
          </cell>
          <cell r="AZ391">
            <v>256.39999999999998</v>
          </cell>
          <cell r="BE391">
            <v>39800</v>
          </cell>
          <cell r="BG391">
            <v>51.6</v>
          </cell>
          <cell r="BH391">
            <v>257.05</v>
          </cell>
          <cell r="BY391">
            <v>452.23</v>
          </cell>
          <cell r="CD391">
            <v>368.97</v>
          </cell>
          <cell r="CE391">
            <v>365.07</v>
          </cell>
          <cell r="CF391">
            <v>368.07</v>
          </cell>
          <cell r="CG391">
            <v>1300</v>
          </cell>
          <cell r="CH391">
            <v>1120</v>
          </cell>
          <cell r="CI391">
            <v>122</v>
          </cell>
          <cell r="CJ391">
            <v>310</v>
          </cell>
          <cell r="CK391">
            <v>1224</v>
          </cell>
          <cell r="CM391">
            <v>137.54</v>
          </cell>
          <cell r="CN391">
            <v>15.6</v>
          </cell>
          <cell r="CO391" t="str">
            <v>#N/A N/A</v>
          </cell>
          <cell r="CQ391">
            <v>7.19</v>
          </cell>
          <cell r="CR391">
            <v>72</v>
          </cell>
          <cell r="CS391">
            <v>1672</v>
          </cell>
          <cell r="CU391">
            <v>1115</v>
          </cell>
          <cell r="CW391">
            <v>41.996951219512198</v>
          </cell>
          <cell r="CX391">
            <v>569.79999999999995</v>
          </cell>
          <cell r="CZ391">
            <v>289.98</v>
          </cell>
          <cell r="DA391">
            <v>3522.4</v>
          </cell>
          <cell r="DB391">
            <v>11.82</v>
          </cell>
          <cell r="DC391">
            <v>329.35</v>
          </cell>
          <cell r="DD391">
            <v>117.35</v>
          </cell>
        </row>
        <row r="392">
          <cell r="A392">
            <v>39105</v>
          </cell>
          <cell r="C392">
            <v>102</v>
          </cell>
          <cell r="D392" t="str">
            <v>#N/A N/A</v>
          </cell>
          <cell r="E392">
            <v>13.35</v>
          </cell>
          <cell r="L392">
            <v>1363.09</v>
          </cell>
          <cell r="M392">
            <v>2431.41</v>
          </cell>
          <cell r="N392">
            <v>6227.6</v>
          </cell>
          <cell r="O392">
            <v>4158</v>
          </cell>
          <cell r="Q392">
            <v>520</v>
          </cell>
          <cell r="R392">
            <v>409</v>
          </cell>
          <cell r="S392">
            <v>480.25</v>
          </cell>
          <cell r="T392">
            <v>727.25</v>
          </cell>
          <cell r="U392">
            <v>17408.57</v>
          </cell>
          <cell r="V392">
            <v>20769.7</v>
          </cell>
          <cell r="W392">
            <v>7852.36</v>
          </cell>
          <cell r="X392">
            <v>57.25</v>
          </cell>
          <cell r="Y392">
            <v>1310</v>
          </cell>
          <cell r="Z392">
            <v>1340</v>
          </cell>
          <cell r="AA392">
            <v>14041.24</v>
          </cell>
          <cell r="AB392">
            <v>5714.1</v>
          </cell>
          <cell r="AC392">
            <v>44177.199200000003</v>
          </cell>
          <cell r="AE392">
            <v>68.849999999999994</v>
          </cell>
          <cell r="AF392">
            <v>745.07</v>
          </cell>
          <cell r="AG392">
            <v>4360</v>
          </cell>
          <cell r="AH392">
            <v>830</v>
          </cell>
          <cell r="AI392">
            <v>1580</v>
          </cell>
          <cell r="AJ392">
            <v>571.04</v>
          </cell>
          <cell r="AL392">
            <v>1427.99</v>
          </cell>
          <cell r="AP392">
            <v>2949.1439999999998</v>
          </cell>
          <cell r="AV392">
            <v>47.57</v>
          </cell>
          <cell r="AZ392">
            <v>263.39999999999998</v>
          </cell>
          <cell r="BE392">
            <v>41000</v>
          </cell>
          <cell r="BG392">
            <v>51.6</v>
          </cell>
          <cell r="BH392">
            <v>259.64999999999998</v>
          </cell>
          <cell r="BY392">
            <v>452.78</v>
          </cell>
          <cell r="CD392">
            <v>370.5</v>
          </cell>
          <cell r="CE392">
            <v>366.64299999999997</v>
          </cell>
          <cell r="CF392">
            <v>367.71</v>
          </cell>
          <cell r="CG392">
            <v>1300</v>
          </cell>
          <cell r="CH392">
            <v>1120</v>
          </cell>
          <cell r="CI392">
            <v>122</v>
          </cell>
          <cell r="CJ392">
            <v>310</v>
          </cell>
          <cell r="CK392">
            <v>1240</v>
          </cell>
          <cell r="CM392">
            <v>144.72999999999999</v>
          </cell>
          <cell r="CN392">
            <v>15.64</v>
          </cell>
          <cell r="CO392" t="str">
            <v>#N/A N/A</v>
          </cell>
          <cell r="CQ392">
            <v>7.39</v>
          </cell>
          <cell r="CR392">
            <v>72</v>
          </cell>
          <cell r="CS392">
            <v>1704</v>
          </cell>
          <cell r="CU392">
            <v>1115</v>
          </cell>
          <cell r="CW392">
            <v>41.539634146341463</v>
          </cell>
          <cell r="CX392">
            <v>572.96799999999996</v>
          </cell>
          <cell r="CZ392">
            <v>296.64999999999998</v>
          </cell>
          <cell r="DA392">
            <v>3569.1</v>
          </cell>
          <cell r="DB392">
            <v>11.88</v>
          </cell>
          <cell r="DC392">
            <v>329.35</v>
          </cell>
          <cell r="DD392">
            <v>115.65</v>
          </cell>
        </row>
        <row r="393">
          <cell r="A393">
            <v>39106</v>
          </cell>
          <cell r="C393">
            <v>102</v>
          </cell>
          <cell r="D393" t="str">
            <v>#N/A N/A</v>
          </cell>
          <cell r="E393">
            <v>13.08</v>
          </cell>
          <cell r="L393">
            <v>1383.06</v>
          </cell>
          <cell r="M393">
            <v>2466.2800000000002</v>
          </cell>
          <cell r="N393">
            <v>6314.8</v>
          </cell>
          <cell r="O393">
            <v>4174</v>
          </cell>
          <cell r="Q393">
            <v>520</v>
          </cell>
          <cell r="R393">
            <v>400.75</v>
          </cell>
          <cell r="S393">
            <v>466</v>
          </cell>
          <cell r="T393">
            <v>715</v>
          </cell>
          <cell r="U393">
            <v>17507.400000000001</v>
          </cell>
          <cell r="V393">
            <v>20821.05</v>
          </cell>
          <cell r="W393">
            <v>7935.54</v>
          </cell>
          <cell r="X393">
            <v>59.25</v>
          </cell>
          <cell r="Y393">
            <v>1310</v>
          </cell>
          <cell r="Z393">
            <v>1340</v>
          </cell>
          <cell r="AA393">
            <v>14110.46</v>
          </cell>
          <cell r="AB393">
            <v>5749.1</v>
          </cell>
          <cell r="AC393">
            <v>44686.730499999998</v>
          </cell>
          <cell r="AE393">
            <v>69.8</v>
          </cell>
          <cell r="AF393">
            <v>745.07</v>
          </cell>
          <cell r="AG393">
            <v>4381</v>
          </cell>
          <cell r="AH393">
            <v>830</v>
          </cell>
          <cell r="AI393">
            <v>1580</v>
          </cell>
          <cell r="AJ393">
            <v>580.27</v>
          </cell>
          <cell r="AL393">
            <v>1440.13</v>
          </cell>
          <cell r="AP393">
            <v>2975.1289999999999</v>
          </cell>
          <cell r="AV393">
            <v>48.6</v>
          </cell>
          <cell r="AZ393">
            <v>265.39999999999998</v>
          </cell>
          <cell r="BE393">
            <v>40850</v>
          </cell>
          <cell r="BG393">
            <v>51.6</v>
          </cell>
          <cell r="BH393">
            <v>259.5</v>
          </cell>
          <cell r="BY393">
            <v>458.72</v>
          </cell>
          <cell r="CD393">
            <v>372.99</v>
          </cell>
          <cell r="CE393">
            <v>368.95699999999999</v>
          </cell>
          <cell r="CF393">
            <v>372.54</v>
          </cell>
          <cell r="CG393">
            <v>1300</v>
          </cell>
          <cell r="CH393">
            <v>1120</v>
          </cell>
          <cell r="CI393">
            <v>122</v>
          </cell>
          <cell r="CJ393">
            <v>310</v>
          </cell>
          <cell r="CK393">
            <v>1255</v>
          </cell>
          <cell r="CM393">
            <v>146.16</v>
          </cell>
          <cell r="CN393">
            <v>15.39</v>
          </cell>
          <cell r="CO393" t="str">
            <v>#N/A N/A</v>
          </cell>
          <cell r="CQ393">
            <v>7.44</v>
          </cell>
          <cell r="CR393">
            <v>72</v>
          </cell>
          <cell r="CS393">
            <v>1720.5</v>
          </cell>
          <cell r="CU393">
            <v>1115</v>
          </cell>
          <cell r="CW393">
            <v>41.996951219512198</v>
          </cell>
          <cell r="CX393">
            <v>596.02200000000005</v>
          </cell>
          <cell r="CZ393">
            <v>296.08999999999997</v>
          </cell>
          <cell r="DA393">
            <v>3578.6</v>
          </cell>
          <cell r="DB393">
            <v>11.86</v>
          </cell>
          <cell r="DC393">
            <v>329.35</v>
          </cell>
          <cell r="DD393">
            <v>116.95</v>
          </cell>
        </row>
        <row r="394">
          <cell r="A394">
            <v>39107</v>
          </cell>
          <cell r="C394">
            <v>102</v>
          </cell>
          <cell r="D394" t="str">
            <v>#N/A N/A</v>
          </cell>
          <cell r="E394">
            <v>12.93</v>
          </cell>
          <cell r="L394">
            <v>1382.36</v>
          </cell>
          <cell r="M394">
            <v>2434.2399999999998</v>
          </cell>
          <cell r="N394">
            <v>6269.3</v>
          </cell>
          <cell r="O394">
            <v>4174</v>
          </cell>
          <cell r="Q394">
            <v>520</v>
          </cell>
          <cell r="R394">
            <v>407</v>
          </cell>
          <cell r="S394">
            <v>468.75</v>
          </cell>
          <cell r="T394">
            <v>713.25</v>
          </cell>
          <cell r="U394">
            <v>17458.3</v>
          </cell>
          <cell r="V394">
            <v>20669.830000000002</v>
          </cell>
          <cell r="W394">
            <v>7923.77</v>
          </cell>
          <cell r="X394">
            <v>59.2</v>
          </cell>
          <cell r="Y394">
            <v>1310</v>
          </cell>
          <cell r="Z394">
            <v>1340</v>
          </cell>
          <cell r="AA394">
            <v>14282.72</v>
          </cell>
          <cell r="AB394">
            <v>5753.3</v>
          </cell>
          <cell r="AC394">
            <v>44686.730499999998</v>
          </cell>
          <cell r="AE394">
            <v>70.05</v>
          </cell>
          <cell r="AF394">
            <v>745.07</v>
          </cell>
          <cell r="AG394">
            <v>4385</v>
          </cell>
          <cell r="AH394">
            <v>830</v>
          </cell>
          <cell r="AI394">
            <v>1580</v>
          </cell>
          <cell r="AJ394">
            <v>583.58000000000004</v>
          </cell>
          <cell r="AL394">
            <v>1423.9</v>
          </cell>
          <cell r="AP394">
            <v>2857.3649999999998</v>
          </cell>
          <cell r="AV394">
            <v>47.32</v>
          </cell>
          <cell r="AZ394">
            <v>269.3</v>
          </cell>
          <cell r="BE394">
            <v>41425</v>
          </cell>
          <cell r="BG394">
            <v>51.6</v>
          </cell>
          <cell r="BH394">
            <v>253.09</v>
          </cell>
          <cell r="BY394">
            <v>456.13</v>
          </cell>
          <cell r="CD394">
            <v>370.49</v>
          </cell>
          <cell r="CE394">
            <v>366.37599999999998</v>
          </cell>
          <cell r="CF394">
            <v>371.24</v>
          </cell>
          <cell r="CG394">
            <v>1300</v>
          </cell>
          <cell r="CH394">
            <v>1120</v>
          </cell>
          <cell r="CI394">
            <v>122</v>
          </cell>
          <cell r="CJ394">
            <v>310</v>
          </cell>
          <cell r="CK394">
            <v>1247</v>
          </cell>
          <cell r="CM394">
            <v>144.41</v>
          </cell>
          <cell r="CN394">
            <v>15.27</v>
          </cell>
          <cell r="CO394" t="str">
            <v>#N/A N/A</v>
          </cell>
          <cell r="CQ394">
            <v>7.19</v>
          </cell>
          <cell r="CR394">
            <v>72</v>
          </cell>
          <cell r="CS394">
            <v>1738.5</v>
          </cell>
          <cell r="CU394">
            <v>1115</v>
          </cell>
          <cell r="CW394">
            <v>42.682926829268297</v>
          </cell>
          <cell r="CX394">
            <v>597.21799999999996</v>
          </cell>
          <cell r="CZ394">
            <v>293.49</v>
          </cell>
          <cell r="DA394">
            <v>3624.6</v>
          </cell>
          <cell r="DB394">
            <v>11.69</v>
          </cell>
          <cell r="DC394">
            <v>329.35</v>
          </cell>
          <cell r="DD394">
            <v>116</v>
          </cell>
        </row>
        <row r="395">
          <cell r="A395">
            <v>39108</v>
          </cell>
          <cell r="C395">
            <v>102</v>
          </cell>
          <cell r="D395" t="str">
            <v>#N/A N/A</v>
          </cell>
          <cell r="E395">
            <v>12.93</v>
          </cell>
          <cell r="L395">
            <v>1371.33</v>
          </cell>
          <cell r="M395">
            <v>2435.4899999999998</v>
          </cell>
          <cell r="N395">
            <v>6228</v>
          </cell>
          <cell r="O395">
            <v>4177</v>
          </cell>
          <cell r="Q395">
            <v>520</v>
          </cell>
          <cell r="R395">
            <v>405.5</v>
          </cell>
          <cell r="S395">
            <v>463.5</v>
          </cell>
          <cell r="T395">
            <v>710.5</v>
          </cell>
          <cell r="U395">
            <v>17421.93</v>
          </cell>
          <cell r="V395">
            <v>20281.13</v>
          </cell>
          <cell r="W395">
            <v>7821.32</v>
          </cell>
          <cell r="X395">
            <v>57.05</v>
          </cell>
          <cell r="Y395">
            <v>1310</v>
          </cell>
          <cell r="Z395">
            <v>1330</v>
          </cell>
          <cell r="AA395">
            <v>14282.72</v>
          </cell>
          <cell r="AB395">
            <v>5753.3</v>
          </cell>
          <cell r="AC395">
            <v>44412.351600000002</v>
          </cell>
          <cell r="AE395">
            <v>69.150000000000006</v>
          </cell>
          <cell r="AF395">
            <v>745.07</v>
          </cell>
          <cell r="AG395">
            <v>4367</v>
          </cell>
          <cell r="AH395">
            <v>850</v>
          </cell>
          <cell r="AI395">
            <v>1570</v>
          </cell>
          <cell r="AJ395">
            <v>583.15</v>
          </cell>
          <cell r="AL395">
            <v>1422.18</v>
          </cell>
          <cell r="AP395">
            <v>2882.558</v>
          </cell>
          <cell r="AV395">
            <v>47.49</v>
          </cell>
          <cell r="AZ395">
            <v>272.89999999999998</v>
          </cell>
          <cell r="BE395">
            <v>41325</v>
          </cell>
          <cell r="BG395">
            <v>51.6</v>
          </cell>
          <cell r="BH395">
            <v>255.34</v>
          </cell>
          <cell r="BY395">
            <v>462.78</v>
          </cell>
          <cell r="CD395">
            <v>368.28</v>
          </cell>
          <cell r="CE395">
            <v>364.38099999999997</v>
          </cell>
          <cell r="CF395">
            <v>365.73</v>
          </cell>
          <cell r="CG395">
            <v>1290</v>
          </cell>
          <cell r="CH395">
            <v>1090</v>
          </cell>
          <cell r="CI395">
            <v>122</v>
          </cell>
          <cell r="CJ395">
            <v>310</v>
          </cell>
          <cell r="CK395">
            <v>1242</v>
          </cell>
          <cell r="CM395">
            <v>148.34</v>
          </cell>
          <cell r="CN395">
            <v>15.48</v>
          </cell>
          <cell r="CO395" t="str">
            <v>#N/A N/A</v>
          </cell>
          <cell r="CQ395">
            <v>6.92</v>
          </cell>
          <cell r="CR395">
            <v>72</v>
          </cell>
          <cell r="CS395">
            <v>1703</v>
          </cell>
          <cell r="CU395">
            <v>1080</v>
          </cell>
          <cell r="CW395">
            <v>43.521341463414636</v>
          </cell>
          <cell r="CX395">
            <v>593.99800000000005</v>
          </cell>
          <cell r="CZ395">
            <v>295.86</v>
          </cell>
          <cell r="DA395">
            <v>3601.1</v>
          </cell>
          <cell r="DB395">
            <v>11.64</v>
          </cell>
          <cell r="DC395">
            <v>329.35</v>
          </cell>
          <cell r="DD395">
            <v>116.3</v>
          </cell>
        </row>
        <row r="396">
          <cell r="A396">
            <v>39109</v>
          </cell>
          <cell r="C396">
            <v>102</v>
          </cell>
          <cell r="D396" t="str">
            <v>#N/A N/A</v>
          </cell>
          <cell r="E396">
            <v>12.93</v>
          </cell>
          <cell r="L396">
            <v>1371.33</v>
          </cell>
          <cell r="M396">
            <v>2435.4899999999998</v>
          </cell>
          <cell r="N396">
            <v>6228</v>
          </cell>
          <cell r="O396">
            <v>4177</v>
          </cell>
          <cell r="Q396">
            <v>520</v>
          </cell>
          <cell r="R396">
            <v>405.5</v>
          </cell>
          <cell r="S396">
            <v>463.5</v>
          </cell>
          <cell r="T396">
            <v>710.5</v>
          </cell>
          <cell r="U396">
            <v>17421.93</v>
          </cell>
          <cell r="V396">
            <v>20281.13</v>
          </cell>
          <cell r="W396">
            <v>7821.32</v>
          </cell>
          <cell r="X396">
            <v>57.05</v>
          </cell>
          <cell r="Y396">
            <v>1310</v>
          </cell>
          <cell r="Z396">
            <v>1330</v>
          </cell>
          <cell r="AA396">
            <v>14282.72</v>
          </cell>
          <cell r="AB396">
            <v>5753.3</v>
          </cell>
          <cell r="AC396">
            <v>44412.351600000002</v>
          </cell>
          <cell r="AE396">
            <v>69.150000000000006</v>
          </cell>
          <cell r="AF396">
            <v>745.07</v>
          </cell>
          <cell r="AG396">
            <v>4367</v>
          </cell>
          <cell r="AH396">
            <v>850</v>
          </cell>
          <cell r="AI396">
            <v>1570</v>
          </cell>
          <cell r="AJ396">
            <v>583.15</v>
          </cell>
          <cell r="AL396">
            <v>1422.18</v>
          </cell>
          <cell r="AP396">
            <v>2882.558</v>
          </cell>
          <cell r="AV396">
            <v>47.49</v>
          </cell>
          <cell r="AZ396">
            <v>272.89999999999998</v>
          </cell>
          <cell r="BE396">
            <v>41325</v>
          </cell>
          <cell r="BG396">
            <v>51.6</v>
          </cell>
          <cell r="BH396">
            <v>255.34</v>
          </cell>
          <cell r="BY396">
            <v>462.78</v>
          </cell>
          <cell r="CD396">
            <v>368.28</v>
          </cell>
          <cell r="CE396">
            <v>364.38099999999997</v>
          </cell>
          <cell r="CF396">
            <v>365.73</v>
          </cell>
          <cell r="CG396">
            <v>1290</v>
          </cell>
          <cell r="CH396">
            <v>1090</v>
          </cell>
          <cell r="CI396">
            <v>122</v>
          </cell>
          <cell r="CJ396">
            <v>310</v>
          </cell>
          <cell r="CK396">
            <v>1242</v>
          </cell>
          <cell r="CM396">
            <v>148.34</v>
          </cell>
          <cell r="CN396">
            <v>15.48</v>
          </cell>
          <cell r="CO396" t="str">
            <v>#N/A N/A</v>
          </cell>
          <cell r="CQ396">
            <v>6.92</v>
          </cell>
          <cell r="CR396">
            <v>72</v>
          </cell>
          <cell r="CS396">
            <v>1703</v>
          </cell>
          <cell r="CU396">
            <v>1080</v>
          </cell>
          <cell r="CW396">
            <v>43.521341463414636</v>
          </cell>
          <cell r="CX396">
            <v>593.99800000000005</v>
          </cell>
          <cell r="CZ396">
            <v>295.86</v>
          </cell>
          <cell r="DA396">
            <v>3601.1</v>
          </cell>
          <cell r="DB396">
            <v>11.64</v>
          </cell>
          <cell r="DC396">
            <v>329.35</v>
          </cell>
          <cell r="DD396">
            <v>116.3</v>
          </cell>
        </row>
        <row r="397">
          <cell r="A397">
            <v>39110</v>
          </cell>
          <cell r="C397">
            <v>102</v>
          </cell>
          <cell r="D397" t="str">
            <v>#N/A N/A</v>
          </cell>
          <cell r="E397">
            <v>12.93</v>
          </cell>
          <cell r="L397">
            <v>1371.33</v>
          </cell>
          <cell r="M397">
            <v>2435.4899999999998</v>
          </cell>
          <cell r="N397">
            <v>6228</v>
          </cell>
          <cell r="O397">
            <v>4177</v>
          </cell>
          <cell r="Q397">
            <v>520</v>
          </cell>
          <cell r="R397">
            <v>405.5</v>
          </cell>
          <cell r="S397">
            <v>463.5</v>
          </cell>
          <cell r="T397">
            <v>710.5</v>
          </cell>
          <cell r="U397">
            <v>17421.93</v>
          </cell>
          <cell r="V397">
            <v>20281.13</v>
          </cell>
          <cell r="W397">
            <v>7821.32</v>
          </cell>
          <cell r="X397">
            <v>57.05</v>
          </cell>
          <cell r="Y397">
            <v>1310</v>
          </cell>
          <cell r="Z397">
            <v>1330</v>
          </cell>
          <cell r="AA397">
            <v>14282.72</v>
          </cell>
          <cell r="AB397">
            <v>5753.3</v>
          </cell>
          <cell r="AC397">
            <v>44412.351600000002</v>
          </cell>
          <cell r="AE397">
            <v>69.150000000000006</v>
          </cell>
          <cell r="AF397">
            <v>745.07</v>
          </cell>
          <cell r="AG397">
            <v>4367</v>
          </cell>
          <cell r="AH397">
            <v>850</v>
          </cell>
          <cell r="AI397">
            <v>1570</v>
          </cell>
          <cell r="AJ397">
            <v>583.15</v>
          </cell>
          <cell r="AL397">
            <v>1422.18</v>
          </cell>
          <cell r="AP397">
            <v>2882.558</v>
          </cell>
          <cell r="AV397">
            <v>47.49</v>
          </cell>
          <cell r="AZ397">
            <v>272.89999999999998</v>
          </cell>
          <cell r="BE397">
            <v>41325</v>
          </cell>
          <cell r="BG397">
            <v>51.6</v>
          </cell>
          <cell r="BH397">
            <v>255.34</v>
          </cell>
          <cell r="BY397">
            <v>462.78</v>
          </cell>
          <cell r="CD397">
            <v>368.28</v>
          </cell>
          <cell r="CE397">
            <v>364.38099999999997</v>
          </cell>
          <cell r="CF397">
            <v>365.73</v>
          </cell>
          <cell r="CG397">
            <v>1290</v>
          </cell>
          <cell r="CH397">
            <v>1090</v>
          </cell>
          <cell r="CI397">
            <v>122</v>
          </cell>
          <cell r="CJ397">
            <v>310</v>
          </cell>
          <cell r="CK397">
            <v>1242</v>
          </cell>
          <cell r="CM397">
            <v>148.34</v>
          </cell>
          <cell r="CN397">
            <v>15.48</v>
          </cell>
          <cell r="CO397" t="str">
            <v>#N/A N/A</v>
          </cell>
          <cell r="CQ397">
            <v>6.92</v>
          </cell>
          <cell r="CR397">
            <v>72</v>
          </cell>
          <cell r="CS397">
            <v>1703</v>
          </cell>
          <cell r="CU397">
            <v>1080</v>
          </cell>
          <cell r="CW397">
            <v>43.521341463414636</v>
          </cell>
          <cell r="CX397">
            <v>593.99800000000005</v>
          </cell>
          <cell r="CZ397">
            <v>295.86</v>
          </cell>
          <cell r="DA397">
            <v>3601.1</v>
          </cell>
          <cell r="DB397">
            <v>11.64</v>
          </cell>
          <cell r="DC397">
            <v>329.35</v>
          </cell>
          <cell r="DD397">
            <v>116.3</v>
          </cell>
        </row>
        <row r="398">
          <cell r="A398">
            <v>39111</v>
          </cell>
          <cell r="C398">
            <v>102</v>
          </cell>
          <cell r="D398" t="str">
            <v>#N/A N/A</v>
          </cell>
          <cell r="E398">
            <v>12.54</v>
          </cell>
          <cell r="L398">
            <v>1363.1</v>
          </cell>
          <cell r="M398">
            <v>2441.09</v>
          </cell>
          <cell r="N398">
            <v>6239.9</v>
          </cell>
          <cell r="O398">
            <v>4177</v>
          </cell>
          <cell r="Q398">
            <v>520</v>
          </cell>
          <cell r="R398">
            <v>400</v>
          </cell>
          <cell r="S398">
            <v>456.5</v>
          </cell>
          <cell r="T398">
            <v>709.5</v>
          </cell>
          <cell r="U398">
            <v>17470.46</v>
          </cell>
          <cell r="V398">
            <v>20236.68</v>
          </cell>
          <cell r="W398">
            <v>7751.79</v>
          </cell>
          <cell r="X398">
            <v>57.85</v>
          </cell>
          <cell r="Y398">
            <v>1310</v>
          </cell>
          <cell r="Z398">
            <v>1330</v>
          </cell>
          <cell r="AA398">
            <v>14211.96</v>
          </cell>
          <cell r="AB398">
            <v>5744</v>
          </cell>
          <cell r="AC398">
            <v>43573.488299999997</v>
          </cell>
          <cell r="AE398">
            <v>69.8</v>
          </cell>
          <cell r="AF398">
            <v>745.07</v>
          </cell>
          <cell r="AG398">
            <v>4343</v>
          </cell>
          <cell r="AH398">
            <v>850</v>
          </cell>
          <cell r="AI398">
            <v>1570</v>
          </cell>
          <cell r="AJ398">
            <v>582.48</v>
          </cell>
          <cell r="AL398">
            <v>1420.62</v>
          </cell>
          <cell r="AP398">
            <v>2945.2629999999999</v>
          </cell>
          <cell r="AV398">
            <v>47.04</v>
          </cell>
          <cell r="AZ398">
            <v>277.5</v>
          </cell>
          <cell r="BE398">
            <v>40625</v>
          </cell>
          <cell r="BG398">
            <v>51.6</v>
          </cell>
          <cell r="BH398">
            <v>254.78</v>
          </cell>
          <cell r="BY398">
            <v>460.23</v>
          </cell>
          <cell r="CD398">
            <v>368.42</v>
          </cell>
          <cell r="CE398">
            <v>364.78899999999999</v>
          </cell>
          <cell r="CF398">
            <v>363.99</v>
          </cell>
          <cell r="CG398">
            <v>1290</v>
          </cell>
          <cell r="CH398">
            <v>1090</v>
          </cell>
          <cell r="CI398">
            <v>122</v>
          </cell>
          <cell r="CJ398">
            <v>310</v>
          </cell>
          <cell r="CK398">
            <v>1234</v>
          </cell>
          <cell r="CM398">
            <v>144.1</v>
          </cell>
          <cell r="CN398">
            <v>15.5</v>
          </cell>
          <cell r="CO398" t="str">
            <v>#N/A N/A</v>
          </cell>
          <cell r="CQ398">
            <v>7.36</v>
          </cell>
          <cell r="CR398">
            <v>72</v>
          </cell>
          <cell r="CS398">
            <v>1676</v>
          </cell>
          <cell r="CU398">
            <v>1080</v>
          </cell>
          <cell r="CW398">
            <v>43.826219512195124</v>
          </cell>
          <cell r="CX398">
            <v>595.83800000000008</v>
          </cell>
          <cell r="CZ398">
            <v>290.92</v>
          </cell>
          <cell r="DA398">
            <v>3488.6</v>
          </cell>
          <cell r="DB398">
            <v>11.72</v>
          </cell>
          <cell r="DC398">
            <v>329.35</v>
          </cell>
          <cell r="DD398">
            <v>116.6</v>
          </cell>
        </row>
        <row r="399">
          <cell r="A399">
            <v>39112</v>
          </cell>
          <cell r="C399">
            <v>102</v>
          </cell>
          <cell r="D399" t="str">
            <v>#N/A N/A</v>
          </cell>
          <cell r="E399">
            <v>12.29</v>
          </cell>
          <cell r="L399">
            <v>1370.72</v>
          </cell>
          <cell r="M399">
            <v>2448.64</v>
          </cell>
          <cell r="N399">
            <v>6242</v>
          </cell>
          <cell r="O399">
            <v>4172</v>
          </cell>
          <cell r="Q399">
            <v>520</v>
          </cell>
          <cell r="R399">
            <v>404.75</v>
          </cell>
          <cell r="S399">
            <v>459.5</v>
          </cell>
          <cell r="T399">
            <v>721</v>
          </cell>
          <cell r="U399">
            <v>17490.189999999999</v>
          </cell>
          <cell r="V399">
            <v>20460.46</v>
          </cell>
          <cell r="W399">
            <v>7739.91</v>
          </cell>
          <cell r="X399">
            <v>57.25</v>
          </cell>
          <cell r="Y399">
            <v>1310</v>
          </cell>
          <cell r="Z399">
            <v>1330</v>
          </cell>
          <cell r="AA399">
            <v>14211.96</v>
          </cell>
          <cell r="AB399">
            <v>5791.5</v>
          </cell>
          <cell r="AC399">
            <v>44044.230499999998</v>
          </cell>
          <cell r="AE399">
            <v>68.25</v>
          </cell>
          <cell r="AF399">
            <v>751.06</v>
          </cell>
          <cell r="AG399">
            <v>4287</v>
          </cell>
          <cell r="AH399">
            <v>850</v>
          </cell>
          <cell r="AI399">
            <v>1570</v>
          </cell>
          <cell r="AJ399">
            <v>581.04</v>
          </cell>
          <cell r="AL399">
            <v>1428.82</v>
          </cell>
          <cell r="AP399">
            <v>2930.5619999999999</v>
          </cell>
          <cell r="AV399">
            <v>47.44</v>
          </cell>
          <cell r="AZ399">
            <v>271.5</v>
          </cell>
          <cell r="BE399">
            <v>38650</v>
          </cell>
          <cell r="BG399">
            <v>51.6</v>
          </cell>
          <cell r="BH399">
            <v>258.57</v>
          </cell>
          <cell r="BY399">
            <v>460.53</v>
          </cell>
          <cell r="CD399">
            <v>370.35</v>
          </cell>
          <cell r="CE399">
            <v>366.69900000000001</v>
          </cell>
          <cell r="CF399">
            <v>365.45</v>
          </cell>
          <cell r="CG399">
            <v>1290</v>
          </cell>
          <cell r="CH399">
            <v>1090</v>
          </cell>
          <cell r="CI399">
            <v>122</v>
          </cell>
          <cell r="CJ399">
            <v>310</v>
          </cell>
          <cell r="CK399">
            <v>1210</v>
          </cell>
          <cell r="CM399">
            <v>152.13</v>
          </cell>
          <cell r="CN399">
            <v>15.24</v>
          </cell>
          <cell r="CO399" t="str">
            <v>#N/A N/A</v>
          </cell>
          <cell r="CQ399">
            <v>7.35</v>
          </cell>
          <cell r="CR399">
            <v>72</v>
          </cell>
          <cell r="CS399">
            <v>1688</v>
          </cell>
          <cell r="CU399">
            <v>1080</v>
          </cell>
          <cell r="CW399">
            <v>43.673780487804883</v>
          </cell>
          <cell r="CX399">
            <v>596.16</v>
          </cell>
          <cell r="CZ399">
            <v>298.3</v>
          </cell>
          <cell r="DA399">
            <v>3454.8</v>
          </cell>
          <cell r="DB399">
            <v>11.44</v>
          </cell>
          <cell r="DC399">
            <v>329.35</v>
          </cell>
          <cell r="DD399">
            <v>116.55</v>
          </cell>
        </row>
        <row r="400">
          <cell r="A400">
            <v>39113</v>
          </cell>
          <cell r="C400">
            <v>102</v>
          </cell>
          <cell r="D400" t="str">
            <v>#N/A N/A</v>
          </cell>
          <cell r="E400">
            <v>12.07</v>
          </cell>
          <cell r="L400">
            <v>1360.23</v>
          </cell>
          <cell r="M400">
            <v>2463.9299999999998</v>
          </cell>
          <cell r="N400">
            <v>6203.1</v>
          </cell>
          <cell r="O400">
            <v>4172</v>
          </cell>
          <cell r="Q400">
            <v>520</v>
          </cell>
          <cell r="R400">
            <v>404</v>
          </cell>
          <cell r="S400">
            <v>467.5</v>
          </cell>
          <cell r="T400">
            <v>719.5</v>
          </cell>
          <cell r="U400">
            <v>17383.419999999998</v>
          </cell>
          <cell r="V400">
            <v>20106.419999999998</v>
          </cell>
          <cell r="W400">
            <v>7699.64</v>
          </cell>
          <cell r="X400">
            <v>59.25</v>
          </cell>
          <cell r="Y400">
            <v>1310</v>
          </cell>
          <cell r="Z400">
            <v>1330</v>
          </cell>
          <cell r="AA400">
            <v>14090.92</v>
          </cell>
          <cell r="AB400">
            <v>5757.7</v>
          </cell>
          <cell r="AC400">
            <v>44641.601600000002</v>
          </cell>
          <cell r="AE400">
            <v>70.400000000000006</v>
          </cell>
          <cell r="AF400">
            <v>751.06</v>
          </cell>
          <cell r="AG400">
            <v>4225</v>
          </cell>
          <cell r="AH400">
            <v>850</v>
          </cell>
          <cell r="AI400">
            <v>1570</v>
          </cell>
          <cell r="AJ400">
            <v>576.37</v>
          </cell>
          <cell r="AL400">
            <v>1438.24</v>
          </cell>
          <cell r="AP400">
            <v>2786.335</v>
          </cell>
          <cell r="AV400">
            <v>47.31</v>
          </cell>
          <cell r="AZ400">
            <v>275</v>
          </cell>
          <cell r="BE400">
            <v>39575</v>
          </cell>
          <cell r="BG400">
            <v>51.6</v>
          </cell>
          <cell r="BH400">
            <v>256.72000000000003</v>
          </cell>
          <cell r="BY400">
            <v>458.93</v>
          </cell>
          <cell r="CD400">
            <v>371.2</v>
          </cell>
          <cell r="CE400">
            <v>367.54899999999998</v>
          </cell>
          <cell r="CF400">
            <v>362.92</v>
          </cell>
          <cell r="CG400">
            <v>1290</v>
          </cell>
          <cell r="CH400">
            <v>1090</v>
          </cell>
          <cell r="CI400">
            <v>122</v>
          </cell>
          <cell r="CJ400">
            <v>310</v>
          </cell>
          <cell r="CK400">
            <v>1195</v>
          </cell>
          <cell r="CM400">
            <v>150.09</v>
          </cell>
          <cell r="CN400">
            <v>15.31</v>
          </cell>
          <cell r="CO400" t="str">
            <v>#N/A N/A</v>
          </cell>
          <cell r="CQ400">
            <v>7.75</v>
          </cell>
          <cell r="CR400">
            <v>72</v>
          </cell>
          <cell r="CS400">
            <v>1711</v>
          </cell>
          <cell r="CU400">
            <v>1080</v>
          </cell>
          <cell r="CW400">
            <v>44.283536585365859</v>
          </cell>
          <cell r="CX400">
            <v>598.41399999999999</v>
          </cell>
          <cell r="CZ400">
            <v>301.22000000000003</v>
          </cell>
          <cell r="DA400">
            <v>3520.4</v>
          </cell>
          <cell r="DB400">
            <v>11.56</v>
          </cell>
          <cell r="DC400">
            <v>329.35</v>
          </cell>
          <cell r="DD400">
            <v>117.65</v>
          </cell>
        </row>
        <row r="401">
          <cell r="A401">
            <v>39114</v>
          </cell>
          <cell r="C401">
            <v>102</v>
          </cell>
          <cell r="D401" t="str">
            <v>#N/A N/A</v>
          </cell>
          <cell r="E401">
            <v>12.03</v>
          </cell>
          <cell r="L401">
            <v>1382.9</v>
          </cell>
          <cell r="M401">
            <v>2468.38</v>
          </cell>
          <cell r="N401">
            <v>6282.2</v>
          </cell>
          <cell r="O401">
            <v>4193</v>
          </cell>
          <cell r="Q401">
            <v>500</v>
          </cell>
          <cell r="R401">
            <v>398</v>
          </cell>
          <cell r="S401">
            <v>460.25</v>
          </cell>
          <cell r="T401">
            <v>721.5</v>
          </cell>
          <cell r="U401">
            <v>17519.5</v>
          </cell>
          <cell r="V401">
            <v>20430.16</v>
          </cell>
          <cell r="W401">
            <v>7701.54</v>
          </cell>
          <cell r="X401">
            <v>59.35</v>
          </cell>
          <cell r="Y401">
            <v>1310</v>
          </cell>
          <cell r="Z401">
            <v>1330</v>
          </cell>
          <cell r="AA401">
            <v>14267.18</v>
          </cell>
          <cell r="AB401">
            <v>5796.8</v>
          </cell>
          <cell r="AC401">
            <v>44815.011700000003</v>
          </cell>
          <cell r="AE401">
            <v>71.650000000000006</v>
          </cell>
          <cell r="AF401">
            <v>751.06</v>
          </cell>
          <cell r="AG401">
            <v>4219</v>
          </cell>
          <cell r="AH401">
            <v>850</v>
          </cell>
          <cell r="AI401">
            <v>1570</v>
          </cell>
          <cell r="AJ401">
            <v>582.46</v>
          </cell>
          <cell r="AL401">
            <v>1445.94</v>
          </cell>
          <cell r="AP401">
            <v>2785.4319999999998</v>
          </cell>
          <cell r="AV401">
            <v>48.55</v>
          </cell>
          <cell r="AZ401">
            <v>279.8</v>
          </cell>
          <cell r="BE401">
            <v>39625</v>
          </cell>
          <cell r="BG401">
            <v>51.6</v>
          </cell>
          <cell r="BH401">
            <v>262.08</v>
          </cell>
          <cell r="BY401">
            <v>462.55</v>
          </cell>
          <cell r="CD401">
            <v>374.73</v>
          </cell>
          <cell r="CE401">
            <v>370.94299999999998</v>
          </cell>
          <cell r="CF401">
            <v>366.1</v>
          </cell>
          <cell r="CG401">
            <v>1290</v>
          </cell>
          <cell r="CH401">
            <v>1090</v>
          </cell>
          <cell r="CI401">
            <v>122</v>
          </cell>
          <cell r="CJ401">
            <v>310</v>
          </cell>
          <cell r="CK401">
            <v>1190</v>
          </cell>
          <cell r="CM401">
            <v>152.53</v>
          </cell>
          <cell r="CN401">
            <v>15.32</v>
          </cell>
          <cell r="CO401" t="str">
            <v>#N/A N/A</v>
          </cell>
          <cell r="CQ401">
            <v>7.95</v>
          </cell>
          <cell r="CR401">
            <v>72</v>
          </cell>
          <cell r="CS401">
            <v>1705</v>
          </cell>
          <cell r="CU401">
            <v>1080</v>
          </cell>
          <cell r="CW401">
            <v>48.856707317073173</v>
          </cell>
          <cell r="CX401">
            <v>598.96600000000001</v>
          </cell>
          <cell r="CZ401">
            <v>299.22000000000003</v>
          </cell>
          <cell r="DA401">
            <v>3483.3</v>
          </cell>
          <cell r="DB401">
            <v>11.64</v>
          </cell>
          <cell r="DC401">
            <v>344.9</v>
          </cell>
          <cell r="DD401">
            <v>118.75</v>
          </cell>
        </row>
        <row r="402">
          <cell r="A402">
            <v>39115</v>
          </cell>
          <cell r="C402">
            <v>102</v>
          </cell>
          <cell r="D402" t="str">
            <v>#N/A N/A</v>
          </cell>
          <cell r="E402">
            <v>11.53</v>
          </cell>
          <cell r="L402">
            <v>1413.14</v>
          </cell>
          <cell r="M402">
            <v>2475.88</v>
          </cell>
          <cell r="N402">
            <v>6310.9</v>
          </cell>
          <cell r="O402">
            <v>4201</v>
          </cell>
          <cell r="Q402">
            <v>500</v>
          </cell>
          <cell r="R402">
            <v>402</v>
          </cell>
          <cell r="S402">
            <v>461.25</v>
          </cell>
          <cell r="T402">
            <v>736.75</v>
          </cell>
          <cell r="U402">
            <v>17547.11</v>
          </cell>
          <cell r="V402">
            <v>20563.68</v>
          </cell>
          <cell r="W402">
            <v>7777.03</v>
          </cell>
          <cell r="X402">
            <v>58.85</v>
          </cell>
          <cell r="Y402">
            <v>1200</v>
          </cell>
          <cell r="Z402">
            <v>1320</v>
          </cell>
          <cell r="AA402">
            <v>14403.77</v>
          </cell>
          <cell r="AB402">
            <v>5814.4</v>
          </cell>
          <cell r="AC402">
            <v>44997.828099999999</v>
          </cell>
          <cell r="AE402">
            <v>72.05</v>
          </cell>
          <cell r="AF402">
            <v>751.06</v>
          </cell>
          <cell r="AG402">
            <v>4243</v>
          </cell>
          <cell r="AH402">
            <v>860</v>
          </cell>
          <cell r="AI402">
            <v>1590</v>
          </cell>
          <cell r="AJ402">
            <v>591.72</v>
          </cell>
          <cell r="AL402">
            <v>1448.39</v>
          </cell>
          <cell r="AP402">
            <v>2673.212</v>
          </cell>
          <cell r="AV402">
            <v>49.07</v>
          </cell>
          <cell r="AZ402">
            <v>270.89999999999998</v>
          </cell>
          <cell r="BE402">
            <v>40575</v>
          </cell>
          <cell r="BG402">
            <v>52</v>
          </cell>
          <cell r="BH402">
            <v>267.41000000000003</v>
          </cell>
          <cell r="BY402">
            <v>466.49</v>
          </cell>
          <cell r="CD402">
            <v>375.33</v>
          </cell>
          <cell r="CE402">
            <v>371.34500000000003</v>
          </cell>
          <cell r="CF402">
            <v>370.91</v>
          </cell>
          <cell r="CG402">
            <v>1280</v>
          </cell>
          <cell r="CH402">
            <v>1060</v>
          </cell>
          <cell r="CI402">
            <v>122</v>
          </cell>
          <cell r="CJ402">
            <v>310</v>
          </cell>
          <cell r="CK402">
            <v>1190</v>
          </cell>
          <cell r="CM402">
            <v>157.29</v>
          </cell>
          <cell r="CN402">
            <v>14.72</v>
          </cell>
          <cell r="CO402" t="str">
            <v>#N/A N/A</v>
          </cell>
          <cell r="CQ402">
            <v>8.1999999999999993</v>
          </cell>
          <cell r="CR402">
            <v>75</v>
          </cell>
          <cell r="CS402">
            <v>1668</v>
          </cell>
          <cell r="CU402">
            <v>1090</v>
          </cell>
          <cell r="CW402">
            <v>51.676829268292686</v>
          </cell>
          <cell r="CX402">
            <v>595.83800000000008</v>
          </cell>
          <cell r="CZ402">
            <v>301.33</v>
          </cell>
          <cell r="DA402">
            <v>3381.5</v>
          </cell>
          <cell r="DB402">
            <v>11.52</v>
          </cell>
          <cell r="DC402">
            <v>338.25</v>
          </cell>
          <cell r="DD402">
            <v>118.35</v>
          </cell>
        </row>
        <row r="403">
          <cell r="A403">
            <v>39116</v>
          </cell>
          <cell r="C403">
            <v>102</v>
          </cell>
          <cell r="D403" t="str">
            <v>#N/A N/A</v>
          </cell>
          <cell r="E403">
            <v>11.53</v>
          </cell>
          <cell r="L403">
            <v>1413.14</v>
          </cell>
          <cell r="M403">
            <v>2475.88</v>
          </cell>
          <cell r="N403">
            <v>6310.9</v>
          </cell>
          <cell r="O403">
            <v>4201</v>
          </cell>
          <cell r="Q403">
            <v>500</v>
          </cell>
          <cell r="R403">
            <v>402</v>
          </cell>
          <cell r="S403">
            <v>461.25</v>
          </cell>
          <cell r="T403">
            <v>736.75</v>
          </cell>
          <cell r="U403">
            <v>17547.11</v>
          </cell>
          <cell r="V403">
            <v>20563.68</v>
          </cell>
          <cell r="W403">
            <v>7777.03</v>
          </cell>
          <cell r="X403">
            <v>58.85</v>
          </cell>
          <cell r="Y403">
            <v>1200</v>
          </cell>
          <cell r="Z403">
            <v>1320</v>
          </cell>
          <cell r="AA403">
            <v>14403.77</v>
          </cell>
          <cell r="AB403">
            <v>5814.4</v>
          </cell>
          <cell r="AC403">
            <v>44997.828099999999</v>
          </cell>
          <cell r="AE403">
            <v>72.05</v>
          </cell>
          <cell r="AF403">
            <v>751.06</v>
          </cell>
          <cell r="AG403">
            <v>4243</v>
          </cell>
          <cell r="AH403">
            <v>860</v>
          </cell>
          <cell r="AI403">
            <v>1590</v>
          </cell>
          <cell r="AJ403">
            <v>591.72</v>
          </cell>
          <cell r="AL403">
            <v>1448.39</v>
          </cell>
          <cell r="AP403">
            <v>2673.212</v>
          </cell>
          <cell r="AV403">
            <v>49.07</v>
          </cell>
          <cell r="AZ403">
            <v>270.89999999999998</v>
          </cell>
          <cell r="BE403">
            <v>40575</v>
          </cell>
          <cell r="BG403">
            <v>52</v>
          </cell>
          <cell r="BH403">
            <v>267.41000000000003</v>
          </cell>
          <cell r="BY403">
            <v>466.49</v>
          </cell>
          <cell r="CD403">
            <v>375.33</v>
          </cell>
          <cell r="CE403">
            <v>371.34500000000003</v>
          </cell>
          <cell r="CF403">
            <v>370.91</v>
          </cell>
          <cell r="CG403">
            <v>1280</v>
          </cell>
          <cell r="CH403">
            <v>1060</v>
          </cell>
          <cell r="CI403">
            <v>122</v>
          </cell>
          <cell r="CJ403">
            <v>310</v>
          </cell>
          <cell r="CK403">
            <v>1190</v>
          </cell>
          <cell r="CM403">
            <v>157.29</v>
          </cell>
          <cell r="CN403">
            <v>14.72</v>
          </cell>
          <cell r="CO403" t="str">
            <v>#N/A N/A</v>
          </cell>
          <cell r="CQ403">
            <v>8.1999999999999993</v>
          </cell>
          <cell r="CR403">
            <v>75</v>
          </cell>
          <cell r="CS403">
            <v>1668</v>
          </cell>
          <cell r="CU403">
            <v>1090</v>
          </cell>
          <cell r="CW403">
            <v>51.676829268292686</v>
          </cell>
          <cell r="CX403">
            <v>595.83800000000008</v>
          </cell>
          <cell r="CZ403">
            <v>301.33</v>
          </cell>
          <cell r="DA403">
            <v>3381.5</v>
          </cell>
          <cell r="DB403">
            <v>11.52</v>
          </cell>
          <cell r="DC403">
            <v>338.25</v>
          </cell>
          <cell r="DD403">
            <v>118.35</v>
          </cell>
        </row>
        <row r="404">
          <cell r="A404">
            <v>39117</v>
          </cell>
          <cell r="C404">
            <v>102</v>
          </cell>
          <cell r="D404" t="str">
            <v>#N/A N/A</v>
          </cell>
          <cell r="E404">
            <v>11.53</v>
          </cell>
          <cell r="L404">
            <v>1413.14</v>
          </cell>
          <cell r="M404">
            <v>2475.88</v>
          </cell>
          <cell r="N404">
            <v>6310.9</v>
          </cell>
          <cell r="O404">
            <v>4201</v>
          </cell>
          <cell r="Q404">
            <v>500</v>
          </cell>
          <cell r="R404">
            <v>402</v>
          </cell>
          <cell r="S404">
            <v>461.25</v>
          </cell>
          <cell r="T404">
            <v>736.75</v>
          </cell>
          <cell r="U404">
            <v>17547.11</v>
          </cell>
          <cell r="V404">
            <v>20563.68</v>
          </cell>
          <cell r="W404">
            <v>7777.03</v>
          </cell>
          <cell r="X404">
            <v>58.85</v>
          </cell>
          <cell r="Y404">
            <v>1200</v>
          </cell>
          <cell r="Z404">
            <v>1320</v>
          </cell>
          <cell r="AA404">
            <v>14403.77</v>
          </cell>
          <cell r="AB404">
            <v>5814.4</v>
          </cell>
          <cell r="AC404">
            <v>44997.828099999999</v>
          </cell>
          <cell r="AE404">
            <v>72.05</v>
          </cell>
          <cell r="AF404">
            <v>751.06</v>
          </cell>
          <cell r="AG404">
            <v>4243</v>
          </cell>
          <cell r="AH404">
            <v>860</v>
          </cell>
          <cell r="AI404">
            <v>1590</v>
          </cell>
          <cell r="AJ404">
            <v>591.72</v>
          </cell>
          <cell r="AL404">
            <v>1448.39</v>
          </cell>
          <cell r="AP404">
            <v>2673.212</v>
          </cell>
          <cell r="AV404">
            <v>49.07</v>
          </cell>
          <cell r="AZ404">
            <v>270.89999999999998</v>
          </cell>
          <cell r="BE404">
            <v>40575</v>
          </cell>
          <cell r="BG404">
            <v>52</v>
          </cell>
          <cell r="BH404">
            <v>267.41000000000003</v>
          </cell>
          <cell r="BY404">
            <v>466.49</v>
          </cell>
          <cell r="CD404">
            <v>375.33</v>
          </cell>
          <cell r="CE404">
            <v>371.34500000000003</v>
          </cell>
          <cell r="CF404">
            <v>370.91</v>
          </cell>
          <cell r="CG404">
            <v>1280</v>
          </cell>
          <cell r="CH404">
            <v>1060</v>
          </cell>
          <cell r="CI404">
            <v>122</v>
          </cell>
          <cell r="CJ404">
            <v>310</v>
          </cell>
          <cell r="CK404">
            <v>1190</v>
          </cell>
          <cell r="CM404">
            <v>157.29</v>
          </cell>
          <cell r="CN404">
            <v>14.72</v>
          </cell>
          <cell r="CO404" t="str">
            <v>#N/A N/A</v>
          </cell>
          <cell r="CQ404">
            <v>8.1999999999999993</v>
          </cell>
          <cell r="CR404">
            <v>75</v>
          </cell>
          <cell r="CS404">
            <v>1668</v>
          </cell>
          <cell r="CU404">
            <v>1090</v>
          </cell>
          <cell r="CW404">
            <v>51.676829268292686</v>
          </cell>
          <cell r="CX404">
            <v>595.83800000000008</v>
          </cell>
          <cell r="CZ404">
            <v>301.33</v>
          </cell>
          <cell r="DA404">
            <v>3381.5</v>
          </cell>
          <cell r="DB404">
            <v>11.52</v>
          </cell>
          <cell r="DC404">
            <v>338.25</v>
          </cell>
          <cell r="DD404">
            <v>118.35</v>
          </cell>
        </row>
        <row r="405">
          <cell r="A405">
            <v>39118</v>
          </cell>
          <cell r="C405">
            <v>102</v>
          </cell>
          <cell r="D405" t="str">
            <v>#N/A N/A</v>
          </cell>
          <cell r="E405">
            <v>10.9</v>
          </cell>
          <cell r="L405">
            <v>1417.95</v>
          </cell>
          <cell r="M405">
            <v>2470.6</v>
          </cell>
          <cell r="N405">
            <v>6317.9</v>
          </cell>
          <cell r="O405">
            <v>4217</v>
          </cell>
          <cell r="Q405">
            <v>500</v>
          </cell>
          <cell r="R405">
            <v>402</v>
          </cell>
          <cell r="S405">
            <v>458.5</v>
          </cell>
          <cell r="T405">
            <v>740</v>
          </cell>
          <cell r="U405">
            <v>17344.8</v>
          </cell>
          <cell r="V405">
            <v>20455.62</v>
          </cell>
          <cell r="W405">
            <v>7783.12</v>
          </cell>
          <cell r="X405">
            <v>59.75</v>
          </cell>
          <cell r="Y405">
            <v>1200</v>
          </cell>
          <cell r="Z405">
            <v>1320</v>
          </cell>
          <cell r="AA405">
            <v>14515.9</v>
          </cell>
          <cell r="AB405">
            <v>5805.1</v>
          </cell>
          <cell r="AC405">
            <v>45286.171900000001</v>
          </cell>
          <cell r="AE405">
            <v>71.3</v>
          </cell>
          <cell r="AF405">
            <v>751.06</v>
          </cell>
          <cell r="AG405">
            <v>4265</v>
          </cell>
          <cell r="AH405">
            <v>860</v>
          </cell>
          <cell r="AI405">
            <v>1590</v>
          </cell>
          <cell r="AJ405">
            <v>594.61</v>
          </cell>
          <cell r="AL405">
            <v>1446.99</v>
          </cell>
          <cell r="AP405">
            <v>2612.5369999999998</v>
          </cell>
          <cell r="AV405">
            <v>49.34</v>
          </cell>
          <cell r="AZ405">
            <v>266.7</v>
          </cell>
          <cell r="BE405">
            <v>39195</v>
          </cell>
          <cell r="BG405">
            <v>52</v>
          </cell>
          <cell r="BH405">
            <v>266.89999999999998</v>
          </cell>
          <cell r="BY405">
            <v>467.12</v>
          </cell>
          <cell r="CD405">
            <v>374.65</v>
          </cell>
          <cell r="CE405">
            <v>370.53300000000002</v>
          </cell>
          <cell r="CF405">
            <v>372.22</v>
          </cell>
          <cell r="CG405">
            <v>1280</v>
          </cell>
          <cell r="CH405">
            <v>1060</v>
          </cell>
          <cell r="CI405">
            <v>122</v>
          </cell>
          <cell r="CJ405">
            <v>310</v>
          </cell>
          <cell r="CK405">
            <v>1184</v>
          </cell>
          <cell r="CM405">
            <v>155.99</v>
          </cell>
          <cell r="CN405">
            <v>14.86</v>
          </cell>
          <cell r="CO405" t="str">
            <v>#N/A N/A</v>
          </cell>
          <cell r="CQ405">
            <v>9.07</v>
          </cell>
          <cell r="CR405">
            <v>75</v>
          </cell>
          <cell r="CS405">
            <v>1638</v>
          </cell>
          <cell r="CU405">
            <v>1090</v>
          </cell>
          <cell r="CW405">
            <v>51.676829268292686</v>
          </cell>
          <cell r="CX405">
            <v>594.87200000000007</v>
          </cell>
          <cell r="CZ405">
            <v>301.19</v>
          </cell>
          <cell r="DA405">
            <v>3355.4</v>
          </cell>
          <cell r="DB405">
            <v>11.52</v>
          </cell>
          <cell r="DC405">
            <v>342.35</v>
          </cell>
          <cell r="DD405">
            <v>116.6</v>
          </cell>
        </row>
        <row r="406">
          <cell r="A406">
            <v>39119</v>
          </cell>
          <cell r="C406">
            <v>86</v>
          </cell>
          <cell r="D406" t="str">
            <v>#N/A N/A</v>
          </cell>
          <cell r="E406">
            <v>9.9600000000000009</v>
          </cell>
          <cell r="L406">
            <v>1428.58</v>
          </cell>
          <cell r="M406">
            <v>2471.4899999999998</v>
          </cell>
          <cell r="N406">
            <v>6346.3</v>
          </cell>
          <cell r="O406">
            <v>4237</v>
          </cell>
          <cell r="Q406">
            <v>500</v>
          </cell>
          <cell r="R406">
            <v>396.5</v>
          </cell>
          <cell r="S406">
            <v>451</v>
          </cell>
          <cell r="T406">
            <v>738.75</v>
          </cell>
          <cell r="U406">
            <v>17406.86</v>
          </cell>
          <cell r="V406">
            <v>20655.2</v>
          </cell>
          <cell r="W406">
            <v>7875.75</v>
          </cell>
          <cell r="X406">
            <v>60.75</v>
          </cell>
          <cell r="Y406">
            <v>1200</v>
          </cell>
          <cell r="Z406">
            <v>1320</v>
          </cell>
          <cell r="AA406">
            <v>14478.19</v>
          </cell>
          <cell r="AB406">
            <v>5848.5</v>
          </cell>
          <cell r="AC406">
            <v>45351.800799999997</v>
          </cell>
          <cell r="AE406">
            <v>71.849999999999994</v>
          </cell>
          <cell r="AF406">
            <v>751.45</v>
          </cell>
          <cell r="AG406">
            <v>4291</v>
          </cell>
          <cell r="AH406">
            <v>860</v>
          </cell>
          <cell r="AI406">
            <v>1590</v>
          </cell>
          <cell r="AJ406">
            <v>596.22</v>
          </cell>
          <cell r="AL406">
            <v>1448</v>
          </cell>
          <cell r="AP406">
            <v>2675.6970000000001</v>
          </cell>
          <cell r="AV406">
            <v>50</v>
          </cell>
          <cell r="AZ406">
            <v>268</v>
          </cell>
          <cell r="BE406">
            <v>39400</v>
          </cell>
          <cell r="BG406">
            <v>52</v>
          </cell>
          <cell r="BH406">
            <v>266.04000000000002</v>
          </cell>
          <cell r="BY406">
            <v>464.61</v>
          </cell>
          <cell r="CD406">
            <v>376.04</v>
          </cell>
          <cell r="CE406">
            <v>371.786</v>
          </cell>
          <cell r="CF406">
            <v>374.87</v>
          </cell>
          <cell r="CG406">
            <v>1280</v>
          </cell>
          <cell r="CH406">
            <v>1060</v>
          </cell>
          <cell r="CI406">
            <v>120</v>
          </cell>
          <cell r="CJ406">
            <v>310</v>
          </cell>
          <cell r="CK406">
            <v>1176</v>
          </cell>
          <cell r="CM406">
            <v>157.25</v>
          </cell>
          <cell r="CN406">
            <v>14.82</v>
          </cell>
          <cell r="CO406" t="str">
            <v>#N/A N/A</v>
          </cell>
          <cell r="CQ406">
            <v>8.2200000000000006</v>
          </cell>
          <cell r="CR406">
            <v>75</v>
          </cell>
          <cell r="CS406">
            <v>1605</v>
          </cell>
          <cell r="CU406">
            <v>1090</v>
          </cell>
          <cell r="CW406">
            <v>52.515243902439025</v>
          </cell>
          <cell r="CX406">
            <v>596.43600000000004</v>
          </cell>
          <cell r="CZ406">
            <v>301.07</v>
          </cell>
          <cell r="DA406">
            <v>3401.5</v>
          </cell>
          <cell r="DB406">
            <v>11.34</v>
          </cell>
          <cell r="DC406">
            <v>344.05</v>
          </cell>
          <cell r="DD406">
            <v>116.5</v>
          </cell>
        </row>
        <row r="407">
          <cell r="A407">
            <v>39120</v>
          </cell>
          <cell r="C407">
            <v>86</v>
          </cell>
          <cell r="D407" t="str">
            <v>#N/A N/A</v>
          </cell>
          <cell r="E407">
            <v>9.93</v>
          </cell>
          <cell r="L407">
            <v>1426.29</v>
          </cell>
          <cell r="M407">
            <v>2490.5</v>
          </cell>
          <cell r="N407">
            <v>6369.5</v>
          </cell>
          <cell r="O407">
            <v>4254</v>
          </cell>
          <cell r="Q407">
            <v>500</v>
          </cell>
          <cell r="R407">
            <v>392.25</v>
          </cell>
          <cell r="S407">
            <v>452</v>
          </cell>
          <cell r="T407">
            <v>741</v>
          </cell>
          <cell r="U407">
            <v>17292.32</v>
          </cell>
          <cell r="V407">
            <v>20679.689999999999</v>
          </cell>
          <cell r="W407">
            <v>7850.06</v>
          </cell>
          <cell r="X407">
            <v>61.65</v>
          </cell>
          <cell r="Y407">
            <v>1200</v>
          </cell>
          <cell r="Z407">
            <v>1320</v>
          </cell>
          <cell r="AA407">
            <v>14643.13</v>
          </cell>
          <cell r="AB407">
            <v>5870.9</v>
          </cell>
          <cell r="AC407">
            <v>44587.960899999998</v>
          </cell>
          <cell r="AE407">
            <v>72</v>
          </cell>
          <cell r="AF407">
            <v>751.45</v>
          </cell>
          <cell r="AG407">
            <v>4313</v>
          </cell>
          <cell r="AH407">
            <v>860</v>
          </cell>
          <cell r="AI407">
            <v>1590</v>
          </cell>
          <cell r="AJ407">
            <v>600.55999999999995</v>
          </cell>
          <cell r="AL407">
            <v>1450.02</v>
          </cell>
          <cell r="AP407">
            <v>2716.1750000000002</v>
          </cell>
          <cell r="AV407">
            <v>49.72</v>
          </cell>
          <cell r="AZ407">
            <v>278</v>
          </cell>
          <cell r="BE407">
            <v>39175</v>
          </cell>
          <cell r="BG407">
            <v>52</v>
          </cell>
          <cell r="BH407">
            <v>264.01</v>
          </cell>
          <cell r="BY407">
            <v>472.01</v>
          </cell>
          <cell r="CD407">
            <v>377.11</v>
          </cell>
          <cell r="CE407">
            <v>372.94200000000001</v>
          </cell>
          <cell r="CF407">
            <v>376.14</v>
          </cell>
          <cell r="CG407">
            <v>1280</v>
          </cell>
          <cell r="CH407">
            <v>1060</v>
          </cell>
          <cell r="CI407">
            <v>120</v>
          </cell>
          <cell r="CJ407">
            <v>310</v>
          </cell>
          <cell r="CK407">
            <v>1175</v>
          </cell>
          <cell r="CM407">
            <v>154.15</v>
          </cell>
          <cell r="CN407">
            <v>14.24</v>
          </cell>
          <cell r="CO407" t="str">
            <v>#N/A N/A</v>
          </cell>
          <cell r="CQ407">
            <v>7.93</v>
          </cell>
          <cell r="CR407">
            <v>75</v>
          </cell>
          <cell r="CS407">
            <v>1592</v>
          </cell>
          <cell r="CU407">
            <v>1090</v>
          </cell>
          <cell r="CW407">
            <v>49.84756097560976</v>
          </cell>
          <cell r="CX407">
            <v>605.29050000000007</v>
          </cell>
          <cell r="CZ407">
            <v>298.87</v>
          </cell>
          <cell r="DA407">
            <v>3363.2</v>
          </cell>
          <cell r="DB407">
            <v>11.08</v>
          </cell>
          <cell r="DC407">
            <v>345.2</v>
          </cell>
          <cell r="DD407">
            <v>116.85</v>
          </cell>
        </row>
        <row r="408">
          <cell r="A408">
            <v>39121</v>
          </cell>
          <cell r="C408">
            <v>86</v>
          </cell>
          <cell r="D408" t="str">
            <v>#N/A N/A</v>
          </cell>
          <cell r="E408">
            <v>9.93</v>
          </cell>
          <cell r="L408">
            <v>1423.58</v>
          </cell>
          <cell r="M408">
            <v>2488.67</v>
          </cell>
          <cell r="N408">
            <v>6346.4</v>
          </cell>
          <cell r="O408">
            <v>4257</v>
          </cell>
          <cell r="Q408">
            <v>500</v>
          </cell>
          <cell r="R408">
            <v>399.75</v>
          </cell>
          <cell r="S408">
            <v>457</v>
          </cell>
          <cell r="T408">
            <v>743.75</v>
          </cell>
          <cell r="U408">
            <v>17292.48</v>
          </cell>
          <cell r="V408">
            <v>20735.05</v>
          </cell>
          <cell r="W408">
            <v>7842.22</v>
          </cell>
          <cell r="X408">
            <v>62.4</v>
          </cell>
          <cell r="Y408">
            <v>1200</v>
          </cell>
          <cell r="Z408">
            <v>1320</v>
          </cell>
          <cell r="AA408">
            <v>14652.09</v>
          </cell>
          <cell r="AB408">
            <v>5872.9</v>
          </cell>
          <cell r="AC408">
            <v>44891.941400000003</v>
          </cell>
          <cell r="AE408">
            <v>70.400000000000006</v>
          </cell>
          <cell r="AF408">
            <v>751.45</v>
          </cell>
          <cell r="AG408">
            <v>4323</v>
          </cell>
          <cell r="AH408">
            <v>860</v>
          </cell>
          <cell r="AI408">
            <v>1590</v>
          </cell>
          <cell r="AJ408">
            <v>601.82000000000005</v>
          </cell>
          <cell r="AL408">
            <v>1448.31</v>
          </cell>
          <cell r="AP408">
            <v>2737.732</v>
          </cell>
          <cell r="AV408">
            <v>49.45</v>
          </cell>
          <cell r="AZ408">
            <v>283.3</v>
          </cell>
          <cell r="BE408">
            <v>38050</v>
          </cell>
          <cell r="BG408">
            <v>52</v>
          </cell>
          <cell r="BH408">
            <v>267.27999999999997</v>
          </cell>
          <cell r="BY408">
            <v>469.68</v>
          </cell>
          <cell r="CD408">
            <v>375.75</v>
          </cell>
          <cell r="CE408">
            <v>371.60500000000002</v>
          </cell>
          <cell r="CF408">
            <v>376.37</v>
          </cell>
          <cell r="CG408">
            <v>1280</v>
          </cell>
          <cell r="CH408">
            <v>1060</v>
          </cell>
          <cell r="CI408">
            <v>120</v>
          </cell>
          <cell r="CJ408">
            <v>310</v>
          </cell>
          <cell r="CK408">
            <v>1173</v>
          </cell>
          <cell r="CM408">
            <v>159.33000000000001</v>
          </cell>
          <cell r="CN408">
            <v>13.81</v>
          </cell>
          <cell r="CO408" t="str">
            <v>#N/A N/A</v>
          </cell>
          <cell r="CQ408">
            <v>8.1</v>
          </cell>
          <cell r="CR408">
            <v>75</v>
          </cell>
          <cell r="CS408">
            <v>1612</v>
          </cell>
          <cell r="CU408">
            <v>1090</v>
          </cell>
          <cell r="CW408">
            <v>48.704268292682933</v>
          </cell>
          <cell r="CX408">
            <v>606.17399999999998</v>
          </cell>
          <cell r="CZ408">
            <v>303.45</v>
          </cell>
          <cell r="DA408">
            <v>3359.2</v>
          </cell>
          <cell r="DB408">
            <v>11.21</v>
          </cell>
          <cell r="DC408">
            <v>341</v>
          </cell>
          <cell r="DD408">
            <v>115.55</v>
          </cell>
        </row>
        <row r="409">
          <cell r="A409">
            <v>39122</v>
          </cell>
          <cell r="C409">
            <v>86</v>
          </cell>
          <cell r="D409" t="str">
            <v>#N/A N/A</v>
          </cell>
          <cell r="E409">
            <v>9.8800000000000008</v>
          </cell>
          <cell r="L409">
            <v>1427.68</v>
          </cell>
          <cell r="M409">
            <v>2459.8200000000002</v>
          </cell>
          <cell r="N409">
            <v>6382.8</v>
          </cell>
          <cell r="O409">
            <v>4249</v>
          </cell>
          <cell r="Q409">
            <v>500</v>
          </cell>
          <cell r="R409">
            <v>406.25</v>
          </cell>
          <cell r="S409">
            <v>460.25</v>
          </cell>
          <cell r="T409">
            <v>749.25</v>
          </cell>
          <cell r="U409">
            <v>17504.330000000002</v>
          </cell>
          <cell r="V409">
            <v>20677.66</v>
          </cell>
          <cell r="W409">
            <v>7859.53</v>
          </cell>
          <cell r="X409">
            <v>64.650000000000006</v>
          </cell>
          <cell r="Y409">
            <v>1140</v>
          </cell>
          <cell r="Z409">
            <v>1320</v>
          </cell>
          <cell r="AA409">
            <v>14538.9</v>
          </cell>
          <cell r="AB409">
            <v>5899.3</v>
          </cell>
          <cell r="AC409">
            <v>44284.398399999998</v>
          </cell>
          <cell r="AE409">
            <v>71.650000000000006</v>
          </cell>
          <cell r="AF409">
            <v>751.45</v>
          </cell>
          <cell r="AG409">
            <v>4328</v>
          </cell>
          <cell r="AH409">
            <v>860</v>
          </cell>
          <cell r="AI409">
            <v>1590</v>
          </cell>
          <cell r="AJ409">
            <v>601.89</v>
          </cell>
          <cell r="AL409">
            <v>1438.06</v>
          </cell>
          <cell r="AP409">
            <v>2730.386</v>
          </cell>
          <cell r="AV409">
            <v>49.2</v>
          </cell>
          <cell r="AZ409">
            <v>285</v>
          </cell>
          <cell r="BE409">
            <v>38410</v>
          </cell>
          <cell r="BG409">
            <v>52.65</v>
          </cell>
          <cell r="BH409">
            <v>266.39</v>
          </cell>
          <cell r="BY409">
            <v>463.19</v>
          </cell>
          <cell r="CD409">
            <v>375.03</v>
          </cell>
          <cell r="CE409">
            <v>370.86399999999998</v>
          </cell>
          <cell r="CF409">
            <v>376.56</v>
          </cell>
          <cell r="CG409">
            <v>1285</v>
          </cell>
          <cell r="CH409">
            <v>1055</v>
          </cell>
          <cell r="CI409">
            <v>120</v>
          </cell>
          <cell r="CJ409">
            <v>310</v>
          </cell>
          <cell r="CK409">
            <v>1162</v>
          </cell>
          <cell r="CM409">
            <v>161.47999999999999</v>
          </cell>
          <cell r="CN409">
            <v>13.88</v>
          </cell>
          <cell r="CO409" t="str">
            <v>#N/A N/A</v>
          </cell>
          <cell r="CQ409">
            <v>8.16</v>
          </cell>
          <cell r="CR409">
            <v>75</v>
          </cell>
          <cell r="CS409">
            <v>1652</v>
          </cell>
          <cell r="CU409">
            <v>1030</v>
          </cell>
          <cell r="CW409">
            <v>47.94207317073171</v>
          </cell>
          <cell r="CX409">
            <v>604.73249999999996</v>
          </cell>
          <cell r="CZ409">
            <v>305.19</v>
          </cell>
          <cell r="DA409">
            <v>3411.5</v>
          </cell>
          <cell r="DB409">
            <v>11.51</v>
          </cell>
          <cell r="DC409">
            <v>341.65</v>
          </cell>
          <cell r="DD409">
            <v>114.75</v>
          </cell>
        </row>
        <row r="410">
          <cell r="A410">
            <v>39123</v>
          </cell>
          <cell r="C410">
            <v>86</v>
          </cell>
          <cell r="D410" t="str">
            <v>#N/A N/A</v>
          </cell>
          <cell r="E410">
            <v>9.8800000000000008</v>
          </cell>
          <cell r="L410">
            <v>1427.68</v>
          </cell>
          <cell r="M410">
            <v>2459.8200000000002</v>
          </cell>
          <cell r="N410">
            <v>6382.8</v>
          </cell>
          <cell r="O410">
            <v>4249</v>
          </cell>
          <cell r="Q410">
            <v>500</v>
          </cell>
          <cell r="R410">
            <v>406.25</v>
          </cell>
          <cell r="S410">
            <v>460.25</v>
          </cell>
          <cell r="T410">
            <v>749.25</v>
          </cell>
          <cell r="U410">
            <v>17504.330000000002</v>
          </cell>
          <cell r="V410">
            <v>20677.66</v>
          </cell>
          <cell r="W410">
            <v>7859.53</v>
          </cell>
          <cell r="X410">
            <v>64.650000000000006</v>
          </cell>
          <cell r="Y410">
            <v>1140</v>
          </cell>
          <cell r="Z410">
            <v>1320</v>
          </cell>
          <cell r="AA410">
            <v>14538.9</v>
          </cell>
          <cell r="AB410">
            <v>5899.3</v>
          </cell>
          <cell r="AC410">
            <v>44284.398399999998</v>
          </cell>
          <cell r="AE410">
            <v>71.650000000000006</v>
          </cell>
          <cell r="AF410">
            <v>751.45</v>
          </cell>
          <cell r="AG410">
            <v>4328</v>
          </cell>
          <cell r="AH410">
            <v>860</v>
          </cell>
          <cell r="AI410">
            <v>1590</v>
          </cell>
          <cell r="AJ410">
            <v>601.89</v>
          </cell>
          <cell r="AL410">
            <v>1438.06</v>
          </cell>
          <cell r="AP410">
            <v>2730.386</v>
          </cell>
          <cell r="AV410">
            <v>49.2</v>
          </cell>
          <cell r="AZ410">
            <v>285</v>
          </cell>
          <cell r="BE410">
            <v>38410</v>
          </cell>
          <cell r="BG410">
            <v>52.65</v>
          </cell>
          <cell r="BH410">
            <v>266.39</v>
          </cell>
          <cell r="BY410">
            <v>463.19</v>
          </cell>
          <cell r="CD410">
            <v>375.03</v>
          </cell>
          <cell r="CE410">
            <v>370.86399999999998</v>
          </cell>
          <cell r="CF410">
            <v>376.56</v>
          </cell>
          <cell r="CG410">
            <v>1285</v>
          </cell>
          <cell r="CH410">
            <v>1055</v>
          </cell>
          <cell r="CI410">
            <v>120</v>
          </cell>
          <cell r="CJ410">
            <v>310</v>
          </cell>
          <cell r="CK410">
            <v>1162</v>
          </cell>
          <cell r="CM410">
            <v>161.47999999999999</v>
          </cell>
          <cell r="CN410">
            <v>13.88</v>
          </cell>
          <cell r="CO410" t="str">
            <v>#N/A N/A</v>
          </cell>
          <cell r="CQ410">
            <v>8.16</v>
          </cell>
          <cell r="CR410">
            <v>75</v>
          </cell>
          <cell r="CS410">
            <v>1652</v>
          </cell>
          <cell r="CU410">
            <v>1030</v>
          </cell>
          <cell r="CW410">
            <v>47.94207317073171</v>
          </cell>
          <cell r="CX410">
            <v>604.73249999999996</v>
          </cell>
          <cell r="CZ410">
            <v>305.19</v>
          </cell>
          <cell r="DA410">
            <v>3411.5</v>
          </cell>
          <cell r="DB410">
            <v>11.51</v>
          </cell>
          <cell r="DC410">
            <v>341.65</v>
          </cell>
          <cell r="DD410">
            <v>114.75</v>
          </cell>
        </row>
        <row r="411">
          <cell r="A411">
            <v>39124</v>
          </cell>
          <cell r="C411">
            <v>86</v>
          </cell>
          <cell r="D411" t="str">
            <v>#N/A N/A</v>
          </cell>
          <cell r="E411">
            <v>9.8800000000000008</v>
          </cell>
          <cell r="L411">
            <v>1427.68</v>
          </cell>
          <cell r="M411">
            <v>2459.8200000000002</v>
          </cell>
          <cell r="N411">
            <v>6382.8</v>
          </cell>
          <cell r="O411">
            <v>4249</v>
          </cell>
          <cell r="Q411">
            <v>500</v>
          </cell>
          <cell r="R411">
            <v>406.25</v>
          </cell>
          <cell r="S411">
            <v>460.25</v>
          </cell>
          <cell r="T411">
            <v>749.25</v>
          </cell>
          <cell r="U411">
            <v>17504.330000000002</v>
          </cell>
          <cell r="V411">
            <v>20677.66</v>
          </cell>
          <cell r="W411">
            <v>7859.53</v>
          </cell>
          <cell r="X411">
            <v>64.650000000000006</v>
          </cell>
          <cell r="Y411">
            <v>1140</v>
          </cell>
          <cell r="Z411">
            <v>1320</v>
          </cell>
          <cell r="AA411">
            <v>14538.9</v>
          </cell>
          <cell r="AB411">
            <v>5899.3</v>
          </cell>
          <cell r="AC411">
            <v>44284.398399999998</v>
          </cell>
          <cell r="AE411">
            <v>71.650000000000006</v>
          </cell>
          <cell r="AF411">
            <v>751.45</v>
          </cell>
          <cell r="AG411">
            <v>4328</v>
          </cell>
          <cell r="AH411">
            <v>860</v>
          </cell>
          <cell r="AI411">
            <v>1590</v>
          </cell>
          <cell r="AJ411">
            <v>601.89</v>
          </cell>
          <cell r="AL411">
            <v>1438.06</v>
          </cell>
          <cell r="AP411">
            <v>2730.386</v>
          </cell>
          <cell r="AV411">
            <v>49.2</v>
          </cell>
          <cell r="AZ411">
            <v>285</v>
          </cell>
          <cell r="BE411">
            <v>38410</v>
          </cell>
          <cell r="BG411">
            <v>52.65</v>
          </cell>
          <cell r="BH411">
            <v>266.39</v>
          </cell>
          <cell r="BY411">
            <v>463.19</v>
          </cell>
          <cell r="CD411">
            <v>375.03</v>
          </cell>
          <cell r="CE411">
            <v>370.86399999999998</v>
          </cell>
          <cell r="CF411">
            <v>376.56</v>
          </cell>
          <cell r="CG411">
            <v>1285</v>
          </cell>
          <cell r="CH411">
            <v>1055</v>
          </cell>
          <cell r="CI411">
            <v>120</v>
          </cell>
          <cell r="CJ411">
            <v>310</v>
          </cell>
          <cell r="CK411">
            <v>1162</v>
          </cell>
          <cell r="CM411">
            <v>161.47999999999999</v>
          </cell>
          <cell r="CN411">
            <v>13.88</v>
          </cell>
          <cell r="CO411" t="str">
            <v>#N/A N/A</v>
          </cell>
          <cell r="CQ411">
            <v>8.16</v>
          </cell>
          <cell r="CR411">
            <v>75</v>
          </cell>
          <cell r="CS411">
            <v>1652</v>
          </cell>
          <cell r="CU411">
            <v>1030</v>
          </cell>
          <cell r="CW411">
            <v>47.94207317073171</v>
          </cell>
          <cell r="CX411">
            <v>604.73249999999996</v>
          </cell>
          <cell r="CZ411">
            <v>305.19</v>
          </cell>
          <cell r="DA411">
            <v>3411.5</v>
          </cell>
          <cell r="DB411">
            <v>11.51</v>
          </cell>
          <cell r="DC411">
            <v>341.65</v>
          </cell>
          <cell r="DD411">
            <v>114.75</v>
          </cell>
        </row>
        <row r="412">
          <cell r="A412">
            <v>39125</v>
          </cell>
          <cell r="C412">
            <v>86</v>
          </cell>
          <cell r="D412" t="str">
            <v>#N/A N/A</v>
          </cell>
          <cell r="E412">
            <v>9.91</v>
          </cell>
          <cell r="L412">
            <v>1414.29</v>
          </cell>
          <cell r="M412">
            <v>2450.38</v>
          </cell>
          <cell r="N412">
            <v>6353.5</v>
          </cell>
          <cell r="O412">
            <v>4249</v>
          </cell>
          <cell r="Q412">
            <v>500</v>
          </cell>
          <cell r="R412">
            <v>404.75</v>
          </cell>
          <cell r="S412">
            <v>455.75</v>
          </cell>
          <cell r="T412">
            <v>745.25</v>
          </cell>
          <cell r="U412">
            <v>17504.330000000002</v>
          </cell>
          <cell r="V412">
            <v>20593.41</v>
          </cell>
          <cell r="W412">
            <v>7776.36</v>
          </cell>
          <cell r="X412">
            <v>64.25</v>
          </cell>
          <cell r="Y412">
            <v>1140</v>
          </cell>
          <cell r="Z412">
            <v>1320</v>
          </cell>
          <cell r="AA412">
            <v>14190.7</v>
          </cell>
          <cell r="AB412">
            <v>5895</v>
          </cell>
          <cell r="AC412">
            <v>43934.75</v>
          </cell>
          <cell r="AE412">
            <v>72.2</v>
          </cell>
          <cell r="AF412">
            <v>751.45</v>
          </cell>
          <cell r="AG412">
            <v>4348</v>
          </cell>
          <cell r="AH412">
            <v>860</v>
          </cell>
          <cell r="AI412">
            <v>1590</v>
          </cell>
          <cell r="AJ412">
            <v>599.19000000000005</v>
          </cell>
          <cell r="AL412">
            <v>1433.37</v>
          </cell>
          <cell r="AP412">
            <v>2807.174</v>
          </cell>
          <cell r="AV412">
            <v>49.06</v>
          </cell>
          <cell r="AZ412">
            <v>285</v>
          </cell>
          <cell r="BE412">
            <v>36825</v>
          </cell>
          <cell r="BG412">
            <v>52.65</v>
          </cell>
          <cell r="BH412">
            <v>265.04000000000002</v>
          </cell>
          <cell r="BY412">
            <v>458.65</v>
          </cell>
          <cell r="CD412">
            <v>372.91</v>
          </cell>
          <cell r="CE412">
            <v>369.01799999999997</v>
          </cell>
          <cell r="CF412">
            <v>372.4</v>
          </cell>
          <cell r="CG412">
            <v>1285</v>
          </cell>
          <cell r="CH412">
            <v>1055</v>
          </cell>
          <cell r="CI412">
            <v>120</v>
          </cell>
          <cell r="CJ412">
            <v>310</v>
          </cell>
          <cell r="CK412">
            <v>1166</v>
          </cell>
          <cell r="CM412">
            <v>155.27000000000001</v>
          </cell>
          <cell r="CN412">
            <v>14.03</v>
          </cell>
          <cell r="CO412" t="str">
            <v>#N/A N/A</v>
          </cell>
          <cell r="CQ412">
            <v>7.87</v>
          </cell>
          <cell r="CR412">
            <v>75</v>
          </cell>
          <cell r="CS412">
            <v>1707</v>
          </cell>
          <cell r="CU412">
            <v>1030</v>
          </cell>
          <cell r="CW412">
            <v>45.960365853658537</v>
          </cell>
          <cell r="CX412">
            <v>602.87249999999995</v>
          </cell>
          <cell r="CZ412">
            <v>299.69</v>
          </cell>
          <cell r="DA412">
            <v>3366.8</v>
          </cell>
          <cell r="DB412">
            <v>11.44</v>
          </cell>
          <cell r="DC412">
            <v>337.75</v>
          </cell>
          <cell r="DD412">
            <v>113.9</v>
          </cell>
        </row>
        <row r="413">
          <cell r="A413">
            <v>39126</v>
          </cell>
          <cell r="C413">
            <v>86</v>
          </cell>
          <cell r="D413" t="str">
            <v>#N/A N/A</v>
          </cell>
          <cell r="E413">
            <v>9.9</v>
          </cell>
          <cell r="L413">
            <v>1418.44</v>
          </cell>
          <cell r="M413">
            <v>2459.88</v>
          </cell>
          <cell r="N413">
            <v>6381.8</v>
          </cell>
          <cell r="O413">
            <v>4245</v>
          </cell>
          <cell r="Q413">
            <v>500</v>
          </cell>
          <cell r="R413">
            <v>411</v>
          </cell>
          <cell r="S413">
            <v>459</v>
          </cell>
          <cell r="T413">
            <v>755</v>
          </cell>
          <cell r="U413">
            <v>17621.45</v>
          </cell>
          <cell r="V413">
            <v>20132.25</v>
          </cell>
          <cell r="W413">
            <v>7736.83</v>
          </cell>
          <cell r="X413">
            <v>62.1</v>
          </cell>
          <cell r="Y413">
            <v>1140</v>
          </cell>
          <cell r="Z413">
            <v>1320</v>
          </cell>
          <cell r="AA413">
            <v>14090.98</v>
          </cell>
          <cell r="AB413">
            <v>5907.3</v>
          </cell>
          <cell r="AC413">
            <v>45197.449200000003</v>
          </cell>
          <cell r="AE413">
            <v>70.25</v>
          </cell>
          <cell r="AF413">
            <v>755.38</v>
          </cell>
          <cell r="AG413">
            <v>4360</v>
          </cell>
          <cell r="AH413">
            <v>860</v>
          </cell>
          <cell r="AI413">
            <v>1590</v>
          </cell>
          <cell r="AJ413">
            <v>596.71</v>
          </cell>
          <cell r="AL413">
            <v>1444.26</v>
          </cell>
          <cell r="AP413">
            <v>2831.8719999999998</v>
          </cell>
          <cell r="AV413">
            <v>49.66</v>
          </cell>
          <cell r="AZ413">
            <v>284.5</v>
          </cell>
          <cell r="BE413">
            <v>38290</v>
          </cell>
          <cell r="BG413">
            <v>52.65</v>
          </cell>
          <cell r="BH413">
            <v>267.33</v>
          </cell>
          <cell r="BY413">
            <v>460.65</v>
          </cell>
          <cell r="CD413">
            <v>375.53</v>
          </cell>
          <cell r="CE413">
            <v>371.71699999999998</v>
          </cell>
          <cell r="CF413">
            <v>368.75</v>
          </cell>
          <cell r="CG413">
            <v>1285</v>
          </cell>
          <cell r="CH413">
            <v>1055</v>
          </cell>
          <cell r="CI413">
            <v>120</v>
          </cell>
          <cell r="CJ413">
            <v>310</v>
          </cell>
          <cell r="CK413">
            <v>1192</v>
          </cell>
          <cell r="CM413">
            <v>160.91</v>
          </cell>
          <cell r="CN413">
            <v>12.72</v>
          </cell>
          <cell r="CO413" t="str">
            <v>#N/A N/A</v>
          </cell>
          <cell r="CQ413">
            <v>8.11</v>
          </cell>
          <cell r="CR413">
            <v>75</v>
          </cell>
          <cell r="CS413">
            <v>1729</v>
          </cell>
          <cell r="CU413">
            <v>1030</v>
          </cell>
          <cell r="CW413">
            <v>44.588414634146346</v>
          </cell>
          <cell r="CX413">
            <v>605.84849999999994</v>
          </cell>
          <cell r="CZ413">
            <v>304.49</v>
          </cell>
          <cell r="DA413">
            <v>3514</v>
          </cell>
          <cell r="DB413">
            <v>11.34</v>
          </cell>
          <cell r="DC413">
            <v>344.6</v>
          </cell>
          <cell r="DD413">
            <v>113.7</v>
          </cell>
        </row>
        <row r="414">
          <cell r="A414">
            <v>39127</v>
          </cell>
          <cell r="C414">
            <v>86</v>
          </cell>
          <cell r="D414" t="str">
            <v>#N/A N/A</v>
          </cell>
          <cell r="E414">
            <v>9.89</v>
          </cell>
          <cell r="L414">
            <v>1436.1</v>
          </cell>
          <cell r="M414">
            <v>2488.38</v>
          </cell>
          <cell r="N414">
            <v>6421.2</v>
          </cell>
          <cell r="O414">
            <v>4245</v>
          </cell>
          <cell r="Q414">
            <v>500</v>
          </cell>
          <cell r="R414">
            <v>408.25</v>
          </cell>
          <cell r="S414">
            <v>451</v>
          </cell>
          <cell r="T414">
            <v>750.5</v>
          </cell>
          <cell r="U414">
            <v>17752.64</v>
          </cell>
          <cell r="V414">
            <v>20209.91</v>
          </cell>
          <cell r="W414">
            <v>7809.45</v>
          </cell>
          <cell r="X414">
            <v>62.95</v>
          </cell>
          <cell r="Y414">
            <v>1140</v>
          </cell>
          <cell r="Z414">
            <v>1320</v>
          </cell>
          <cell r="AA414">
            <v>14009.9</v>
          </cell>
          <cell r="AB414">
            <v>5937.7</v>
          </cell>
          <cell r="AC414">
            <v>45995.601600000002</v>
          </cell>
          <cell r="AE414">
            <v>71.099999999999994</v>
          </cell>
          <cell r="AF414">
            <v>755.38</v>
          </cell>
          <cell r="AG414">
            <v>4366</v>
          </cell>
          <cell r="AH414">
            <v>860</v>
          </cell>
          <cell r="AI414">
            <v>1590</v>
          </cell>
          <cell r="AJ414">
            <v>602.78</v>
          </cell>
          <cell r="AL414">
            <v>1455.3</v>
          </cell>
          <cell r="AP414">
            <v>2905.0929999999998</v>
          </cell>
          <cell r="AV414">
            <v>50.43</v>
          </cell>
          <cell r="AZ414">
            <v>284</v>
          </cell>
          <cell r="BE414">
            <v>40075</v>
          </cell>
          <cell r="BG414">
            <v>52.65</v>
          </cell>
          <cell r="BH414">
            <v>269.89999999999998</v>
          </cell>
          <cell r="BY414">
            <v>470.49</v>
          </cell>
          <cell r="CD414">
            <v>379.74</v>
          </cell>
          <cell r="CE414">
            <v>375.78</v>
          </cell>
          <cell r="CF414">
            <v>372.47</v>
          </cell>
          <cell r="CG414">
            <v>1285</v>
          </cell>
          <cell r="CH414">
            <v>1055</v>
          </cell>
          <cell r="CI414">
            <v>120</v>
          </cell>
          <cell r="CJ414">
            <v>310</v>
          </cell>
          <cell r="CK414">
            <v>1202</v>
          </cell>
          <cell r="CM414">
            <v>161.62</v>
          </cell>
          <cell r="CN414">
            <v>13.59</v>
          </cell>
          <cell r="CO414" t="str">
            <v>#N/A N/A</v>
          </cell>
          <cell r="CQ414">
            <v>8.91</v>
          </cell>
          <cell r="CR414">
            <v>75</v>
          </cell>
          <cell r="CS414">
            <v>1747</v>
          </cell>
          <cell r="CU414">
            <v>1030</v>
          </cell>
          <cell r="CW414">
            <v>43.826219512195124</v>
          </cell>
          <cell r="CX414">
            <v>617.01599999999996</v>
          </cell>
          <cell r="CZ414">
            <v>301.92</v>
          </cell>
          <cell r="DA414">
            <v>3548.7</v>
          </cell>
          <cell r="DB414">
            <v>11.68</v>
          </cell>
          <cell r="DC414">
            <v>345.85</v>
          </cell>
          <cell r="DD414">
            <v>114.05</v>
          </cell>
        </row>
        <row r="415">
          <cell r="A415">
            <v>39128</v>
          </cell>
          <cell r="C415">
            <v>86</v>
          </cell>
          <cell r="D415" t="str">
            <v>#N/A N/A</v>
          </cell>
          <cell r="E415">
            <v>9.85</v>
          </cell>
          <cell r="L415">
            <v>1443.63</v>
          </cell>
          <cell r="M415">
            <v>2497.1</v>
          </cell>
          <cell r="N415">
            <v>6433.3</v>
          </cell>
          <cell r="O415">
            <v>4245</v>
          </cell>
          <cell r="Q415">
            <v>500</v>
          </cell>
          <cell r="R415">
            <v>407.5</v>
          </cell>
          <cell r="S415">
            <v>453.25</v>
          </cell>
          <cell r="T415">
            <v>758.75</v>
          </cell>
          <cell r="U415">
            <v>17897.23</v>
          </cell>
          <cell r="V415">
            <v>20538.419999999998</v>
          </cell>
          <cell r="W415">
            <v>7809.45</v>
          </cell>
          <cell r="X415">
            <v>62.05</v>
          </cell>
          <cell r="Y415">
            <v>1140</v>
          </cell>
          <cell r="Z415">
            <v>1320</v>
          </cell>
          <cell r="AA415">
            <v>14355.55</v>
          </cell>
          <cell r="AB415">
            <v>5969.1</v>
          </cell>
          <cell r="AC415">
            <v>45955.070299999999</v>
          </cell>
          <cell r="AE415">
            <v>70.099999999999994</v>
          </cell>
          <cell r="AF415">
            <v>755.38</v>
          </cell>
          <cell r="AG415">
            <v>4352</v>
          </cell>
          <cell r="AH415">
            <v>860</v>
          </cell>
          <cell r="AI415">
            <v>1590</v>
          </cell>
          <cell r="AJ415">
            <v>604.16999999999996</v>
          </cell>
          <cell r="AL415">
            <v>1456.81</v>
          </cell>
          <cell r="AP415">
            <v>2993.0079999999998</v>
          </cell>
          <cell r="AV415">
            <v>50.53</v>
          </cell>
          <cell r="AZ415">
            <v>274</v>
          </cell>
          <cell r="BE415">
            <v>42300</v>
          </cell>
          <cell r="BG415">
            <v>52.65</v>
          </cell>
          <cell r="BH415">
            <v>271.17</v>
          </cell>
          <cell r="BY415">
            <v>473.91</v>
          </cell>
          <cell r="CD415">
            <v>381.13</v>
          </cell>
          <cell r="CE415">
            <v>377.03699999999998</v>
          </cell>
          <cell r="CF415">
            <v>377.28</v>
          </cell>
          <cell r="CG415">
            <v>1285</v>
          </cell>
          <cell r="CH415">
            <v>1055</v>
          </cell>
          <cell r="CI415">
            <v>120</v>
          </cell>
          <cell r="CJ415">
            <v>310</v>
          </cell>
          <cell r="CK415">
            <v>1191</v>
          </cell>
          <cell r="CM415">
            <v>159.72</v>
          </cell>
          <cell r="CN415">
            <v>13.64</v>
          </cell>
          <cell r="CO415" t="str">
            <v>#N/A N/A</v>
          </cell>
          <cell r="CQ415">
            <v>8.92</v>
          </cell>
          <cell r="CR415">
            <v>75</v>
          </cell>
          <cell r="CS415">
            <v>1805</v>
          </cell>
          <cell r="CU415">
            <v>1030</v>
          </cell>
          <cell r="CW415">
            <v>43.368902439024396</v>
          </cell>
          <cell r="CX415">
            <v>617.48599999999999</v>
          </cell>
          <cell r="CZ415">
            <v>303.8</v>
          </cell>
          <cell r="DA415">
            <v>3609.3</v>
          </cell>
          <cell r="DB415">
            <v>12.16</v>
          </cell>
          <cell r="DC415">
            <v>342.8</v>
          </cell>
          <cell r="DD415">
            <v>115.3</v>
          </cell>
        </row>
        <row r="416">
          <cell r="A416">
            <v>39129</v>
          </cell>
          <cell r="C416">
            <v>86</v>
          </cell>
          <cell r="D416" t="str">
            <v>#N/A N/A</v>
          </cell>
          <cell r="E416">
            <v>9.85</v>
          </cell>
          <cell r="L416">
            <v>1448.81</v>
          </cell>
          <cell r="M416">
            <v>2496.31</v>
          </cell>
          <cell r="N416">
            <v>6419.5</v>
          </cell>
          <cell r="O416">
            <v>4245</v>
          </cell>
          <cell r="Q416">
            <v>500</v>
          </cell>
          <cell r="R416">
            <v>417</v>
          </cell>
          <cell r="S416">
            <v>468</v>
          </cell>
          <cell r="T416">
            <v>767</v>
          </cell>
          <cell r="U416">
            <v>17875.650000000001</v>
          </cell>
          <cell r="V416">
            <v>20567.91</v>
          </cell>
          <cell r="W416">
            <v>7809.45</v>
          </cell>
          <cell r="X416">
            <v>60.65</v>
          </cell>
          <cell r="Y416">
            <v>1050</v>
          </cell>
          <cell r="Z416">
            <v>1320</v>
          </cell>
          <cell r="AA416">
            <v>14355.55</v>
          </cell>
          <cell r="AB416">
            <v>5935.5</v>
          </cell>
          <cell r="AC416">
            <v>45849.031300000002</v>
          </cell>
          <cell r="AE416">
            <v>69.5</v>
          </cell>
          <cell r="AF416">
            <v>755.38</v>
          </cell>
          <cell r="AG416">
            <v>4355</v>
          </cell>
          <cell r="AH416">
            <v>860</v>
          </cell>
          <cell r="AI416">
            <v>1580</v>
          </cell>
          <cell r="AJ416">
            <v>605.07000000000005</v>
          </cell>
          <cell r="AL416">
            <v>1455.54</v>
          </cell>
          <cell r="AP416">
            <v>2998.4740000000002</v>
          </cell>
          <cell r="AV416">
            <v>50.92</v>
          </cell>
          <cell r="AZ416">
            <v>274</v>
          </cell>
          <cell r="BE416">
            <v>41675</v>
          </cell>
          <cell r="BG416">
            <v>52.65</v>
          </cell>
          <cell r="BH416">
            <v>272.14</v>
          </cell>
          <cell r="BY416">
            <v>473.13</v>
          </cell>
          <cell r="CD416">
            <v>380.69</v>
          </cell>
          <cell r="CE416">
            <v>376.49200000000002</v>
          </cell>
          <cell r="CF416">
            <v>378.26</v>
          </cell>
          <cell r="CG416">
            <v>1285</v>
          </cell>
          <cell r="CH416">
            <v>1050</v>
          </cell>
          <cell r="CI416">
            <v>120</v>
          </cell>
          <cell r="CJ416">
            <v>310</v>
          </cell>
          <cell r="CK416">
            <v>1188</v>
          </cell>
          <cell r="CM416">
            <v>164.53</v>
          </cell>
          <cell r="CN416">
            <v>13.58</v>
          </cell>
          <cell r="CO416" t="str">
            <v>#N/A N/A</v>
          </cell>
          <cell r="CQ416">
            <v>8.42</v>
          </cell>
          <cell r="CR416">
            <v>75</v>
          </cell>
          <cell r="CS416">
            <v>1828.5</v>
          </cell>
          <cell r="CU416">
            <v>1060</v>
          </cell>
          <cell r="CW416">
            <v>43.521341463414636</v>
          </cell>
          <cell r="CX416">
            <v>617.34500000000003</v>
          </cell>
          <cell r="CZ416">
            <v>306.70999999999998</v>
          </cell>
          <cell r="DA416">
            <v>3578.4</v>
          </cell>
          <cell r="DB416">
            <v>12.05</v>
          </cell>
          <cell r="DC416">
            <v>341.8</v>
          </cell>
          <cell r="DD416">
            <v>113.2</v>
          </cell>
        </row>
        <row r="417">
          <cell r="A417">
            <v>39130</v>
          </cell>
          <cell r="C417">
            <v>86</v>
          </cell>
          <cell r="D417" t="str">
            <v>#N/A N/A</v>
          </cell>
          <cell r="E417">
            <v>9.85</v>
          </cell>
          <cell r="L417">
            <v>1448.81</v>
          </cell>
          <cell r="M417">
            <v>2496.31</v>
          </cell>
          <cell r="N417">
            <v>6419.5</v>
          </cell>
          <cell r="O417">
            <v>4245</v>
          </cell>
          <cell r="Q417">
            <v>500</v>
          </cell>
          <cell r="R417">
            <v>417</v>
          </cell>
          <cell r="S417">
            <v>468</v>
          </cell>
          <cell r="T417">
            <v>767</v>
          </cell>
          <cell r="U417">
            <v>17875.650000000001</v>
          </cell>
          <cell r="V417">
            <v>20567.91</v>
          </cell>
          <cell r="W417">
            <v>7809.45</v>
          </cell>
          <cell r="X417">
            <v>60.65</v>
          </cell>
          <cell r="Y417">
            <v>1050</v>
          </cell>
          <cell r="Z417">
            <v>1320</v>
          </cell>
          <cell r="AA417">
            <v>14355.55</v>
          </cell>
          <cell r="AB417">
            <v>5935.5</v>
          </cell>
          <cell r="AC417">
            <v>45849.031300000002</v>
          </cell>
          <cell r="AE417">
            <v>69.5</v>
          </cell>
          <cell r="AF417">
            <v>755.38</v>
          </cell>
          <cell r="AG417">
            <v>4355</v>
          </cell>
          <cell r="AH417">
            <v>860</v>
          </cell>
          <cell r="AI417">
            <v>1580</v>
          </cell>
          <cell r="AJ417">
            <v>605.07000000000005</v>
          </cell>
          <cell r="AL417">
            <v>1455.54</v>
          </cell>
          <cell r="AP417">
            <v>2998.4740000000002</v>
          </cell>
          <cell r="AV417">
            <v>50.92</v>
          </cell>
          <cell r="AZ417">
            <v>274</v>
          </cell>
          <cell r="BE417">
            <v>41675</v>
          </cell>
          <cell r="BG417">
            <v>52.65</v>
          </cell>
          <cell r="BH417">
            <v>272.14</v>
          </cell>
          <cell r="BY417">
            <v>473.13</v>
          </cell>
          <cell r="CD417">
            <v>380.69</v>
          </cell>
          <cell r="CE417">
            <v>376.49200000000002</v>
          </cell>
          <cell r="CF417">
            <v>378.26</v>
          </cell>
          <cell r="CG417">
            <v>1285</v>
          </cell>
          <cell r="CH417">
            <v>1050</v>
          </cell>
          <cell r="CI417">
            <v>120</v>
          </cell>
          <cell r="CJ417">
            <v>310</v>
          </cell>
          <cell r="CK417">
            <v>1188</v>
          </cell>
          <cell r="CM417">
            <v>164.53</v>
          </cell>
          <cell r="CN417">
            <v>13.58</v>
          </cell>
          <cell r="CO417" t="str">
            <v>#N/A N/A</v>
          </cell>
          <cell r="CQ417">
            <v>8.42</v>
          </cell>
          <cell r="CR417">
            <v>75</v>
          </cell>
          <cell r="CS417">
            <v>1828.5</v>
          </cell>
          <cell r="CU417">
            <v>1060</v>
          </cell>
          <cell r="CW417">
            <v>43.521341463414636</v>
          </cell>
          <cell r="CX417">
            <v>617.34500000000003</v>
          </cell>
          <cell r="CZ417">
            <v>306.70999999999998</v>
          </cell>
          <cell r="DA417">
            <v>3578.4</v>
          </cell>
          <cell r="DB417">
            <v>12.05</v>
          </cell>
          <cell r="DC417">
            <v>341.8</v>
          </cell>
          <cell r="DD417">
            <v>113.2</v>
          </cell>
        </row>
        <row r="418">
          <cell r="A418">
            <v>39131</v>
          </cell>
          <cell r="C418">
            <v>86</v>
          </cell>
          <cell r="D418" t="str">
            <v>#N/A N/A</v>
          </cell>
          <cell r="E418">
            <v>9.85</v>
          </cell>
          <cell r="L418">
            <v>1448.81</v>
          </cell>
          <cell r="M418">
            <v>2496.31</v>
          </cell>
          <cell r="N418">
            <v>6419.5</v>
          </cell>
          <cell r="O418">
            <v>4245</v>
          </cell>
          <cell r="Q418">
            <v>500</v>
          </cell>
          <cell r="R418">
            <v>417</v>
          </cell>
          <cell r="S418">
            <v>468</v>
          </cell>
          <cell r="T418">
            <v>767</v>
          </cell>
          <cell r="U418">
            <v>17875.650000000001</v>
          </cell>
          <cell r="V418">
            <v>20567.91</v>
          </cell>
          <cell r="W418">
            <v>7809.45</v>
          </cell>
          <cell r="X418">
            <v>60.65</v>
          </cell>
          <cell r="Y418">
            <v>1050</v>
          </cell>
          <cell r="Z418">
            <v>1320</v>
          </cell>
          <cell r="AA418">
            <v>14355.55</v>
          </cell>
          <cell r="AB418">
            <v>5935.5</v>
          </cell>
          <cell r="AC418">
            <v>45849.031300000002</v>
          </cell>
          <cell r="AE418">
            <v>69.5</v>
          </cell>
          <cell r="AF418">
            <v>755.38</v>
          </cell>
          <cell r="AG418">
            <v>4355</v>
          </cell>
          <cell r="AH418">
            <v>860</v>
          </cell>
          <cell r="AI418">
            <v>1580</v>
          </cell>
          <cell r="AJ418">
            <v>605.07000000000005</v>
          </cell>
          <cell r="AL418">
            <v>1455.54</v>
          </cell>
          <cell r="AP418">
            <v>2998.4740000000002</v>
          </cell>
          <cell r="AV418">
            <v>50.92</v>
          </cell>
          <cell r="AZ418">
            <v>274</v>
          </cell>
          <cell r="BE418">
            <v>41675</v>
          </cell>
          <cell r="BG418">
            <v>52.65</v>
          </cell>
          <cell r="BH418">
            <v>272.14</v>
          </cell>
          <cell r="BY418">
            <v>473.13</v>
          </cell>
          <cell r="CD418">
            <v>380.69</v>
          </cell>
          <cell r="CE418">
            <v>376.49200000000002</v>
          </cell>
          <cell r="CF418">
            <v>378.26</v>
          </cell>
          <cell r="CG418">
            <v>1285</v>
          </cell>
          <cell r="CH418">
            <v>1050</v>
          </cell>
          <cell r="CI418">
            <v>120</v>
          </cell>
          <cell r="CJ418">
            <v>310</v>
          </cell>
          <cell r="CK418">
            <v>1188</v>
          </cell>
          <cell r="CM418">
            <v>164.53</v>
          </cell>
          <cell r="CN418">
            <v>13.58</v>
          </cell>
          <cell r="CO418" t="str">
            <v>#N/A N/A</v>
          </cell>
          <cell r="CQ418">
            <v>8.42</v>
          </cell>
          <cell r="CR418">
            <v>75</v>
          </cell>
          <cell r="CS418">
            <v>1828.5</v>
          </cell>
          <cell r="CU418">
            <v>1060</v>
          </cell>
          <cell r="CW418">
            <v>43.521341463414636</v>
          </cell>
          <cell r="CX418">
            <v>617.34500000000003</v>
          </cell>
          <cell r="CZ418">
            <v>306.70999999999998</v>
          </cell>
          <cell r="DA418">
            <v>3578.4</v>
          </cell>
          <cell r="DB418">
            <v>12.05</v>
          </cell>
          <cell r="DC418">
            <v>341.8</v>
          </cell>
          <cell r="DD418">
            <v>113.2</v>
          </cell>
        </row>
        <row r="419">
          <cell r="A419">
            <v>39132</v>
          </cell>
          <cell r="C419">
            <v>86</v>
          </cell>
          <cell r="D419" t="str">
            <v>#N/A N/A</v>
          </cell>
          <cell r="E419">
            <v>9.85</v>
          </cell>
          <cell r="L419">
            <v>1448.81</v>
          </cell>
          <cell r="M419">
            <v>2496.31</v>
          </cell>
          <cell r="N419">
            <v>6444.4</v>
          </cell>
          <cell r="O419">
            <v>4245</v>
          </cell>
          <cell r="Q419">
            <v>500</v>
          </cell>
          <cell r="R419">
            <v>417</v>
          </cell>
          <cell r="S419">
            <v>468</v>
          </cell>
          <cell r="T419">
            <v>767</v>
          </cell>
          <cell r="U419">
            <v>17940.09</v>
          </cell>
          <cell r="V419">
            <v>20567.91</v>
          </cell>
          <cell r="W419">
            <v>7809.45</v>
          </cell>
          <cell r="X419">
            <v>60.65</v>
          </cell>
          <cell r="Y419">
            <v>1050</v>
          </cell>
          <cell r="Z419">
            <v>1320</v>
          </cell>
          <cell r="AA419">
            <v>14402.9</v>
          </cell>
          <cell r="AB419">
            <v>5969.3</v>
          </cell>
          <cell r="AC419">
            <v>45849.031300000002</v>
          </cell>
          <cell r="AE419">
            <v>69.5</v>
          </cell>
          <cell r="AF419">
            <v>755.38</v>
          </cell>
          <cell r="AG419">
            <v>4355</v>
          </cell>
          <cell r="AH419">
            <v>860</v>
          </cell>
          <cell r="AI419">
            <v>1580</v>
          </cell>
          <cell r="AJ419">
            <v>605.07000000000005</v>
          </cell>
          <cell r="AL419">
            <v>1455.54</v>
          </cell>
          <cell r="AP419">
            <v>2998.4740000000002</v>
          </cell>
          <cell r="AV419">
            <v>50.92</v>
          </cell>
          <cell r="AZ419">
            <v>277.60000000000002</v>
          </cell>
          <cell r="BE419">
            <v>41625</v>
          </cell>
          <cell r="BG419">
            <v>52.65</v>
          </cell>
          <cell r="BH419">
            <v>272.29000000000002</v>
          </cell>
          <cell r="BY419">
            <v>473.13</v>
          </cell>
          <cell r="CD419">
            <v>381.36</v>
          </cell>
          <cell r="CE419">
            <v>377.14</v>
          </cell>
          <cell r="CF419">
            <v>377.94</v>
          </cell>
          <cell r="CG419">
            <v>1285</v>
          </cell>
          <cell r="CH419">
            <v>1050</v>
          </cell>
          <cell r="CI419">
            <v>120</v>
          </cell>
          <cell r="CJ419">
            <v>310</v>
          </cell>
          <cell r="CK419">
            <v>1181</v>
          </cell>
          <cell r="CM419">
            <v>164.53</v>
          </cell>
          <cell r="CN419">
            <v>12.97</v>
          </cell>
          <cell r="CO419" t="str">
            <v>#N/A N/A</v>
          </cell>
          <cell r="CQ419">
            <v>8.42</v>
          </cell>
          <cell r="CR419">
            <v>75</v>
          </cell>
          <cell r="CS419">
            <v>1821</v>
          </cell>
          <cell r="CU419">
            <v>1060</v>
          </cell>
          <cell r="CW419">
            <v>43.521341463414636</v>
          </cell>
          <cell r="CX419">
            <v>618.28499999999997</v>
          </cell>
          <cell r="CZ419">
            <v>306.70999999999998</v>
          </cell>
          <cell r="DA419">
            <v>3573.6</v>
          </cell>
          <cell r="DB419">
            <v>12.05</v>
          </cell>
          <cell r="DC419">
            <v>341.8</v>
          </cell>
          <cell r="DD419">
            <v>113.2</v>
          </cell>
        </row>
        <row r="420">
          <cell r="A420">
            <v>39133</v>
          </cell>
          <cell r="C420">
            <v>86</v>
          </cell>
          <cell r="D420" t="str">
            <v>#N/A N/A</v>
          </cell>
          <cell r="E420">
            <v>9.85</v>
          </cell>
          <cell r="L420">
            <v>1452.96</v>
          </cell>
          <cell r="M420">
            <v>2513.04</v>
          </cell>
          <cell r="N420">
            <v>6412.3</v>
          </cell>
          <cell r="O420">
            <v>4245</v>
          </cell>
          <cell r="Q420">
            <v>500</v>
          </cell>
          <cell r="R420">
            <v>415.25</v>
          </cell>
          <cell r="S420">
            <v>464.5</v>
          </cell>
          <cell r="T420">
            <v>771</v>
          </cell>
          <cell r="U420">
            <v>17939.12</v>
          </cell>
          <cell r="V420">
            <v>20567.91</v>
          </cell>
          <cell r="W420">
            <v>7809.45</v>
          </cell>
          <cell r="X420">
            <v>60.65</v>
          </cell>
          <cell r="Y420">
            <v>1050</v>
          </cell>
          <cell r="Z420">
            <v>1320</v>
          </cell>
          <cell r="AA420">
            <v>14253.38</v>
          </cell>
          <cell r="AB420">
            <v>5969.4</v>
          </cell>
          <cell r="AC420">
            <v>45849.031300000002</v>
          </cell>
          <cell r="AE420">
            <v>69.5</v>
          </cell>
          <cell r="AF420">
            <v>756.6</v>
          </cell>
          <cell r="AG420">
            <v>4359</v>
          </cell>
          <cell r="AH420">
            <v>860</v>
          </cell>
          <cell r="AI420">
            <v>1580</v>
          </cell>
          <cell r="AJ420">
            <v>607.48</v>
          </cell>
          <cell r="AL420">
            <v>1459.68</v>
          </cell>
          <cell r="AP420">
            <v>2998.4740000000002</v>
          </cell>
          <cell r="AV420">
            <v>51.05</v>
          </cell>
          <cell r="AZ420">
            <v>267.60000000000002</v>
          </cell>
          <cell r="BE420">
            <v>42950</v>
          </cell>
          <cell r="BG420">
            <v>52.65</v>
          </cell>
          <cell r="BH420">
            <v>272.01</v>
          </cell>
          <cell r="BY420">
            <v>474.42</v>
          </cell>
          <cell r="CD420">
            <v>381.49</v>
          </cell>
          <cell r="CE420">
            <v>377.37700000000001</v>
          </cell>
          <cell r="CF420">
            <v>377.83</v>
          </cell>
          <cell r="CG420">
            <v>1285</v>
          </cell>
          <cell r="CH420">
            <v>1050</v>
          </cell>
          <cell r="CI420">
            <v>120</v>
          </cell>
          <cell r="CJ420">
            <v>310</v>
          </cell>
          <cell r="CK420">
            <v>1178</v>
          </cell>
          <cell r="CM420">
            <v>164.91</v>
          </cell>
          <cell r="CN420">
            <v>12.16</v>
          </cell>
          <cell r="CO420" t="str">
            <v>#N/A N/A</v>
          </cell>
          <cell r="CQ420">
            <v>7.34</v>
          </cell>
          <cell r="CR420">
            <v>75</v>
          </cell>
          <cell r="CS420">
            <v>1866</v>
          </cell>
          <cell r="CU420">
            <v>1060</v>
          </cell>
          <cell r="CW420">
            <v>43.521341463414636</v>
          </cell>
          <cell r="CX420">
            <v>617.67399999999998</v>
          </cell>
          <cell r="CZ420">
            <v>303.45999999999998</v>
          </cell>
          <cell r="DA420">
            <v>3554.4</v>
          </cell>
          <cell r="DB420">
            <v>11.96</v>
          </cell>
          <cell r="DC420">
            <v>339.75</v>
          </cell>
          <cell r="DD420">
            <v>113.2</v>
          </cell>
        </row>
        <row r="421">
          <cell r="A421">
            <v>39134</v>
          </cell>
          <cell r="C421">
            <v>86</v>
          </cell>
          <cell r="D421" t="str">
            <v>#N/A N/A</v>
          </cell>
          <cell r="E421">
            <v>9.85</v>
          </cell>
          <cell r="L421">
            <v>1451.38</v>
          </cell>
          <cell r="M421">
            <v>2518.42</v>
          </cell>
          <cell r="N421">
            <v>6357.1</v>
          </cell>
          <cell r="O421">
            <v>4245</v>
          </cell>
          <cell r="Q421">
            <v>500</v>
          </cell>
          <cell r="R421">
            <v>426.25</v>
          </cell>
          <cell r="S421">
            <v>476</v>
          </cell>
          <cell r="T421">
            <v>781.25</v>
          </cell>
          <cell r="U421">
            <v>17913.21</v>
          </cell>
          <cell r="V421">
            <v>20651.419999999998</v>
          </cell>
          <cell r="W421">
            <v>7809.45</v>
          </cell>
          <cell r="X421">
            <v>61.15</v>
          </cell>
          <cell r="Y421">
            <v>1050</v>
          </cell>
          <cell r="Z421">
            <v>1320</v>
          </cell>
          <cell r="AA421">
            <v>14188.49</v>
          </cell>
          <cell r="AB421">
            <v>5933.3</v>
          </cell>
          <cell r="AC421">
            <v>46090.238299999997</v>
          </cell>
          <cell r="AE421">
            <v>69.45</v>
          </cell>
          <cell r="AF421">
            <v>756.6</v>
          </cell>
          <cell r="AG421">
            <v>4399</v>
          </cell>
          <cell r="AH421">
            <v>860</v>
          </cell>
          <cell r="AI421">
            <v>1580</v>
          </cell>
          <cell r="AJ421">
            <v>608.16</v>
          </cell>
          <cell r="AL421">
            <v>1457.63</v>
          </cell>
          <cell r="AP421">
            <v>2998.4740000000002</v>
          </cell>
          <cell r="AV421">
            <v>51.19</v>
          </cell>
          <cell r="AZ421">
            <v>260.3</v>
          </cell>
          <cell r="BE421">
            <v>42650</v>
          </cell>
          <cell r="BG421">
            <v>52.65</v>
          </cell>
          <cell r="BH421">
            <v>277.04000000000002</v>
          </cell>
          <cell r="BY421">
            <v>473.12</v>
          </cell>
          <cell r="CD421">
            <v>380.17</v>
          </cell>
          <cell r="CE421">
            <v>375.91300000000001</v>
          </cell>
          <cell r="CF421">
            <v>378.44</v>
          </cell>
          <cell r="CG421">
            <v>1285</v>
          </cell>
          <cell r="CH421">
            <v>1050</v>
          </cell>
          <cell r="CI421">
            <v>120</v>
          </cell>
          <cell r="CJ421">
            <v>310</v>
          </cell>
          <cell r="CK421">
            <v>1167</v>
          </cell>
          <cell r="CM421">
            <v>170.47</v>
          </cell>
          <cell r="CN421">
            <v>12.85</v>
          </cell>
          <cell r="CO421" t="str">
            <v>#N/A N/A</v>
          </cell>
          <cell r="CQ421">
            <v>7.5</v>
          </cell>
          <cell r="CR421">
            <v>75</v>
          </cell>
          <cell r="CS421">
            <v>1858</v>
          </cell>
          <cell r="CU421">
            <v>1060</v>
          </cell>
          <cell r="CW421">
            <v>42.835365853658537</v>
          </cell>
          <cell r="CX421">
            <v>636.75649999999996</v>
          </cell>
          <cell r="CZ421">
            <v>308.36</v>
          </cell>
          <cell r="DA421">
            <v>3577.2</v>
          </cell>
          <cell r="DB421">
            <v>11.74</v>
          </cell>
          <cell r="DC421">
            <v>344.15</v>
          </cell>
          <cell r="DD421">
            <v>115.15</v>
          </cell>
        </row>
        <row r="422">
          <cell r="A422">
            <v>39135</v>
          </cell>
          <cell r="C422">
            <v>86</v>
          </cell>
          <cell r="D422" t="str">
            <v>#N/A N/A</v>
          </cell>
          <cell r="E422">
            <v>9.85</v>
          </cell>
          <cell r="L422">
            <v>1465.41</v>
          </cell>
          <cell r="M422">
            <v>2524.94</v>
          </cell>
          <cell r="N422">
            <v>6380.9</v>
          </cell>
          <cell r="O422">
            <v>4245</v>
          </cell>
          <cell r="Q422">
            <v>555</v>
          </cell>
          <cell r="R422">
            <v>434.5</v>
          </cell>
          <cell r="S422">
            <v>489.5</v>
          </cell>
          <cell r="T422">
            <v>783.75</v>
          </cell>
          <cell r="U422">
            <v>18108.79</v>
          </cell>
          <cell r="V422">
            <v>20809.23</v>
          </cell>
          <cell r="W422">
            <v>7809.45</v>
          </cell>
          <cell r="X422">
            <v>63.55</v>
          </cell>
          <cell r="Y422">
            <v>1050</v>
          </cell>
          <cell r="Z422">
            <v>1320</v>
          </cell>
          <cell r="AA422">
            <v>14021.31</v>
          </cell>
          <cell r="AB422">
            <v>5991.1</v>
          </cell>
          <cell r="AC422">
            <v>46452.261700000003</v>
          </cell>
          <cell r="AE422">
            <v>71.45</v>
          </cell>
          <cell r="AF422">
            <v>756.6</v>
          </cell>
          <cell r="AG422">
            <v>4456</v>
          </cell>
          <cell r="AH422">
            <v>860</v>
          </cell>
          <cell r="AI422">
            <v>1580</v>
          </cell>
          <cell r="AJ422">
            <v>610.41</v>
          </cell>
          <cell r="AL422">
            <v>1456.38</v>
          </cell>
          <cell r="AP422">
            <v>2998.4740000000002</v>
          </cell>
          <cell r="AV422">
            <v>51.46</v>
          </cell>
          <cell r="AZ422">
            <v>267.5</v>
          </cell>
          <cell r="BE422">
            <v>42200</v>
          </cell>
          <cell r="BG422">
            <v>52.65</v>
          </cell>
          <cell r="BH422">
            <v>281.37</v>
          </cell>
          <cell r="BY422">
            <v>486.18</v>
          </cell>
          <cell r="CD422">
            <v>380.73</v>
          </cell>
          <cell r="CE422">
            <v>376.29500000000002</v>
          </cell>
          <cell r="CF422">
            <v>379.11</v>
          </cell>
          <cell r="CG422">
            <v>1285</v>
          </cell>
          <cell r="CH422">
            <v>1050</v>
          </cell>
          <cell r="CI422">
            <v>120</v>
          </cell>
          <cell r="CJ422">
            <v>310</v>
          </cell>
          <cell r="CK422">
            <v>1149</v>
          </cell>
          <cell r="CM422">
            <v>175.48</v>
          </cell>
          <cell r="CN422">
            <v>13.07</v>
          </cell>
          <cell r="CO422" t="str">
            <v>#N/A N/A</v>
          </cell>
          <cell r="CQ422">
            <v>7.46</v>
          </cell>
          <cell r="CR422">
            <v>75</v>
          </cell>
          <cell r="CS422">
            <v>1916</v>
          </cell>
          <cell r="CU422">
            <v>1060</v>
          </cell>
          <cell r="CW422">
            <v>43.140243902439025</v>
          </cell>
          <cell r="CX422">
            <v>636.65949999999998</v>
          </cell>
          <cell r="CZ422">
            <v>312.85000000000002</v>
          </cell>
          <cell r="DA422">
            <v>3683.7</v>
          </cell>
          <cell r="DB422">
            <v>11.66</v>
          </cell>
          <cell r="DC422">
            <v>350.7</v>
          </cell>
          <cell r="DD422">
            <v>118.9</v>
          </cell>
        </row>
        <row r="423">
          <cell r="A423">
            <v>39136</v>
          </cell>
          <cell r="C423">
            <v>86</v>
          </cell>
          <cell r="D423" t="str">
            <v>#N/A N/A</v>
          </cell>
          <cell r="E423">
            <v>9.85</v>
          </cell>
          <cell r="L423">
            <v>1469.88</v>
          </cell>
          <cell r="M423">
            <v>2515.1</v>
          </cell>
          <cell r="N423">
            <v>6401.5</v>
          </cell>
          <cell r="O423">
            <v>4245</v>
          </cell>
          <cell r="Q423">
            <v>555</v>
          </cell>
          <cell r="R423">
            <v>430.25</v>
          </cell>
          <cell r="S423">
            <v>484.25</v>
          </cell>
          <cell r="T423">
            <v>778.25</v>
          </cell>
          <cell r="U423">
            <v>18188.419999999998</v>
          </cell>
          <cell r="V423">
            <v>20711.650000000001</v>
          </cell>
          <cell r="W423">
            <v>7809.45</v>
          </cell>
          <cell r="X423">
            <v>66.05</v>
          </cell>
          <cell r="Y423">
            <v>1050</v>
          </cell>
          <cell r="Z423">
            <v>1320</v>
          </cell>
          <cell r="AA423">
            <v>13632.53</v>
          </cell>
          <cell r="AB423">
            <v>6009.3</v>
          </cell>
          <cell r="AC423">
            <v>46015.789100000002</v>
          </cell>
          <cell r="AE423">
            <v>73.2</v>
          </cell>
          <cell r="AF423">
            <v>756.6</v>
          </cell>
          <cell r="AG423">
            <v>4545</v>
          </cell>
          <cell r="AH423">
            <v>860</v>
          </cell>
          <cell r="AI423">
            <v>1580</v>
          </cell>
          <cell r="AJ423">
            <v>610.83000000000004</v>
          </cell>
          <cell r="AL423">
            <v>1451.19</v>
          </cell>
          <cell r="AP423">
            <v>2998.4740000000002</v>
          </cell>
          <cell r="AV423">
            <v>51.38</v>
          </cell>
          <cell r="AZ423">
            <v>271.3</v>
          </cell>
          <cell r="BE423">
            <v>44125</v>
          </cell>
          <cell r="BG423">
            <v>52.65</v>
          </cell>
          <cell r="BH423">
            <v>282.73</v>
          </cell>
          <cell r="BY423">
            <v>488.5</v>
          </cell>
          <cell r="CD423">
            <v>381.29</v>
          </cell>
          <cell r="CE423">
            <v>377.03100000000001</v>
          </cell>
          <cell r="CF423">
            <v>378.21</v>
          </cell>
          <cell r="CG423">
            <v>1285</v>
          </cell>
          <cell r="CH423">
            <v>1050</v>
          </cell>
          <cell r="CI423">
            <v>120</v>
          </cell>
          <cell r="CJ423">
            <v>310</v>
          </cell>
          <cell r="CK423">
            <v>1146</v>
          </cell>
          <cell r="CM423">
            <v>176.31</v>
          </cell>
          <cell r="CN423">
            <v>14.33</v>
          </cell>
          <cell r="CO423" t="str">
            <v>#N/A N/A</v>
          </cell>
          <cell r="CQ423">
            <v>7.54</v>
          </cell>
          <cell r="CR423">
            <v>75</v>
          </cell>
          <cell r="CS423">
            <v>1958</v>
          </cell>
          <cell r="CU423">
            <v>1080</v>
          </cell>
          <cell r="CW423">
            <v>44.054878048780488</v>
          </cell>
          <cell r="CX423">
            <v>638.79349999999999</v>
          </cell>
          <cell r="CZ423">
            <v>314.63</v>
          </cell>
          <cell r="DA423">
            <v>3804.7</v>
          </cell>
          <cell r="DB423">
            <v>11.8</v>
          </cell>
          <cell r="DC423">
            <v>358.1</v>
          </cell>
          <cell r="DD423">
            <v>119.25</v>
          </cell>
        </row>
        <row r="424">
          <cell r="A424">
            <v>39137</v>
          </cell>
          <cell r="C424">
            <v>86</v>
          </cell>
          <cell r="D424" t="str">
            <v>#N/A N/A</v>
          </cell>
          <cell r="E424">
            <v>9.85</v>
          </cell>
          <cell r="L424">
            <v>1469.88</v>
          </cell>
          <cell r="M424">
            <v>2515.1</v>
          </cell>
          <cell r="N424">
            <v>6401.5</v>
          </cell>
          <cell r="O424">
            <v>4245</v>
          </cell>
          <cell r="Q424">
            <v>555</v>
          </cell>
          <cell r="R424">
            <v>430.25</v>
          </cell>
          <cell r="S424">
            <v>484.25</v>
          </cell>
          <cell r="T424">
            <v>778.25</v>
          </cell>
          <cell r="U424">
            <v>18188.419999999998</v>
          </cell>
          <cell r="V424">
            <v>20711.650000000001</v>
          </cell>
          <cell r="W424">
            <v>7809.45</v>
          </cell>
          <cell r="X424">
            <v>66.05</v>
          </cell>
          <cell r="Y424">
            <v>1050</v>
          </cell>
          <cell r="Z424">
            <v>1320</v>
          </cell>
          <cell r="AA424">
            <v>13632.53</v>
          </cell>
          <cell r="AB424">
            <v>6009.3</v>
          </cell>
          <cell r="AC424">
            <v>46015.789100000002</v>
          </cell>
          <cell r="AE424">
            <v>73.2</v>
          </cell>
          <cell r="AF424">
            <v>756.6</v>
          </cell>
          <cell r="AG424">
            <v>4545</v>
          </cell>
          <cell r="AH424">
            <v>860</v>
          </cell>
          <cell r="AI424">
            <v>1580</v>
          </cell>
          <cell r="AJ424">
            <v>610.83000000000004</v>
          </cell>
          <cell r="AL424">
            <v>1451.19</v>
          </cell>
          <cell r="AP424">
            <v>2998.4740000000002</v>
          </cell>
          <cell r="AV424">
            <v>51.38</v>
          </cell>
          <cell r="AZ424">
            <v>271.3</v>
          </cell>
          <cell r="BE424">
            <v>44125</v>
          </cell>
          <cell r="BG424">
            <v>52.65</v>
          </cell>
          <cell r="BH424">
            <v>282.73</v>
          </cell>
          <cell r="BY424">
            <v>488.5</v>
          </cell>
          <cell r="CD424">
            <v>381.29</v>
          </cell>
          <cell r="CE424">
            <v>377.03100000000001</v>
          </cell>
          <cell r="CF424">
            <v>378.21</v>
          </cell>
          <cell r="CG424">
            <v>1285</v>
          </cell>
          <cell r="CH424">
            <v>1050</v>
          </cell>
          <cell r="CI424">
            <v>120</v>
          </cell>
          <cell r="CJ424">
            <v>310</v>
          </cell>
          <cell r="CK424">
            <v>1146</v>
          </cell>
          <cell r="CM424">
            <v>176.31</v>
          </cell>
          <cell r="CN424">
            <v>14.33</v>
          </cell>
          <cell r="CO424" t="str">
            <v>#N/A N/A</v>
          </cell>
          <cell r="CQ424">
            <v>7.54</v>
          </cell>
          <cell r="CR424">
            <v>75</v>
          </cell>
          <cell r="CS424">
            <v>1958</v>
          </cell>
          <cell r="CU424">
            <v>1080</v>
          </cell>
          <cell r="CW424">
            <v>44.054878048780488</v>
          </cell>
          <cell r="CX424">
            <v>638.79349999999999</v>
          </cell>
          <cell r="CZ424">
            <v>314.63</v>
          </cell>
          <cell r="DA424">
            <v>3804.7</v>
          </cell>
          <cell r="DB424">
            <v>11.8</v>
          </cell>
          <cell r="DC424">
            <v>358.1</v>
          </cell>
          <cell r="DD424">
            <v>119.25</v>
          </cell>
        </row>
        <row r="425">
          <cell r="A425">
            <v>39138</v>
          </cell>
          <cell r="C425">
            <v>86</v>
          </cell>
          <cell r="D425" t="str">
            <v>#N/A N/A</v>
          </cell>
          <cell r="E425">
            <v>9.85</v>
          </cell>
          <cell r="L425">
            <v>1469.88</v>
          </cell>
          <cell r="M425">
            <v>2515.1</v>
          </cell>
          <cell r="N425">
            <v>6401.5</v>
          </cell>
          <cell r="O425">
            <v>4245</v>
          </cell>
          <cell r="Q425">
            <v>555</v>
          </cell>
          <cell r="R425">
            <v>430.25</v>
          </cell>
          <cell r="S425">
            <v>484.25</v>
          </cell>
          <cell r="T425">
            <v>778.25</v>
          </cell>
          <cell r="U425">
            <v>18188.419999999998</v>
          </cell>
          <cell r="V425">
            <v>20711.650000000001</v>
          </cell>
          <cell r="W425">
            <v>7809.45</v>
          </cell>
          <cell r="X425">
            <v>66.05</v>
          </cell>
          <cell r="Y425">
            <v>1050</v>
          </cell>
          <cell r="Z425">
            <v>1320</v>
          </cell>
          <cell r="AA425">
            <v>13632.53</v>
          </cell>
          <cell r="AB425">
            <v>6009.3</v>
          </cell>
          <cell r="AC425">
            <v>46015.789100000002</v>
          </cell>
          <cell r="AE425">
            <v>73.2</v>
          </cell>
          <cell r="AF425">
            <v>756.6</v>
          </cell>
          <cell r="AG425">
            <v>4545</v>
          </cell>
          <cell r="AH425">
            <v>860</v>
          </cell>
          <cell r="AI425">
            <v>1580</v>
          </cell>
          <cell r="AJ425">
            <v>610.83000000000004</v>
          </cell>
          <cell r="AL425">
            <v>1451.19</v>
          </cell>
          <cell r="AP425">
            <v>2998.4740000000002</v>
          </cell>
          <cell r="AV425">
            <v>51.38</v>
          </cell>
          <cell r="AZ425">
            <v>271.3</v>
          </cell>
          <cell r="BE425">
            <v>44125</v>
          </cell>
          <cell r="BG425">
            <v>52.65</v>
          </cell>
          <cell r="BH425">
            <v>282.73</v>
          </cell>
          <cell r="BY425">
            <v>488.5</v>
          </cell>
          <cell r="CD425">
            <v>381.29</v>
          </cell>
          <cell r="CE425">
            <v>377.03100000000001</v>
          </cell>
          <cell r="CF425">
            <v>378.21</v>
          </cell>
          <cell r="CG425">
            <v>1285</v>
          </cell>
          <cell r="CH425">
            <v>1050</v>
          </cell>
          <cell r="CI425">
            <v>120</v>
          </cell>
          <cell r="CJ425">
            <v>310</v>
          </cell>
          <cell r="CK425">
            <v>1146</v>
          </cell>
          <cell r="CM425">
            <v>176.31</v>
          </cell>
          <cell r="CN425">
            <v>14.33</v>
          </cell>
          <cell r="CO425" t="str">
            <v>#N/A N/A</v>
          </cell>
          <cell r="CQ425">
            <v>7.54</v>
          </cell>
          <cell r="CR425">
            <v>75</v>
          </cell>
          <cell r="CS425">
            <v>1958</v>
          </cell>
          <cell r="CU425">
            <v>1080</v>
          </cell>
          <cell r="CW425">
            <v>44.054878048780488</v>
          </cell>
          <cell r="CX425">
            <v>638.79349999999999</v>
          </cell>
          <cell r="CZ425">
            <v>314.63</v>
          </cell>
          <cell r="DA425">
            <v>3804.7</v>
          </cell>
          <cell r="DB425">
            <v>11.8</v>
          </cell>
          <cell r="DC425">
            <v>358.1</v>
          </cell>
          <cell r="DD425">
            <v>119.25</v>
          </cell>
        </row>
        <row r="426">
          <cell r="A426">
            <v>39139</v>
          </cell>
          <cell r="C426">
            <v>76</v>
          </cell>
          <cell r="D426" t="str">
            <v>#N/A N/A</v>
          </cell>
          <cell r="E426">
            <v>9.99</v>
          </cell>
          <cell r="L426">
            <v>1470.03</v>
          </cell>
          <cell r="M426">
            <v>2504.52</v>
          </cell>
          <cell r="N426">
            <v>6434.7</v>
          </cell>
          <cell r="O426">
            <v>4255</v>
          </cell>
          <cell r="Q426">
            <v>555</v>
          </cell>
          <cell r="R426">
            <v>425.5</v>
          </cell>
          <cell r="S426">
            <v>483</v>
          </cell>
          <cell r="T426">
            <v>778.75</v>
          </cell>
          <cell r="U426">
            <v>18215.349999999999</v>
          </cell>
          <cell r="V426">
            <v>20507.95</v>
          </cell>
          <cell r="W426">
            <v>7900.2</v>
          </cell>
          <cell r="X426">
            <v>66.95</v>
          </cell>
          <cell r="Y426">
            <v>1050</v>
          </cell>
          <cell r="Z426">
            <v>1320</v>
          </cell>
          <cell r="AA426">
            <v>13649.52</v>
          </cell>
          <cell r="AB426">
            <v>6021.9</v>
          </cell>
          <cell r="AC426">
            <v>46207.398399999998</v>
          </cell>
          <cell r="AE426">
            <v>74.05</v>
          </cell>
          <cell r="AF426">
            <v>756.6</v>
          </cell>
          <cell r="AG426">
            <v>4609</v>
          </cell>
          <cell r="AH426">
            <v>860</v>
          </cell>
          <cell r="AI426">
            <v>1580</v>
          </cell>
          <cell r="AJ426">
            <v>613.01</v>
          </cell>
          <cell r="AL426">
            <v>1449.37</v>
          </cell>
          <cell r="AP426">
            <v>3040.5990000000002</v>
          </cell>
          <cell r="AV426">
            <v>51.3</v>
          </cell>
          <cell r="AZ426">
            <v>277.2</v>
          </cell>
          <cell r="BE426">
            <v>44675</v>
          </cell>
          <cell r="BG426">
            <v>52.65</v>
          </cell>
          <cell r="BH426">
            <v>285.72000000000003</v>
          </cell>
          <cell r="BY426">
            <v>487.99</v>
          </cell>
          <cell r="CD426">
            <v>381.93</v>
          </cell>
          <cell r="CE426">
            <v>377.71199999999999</v>
          </cell>
          <cell r="CF426">
            <v>377.55</v>
          </cell>
          <cell r="CG426">
            <v>1285</v>
          </cell>
          <cell r="CH426">
            <v>1050</v>
          </cell>
          <cell r="CI426">
            <v>118</v>
          </cell>
          <cell r="CJ426">
            <v>305</v>
          </cell>
          <cell r="CK426">
            <v>1138</v>
          </cell>
          <cell r="CM426">
            <v>177.77</v>
          </cell>
          <cell r="CN426">
            <v>15.12</v>
          </cell>
          <cell r="CO426" t="str">
            <v>#N/A N/A</v>
          </cell>
          <cell r="CQ426">
            <v>7.73</v>
          </cell>
          <cell r="CR426">
            <v>75</v>
          </cell>
          <cell r="CS426">
            <v>1986</v>
          </cell>
          <cell r="CU426">
            <v>1080</v>
          </cell>
          <cell r="CW426">
            <v>45.121951219512198</v>
          </cell>
          <cell r="CX426">
            <v>638.50250000000005</v>
          </cell>
          <cell r="CZ426">
            <v>315.10000000000002</v>
          </cell>
          <cell r="DA426">
            <v>3815.1</v>
          </cell>
          <cell r="DB426">
            <v>11.75</v>
          </cell>
          <cell r="DC426">
            <v>356.05</v>
          </cell>
          <cell r="DD426">
            <v>117.85</v>
          </cell>
        </row>
        <row r="427">
          <cell r="A427">
            <v>39140</v>
          </cell>
          <cell r="C427">
            <v>76</v>
          </cell>
          <cell r="D427" t="str">
            <v>#N/A N/A</v>
          </cell>
          <cell r="E427">
            <v>10.01</v>
          </cell>
          <cell r="L427">
            <v>1454.6</v>
          </cell>
          <cell r="M427">
            <v>2407.86</v>
          </cell>
          <cell r="N427">
            <v>6286.1</v>
          </cell>
          <cell r="O427">
            <v>4262</v>
          </cell>
          <cell r="Q427">
            <v>555</v>
          </cell>
          <cell r="R427">
            <v>411</v>
          </cell>
          <cell r="S427">
            <v>470.25</v>
          </cell>
          <cell r="T427">
            <v>763.5</v>
          </cell>
          <cell r="U427">
            <v>18119.919999999998</v>
          </cell>
          <cell r="V427">
            <v>20147.87</v>
          </cell>
          <cell r="W427">
            <v>7901.96</v>
          </cell>
          <cell r="X427">
            <v>67.349999999999994</v>
          </cell>
          <cell r="Y427">
            <v>1050</v>
          </cell>
          <cell r="Z427">
            <v>1320</v>
          </cell>
          <cell r="AA427">
            <v>13478.83</v>
          </cell>
          <cell r="AB427">
            <v>5977.6</v>
          </cell>
          <cell r="AC427">
            <v>43145.328099999999</v>
          </cell>
          <cell r="AE427">
            <v>74.349999999999994</v>
          </cell>
          <cell r="AF427">
            <v>757.68</v>
          </cell>
          <cell r="AG427">
            <v>4704</v>
          </cell>
          <cell r="AH427">
            <v>860</v>
          </cell>
          <cell r="AI427">
            <v>1580</v>
          </cell>
          <cell r="AJ427">
            <v>611.52</v>
          </cell>
          <cell r="AL427">
            <v>1399.04</v>
          </cell>
          <cell r="AP427">
            <v>2771.7910000000002</v>
          </cell>
          <cell r="AV427">
            <v>48.03</v>
          </cell>
          <cell r="AZ427">
            <v>273.5</v>
          </cell>
          <cell r="BE427">
            <v>45050</v>
          </cell>
          <cell r="BG427">
            <v>52.65</v>
          </cell>
          <cell r="BH427">
            <v>271.91000000000003</v>
          </cell>
          <cell r="BY427">
            <v>473.01</v>
          </cell>
          <cell r="CD427">
            <v>372.26</v>
          </cell>
          <cell r="CE427">
            <v>368.33</v>
          </cell>
          <cell r="CF427">
            <v>372.72</v>
          </cell>
          <cell r="CG427">
            <v>1285</v>
          </cell>
          <cell r="CH427">
            <v>1050</v>
          </cell>
          <cell r="CI427">
            <v>118</v>
          </cell>
          <cell r="CJ427">
            <v>305</v>
          </cell>
          <cell r="CK427">
            <v>1119</v>
          </cell>
          <cell r="CM427">
            <v>181.61</v>
          </cell>
          <cell r="CN427">
            <v>14.88</v>
          </cell>
          <cell r="CO427" t="str">
            <v>#N/A N/A</v>
          </cell>
          <cell r="CQ427">
            <v>7.43</v>
          </cell>
          <cell r="CR427">
            <v>75</v>
          </cell>
          <cell r="CS427">
            <v>1951</v>
          </cell>
          <cell r="CU427">
            <v>1080</v>
          </cell>
          <cell r="CW427">
            <v>45.274390243902445</v>
          </cell>
          <cell r="CX427">
            <v>642.33400000000006</v>
          </cell>
          <cell r="CZ427">
            <v>313.26</v>
          </cell>
          <cell r="DA427">
            <v>3797.9</v>
          </cell>
          <cell r="DB427">
            <v>11.9</v>
          </cell>
          <cell r="DC427">
            <v>351.1</v>
          </cell>
          <cell r="DD427">
            <v>117.3</v>
          </cell>
        </row>
        <row r="428">
          <cell r="A428">
            <v>39141</v>
          </cell>
          <cell r="C428">
            <v>76</v>
          </cell>
          <cell r="D428" t="str">
            <v>#N/A N/A</v>
          </cell>
          <cell r="E428">
            <v>10.18</v>
          </cell>
          <cell r="L428">
            <v>1417.34</v>
          </cell>
          <cell r="M428">
            <v>2416.15</v>
          </cell>
          <cell r="N428">
            <v>6171.5</v>
          </cell>
          <cell r="O428">
            <v>4265</v>
          </cell>
          <cell r="Q428">
            <v>555</v>
          </cell>
          <cell r="R428">
            <v>425.25</v>
          </cell>
          <cell r="S428">
            <v>474.5</v>
          </cell>
          <cell r="T428">
            <v>773.25</v>
          </cell>
          <cell r="U428">
            <v>17604.12</v>
          </cell>
          <cell r="V428">
            <v>19651.509999999998</v>
          </cell>
          <cell r="W428">
            <v>7901.96</v>
          </cell>
          <cell r="X428">
            <v>66.45</v>
          </cell>
          <cell r="Y428">
            <v>1050</v>
          </cell>
          <cell r="Z428">
            <v>1320</v>
          </cell>
          <cell r="AA428">
            <v>12938.09</v>
          </cell>
          <cell r="AB428">
            <v>5816.5</v>
          </cell>
          <cell r="AC428">
            <v>43892.308599999997</v>
          </cell>
          <cell r="AE428">
            <v>74.400000000000006</v>
          </cell>
          <cell r="AF428">
            <v>757.68</v>
          </cell>
          <cell r="AG428">
            <v>4765</v>
          </cell>
          <cell r="AH428">
            <v>860</v>
          </cell>
          <cell r="AI428">
            <v>1580</v>
          </cell>
          <cell r="AJ428">
            <v>600.92999999999995</v>
          </cell>
          <cell r="AL428">
            <v>1406.82</v>
          </cell>
          <cell r="AP428">
            <v>2881.0729999999999</v>
          </cell>
          <cell r="AV428">
            <v>48.99</v>
          </cell>
          <cell r="AZ428">
            <v>260.2</v>
          </cell>
          <cell r="BE428">
            <v>44695</v>
          </cell>
          <cell r="BG428">
            <v>52.65</v>
          </cell>
          <cell r="BH428">
            <v>273.25</v>
          </cell>
          <cell r="BY428">
            <v>473.55</v>
          </cell>
          <cell r="CD428">
            <v>368.78</v>
          </cell>
          <cell r="CE428">
            <v>365.15</v>
          </cell>
          <cell r="CF428">
            <v>363.46</v>
          </cell>
          <cell r="CG428">
            <v>1285</v>
          </cell>
          <cell r="CH428">
            <v>1050</v>
          </cell>
          <cell r="CI428">
            <v>118</v>
          </cell>
          <cell r="CJ428">
            <v>305</v>
          </cell>
          <cell r="CK428">
            <v>1101</v>
          </cell>
          <cell r="CM428">
            <v>184.76</v>
          </cell>
          <cell r="CN428">
            <v>14.77</v>
          </cell>
          <cell r="CO428" t="str">
            <v>#N/A N/A</v>
          </cell>
          <cell r="CQ428">
            <v>7.23</v>
          </cell>
          <cell r="CR428">
            <v>85</v>
          </cell>
          <cell r="CS428">
            <v>1857</v>
          </cell>
          <cell r="CU428">
            <v>1080</v>
          </cell>
          <cell r="CW428">
            <v>44.969512195121951</v>
          </cell>
          <cell r="CX428">
            <v>687.85599999999999</v>
          </cell>
          <cell r="CZ428">
            <v>312.39</v>
          </cell>
          <cell r="DA428">
            <v>3697.7</v>
          </cell>
          <cell r="DB428">
            <v>11.66</v>
          </cell>
          <cell r="DC428">
            <v>351.1</v>
          </cell>
          <cell r="DD428">
            <v>117.7</v>
          </cell>
        </row>
        <row r="429">
          <cell r="A429">
            <v>39142</v>
          </cell>
          <cell r="C429">
            <v>76</v>
          </cell>
          <cell r="D429" t="str">
            <v>#N/A N/A</v>
          </cell>
          <cell r="E429">
            <v>10.81</v>
          </cell>
          <cell r="L429">
            <v>1417.34</v>
          </cell>
          <cell r="M429">
            <v>2404.21</v>
          </cell>
          <cell r="N429">
            <v>6116</v>
          </cell>
          <cell r="O429">
            <v>4288</v>
          </cell>
          <cell r="Q429">
            <v>555</v>
          </cell>
          <cell r="R429">
            <v>428</v>
          </cell>
          <cell r="S429">
            <v>479</v>
          </cell>
          <cell r="T429">
            <v>762</v>
          </cell>
          <cell r="U429">
            <v>17453.509999999998</v>
          </cell>
          <cell r="V429">
            <v>19346.599999999999</v>
          </cell>
          <cell r="W429">
            <v>7678.67</v>
          </cell>
          <cell r="X429">
            <v>67.150000000000006</v>
          </cell>
          <cell r="Y429">
            <v>1050</v>
          </cell>
          <cell r="Z429">
            <v>1320</v>
          </cell>
          <cell r="AA429">
            <v>13159.55</v>
          </cell>
          <cell r="AB429">
            <v>5798.3</v>
          </cell>
          <cell r="AC429">
            <v>43516.910199999998</v>
          </cell>
          <cell r="AE429">
            <v>74.599999999999994</v>
          </cell>
          <cell r="AF429">
            <v>757.68</v>
          </cell>
          <cell r="AG429">
            <v>4818</v>
          </cell>
          <cell r="AH429">
            <v>860</v>
          </cell>
          <cell r="AI429">
            <v>1580</v>
          </cell>
          <cell r="AJ429">
            <v>600.92999999999995</v>
          </cell>
          <cell r="AL429">
            <v>1403.17</v>
          </cell>
          <cell r="AP429">
            <v>2797.19</v>
          </cell>
          <cell r="AV429">
            <v>48.13</v>
          </cell>
          <cell r="AZ429">
            <v>259.3</v>
          </cell>
          <cell r="BE429">
            <v>44700</v>
          </cell>
          <cell r="BG429">
            <v>52.65</v>
          </cell>
          <cell r="BH429">
            <v>269.64999999999998</v>
          </cell>
          <cell r="BY429">
            <v>469.63</v>
          </cell>
          <cell r="CD429">
            <v>366.3</v>
          </cell>
          <cell r="CE429">
            <v>362.96800000000002</v>
          </cell>
          <cell r="CF429">
            <v>359.75</v>
          </cell>
          <cell r="CG429">
            <v>1285</v>
          </cell>
          <cell r="CH429">
            <v>1050</v>
          </cell>
          <cell r="CI429">
            <v>118</v>
          </cell>
          <cell r="CJ429">
            <v>305</v>
          </cell>
          <cell r="CK429">
            <v>1094</v>
          </cell>
          <cell r="CM429">
            <v>191.01</v>
          </cell>
          <cell r="CN429">
            <v>15.41</v>
          </cell>
          <cell r="CO429" t="str">
            <v>#N/A N/A</v>
          </cell>
          <cell r="CQ429">
            <v>7.07</v>
          </cell>
          <cell r="CR429">
            <v>85</v>
          </cell>
          <cell r="CS429">
            <v>1963</v>
          </cell>
          <cell r="CU429">
            <v>1080</v>
          </cell>
          <cell r="CW429">
            <v>46.341463414634148</v>
          </cell>
          <cell r="CX429">
            <v>685.04800000000012</v>
          </cell>
          <cell r="CZ429">
            <v>312.24</v>
          </cell>
          <cell r="DA429">
            <v>3724.6</v>
          </cell>
          <cell r="DB429">
            <v>11.98</v>
          </cell>
          <cell r="DC429">
            <v>351.1</v>
          </cell>
          <cell r="DD429">
            <v>116.6</v>
          </cell>
        </row>
        <row r="430">
          <cell r="A430">
            <v>39143</v>
          </cell>
          <cell r="C430">
            <v>76</v>
          </cell>
          <cell r="D430" t="str">
            <v>#N/A N/A</v>
          </cell>
          <cell r="E430">
            <v>11.53</v>
          </cell>
          <cell r="L430">
            <v>1414.47</v>
          </cell>
          <cell r="M430">
            <v>2368</v>
          </cell>
          <cell r="N430">
            <v>6116.2</v>
          </cell>
          <cell r="O430">
            <v>4293</v>
          </cell>
          <cell r="Q430">
            <v>555</v>
          </cell>
          <cell r="R430">
            <v>421</v>
          </cell>
          <cell r="S430">
            <v>473.75</v>
          </cell>
          <cell r="T430">
            <v>753.5</v>
          </cell>
          <cell r="U430">
            <v>17217.93</v>
          </cell>
          <cell r="V430">
            <v>19442.009999999998</v>
          </cell>
          <cell r="W430">
            <v>7670.77</v>
          </cell>
          <cell r="X430">
            <v>69.05</v>
          </cell>
          <cell r="Y430">
            <v>1010</v>
          </cell>
          <cell r="Z430">
            <v>1320</v>
          </cell>
          <cell r="AA430">
            <v>12886.13</v>
          </cell>
          <cell r="AB430">
            <v>5775.2</v>
          </cell>
          <cell r="AC430">
            <v>42369.839800000002</v>
          </cell>
          <cell r="AE430">
            <v>74.400000000000006</v>
          </cell>
          <cell r="AF430">
            <v>757.68</v>
          </cell>
          <cell r="AG430">
            <v>4872</v>
          </cell>
          <cell r="AH430">
            <v>870</v>
          </cell>
          <cell r="AI430">
            <v>1590</v>
          </cell>
          <cell r="AJ430">
            <v>606.99</v>
          </cell>
          <cell r="AL430">
            <v>1387.17</v>
          </cell>
          <cell r="AP430">
            <v>2831.5259999999998</v>
          </cell>
          <cell r="AV430">
            <v>47.72</v>
          </cell>
          <cell r="AZ430">
            <v>260.5</v>
          </cell>
          <cell r="BE430">
            <v>44050</v>
          </cell>
          <cell r="BG430">
            <v>52.65</v>
          </cell>
          <cell r="BH430">
            <v>265.73</v>
          </cell>
          <cell r="BY430">
            <v>461.34</v>
          </cell>
          <cell r="CD430">
            <v>363.54</v>
          </cell>
          <cell r="CE430">
            <v>360.15199999999999</v>
          </cell>
          <cell r="CF430">
            <v>357.72</v>
          </cell>
          <cell r="CG430">
            <v>1285</v>
          </cell>
          <cell r="CH430">
            <v>1030</v>
          </cell>
          <cell r="CI430">
            <v>118</v>
          </cell>
          <cell r="CJ430">
            <v>305</v>
          </cell>
          <cell r="CK430">
            <v>1081</v>
          </cell>
          <cell r="CM430">
            <v>190.18</v>
          </cell>
          <cell r="CN430">
            <v>14.59</v>
          </cell>
          <cell r="CO430" t="str">
            <v>#N/A N/A</v>
          </cell>
          <cell r="CQ430">
            <v>7.21</v>
          </cell>
          <cell r="CR430">
            <v>85</v>
          </cell>
          <cell r="CS430">
            <v>1897</v>
          </cell>
          <cell r="CU430">
            <v>1070</v>
          </cell>
          <cell r="CW430">
            <v>46.341463414634148</v>
          </cell>
          <cell r="CX430">
            <v>685.98399999999992</v>
          </cell>
          <cell r="CZ430">
            <v>310.11</v>
          </cell>
          <cell r="DA430">
            <v>3653.5</v>
          </cell>
          <cell r="DB430">
            <v>12.44</v>
          </cell>
          <cell r="DC430">
            <v>351.1</v>
          </cell>
          <cell r="DD430">
            <v>115.15</v>
          </cell>
        </row>
        <row r="431">
          <cell r="A431">
            <v>39144</v>
          </cell>
          <cell r="C431">
            <v>76</v>
          </cell>
          <cell r="D431" t="str">
            <v>#N/A N/A</v>
          </cell>
          <cell r="E431">
            <v>11.53</v>
          </cell>
          <cell r="L431">
            <v>1414.47</v>
          </cell>
          <cell r="M431">
            <v>2368</v>
          </cell>
          <cell r="N431">
            <v>6116.2</v>
          </cell>
          <cell r="O431">
            <v>4293</v>
          </cell>
          <cell r="Q431">
            <v>555</v>
          </cell>
          <cell r="R431">
            <v>421</v>
          </cell>
          <cell r="S431">
            <v>473.75</v>
          </cell>
          <cell r="T431">
            <v>753.5</v>
          </cell>
          <cell r="U431">
            <v>17217.93</v>
          </cell>
          <cell r="V431">
            <v>19442.009999999998</v>
          </cell>
          <cell r="W431">
            <v>7630.15</v>
          </cell>
          <cell r="X431">
            <v>69.05</v>
          </cell>
          <cell r="Y431">
            <v>1010</v>
          </cell>
          <cell r="Z431">
            <v>1320</v>
          </cell>
          <cell r="AA431">
            <v>12886.13</v>
          </cell>
          <cell r="AB431">
            <v>5775.2</v>
          </cell>
          <cell r="AC431">
            <v>42369.839800000002</v>
          </cell>
          <cell r="AE431">
            <v>74.400000000000006</v>
          </cell>
          <cell r="AF431">
            <v>757.68</v>
          </cell>
          <cell r="AG431">
            <v>4872</v>
          </cell>
          <cell r="AH431">
            <v>870</v>
          </cell>
          <cell r="AI431">
            <v>1590</v>
          </cell>
          <cell r="AJ431">
            <v>606.99</v>
          </cell>
          <cell r="AL431">
            <v>1387.17</v>
          </cell>
          <cell r="AP431">
            <v>2831.5259999999998</v>
          </cell>
          <cell r="AV431">
            <v>47.72</v>
          </cell>
          <cell r="AZ431">
            <v>260.5</v>
          </cell>
          <cell r="BE431">
            <v>44050</v>
          </cell>
          <cell r="BG431">
            <v>52.65</v>
          </cell>
          <cell r="BH431">
            <v>265.73</v>
          </cell>
          <cell r="BY431">
            <v>461.34</v>
          </cell>
          <cell r="CD431">
            <v>363.54</v>
          </cell>
          <cell r="CE431">
            <v>360.15199999999999</v>
          </cell>
          <cell r="CF431">
            <v>357.72</v>
          </cell>
          <cell r="CG431">
            <v>1285</v>
          </cell>
          <cell r="CH431">
            <v>1030</v>
          </cell>
          <cell r="CI431">
            <v>118</v>
          </cell>
          <cell r="CJ431">
            <v>305</v>
          </cell>
          <cell r="CK431">
            <v>1081</v>
          </cell>
          <cell r="CM431">
            <v>190.18</v>
          </cell>
          <cell r="CN431">
            <v>14.59</v>
          </cell>
          <cell r="CO431" t="str">
            <v>#N/A N/A</v>
          </cell>
          <cell r="CQ431">
            <v>7.21</v>
          </cell>
          <cell r="CR431">
            <v>85</v>
          </cell>
          <cell r="CS431">
            <v>1897</v>
          </cell>
          <cell r="CU431">
            <v>1070</v>
          </cell>
          <cell r="CW431">
            <v>46.341463414634148</v>
          </cell>
          <cell r="CX431">
            <v>685.98399999999992</v>
          </cell>
          <cell r="CZ431">
            <v>310.11</v>
          </cell>
          <cell r="DA431">
            <v>3653.5</v>
          </cell>
          <cell r="DB431">
            <v>12.44</v>
          </cell>
          <cell r="DC431">
            <v>351.1</v>
          </cell>
          <cell r="DD431">
            <v>115.15</v>
          </cell>
        </row>
        <row r="432">
          <cell r="A432">
            <v>39145</v>
          </cell>
          <cell r="C432">
            <v>76</v>
          </cell>
          <cell r="D432" t="str">
            <v>#N/A N/A</v>
          </cell>
          <cell r="E432">
            <v>11.53</v>
          </cell>
          <cell r="L432">
            <v>1414.47</v>
          </cell>
          <cell r="M432">
            <v>2368</v>
          </cell>
          <cell r="N432">
            <v>6116.2</v>
          </cell>
          <cell r="O432">
            <v>4293</v>
          </cell>
          <cell r="Q432">
            <v>555</v>
          </cell>
          <cell r="R432">
            <v>421</v>
          </cell>
          <cell r="S432">
            <v>473.75</v>
          </cell>
          <cell r="T432">
            <v>753.5</v>
          </cell>
          <cell r="U432">
            <v>17217.93</v>
          </cell>
          <cell r="V432">
            <v>19442.009999999998</v>
          </cell>
          <cell r="W432">
            <v>7630.15</v>
          </cell>
          <cell r="X432">
            <v>69.05</v>
          </cell>
          <cell r="Y432">
            <v>1010</v>
          </cell>
          <cell r="Z432">
            <v>1320</v>
          </cell>
          <cell r="AA432">
            <v>12886.13</v>
          </cell>
          <cell r="AB432">
            <v>5775.2</v>
          </cell>
          <cell r="AC432">
            <v>42369.839800000002</v>
          </cell>
          <cell r="AE432">
            <v>74.400000000000006</v>
          </cell>
          <cell r="AF432">
            <v>757.68</v>
          </cell>
          <cell r="AG432">
            <v>4872</v>
          </cell>
          <cell r="AH432">
            <v>870</v>
          </cell>
          <cell r="AI432">
            <v>1590</v>
          </cell>
          <cell r="AJ432">
            <v>606.99</v>
          </cell>
          <cell r="AL432">
            <v>1387.17</v>
          </cell>
          <cell r="AP432">
            <v>2831.5259999999998</v>
          </cell>
          <cell r="AV432">
            <v>47.72</v>
          </cell>
          <cell r="AZ432">
            <v>260.5</v>
          </cell>
          <cell r="BE432">
            <v>44050</v>
          </cell>
          <cell r="BG432">
            <v>52.65</v>
          </cell>
          <cell r="BH432">
            <v>265.73</v>
          </cell>
          <cell r="BY432">
            <v>461.34</v>
          </cell>
          <cell r="CD432">
            <v>363.54</v>
          </cell>
          <cell r="CE432">
            <v>360.15199999999999</v>
          </cell>
          <cell r="CF432">
            <v>357.72</v>
          </cell>
          <cell r="CG432">
            <v>1285</v>
          </cell>
          <cell r="CH432">
            <v>1030</v>
          </cell>
          <cell r="CI432">
            <v>118</v>
          </cell>
          <cell r="CJ432">
            <v>305</v>
          </cell>
          <cell r="CK432">
            <v>1081</v>
          </cell>
          <cell r="CM432">
            <v>190.18</v>
          </cell>
          <cell r="CN432">
            <v>14.59</v>
          </cell>
          <cell r="CO432" t="str">
            <v>#N/A N/A</v>
          </cell>
          <cell r="CQ432">
            <v>7.21</v>
          </cell>
          <cell r="CR432">
            <v>85</v>
          </cell>
          <cell r="CS432">
            <v>1897</v>
          </cell>
          <cell r="CU432">
            <v>1070</v>
          </cell>
          <cell r="CW432">
            <v>46.341463414634148</v>
          </cell>
          <cell r="CX432">
            <v>685.98399999999992</v>
          </cell>
          <cell r="CZ432">
            <v>310.11</v>
          </cell>
          <cell r="DA432">
            <v>3653.5</v>
          </cell>
          <cell r="DB432">
            <v>12.44</v>
          </cell>
          <cell r="DC432">
            <v>351.1</v>
          </cell>
          <cell r="DD432">
            <v>115.15</v>
          </cell>
        </row>
        <row r="433">
          <cell r="A433">
            <v>39146</v>
          </cell>
          <cell r="C433">
            <v>76</v>
          </cell>
          <cell r="D433" t="str">
            <v>#N/A N/A</v>
          </cell>
          <cell r="E433">
            <v>11.85</v>
          </cell>
          <cell r="L433">
            <v>1376.15</v>
          </cell>
          <cell r="M433">
            <v>2340.6799999999998</v>
          </cell>
          <cell r="N433">
            <v>6058.7</v>
          </cell>
          <cell r="O433">
            <v>4295</v>
          </cell>
          <cell r="Q433">
            <v>555</v>
          </cell>
          <cell r="R433">
            <v>426.75</v>
          </cell>
          <cell r="S433">
            <v>480.75</v>
          </cell>
          <cell r="T433">
            <v>750.5</v>
          </cell>
          <cell r="U433">
            <v>16642.25</v>
          </cell>
          <cell r="V433">
            <v>18664.88</v>
          </cell>
          <cell r="W433">
            <v>7344.56</v>
          </cell>
          <cell r="X433">
            <v>70.05</v>
          </cell>
          <cell r="Y433">
            <v>1010</v>
          </cell>
          <cell r="Z433">
            <v>1320</v>
          </cell>
          <cell r="AA433">
            <v>12415.04</v>
          </cell>
          <cell r="AB433">
            <v>5642.4</v>
          </cell>
          <cell r="AC433">
            <v>41179.160199999998</v>
          </cell>
          <cell r="AE433">
            <v>73.349999999999994</v>
          </cell>
          <cell r="AF433">
            <v>757.68</v>
          </cell>
          <cell r="AG433">
            <v>4908</v>
          </cell>
          <cell r="AH433">
            <v>870</v>
          </cell>
          <cell r="AI433">
            <v>1590</v>
          </cell>
          <cell r="AJ433">
            <v>594.03</v>
          </cell>
          <cell r="AL433">
            <v>1374.12</v>
          </cell>
          <cell r="AP433">
            <v>2785.306</v>
          </cell>
          <cell r="AV433">
            <v>47.03</v>
          </cell>
          <cell r="AZ433">
            <v>250.5</v>
          </cell>
          <cell r="BE433">
            <v>42100</v>
          </cell>
          <cell r="BG433">
            <v>52.65</v>
          </cell>
          <cell r="BH433">
            <v>256.7</v>
          </cell>
          <cell r="BY433">
            <v>457.9</v>
          </cell>
          <cell r="CD433">
            <v>357.31</v>
          </cell>
          <cell r="CE433">
            <v>354.64699999999999</v>
          </cell>
          <cell r="CF433">
            <v>342.19</v>
          </cell>
          <cell r="CG433">
            <v>1285</v>
          </cell>
          <cell r="CH433">
            <v>1030</v>
          </cell>
          <cell r="CI433">
            <v>118</v>
          </cell>
          <cell r="CJ433">
            <v>305</v>
          </cell>
          <cell r="CK433">
            <v>1069</v>
          </cell>
          <cell r="CM433">
            <v>184.47</v>
          </cell>
          <cell r="CN433">
            <v>13.98</v>
          </cell>
          <cell r="CO433" t="str">
            <v>#N/A N/A</v>
          </cell>
          <cell r="CQ433">
            <v>7.36</v>
          </cell>
          <cell r="CR433">
            <v>85</v>
          </cell>
          <cell r="CS433">
            <v>1849</v>
          </cell>
          <cell r="CU433">
            <v>1070</v>
          </cell>
          <cell r="CW433">
            <v>45.884146341463421</v>
          </cell>
          <cell r="CX433">
            <v>680.68</v>
          </cell>
          <cell r="CZ433">
            <v>304.8</v>
          </cell>
          <cell r="DA433">
            <v>3556.2</v>
          </cell>
          <cell r="DB433">
            <v>11.73</v>
          </cell>
          <cell r="DC433">
            <v>351.1</v>
          </cell>
          <cell r="DD433">
            <v>111.5</v>
          </cell>
        </row>
        <row r="434">
          <cell r="A434">
            <v>39147</v>
          </cell>
          <cell r="C434">
            <v>67</v>
          </cell>
          <cell r="D434" t="str">
            <v>#N/A N/A</v>
          </cell>
          <cell r="E434">
            <v>11.82</v>
          </cell>
          <cell r="L434">
            <v>1402.93</v>
          </cell>
          <cell r="M434">
            <v>2385.14</v>
          </cell>
          <cell r="N434">
            <v>6138.5</v>
          </cell>
          <cell r="O434">
            <v>4295</v>
          </cell>
          <cell r="Q434">
            <v>555</v>
          </cell>
          <cell r="R434">
            <v>422</v>
          </cell>
          <cell r="S434">
            <v>473</v>
          </cell>
          <cell r="T434">
            <v>747.75</v>
          </cell>
          <cell r="U434">
            <v>16844.5</v>
          </cell>
          <cell r="V434">
            <v>19058.560000000001</v>
          </cell>
          <cell r="W434">
            <v>7451.06</v>
          </cell>
          <cell r="X434">
            <v>68.75</v>
          </cell>
          <cell r="Y434">
            <v>1010</v>
          </cell>
          <cell r="Z434">
            <v>1320</v>
          </cell>
          <cell r="AA434">
            <v>12697.09</v>
          </cell>
          <cell r="AB434">
            <v>5749.9</v>
          </cell>
          <cell r="AC434">
            <v>43218.398399999998</v>
          </cell>
          <cell r="AE434">
            <v>72.8</v>
          </cell>
          <cell r="AF434">
            <v>758.93</v>
          </cell>
          <cell r="AG434">
            <v>4921</v>
          </cell>
          <cell r="AH434">
            <v>870</v>
          </cell>
          <cell r="AI434">
            <v>1590</v>
          </cell>
          <cell r="AJ434">
            <v>601.96</v>
          </cell>
          <cell r="AL434">
            <v>1395.41</v>
          </cell>
          <cell r="AP434">
            <v>2840.1750000000002</v>
          </cell>
          <cell r="AV434">
            <v>49.15</v>
          </cell>
          <cell r="AZ434">
            <v>259.3</v>
          </cell>
          <cell r="BE434">
            <v>43025</v>
          </cell>
          <cell r="BG434">
            <v>52.65</v>
          </cell>
          <cell r="BH434">
            <v>260.58</v>
          </cell>
          <cell r="BY434">
            <v>465.52</v>
          </cell>
          <cell r="CD434">
            <v>362.6</v>
          </cell>
          <cell r="CE434">
            <v>359.608</v>
          </cell>
          <cell r="CF434">
            <v>349.63</v>
          </cell>
          <cell r="CG434">
            <v>1285</v>
          </cell>
          <cell r="CH434">
            <v>1030</v>
          </cell>
          <cell r="CI434">
            <v>118</v>
          </cell>
          <cell r="CJ434">
            <v>305</v>
          </cell>
          <cell r="CK434">
            <v>1064</v>
          </cell>
          <cell r="CM434">
            <v>185.33</v>
          </cell>
          <cell r="CN434">
            <v>13.87</v>
          </cell>
          <cell r="CO434" t="str">
            <v>#N/A N/A</v>
          </cell>
          <cell r="CQ434">
            <v>7.54</v>
          </cell>
          <cell r="CR434">
            <v>85</v>
          </cell>
          <cell r="CS434">
            <v>1852.5</v>
          </cell>
          <cell r="CU434">
            <v>1070</v>
          </cell>
          <cell r="CW434">
            <v>46.189024390243908</v>
          </cell>
          <cell r="CX434">
            <v>681.56399999999996</v>
          </cell>
          <cell r="CZ434">
            <v>306.89999999999998</v>
          </cell>
          <cell r="DA434">
            <v>3607.5</v>
          </cell>
          <cell r="DB434">
            <v>11.88</v>
          </cell>
          <cell r="DC434">
            <v>351.1</v>
          </cell>
          <cell r="DD434">
            <v>113</v>
          </cell>
        </row>
        <row r="435">
          <cell r="A435">
            <v>39148</v>
          </cell>
          <cell r="C435">
            <v>67</v>
          </cell>
          <cell r="D435" t="str">
            <v>#N/A N/A</v>
          </cell>
          <cell r="E435">
            <v>11.56</v>
          </cell>
          <cell r="L435">
            <v>1410.95</v>
          </cell>
          <cell r="M435">
            <v>2374.64</v>
          </cell>
          <cell r="N435">
            <v>6156.5</v>
          </cell>
          <cell r="O435">
            <v>4295</v>
          </cell>
          <cell r="Q435">
            <v>555</v>
          </cell>
          <cell r="R435">
            <v>424.5</v>
          </cell>
          <cell r="S435">
            <v>478</v>
          </cell>
          <cell r="T435">
            <v>757.25</v>
          </cell>
          <cell r="U435">
            <v>16764.62</v>
          </cell>
          <cell r="V435">
            <v>18918.64</v>
          </cell>
          <cell r="W435">
            <v>7480.89</v>
          </cell>
          <cell r="X435">
            <v>68.650000000000006</v>
          </cell>
          <cell r="Y435">
            <v>1010</v>
          </cell>
          <cell r="Z435">
            <v>1320</v>
          </cell>
          <cell r="AA435">
            <v>12579.75</v>
          </cell>
          <cell r="AB435">
            <v>5803.3</v>
          </cell>
          <cell r="AC435">
            <v>42667.179700000001</v>
          </cell>
          <cell r="AE435">
            <v>73.849999999999994</v>
          </cell>
          <cell r="AF435">
            <v>758.93</v>
          </cell>
          <cell r="AG435">
            <v>4937</v>
          </cell>
          <cell r="AH435">
            <v>870</v>
          </cell>
          <cell r="AI435">
            <v>1590</v>
          </cell>
          <cell r="AJ435">
            <v>606.19000000000005</v>
          </cell>
          <cell r="AL435">
            <v>1391.97</v>
          </cell>
          <cell r="AP435">
            <v>2896.5940000000001</v>
          </cell>
          <cell r="AV435">
            <v>48.6</v>
          </cell>
          <cell r="AZ435">
            <v>249.3</v>
          </cell>
          <cell r="BE435">
            <v>44505</v>
          </cell>
          <cell r="BG435">
            <v>52.65</v>
          </cell>
          <cell r="BH435">
            <v>263.5</v>
          </cell>
          <cell r="BY435">
            <v>463.42</v>
          </cell>
          <cell r="CD435">
            <v>363.23</v>
          </cell>
          <cell r="CE435">
            <v>360.23200000000003</v>
          </cell>
          <cell r="CF435">
            <v>350.68</v>
          </cell>
          <cell r="CG435">
            <v>1285</v>
          </cell>
          <cell r="CH435">
            <v>1030</v>
          </cell>
          <cell r="CI435">
            <v>115</v>
          </cell>
          <cell r="CJ435">
            <v>305</v>
          </cell>
          <cell r="CK435">
            <v>1063</v>
          </cell>
          <cell r="CM435">
            <v>189.55</v>
          </cell>
          <cell r="CN435">
            <v>14.22</v>
          </cell>
          <cell r="CO435" t="str">
            <v>#N/A N/A</v>
          </cell>
          <cell r="CQ435">
            <v>7.48</v>
          </cell>
          <cell r="CR435">
            <v>85</v>
          </cell>
          <cell r="CS435">
            <v>1879</v>
          </cell>
          <cell r="CU435">
            <v>1070</v>
          </cell>
          <cell r="CW435">
            <v>46.570121951219512</v>
          </cell>
          <cell r="CX435">
            <v>683.64400000000001</v>
          </cell>
          <cell r="CZ435">
            <v>310.67</v>
          </cell>
          <cell r="DA435">
            <v>3693.3</v>
          </cell>
          <cell r="DB435">
            <v>11.84</v>
          </cell>
          <cell r="DC435">
            <v>351.1</v>
          </cell>
          <cell r="DD435">
            <v>112.2</v>
          </cell>
        </row>
        <row r="436">
          <cell r="A436">
            <v>39149</v>
          </cell>
          <cell r="C436">
            <v>67</v>
          </cell>
          <cell r="D436" t="str">
            <v>#N/A N/A</v>
          </cell>
          <cell r="E436">
            <v>11.82</v>
          </cell>
          <cell r="L436">
            <v>1423.89</v>
          </cell>
          <cell r="M436">
            <v>2387.73</v>
          </cell>
          <cell r="N436">
            <v>6227.7</v>
          </cell>
          <cell r="O436">
            <v>4295</v>
          </cell>
          <cell r="Q436">
            <v>555</v>
          </cell>
          <cell r="R436">
            <v>421.5</v>
          </cell>
          <cell r="S436">
            <v>475.5</v>
          </cell>
          <cell r="T436">
            <v>759</v>
          </cell>
          <cell r="U436">
            <v>17090.310000000001</v>
          </cell>
          <cell r="V436">
            <v>19175.169999999998</v>
          </cell>
          <cell r="W436">
            <v>7573.87</v>
          </cell>
          <cell r="X436">
            <v>70.95</v>
          </cell>
          <cell r="Y436">
            <v>1010</v>
          </cell>
          <cell r="Z436">
            <v>1320</v>
          </cell>
          <cell r="AA436">
            <v>13049.35</v>
          </cell>
          <cell r="AB436">
            <v>5799.6</v>
          </cell>
          <cell r="AC436">
            <v>43465.828099999999</v>
          </cell>
          <cell r="AE436">
            <v>75.45</v>
          </cell>
          <cell r="AF436">
            <v>758.93</v>
          </cell>
          <cell r="AG436">
            <v>4963</v>
          </cell>
          <cell r="AH436">
            <v>870</v>
          </cell>
          <cell r="AI436">
            <v>1590</v>
          </cell>
          <cell r="AJ436">
            <v>611.69000000000005</v>
          </cell>
          <cell r="AL436">
            <v>1401.89</v>
          </cell>
          <cell r="AP436">
            <v>2928.0149999999999</v>
          </cell>
          <cell r="AV436">
            <v>49.69</v>
          </cell>
          <cell r="AZ436">
            <v>255.2</v>
          </cell>
          <cell r="BE436">
            <v>45425</v>
          </cell>
          <cell r="BG436">
            <v>52.65</v>
          </cell>
          <cell r="BH436">
            <v>266.68</v>
          </cell>
          <cell r="BY436">
            <v>471.75</v>
          </cell>
          <cell r="CD436">
            <v>366.77</v>
          </cell>
          <cell r="CE436">
            <v>363.45100000000002</v>
          </cell>
          <cell r="CF436">
            <v>357.38</v>
          </cell>
          <cell r="CG436">
            <v>1285</v>
          </cell>
          <cell r="CH436">
            <v>1030</v>
          </cell>
          <cell r="CI436">
            <v>115</v>
          </cell>
          <cell r="CJ436">
            <v>305</v>
          </cell>
          <cell r="CK436">
            <v>1065</v>
          </cell>
          <cell r="CM436">
            <v>192.61</v>
          </cell>
          <cell r="CN436">
            <v>14.82</v>
          </cell>
          <cell r="CO436" t="str">
            <v>#N/A N/A</v>
          </cell>
          <cell r="CQ436">
            <v>7.15</v>
          </cell>
          <cell r="CR436">
            <v>85</v>
          </cell>
          <cell r="CS436">
            <v>1869</v>
          </cell>
          <cell r="CU436">
            <v>1070</v>
          </cell>
          <cell r="CW436">
            <v>46.875</v>
          </cell>
          <cell r="CX436">
            <v>682.81200000000001</v>
          </cell>
          <cell r="CZ436">
            <v>311.52999999999997</v>
          </cell>
          <cell r="DA436">
            <v>3749.7</v>
          </cell>
          <cell r="DB436">
            <v>11.81</v>
          </cell>
          <cell r="DC436">
            <v>351.1</v>
          </cell>
          <cell r="DD436">
            <v>112.4</v>
          </cell>
        </row>
        <row r="437">
          <cell r="A437">
            <v>39150</v>
          </cell>
          <cell r="C437">
            <v>67</v>
          </cell>
          <cell r="D437" t="str">
            <v>#N/A N/A</v>
          </cell>
          <cell r="E437">
            <v>11.78</v>
          </cell>
          <cell r="L437">
            <v>1423.58</v>
          </cell>
          <cell r="M437">
            <v>2387.5500000000002</v>
          </cell>
          <cell r="N437">
            <v>6245.2</v>
          </cell>
          <cell r="O437">
            <v>4288</v>
          </cell>
          <cell r="Q437">
            <v>555</v>
          </cell>
          <cell r="R437">
            <v>417.5</v>
          </cell>
          <cell r="S437">
            <v>476.5</v>
          </cell>
          <cell r="T437">
            <v>759.75</v>
          </cell>
          <cell r="U437">
            <v>17164.04</v>
          </cell>
          <cell r="V437">
            <v>19134.88</v>
          </cell>
          <cell r="W437">
            <v>7568.2</v>
          </cell>
          <cell r="X437">
            <v>71.150000000000006</v>
          </cell>
          <cell r="Y437">
            <v>1000</v>
          </cell>
          <cell r="Z437">
            <v>1340</v>
          </cell>
          <cell r="AA437">
            <v>12884.99</v>
          </cell>
          <cell r="AB437">
            <v>5810.2</v>
          </cell>
          <cell r="AC437">
            <v>44133.421900000001</v>
          </cell>
          <cell r="AE437">
            <v>75.05</v>
          </cell>
          <cell r="AF437">
            <v>758.93</v>
          </cell>
          <cell r="AG437">
            <v>5000</v>
          </cell>
          <cell r="AH437">
            <v>870</v>
          </cell>
          <cell r="AI437">
            <v>1610</v>
          </cell>
          <cell r="AJ437">
            <v>613.41</v>
          </cell>
          <cell r="AL437">
            <v>1402.85</v>
          </cell>
          <cell r="AP437">
            <v>2937.91</v>
          </cell>
          <cell r="AV437">
            <v>49.32</v>
          </cell>
          <cell r="AZ437">
            <v>256.2</v>
          </cell>
          <cell r="BE437">
            <v>45050</v>
          </cell>
          <cell r="BG437">
            <v>54.25</v>
          </cell>
          <cell r="BH437">
            <v>266.60000000000002</v>
          </cell>
          <cell r="BY437">
            <v>475.05</v>
          </cell>
          <cell r="CD437">
            <v>367.38</v>
          </cell>
          <cell r="CE437">
            <v>363.87400000000002</v>
          </cell>
          <cell r="CF437">
            <v>357.45</v>
          </cell>
          <cell r="CG437">
            <v>1290</v>
          </cell>
          <cell r="CH437">
            <v>1040</v>
          </cell>
          <cell r="CI437">
            <v>115</v>
          </cell>
          <cell r="CJ437">
            <v>305</v>
          </cell>
          <cell r="CK437">
            <v>1081</v>
          </cell>
          <cell r="CM437">
            <v>190.21</v>
          </cell>
          <cell r="CN437">
            <v>14.83</v>
          </cell>
          <cell r="CO437" t="str">
            <v>#N/A N/A</v>
          </cell>
          <cell r="CQ437">
            <v>7.06</v>
          </cell>
          <cell r="CR437">
            <v>85</v>
          </cell>
          <cell r="CS437">
            <v>1798.5</v>
          </cell>
          <cell r="CU437">
            <v>1030</v>
          </cell>
          <cell r="CW437">
            <v>46.265243902439025</v>
          </cell>
          <cell r="CX437">
            <v>681.87600000000009</v>
          </cell>
          <cell r="CZ437">
            <v>308.06</v>
          </cell>
          <cell r="DA437">
            <v>3680.7</v>
          </cell>
          <cell r="DB437">
            <v>11.63</v>
          </cell>
          <cell r="DC437">
            <v>351.1</v>
          </cell>
          <cell r="DD437">
            <v>112.5</v>
          </cell>
        </row>
        <row r="438">
          <cell r="A438">
            <v>39151</v>
          </cell>
          <cell r="C438">
            <v>67</v>
          </cell>
          <cell r="D438" t="str">
            <v>#N/A N/A</v>
          </cell>
          <cell r="E438">
            <v>11.78</v>
          </cell>
          <cell r="L438">
            <v>1423.58</v>
          </cell>
          <cell r="M438">
            <v>2387.5500000000002</v>
          </cell>
          <cell r="N438">
            <v>6245.2</v>
          </cell>
          <cell r="O438">
            <v>4288</v>
          </cell>
          <cell r="Q438">
            <v>555</v>
          </cell>
          <cell r="R438">
            <v>417.5</v>
          </cell>
          <cell r="S438">
            <v>476.5</v>
          </cell>
          <cell r="T438">
            <v>759.75</v>
          </cell>
          <cell r="U438">
            <v>17164.04</v>
          </cell>
          <cell r="V438">
            <v>19134.88</v>
          </cell>
          <cell r="W438">
            <v>7568.2</v>
          </cell>
          <cell r="X438">
            <v>71.150000000000006</v>
          </cell>
          <cell r="Y438">
            <v>1000</v>
          </cell>
          <cell r="Z438">
            <v>1340</v>
          </cell>
          <cell r="AA438">
            <v>12884.99</v>
          </cell>
          <cell r="AB438">
            <v>5810.2</v>
          </cell>
          <cell r="AC438">
            <v>44133.421900000001</v>
          </cell>
          <cell r="AE438">
            <v>75.05</v>
          </cell>
          <cell r="AF438">
            <v>758.93</v>
          </cell>
          <cell r="AG438">
            <v>5000</v>
          </cell>
          <cell r="AH438">
            <v>870</v>
          </cell>
          <cell r="AI438">
            <v>1610</v>
          </cell>
          <cell r="AJ438">
            <v>613.41</v>
          </cell>
          <cell r="AL438">
            <v>1402.85</v>
          </cell>
          <cell r="AP438">
            <v>2937.91</v>
          </cell>
          <cell r="AV438">
            <v>49.32</v>
          </cell>
          <cell r="AZ438">
            <v>256.2</v>
          </cell>
          <cell r="BE438">
            <v>45050</v>
          </cell>
          <cell r="BG438">
            <v>54.25</v>
          </cell>
          <cell r="BH438">
            <v>266.60000000000002</v>
          </cell>
          <cell r="BY438">
            <v>475.05</v>
          </cell>
          <cell r="CD438">
            <v>367.38</v>
          </cell>
          <cell r="CE438">
            <v>363.87400000000002</v>
          </cell>
          <cell r="CF438">
            <v>357.45</v>
          </cell>
          <cell r="CG438">
            <v>1290</v>
          </cell>
          <cell r="CH438">
            <v>1040</v>
          </cell>
          <cell r="CI438">
            <v>115</v>
          </cell>
          <cell r="CJ438">
            <v>305</v>
          </cell>
          <cell r="CK438">
            <v>1081</v>
          </cell>
          <cell r="CM438">
            <v>190.21</v>
          </cell>
          <cell r="CN438">
            <v>14.83</v>
          </cell>
          <cell r="CO438" t="str">
            <v>#N/A N/A</v>
          </cell>
          <cell r="CQ438">
            <v>7.06</v>
          </cell>
          <cell r="CR438">
            <v>85</v>
          </cell>
          <cell r="CS438">
            <v>1798.5</v>
          </cell>
          <cell r="CU438">
            <v>1030</v>
          </cell>
          <cell r="CW438">
            <v>46.265243902439025</v>
          </cell>
          <cell r="CX438">
            <v>681.87600000000009</v>
          </cell>
          <cell r="CZ438">
            <v>308.06</v>
          </cell>
          <cell r="DA438">
            <v>3680.7</v>
          </cell>
          <cell r="DB438">
            <v>11.63</v>
          </cell>
          <cell r="DC438">
            <v>351.1</v>
          </cell>
          <cell r="DD438">
            <v>112.5</v>
          </cell>
        </row>
        <row r="439">
          <cell r="A439">
            <v>39152</v>
          </cell>
          <cell r="C439">
            <v>67</v>
          </cell>
          <cell r="D439" t="str">
            <v>#N/A N/A</v>
          </cell>
          <cell r="E439">
            <v>11.78</v>
          </cell>
          <cell r="L439">
            <v>1423.58</v>
          </cell>
          <cell r="M439">
            <v>2387.5500000000002</v>
          </cell>
          <cell r="N439">
            <v>6245.2</v>
          </cell>
          <cell r="O439">
            <v>4288</v>
          </cell>
          <cell r="Q439">
            <v>555</v>
          </cell>
          <cell r="R439">
            <v>417.5</v>
          </cell>
          <cell r="S439">
            <v>476.5</v>
          </cell>
          <cell r="T439">
            <v>759.75</v>
          </cell>
          <cell r="U439">
            <v>17164.04</v>
          </cell>
          <cell r="V439">
            <v>19134.88</v>
          </cell>
          <cell r="W439">
            <v>7568.2</v>
          </cell>
          <cell r="X439">
            <v>71.150000000000006</v>
          </cell>
          <cell r="Y439">
            <v>1000</v>
          </cell>
          <cell r="Z439">
            <v>1340</v>
          </cell>
          <cell r="AA439">
            <v>12884.99</v>
          </cell>
          <cell r="AB439">
            <v>5810.2</v>
          </cell>
          <cell r="AC439">
            <v>44133.421900000001</v>
          </cell>
          <cell r="AE439">
            <v>75.05</v>
          </cell>
          <cell r="AF439">
            <v>758.93</v>
          </cell>
          <cell r="AG439">
            <v>5000</v>
          </cell>
          <cell r="AH439">
            <v>870</v>
          </cell>
          <cell r="AI439">
            <v>1610</v>
          </cell>
          <cell r="AJ439">
            <v>613.41</v>
          </cell>
          <cell r="AL439">
            <v>1402.85</v>
          </cell>
          <cell r="AP439">
            <v>2937.91</v>
          </cell>
          <cell r="AV439">
            <v>49.32</v>
          </cell>
          <cell r="AZ439">
            <v>256.2</v>
          </cell>
          <cell r="BE439">
            <v>45050</v>
          </cell>
          <cell r="BG439">
            <v>54.25</v>
          </cell>
          <cell r="BH439">
            <v>266.60000000000002</v>
          </cell>
          <cell r="BY439">
            <v>475.05</v>
          </cell>
          <cell r="CD439">
            <v>367.38</v>
          </cell>
          <cell r="CE439">
            <v>363.87400000000002</v>
          </cell>
          <cell r="CF439">
            <v>357.45</v>
          </cell>
          <cell r="CG439">
            <v>1290</v>
          </cell>
          <cell r="CH439">
            <v>1040</v>
          </cell>
          <cell r="CI439">
            <v>115</v>
          </cell>
          <cell r="CJ439">
            <v>305</v>
          </cell>
          <cell r="CK439">
            <v>1081</v>
          </cell>
          <cell r="CM439">
            <v>190.21</v>
          </cell>
          <cell r="CN439">
            <v>14.83</v>
          </cell>
          <cell r="CO439" t="str">
            <v>#N/A N/A</v>
          </cell>
          <cell r="CQ439">
            <v>7.06</v>
          </cell>
          <cell r="CR439">
            <v>85</v>
          </cell>
          <cell r="CS439">
            <v>1798.5</v>
          </cell>
          <cell r="CU439">
            <v>1030</v>
          </cell>
          <cell r="CW439">
            <v>46.265243902439025</v>
          </cell>
          <cell r="CX439">
            <v>681.87600000000009</v>
          </cell>
          <cell r="CZ439">
            <v>308.06</v>
          </cell>
          <cell r="DA439">
            <v>3680.7</v>
          </cell>
          <cell r="DB439">
            <v>11.63</v>
          </cell>
          <cell r="DC439">
            <v>351.1</v>
          </cell>
          <cell r="DD439">
            <v>112.5</v>
          </cell>
        </row>
        <row r="440">
          <cell r="A440">
            <v>39153</v>
          </cell>
          <cell r="C440">
            <v>67</v>
          </cell>
          <cell r="D440" t="str">
            <v>#N/A N/A</v>
          </cell>
          <cell r="E440">
            <v>11.61</v>
          </cell>
          <cell r="L440">
            <v>1441.33</v>
          </cell>
          <cell r="M440">
            <v>2402.29</v>
          </cell>
          <cell r="N440">
            <v>6233.3</v>
          </cell>
          <cell r="O440">
            <v>4283</v>
          </cell>
          <cell r="Q440">
            <v>555</v>
          </cell>
          <cell r="R440">
            <v>409.25</v>
          </cell>
          <cell r="S440">
            <v>470.75</v>
          </cell>
          <cell r="T440">
            <v>765</v>
          </cell>
          <cell r="U440">
            <v>17292.39</v>
          </cell>
          <cell r="V440">
            <v>19442.419999999998</v>
          </cell>
          <cell r="W440">
            <v>7629.15</v>
          </cell>
          <cell r="X440">
            <v>70.25</v>
          </cell>
          <cell r="Y440">
            <v>1000</v>
          </cell>
          <cell r="Z440">
            <v>1340</v>
          </cell>
          <cell r="AA440">
            <v>12902.63</v>
          </cell>
          <cell r="AB440">
            <v>5868.1</v>
          </cell>
          <cell r="AC440">
            <v>44249.230499999998</v>
          </cell>
          <cell r="AE440">
            <v>74.05</v>
          </cell>
          <cell r="AF440">
            <v>758.93</v>
          </cell>
          <cell r="AG440">
            <v>5041</v>
          </cell>
          <cell r="AH440">
            <v>870</v>
          </cell>
          <cell r="AI440">
            <v>1610</v>
          </cell>
          <cell r="AJ440">
            <v>619.62</v>
          </cell>
          <cell r="AL440">
            <v>1406.6</v>
          </cell>
          <cell r="AP440">
            <v>2954.9140000000002</v>
          </cell>
          <cell r="AV440">
            <v>50.32</v>
          </cell>
          <cell r="AZ440">
            <v>258</v>
          </cell>
          <cell r="BE440">
            <v>46725</v>
          </cell>
          <cell r="BG440">
            <v>54.25</v>
          </cell>
          <cell r="BH440">
            <v>268.60000000000002</v>
          </cell>
          <cell r="BY440">
            <v>479.3</v>
          </cell>
          <cell r="CD440">
            <v>368.77</v>
          </cell>
          <cell r="CE440">
            <v>365.15</v>
          </cell>
          <cell r="CF440">
            <v>362.09</v>
          </cell>
          <cell r="CG440">
            <v>1290</v>
          </cell>
          <cell r="CH440">
            <v>1040</v>
          </cell>
          <cell r="CI440">
            <v>115</v>
          </cell>
          <cell r="CJ440">
            <v>305</v>
          </cell>
          <cell r="CK440">
            <v>1065</v>
          </cell>
          <cell r="CM440">
            <v>191.05</v>
          </cell>
          <cell r="CN440">
            <v>14.88</v>
          </cell>
          <cell r="CO440" t="str">
            <v>#N/A N/A</v>
          </cell>
          <cell r="CQ440">
            <v>6.81</v>
          </cell>
          <cell r="CR440">
            <v>85</v>
          </cell>
          <cell r="CS440">
            <v>1946</v>
          </cell>
          <cell r="CU440">
            <v>1030</v>
          </cell>
          <cell r="CW440">
            <v>45.960365853658537</v>
          </cell>
          <cell r="CX440">
            <v>685.62</v>
          </cell>
          <cell r="CZ440">
            <v>306.35000000000002</v>
          </cell>
          <cell r="DA440">
            <v>3773.8</v>
          </cell>
          <cell r="DB440">
            <v>11.58</v>
          </cell>
          <cell r="DC440">
            <v>351.1</v>
          </cell>
          <cell r="DD440">
            <v>111.8</v>
          </cell>
        </row>
        <row r="441">
          <cell r="A441">
            <v>39154</v>
          </cell>
          <cell r="C441">
            <v>67</v>
          </cell>
          <cell r="D441" t="str">
            <v>#N/A N/A</v>
          </cell>
          <cell r="E441">
            <v>11.37</v>
          </cell>
          <cell r="L441">
            <v>1436.05</v>
          </cell>
          <cell r="M441">
            <v>2350.5700000000002</v>
          </cell>
          <cell r="N441">
            <v>6161.2</v>
          </cell>
          <cell r="O441">
            <v>4283</v>
          </cell>
          <cell r="Q441">
            <v>555</v>
          </cell>
          <cell r="R441">
            <v>406.75</v>
          </cell>
          <cell r="S441">
            <v>466.5</v>
          </cell>
          <cell r="T441">
            <v>755.5</v>
          </cell>
          <cell r="U441">
            <v>17178.84</v>
          </cell>
          <cell r="V441">
            <v>19333.14</v>
          </cell>
          <cell r="W441">
            <v>7684</v>
          </cell>
          <cell r="X441">
            <v>70.75</v>
          </cell>
          <cell r="Y441">
            <v>1000</v>
          </cell>
          <cell r="Z441">
            <v>1340</v>
          </cell>
          <cell r="AA441">
            <v>12982.98</v>
          </cell>
          <cell r="AB441">
            <v>5844</v>
          </cell>
          <cell r="AC441">
            <v>42749.378900000003</v>
          </cell>
          <cell r="AE441">
            <v>73.75</v>
          </cell>
          <cell r="AF441">
            <v>759.53</v>
          </cell>
          <cell r="AG441">
            <v>5069</v>
          </cell>
          <cell r="AH441">
            <v>870</v>
          </cell>
          <cell r="AI441">
            <v>1610</v>
          </cell>
          <cell r="AJ441">
            <v>620.41</v>
          </cell>
          <cell r="AL441">
            <v>1377.95</v>
          </cell>
          <cell r="AP441">
            <v>2964.7939999999999</v>
          </cell>
          <cell r="AV441">
            <v>48.62</v>
          </cell>
          <cell r="AZ441">
            <v>260.39999999999998</v>
          </cell>
          <cell r="BE441">
            <v>46525</v>
          </cell>
          <cell r="BG441">
            <v>54.25</v>
          </cell>
          <cell r="BH441">
            <v>265.68</v>
          </cell>
          <cell r="BY441">
            <v>471.33</v>
          </cell>
          <cell r="CD441">
            <v>363.81</v>
          </cell>
          <cell r="CE441">
            <v>360.03100000000001</v>
          </cell>
          <cell r="CF441">
            <v>362.26</v>
          </cell>
          <cell r="CG441">
            <v>1290</v>
          </cell>
          <cell r="CH441">
            <v>1040</v>
          </cell>
          <cell r="CI441">
            <v>115</v>
          </cell>
          <cell r="CJ441">
            <v>305</v>
          </cell>
          <cell r="CK441">
            <v>1056</v>
          </cell>
          <cell r="CM441">
            <v>193.18</v>
          </cell>
          <cell r="CN441">
            <v>14.9</v>
          </cell>
          <cell r="CO441" t="str">
            <v>#N/A N/A</v>
          </cell>
          <cell r="CQ441">
            <v>6.78</v>
          </cell>
          <cell r="CR441">
            <v>85</v>
          </cell>
          <cell r="CS441">
            <v>1880</v>
          </cell>
          <cell r="CU441">
            <v>1030</v>
          </cell>
          <cell r="CW441">
            <v>45.960365853658537</v>
          </cell>
          <cell r="CX441">
            <v>686.86799999999994</v>
          </cell>
          <cell r="CZ441">
            <v>304.52</v>
          </cell>
          <cell r="DA441">
            <v>3737.6</v>
          </cell>
          <cell r="DB441">
            <v>11.47</v>
          </cell>
          <cell r="DC441">
            <v>351.1</v>
          </cell>
          <cell r="DD441">
            <v>111.05</v>
          </cell>
        </row>
        <row r="442">
          <cell r="A442">
            <v>39155</v>
          </cell>
          <cell r="C442">
            <v>67</v>
          </cell>
          <cell r="D442" t="str">
            <v>#N/A N/A</v>
          </cell>
          <cell r="E442">
            <v>11.46</v>
          </cell>
          <cell r="L442">
            <v>1407.37</v>
          </cell>
          <cell r="M442">
            <v>2371.7399999999998</v>
          </cell>
          <cell r="N442">
            <v>6000.7</v>
          </cell>
          <cell r="O442">
            <v>4271</v>
          </cell>
          <cell r="Q442">
            <v>555</v>
          </cell>
          <cell r="R442">
            <v>404.75</v>
          </cell>
          <cell r="S442">
            <v>463.25</v>
          </cell>
          <cell r="T442">
            <v>753.5</v>
          </cell>
          <cell r="U442">
            <v>16676.89</v>
          </cell>
          <cell r="V442">
            <v>18836.93</v>
          </cell>
          <cell r="W442">
            <v>7570.27</v>
          </cell>
          <cell r="X442">
            <v>70.150000000000006</v>
          </cell>
          <cell r="Y442">
            <v>1000</v>
          </cell>
          <cell r="Z442">
            <v>1340</v>
          </cell>
          <cell r="AA442">
            <v>12529.62</v>
          </cell>
          <cell r="AB442">
            <v>5727.3</v>
          </cell>
          <cell r="AC442">
            <v>43288.441400000003</v>
          </cell>
          <cell r="AE442">
            <v>74.45</v>
          </cell>
          <cell r="AF442">
            <v>759.53</v>
          </cell>
          <cell r="AG442">
            <v>5077</v>
          </cell>
          <cell r="AH442">
            <v>870</v>
          </cell>
          <cell r="AI442">
            <v>1610</v>
          </cell>
          <cell r="AJ442">
            <v>613.30999999999995</v>
          </cell>
          <cell r="AL442">
            <v>1387.17</v>
          </cell>
          <cell r="AP442">
            <v>2906.3339999999998</v>
          </cell>
          <cell r="AV442">
            <v>49.35</v>
          </cell>
          <cell r="AZ442">
            <v>255.5</v>
          </cell>
          <cell r="BE442">
            <v>47720</v>
          </cell>
          <cell r="BG442">
            <v>54.25</v>
          </cell>
          <cell r="BH442">
            <v>264.99</v>
          </cell>
          <cell r="BY442">
            <v>473.68</v>
          </cell>
          <cell r="CD442">
            <v>360.21</v>
          </cell>
          <cell r="CE442">
            <v>356.75900000000001</v>
          </cell>
          <cell r="CF442">
            <v>353.26</v>
          </cell>
          <cell r="CG442">
            <v>1290</v>
          </cell>
          <cell r="CH442">
            <v>1040</v>
          </cell>
          <cell r="CI442">
            <v>115</v>
          </cell>
          <cell r="CJ442">
            <v>305</v>
          </cell>
          <cell r="CK442">
            <v>1061</v>
          </cell>
          <cell r="CM442">
            <v>192.83</v>
          </cell>
          <cell r="CN442">
            <v>14.85</v>
          </cell>
          <cell r="CO442" t="str">
            <v>#N/A N/A</v>
          </cell>
          <cell r="CQ442">
            <v>6.86</v>
          </cell>
          <cell r="CR442">
            <v>90</v>
          </cell>
          <cell r="CS442">
            <v>1906</v>
          </cell>
          <cell r="CU442">
            <v>1030</v>
          </cell>
          <cell r="CW442">
            <v>46.417682926829272</v>
          </cell>
          <cell r="CX442">
            <v>687.7</v>
          </cell>
          <cell r="CZ442">
            <v>304.06</v>
          </cell>
          <cell r="DA442">
            <v>3760.2</v>
          </cell>
          <cell r="DB442">
            <v>11.45</v>
          </cell>
          <cell r="DC442">
            <v>351.1</v>
          </cell>
          <cell r="DD442">
            <v>109.85</v>
          </cell>
        </row>
        <row r="443">
          <cell r="A443">
            <v>39156</v>
          </cell>
          <cell r="C443">
            <v>67</v>
          </cell>
          <cell r="D443" t="str">
            <v>#N/A N/A</v>
          </cell>
          <cell r="E443">
            <v>11.52</v>
          </cell>
          <cell r="L443">
            <v>1426.93</v>
          </cell>
          <cell r="M443">
            <v>2378.6999999999998</v>
          </cell>
          <cell r="N443">
            <v>6133.2</v>
          </cell>
          <cell r="O443">
            <v>4255</v>
          </cell>
          <cell r="Q443">
            <v>580</v>
          </cell>
          <cell r="R443">
            <v>397.75</v>
          </cell>
          <cell r="S443">
            <v>455.5</v>
          </cell>
          <cell r="T443">
            <v>750.5</v>
          </cell>
          <cell r="U443">
            <v>16860.39</v>
          </cell>
          <cell r="V443">
            <v>18969.439999999999</v>
          </cell>
          <cell r="W443">
            <v>7695.96</v>
          </cell>
          <cell r="X443">
            <v>69.349999999999994</v>
          </cell>
          <cell r="Y443">
            <v>1000</v>
          </cell>
          <cell r="Z443">
            <v>1340</v>
          </cell>
          <cell r="AA443">
            <v>12543.85</v>
          </cell>
          <cell r="AB443">
            <v>5831.8</v>
          </cell>
          <cell r="AC443">
            <v>43278.191400000003</v>
          </cell>
          <cell r="AE443">
            <v>73.95</v>
          </cell>
          <cell r="AF443">
            <v>759.53</v>
          </cell>
          <cell r="AG443">
            <v>5071</v>
          </cell>
          <cell r="AH443">
            <v>870</v>
          </cell>
          <cell r="AI443">
            <v>1610</v>
          </cell>
          <cell r="AJ443">
            <v>624.70000000000005</v>
          </cell>
          <cell r="AL443">
            <v>1392.28</v>
          </cell>
          <cell r="AP443">
            <v>2951.6979999999999</v>
          </cell>
          <cell r="AV443">
            <v>49.66</v>
          </cell>
          <cell r="AZ443">
            <v>256.2</v>
          </cell>
          <cell r="BE443">
            <v>50075</v>
          </cell>
          <cell r="BG443">
            <v>54.25</v>
          </cell>
          <cell r="BH443">
            <v>267.92</v>
          </cell>
          <cell r="BY443">
            <v>474.3</v>
          </cell>
          <cell r="CD443">
            <v>364.03</v>
          </cell>
          <cell r="CE443">
            <v>360.45699999999999</v>
          </cell>
          <cell r="CF443">
            <v>357.74</v>
          </cell>
          <cell r="CG443">
            <v>1290</v>
          </cell>
          <cell r="CH443">
            <v>1040</v>
          </cell>
          <cell r="CI443">
            <v>115</v>
          </cell>
          <cell r="CJ443">
            <v>305</v>
          </cell>
          <cell r="CK443">
            <v>1106</v>
          </cell>
          <cell r="CM443">
            <v>188.16</v>
          </cell>
          <cell r="CN443">
            <v>15.43</v>
          </cell>
          <cell r="CO443" t="str">
            <v>#N/A N/A</v>
          </cell>
          <cell r="CQ443">
            <v>7.02</v>
          </cell>
          <cell r="CR443">
            <v>90</v>
          </cell>
          <cell r="CS443">
            <v>1945</v>
          </cell>
          <cell r="CU443">
            <v>1030</v>
          </cell>
          <cell r="CW443">
            <v>46.875</v>
          </cell>
          <cell r="CX443">
            <v>687.96</v>
          </cell>
          <cell r="CZ443">
            <v>304.11</v>
          </cell>
          <cell r="DA443">
            <v>3893.6</v>
          </cell>
          <cell r="DB443">
            <v>11.4</v>
          </cell>
          <cell r="DC443">
            <v>351.1</v>
          </cell>
          <cell r="DD443">
            <v>110.55</v>
          </cell>
        </row>
        <row r="444">
          <cell r="A444">
            <v>39157</v>
          </cell>
          <cell r="C444">
            <v>67</v>
          </cell>
          <cell r="D444" t="str">
            <v>#N/A N/A</v>
          </cell>
          <cell r="E444">
            <v>11.5</v>
          </cell>
          <cell r="L444">
            <v>1427.88</v>
          </cell>
          <cell r="M444">
            <v>2372.66</v>
          </cell>
          <cell r="N444">
            <v>6130.6</v>
          </cell>
          <cell r="O444">
            <v>4246</v>
          </cell>
          <cell r="Q444">
            <v>580</v>
          </cell>
          <cell r="R444">
            <v>399.5</v>
          </cell>
          <cell r="S444">
            <v>460.75</v>
          </cell>
          <cell r="T444">
            <v>753.5</v>
          </cell>
          <cell r="U444">
            <v>16744.150000000001</v>
          </cell>
          <cell r="V444">
            <v>18953.5</v>
          </cell>
          <cell r="W444">
            <v>7719.8</v>
          </cell>
          <cell r="X444">
            <v>67.3</v>
          </cell>
          <cell r="Y444">
            <v>950</v>
          </cell>
          <cell r="Z444">
            <v>1340</v>
          </cell>
          <cell r="AA444">
            <v>12430.4</v>
          </cell>
          <cell r="AB444">
            <v>5817.8</v>
          </cell>
          <cell r="AC444">
            <v>42730.039100000002</v>
          </cell>
          <cell r="AE444">
            <v>73.45</v>
          </cell>
          <cell r="AF444">
            <v>759.53</v>
          </cell>
          <cell r="AG444">
            <v>5086</v>
          </cell>
          <cell r="AH444">
            <v>870</v>
          </cell>
          <cell r="AI444">
            <v>1580</v>
          </cell>
          <cell r="AJ444">
            <v>631.39</v>
          </cell>
          <cell r="AL444">
            <v>1386.95</v>
          </cell>
          <cell r="AP444">
            <v>2930.4810000000002</v>
          </cell>
          <cell r="AV444">
            <v>49.34</v>
          </cell>
          <cell r="AZ444">
            <v>255.3</v>
          </cell>
          <cell r="BE444">
            <v>50875</v>
          </cell>
          <cell r="BG444">
            <v>54.2</v>
          </cell>
          <cell r="BH444">
            <v>267.85000000000002</v>
          </cell>
          <cell r="BY444">
            <v>471.99</v>
          </cell>
          <cell r="CD444">
            <v>363.63</v>
          </cell>
          <cell r="CE444">
            <v>360.06200000000001</v>
          </cell>
          <cell r="CF444">
            <v>357.7</v>
          </cell>
          <cell r="CG444">
            <v>1290</v>
          </cell>
          <cell r="CH444">
            <v>1070</v>
          </cell>
          <cell r="CI444">
            <v>115</v>
          </cell>
          <cell r="CJ444">
            <v>305</v>
          </cell>
          <cell r="CK444">
            <v>1116</v>
          </cell>
          <cell r="CM444">
            <v>190.71</v>
          </cell>
          <cell r="CN444">
            <v>15.53</v>
          </cell>
          <cell r="CO444" t="str">
            <v>#N/A N/A</v>
          </cell>
          <cell r="CQ444">
            <v>6.85</v>
          </cell>
          <cell r="CR444">
            <v>90</v>
          </cell>
          <cell r="CS444">
            <v>1955</v>
          </cell>
          <cell r="CU444">
            <v>1020</v>
          </cell>
          <cell r="CW444">
            <v>46.417682926829272</v>
          </cell>
          <cell r="CX444">
            <v>692.17200000000003</v>
          </cell>
          <cell r="CZ444">
            <v>304.44</v>
          </cell>
          <cell r="DA444">
            <v>3923.3</v>
          </cell>
          <cell r="DB444">
            <v>11.37</v>
          </cell>
          <cell r="DC444">
            <v>351.1</v>
          </cell>
          <cell r="DD444">
            <v>110.35</v>
          </cell>
        </row>
        <row r="445">
          <cell r="A445">
            <v>39158</v>
          </cell>
          <cell r="C445">
            <v>67</v>
          </cell>
          <cell r="D445" t="str">
            <v>#N/A N/A</v>
          </cell>
          <cell r="E445">
            <v>11.5</v>
          </cell>
          <cell r="L445">
            <v>1427.88</v>
          </cell>
          <cell r="M445">
            <v>2372.66</v>
          </cell>
          <cell r="N445">
            <v>6130.6</v>
          </cell>
          <cell r="O445">
            <v>4246</v>
          </cell>
          <cell r="Q445">
            <v>580</v>
          </cell>
          <cell r="R445">
            <v>399.5</v>
          </cell>
          <cell r="S445">
            <v>460.75</v>
          </cell>
          <cell r="T445">
            <v>753.5</v>
          </cell>
          <cell r="U445">
            <v>16744.150000000001</v>
          </cell>
          <cell r="V445">
            <v>18953.5</v>
          </cell>
          <cell r="W445">
            <v>7719.8</v>
          </cell>
          <cell r="X445">
            <v>67.3</v>
          </cell>
          <cell r="Y445">
            <v>950</v>
          </cell>
          <cell r="Z445">
            <v>1340</v>
          </cell>
          <cell r="AA445">
            <v>12430.4</v>
          </cell>
          <cell r="AB445">
            <v>5817.8</v>
          </cell>
          <cell r="AC445">
            <v>42730.039100000002</v>
          </cell>
          <cell r="AE445">
            <v>73.45</v>
          </cell>
          <cell r="AF445">
            <v>759.53</v>
          </cell>
          <cell r="AG445">
            <v>5086</v>
          </cell>
          <cell r="AH445">
            <v>870</v>
          </cell>
          <cell r="AI445">
            <v>1580</v>
          </cell>
          <cell r="AJ445">
            <v>631.39</v>
          </cell>
          <cell r="AL445">
            <v>1386.95</v>
          </cell>
          <cell r="AP445">
            <v>2930.4810000000002</v>
          </cell>
          <cell r="AV445">
            <v>49.34</v>
          </cell>
          <cell r="AZ445">
            <v>255.3</v>
          </cell>
          <cell r="BE445">
            <v>50875</v>
          </cell>
          <cell r="BG445">
            <v>54.2</v>
          </cell>
          <cell r="BH445">
            <v>267.85000000000002</v>
          </cell>
          <cell r="BY445">
            <v>471.99</v>
          </cell>
          <cell r="CD445">
            <v>363.63</v>
          </cell>
          <cell r="CE445">
            <v>360.06200000000001</v>
          </cell>
          <cell r="CF445">
            <v>357.7</v>
          </cell>
          <cell r="CG445">
            <v>1290</v>
          </cell>
          <cell r="CH445">
            <v>1070</v>
          </cell>
          <cell r="CI445">
            <v>115</v>
          </cell>
          <cell r="CJ445">
            <v>305</v>
          </cell>
          <cell r="CK445">
            <v>1116</v>
          </cell>
          <cell r="CM445">
            <v>190.71</v>
          </cell>
          <cell r="CN445">
            <v>15.53</v>
          </cell>
          <cell r="CO445" t="str">
            <v>#N/A N/A</v>
          </cell>
          <cell r="CQ445">
            <v>6.85</v>
          </cell>
          <cell r="CR445">
            <v>90</v>
          </cell>
          <cell r="CS445">
            <v>1955</v>
          </cell>
          <cell r="CU445">
            <v>1020</v>
          </cell>
          <cell r="CW445">
            <v>46.417682926829272</v>
          </cell>
          <cell r="CX445">
            <v>692.17200000000003</v>
          </cell>
          <cell r="CZ445">
            <v>304.44</v>
          </cell>
          <cell r="DA445">
            <v>3923.3</v>
          </cell>
          <cell r="DB445">
            <v>11.37</v>
          </cell>
          <cell r="DC445">
            <v>351.1</v>
          </cell>
          <cell r="DD445">
            <v>110.35</v>
          </cell>
        </row>
        <row r="446">
          <cell r="A446">
            <v>39159</v>
          </cell>
          <cell r="C446">
            <v>67</v>
          </cell>
          <cell r="D446" t="str">
            <v>#N/A N/A</v>
          </cell>
          <cell r="E446">
            <v>11.5</v>
          </cell>
          <cell r="L446">
            <v>1427.88</v>
          </cell>
          <cell r="M446">
            <v>2372.66</v>
          </cell>
          <cell r="N446">
            <v>6130.6</v>
          </cell>
          <cell r="O446">
            <v>4246</v>
          </cell>
          <cell r="Q446">
            <v>580</v>
          </cell>
          <cell r="R446">
            <v>399.5</v>
          </cell>
          <cell r="S446">
            <v>460.75</v>
          </cell>
          <cell r="T446">
            <v>753.5</v>
          </cell>
          <cell r="U446">
            <v>16744.150000000001</v>
          </cell>
          <cell r="V446">
            <v>18953.5</v>
          </cell>
          <cell r="W446">
            <v>7719.8</v>
          </cell>
          <cell r="X446">
            <v>67.3</v>
          </cell>
          <cell r="Y446">
            <v>950</v>
          </cell>
          <cell r="Z446">
            <v>1340</v>
          </cell>
          <cell r="AA446">
            <v>12430.4</v>
          </cell>
          <cell r="AB446">
            <v>5817.8</v>
          </cell>
          <cell r="AC446">
            <v>42730.039100000002</v>
          </cell>
          <cell r="AE446">
            <v>73.45</v>
          </cell>
          <cell r="AF446">
            <v>759.53</v>
          </cell>
          <cell r="AG446">
            <v>5086</v>
          </cell>
          <cell r="AH446">
            <v>870</v>
          </cell>
          <cell r="AI446">
            <v>1580</v>
          </cell>
          <cell r="AJ446">
            <v>631.39</v>
          </cell>
          <cell r="AL446">
            <v>1386.95</v>
          </cell>
          <cell r="AP446">
            <v>2930.4810000000002</v>
          </cell>
          <cell r="AV446">
            <v>49.34</v>
          </cell>
          <cell r="AZ446">
            <v>255.3</v>
          </cell>
          <cell r="BE446">
            <v>50875</v>
          </cell>
          <cell r="BG446">
            <v>54.2</v>
          </cell>
          <cell r="BH446">
            <v>267.85000000000002</v>
          </cell>
          <cell r="BY446">
            <v>471.99</v>
          </cell>
          <cell r="CD446">
            <v>363.63</v>
          </cell>
          <cell r="CE446">
            <v>360.06200000000001</v>
          </cell>
          <cell r="CF446">
            <v>357.7</v>
          </cell>
          <cell r="CG446">
            <v>1290</v>
          </cell>
          <cell r="CH446">
            <v>1070</v>
          </cell>
          <cell r="CI446">
            <v>115</v>
          </cell>
          <cell r="CJ446">
            <v>305</v>
          </cell>
          <cell r="CK446">
            <v>1116</v>
          </cell>
          <cell r="CM446">
            <v>190.71</v>
          </cell>
          <cell r="CN446">
            <v>15.53</v>
          </cell>
          <cell r="CO446" t="str">
            <v>#N/A N/A</v>
          </cell>
          <cell r="CQ446">
            <v>6.85</v>
          </cell>
          <cell r="CR446">
            <v>90</v>
          </cell>
          <cell r="CS446">
            <v>1955</v>
          </cell>
          <cell r="CU446">
            <v>1020</v>
          </cell>
          <cell r="CW446">
            <v>46.417682926829272</v>
          </cell>
          <cell r="CX446">
            <v>692.17200000000003</v>
          </cell>
          <cell r="CZ446">
            <v>304.44</v>
          </cell>
          <cell r="DA446">
            <v>3923.3</v>
          </cell>
          <cell r="DB446">
            <v>11.37</v>
          </cell>
          <cell r="DC446">
            <v>351.1</v>
          </cell>
          <cell r="DD446">
            <v>110.35</v>
          </cell>
        </row>
        <row r="447">
          <cell r="A447">
            <v>39160</v>
          </cell>
          <cell r="C447">
            <v>67</v>
          </cell>
          <cell r="D447" t="str">
            <v>#N/A N/A</v>
          </cell>
          <cell r="E447">
            <v>11.7</v>
          </cell>
          <cell r="L447">
            <v>1443.39</v>
          </cell>
          <cell r="M447">
            <v>2394.41</v>
          </cell>
          <cell r="N447">
            <v>6189.4</v>
          </cell>
          <cell r="O447">
            <v>4213</v>
          </cell>
          <cell r="Q447">
            <v>580</v>
          </cell>
          <cell r="R447">
            <v>398</v>
          </cell>
          <cell r="S447">
            <v>455</v>
          </cell>
          <cell r="T447">
            <v>759.5</v>
          </cell>
          <cell r="U447">
            <v>17009.55</v>
          </cell>
          <cell r="V447">
            <v>19266.740000000002</v>
          </cell>
          <cell r="W447">
            <v>7737.46</v>
          </cell>
          <cell r="X447">
            <v>68.55</v>
          </cell>
          <cell r="Y447">
            <v>950</v>
          </cell>
          <cell r="Z447">
            <v>1340</v>
          </cell>
          <cell r="AA447">
            <v>12644.99</v>
          </cell>
          <cell r="AB447">
            <v>5839.3</v>
          </cell>
          <cell r="AC447">
            <v>43712.550799999997</v>
          </cell>
          <cell r="AE447">
            <v>73.55</v>
          </cell>
          <cell r="AF447">
            <v>759.53</v>
          </cell>
          <cell r="AG447">
            <v>5123</v>
          </cell>
          <cell r="AH447">
            <v>870</v>
          </cell>
          <cell r="AI447">
            <v>1580</v>
          </cell>
          <cell r="AJ447">
            <v>643.89</v>
          </cell>
          <cell r="AL447">
            <v>1402.06</v>
          </cell>
          <cell r="AP447">
            <v>3014.442</v>
          </cell>
          <cell r="AV447">
            <v>50.36</v>
          </cell>
          <cell r="AZ447">
            <v>258.5</v>
          </cell>
          <cell r="BE447">
            <v>49800</v>
          </cell>
          <cell r="BG447">
            <v>54.2</v>
          </cell>
          <cell r="BH447">
            <v>270.76</v>
          </cell>
          <cell r="BY447">
            <v>469.18</v>
          </cell>
          <cell r="CD447">
            <v>367.82</v>
          </cell>
          <cell r="CE447">
            <v>364.18200000000002</v>
          </cell>
          <cell r="CF447">
            <v>360.93</v>
          </cell>
          <cell r="CG447">
            <v>1290</v>
          </cell>
          <cell r="CH447">
            <v>1070</v>
          </cell>
          <cell r="CI447">
            <v>115</v>
          </cell>
          <cell r="CJ447">
            <v>305</v>
          </cell>
          <cell r="CK447">
            <v>1142</v>
          </cell>
          <cell r="CM447">
            <v>195.81</v>
          </cell>
          <cell r="CN447">
            <v>15.66</v>
          </cell>
          <cell r="CO447" t="str">
            <v>#N/A N/A</v>
          </cell>
          <cell r="CQ447">
            <v>6.7</v>
          </cell>
          <cell r="CR447">
            <v>90</v>
          </cell>
          <cell r="CS447">
            <v>1969</v>
          </cell>
          <cell r="CU447">
            <v>1020</v>
          </cell>
          <cell r="CW447">
            <v>46.570121951219512</v>
          </cell>
          <cell r="CX447">
            <v>691.13199999999995</v>
          </cell>
          <cell r="CZ447">
            <v>304.58</v>
          </cell>
          <cell r="DA447">
            <v>3908.3</v>
          </cell>
          <cell r="DB447">
            <v>11.21</v>
          </cell>
          <cell r="DC447">
            <v>351.1</v>
          </cell>
          <cell r="DD447">
            <v>110.25</v>
          </cell>
        </row>
        <row r="448">
          <cell r="A448">
            <v>39161</v>
          </cell>
          <cell r="C448">
            <v>54</v>
          </cell>
          <cell r="D448" t="str">
            <v>#N/A N/A</v>
          </cell>
          <cell r="E448">
            <v>11.75</v>
          </cell>
          <cell r="L448">
            <v>1444.17</v>
          </cell>
          <cell r="M448">
            <v>2408.21</v>
          </cell>
          <cell r="N448">
            <v>6220.3</v>
          </cell>
          <cell r="O448">
            <v>4202</v>
          </cell>
          <cell r="Q448">
            <v>580</v>
          </cell>
          <cell r="R448">
            <v>405.25</v>
          </cell>
          <cell r="S448">
            <v>462.75</v>
          </cell>
          <cell r="T448">
            <v>764.75</v>
          </cell>
          <cell r="U448">
            <v>17163.2</v>
          </cell>
          <cell r="V448">
            <v>19356.900000000001</v>
          </cell>
          <cell r="W448">
            <v>7736.2</v>
          </cell>
          <cell r="X448">
            <v>68.5</v>
          </cell>
          <cell r="Y448">
            <v>950</v>
          </cell>
          <cell r="Z448">
            <v>1340</v>
          </cell>
          <cell r="AA448">
            <v>12705.94</v>
          </cell>
          <cell r="AB448">
            <v>5856.5</v>
          </cell>
          <cell r="AC448">
            <v>44350.871099999997</v>
          </cell>
          <cell r="AE448">
            <v>73.5</v>
          </cell>
          <cell r="AF448">
            <v>759.97</v>
          </cell>
          <cell r="AG448">
            <v>5172</v>
          </cell>
          <cell r="AH448">
            <v>870</v>
          </cell>
          <cell r="AI448">
            <v>1580</v>
          </cell>
          <cell r="AJ448">
            <v>645.37</v>
          </cell>
          <cell r="AL448">
            <v>1410.94</v>
          </cell>
          <cell r="AP448">
            <v>3032.1950000000002</v>
          </cell>
          <cell r="AV448">
            <v>50.41</v>
          </cell>
          <cell r="AZ448">
            <v>261.5</v>
          </cell>
          <cell r="BE448">
            <v>47600</v>
          </cell>
          <cell r="BG448">
            <v>54.2</v>
          </cell>
          <cell r="BH448">
            <v>271.48</v>
          </cell>
          <cell r="BY448">
            <v>473.66</v>
          </cell>
          <cell r="CD448">
            <v>370.34</v>
          </cell>
          <cell r="CE448">
            <v>366.73500000000001</v>
          </cell>
          <cell r="CF448">
            <v>362.57</v>
          </cell>
          <cell r="CG448">
            <v>1290</v>
          </cell>
          <cell r="CH448">
            <v>1070</v>
          </cell>
          <cell r="CI448">
            <v>112</v>
          </cell>
          <cell r="CJ448">
            <v>300</v>
          </cell>
          <cell r="CK448">
            <v>1185</v>
          </cell>
          <cell r="CM448">
            <v>194.21</v>
          </cell>
          <cell r="CN448">
            <v>16.399999999999999</v>
          </cell>
          <cell r="CO448" t="str">
            <v>#N/A N/A</v>
          </cell>
          <cell r="CQ448">
            <v>6.82</v>
          </cell>
          <cell r="CR448">
            <v>90</v>
          </cell>
          <cell r="CS448">
            <v>1959</v>
          </cell>
          <cell r="CU448">
            <v>1020</v>
          </cell>
          <cell r="CW448">
            <v>46.265243902439025</v>
          </cell>
          <cell r="CX448">
            <v>692.4319999999999</v>
          </cell>
          <cell r="CZ448">
            <v>304.95999999999998</v>
          </cell>
          <cell r="DA448">
            <v>3876.9</v>
          </cell>
          <cell r="DB448">
            <v>11.2</v>
          </cell>
          <cell r="DC448">
            <v>351.1</v>
          </cell>
          <cell r="DD448">
            <v>109.3</v>
          </cell>
        </row>
        <row r="449">
          <cell r="A449">
            <v>39162</v>
          </cell>
          <cell r="C449">
            <v>54</v>
          </cell>
          <cell r="D449" t="str">
            <v>#N/A N/A</v>
          </cell>
          <cell r="E449">
            <v>12</v>
          </cell>
          <cell r="L449">
            <v>1442.85</v>
          </cell>
          <cell r="M449">
            <v>2455.92</v>
          </cell>
          <cell r="N449">
            <v>6256.8</v>
          </cell>
          <cell r="O449">
            <v>4199</v>
          </cell>
          <cell r="Q449">
            <v>580</v>
          </cell>
          <cell r="R449">
            <v>409.75</v>
          </cell>
          <cell r="S449">
            <v>465.5</v>
          </cell>
          <cell r="T449">
            <v>766.5</v>
          </cell>
          <cell r="U449">
            <v>17163.2</v>
          </cell>
          <cell r="V449">
            <v>19516.41</v>
          </cell>
          <cell r="W449">
            <v>7757.03</v>
          </cell>
          <cell r="X449">
            <v>67.55</v>
          </cell>
          <cell r="Y449">
            <v>950</v>
          </cell>
          <cell r="Z449">
            <v>1340</v>
          </cell>
          <cell r="AA449">
            <v>12945.88</v>
          </cell>
          <cell r="AB449">
            <v>5846.3</v>
          </cell>
          <cell r="AC449">
            <v>45630.859400000001</v>
          </cell>
          <cell r="AE449">
            <v>73.45</v>
          </cell>
          <cell r="AF449">
            <v>759.97</v>
          </cell>
          <cell r="AG449">
            <v>5226</v>
          </cell>
          <cell r="AH449">
            <v>870</v>
          </cell>
          <cell r="AI449">
            <v>1580</v>
          </cell>
          <cell r="AJ449">
            <v>643.82000000000005</v>
          </cell>
          <cell r="AL449">
            <v>1435.04</v>
          </cell>
          <cell r="AP449">
            <v>3057.38</v>
          </cell>
          <cell r="AV449">
            <v>51.69</v>
          </cell>
          <cell r="AZ449">
            <v>261.5</v>
          </cell>
          <cell r="BE449">
            <v>46780</v>
          </cell>
          <cell r="BG449">
            <v>54.2</v>
          </cell>
          <cell r="BH449">
            <v>275.44</v>
          </cell>
          <cell r="BY449">
            <v>482.45</v>
          </cell>
          <cell r="CD449">
            <v>374.18</v>
          </cell>
          <cell r="CE449">
            <v>370.476</v>
          </cell>
          <cell r="CF449">
            <v>365.46</v>
          </cell>
          <cell r="CG449">
            <v>1290</v>
          </cell>
          <cell r="CH449">
            <v>1070</v>
          </cell>
          <cell r="CI449">
            <v>112</v>
          </cell>
          <cell r="CJ449">
            <v>300</v>
          </cell>
          <cell r="CK449">
            <v>1201</v>
          </cell>
          <cell r="CM449">
            <v>193.49</v>
          </cell>
          <cell r="CN449">
            <v>16.32</v>
          </cell>
          <cell r="CO449" t="str">
            <v>#N/A N/A</v>
          </cell>
          <cell r="CQ449">
            <v>6.82</v>
          </cell>
          <cell r="CR449">
            <v>90</v>
          </cell>
          <cell r="CS449">
            <v>1933</v>
          </cell>
          <cell r="CU449">
            <v>1020</v>
          </cell>
          <cell r="CW449">
            <v>46.570121951219512</v>
          </cell>
          <cell r="CX449">
            <v>691.65200000000004</v>
          </cell>
          <cell r="CZ449">
            <v>306.33</v>
          </cell>
          <cell r="DA449">
            <v>3827.1</v>
          </cell>
          <cell r="DB449">
            <v>11.24</v>
          </cell>
          <cell r="DC449">
            <v>351.1</v>
          </cell>
          <cell r="DD449">
            <v>112.5</v>
          </cell>
        </row>
        <row r="450">
          <cell r="A450">
            <v>39163</v>
          </cell>
          <cell r="C450">
            <v>54</v>
          </cell>
          <cell r="D450" t="str">
            <v>#N/A N/A</v>
          </cell>
          <cell r="E450">
            <v>13.12</v>
          </cell>
          <cell r="L450">
            <v>1448.53</v>
          </cell>
          <cell r="M450">
            <v>2451.7399999999998</v>
          </cell>
          <cell r="N450">
            <v>6318</v>
          </cell>
          <cell r="O450">
            <v>4196</v>
          </cell>
          <cell r="Q450">
            <v>620</v>
          </cell>
          <cell r="R450">
            <v>409.5</v>
          </cell>
          <cell r="S450">
            <v>467</v>
          </cell>
          <cell r="T450">
            <v>771.75</v>
          </cell>
          <cell r="U450">
            <v>17419.2</v>
          </cell>
          <cell r="V450">
            <v>19690.25</v>
          </cell>
          <cell r="W450">
            <v>7823.67</v>
          </cell>
          <cell r="X450">
            <v>67.599999999999994</v>
          </cell>
          <cell r="Y450">
            <v>950</v>
          </cell>
          <cell r="Z450">
            <v>1340</v>
          </cell>
          <cell r="AA450">
            <v>13308.03</v>
          </cell>
          <cell r="AB450">
            <v>5935.4</v>
          </cell>
          <cell r="AC450">
            <v>45424.179700000001</v>
          </cell>
          <cell r="AE450">
            <v>74.099999999999994</v>
          </cell>
          <cell r="AF450">
            <v>759.97</v>
          </cell>
          <cell r="AG450">
            <v>5275</v>
          </cell>
          <cell r="AH450">
            <v>870</v>
          </cell>
          <cell r="AI450">
            <v>1580</v>
          </cell>
          <cell r="AJ450">
            <v>645.77</v>
          </cell>
          <cell r="AL450">
            <v>1434.54</v>
          </cell>
          <cell r="AP450">
            <v>3071.2249999999999</v>
          </cell>
          <cell r="AV450">
            <v>50.65</v>
          </cell>
          <cell r="AZ450">
            <v>267.89999999999998</v>
          </cell>
          <cell r="BE450">
            <v>48125</v>
          </cell>
          <cell r="BG450">
            <v>54.2</v>
          </cell>
          <cell r="BH450">
            <v>277.70999999999998</v>
          </cell>
          <cell r="BY450">
            <v>476.26</v>
          </cell>
          <cell r="CD450">
            <v>377.47</v>
          </cell>
          <cell r="CE450">
            <v>373.577</v>
          </cell>
          <cell r="CF450">
            <v>369.75</v>
          </cell>
          <cell r="CG450">
            <v>1290</v>
          </cell>
          <cell r="CH450">
            <v>1070</v>
          </cell>
          <cell r="CI450">
            <v>112</v>
          </cell>
          <cell r="CJ450">
            <v>300</v>
          </cell>
          <cell r="CK450">
            <v>1218</v>
          </cell>
          <cell r="CM450">
            <v>195.75</v>
          </cell>
          <cell r="CN450">
            <v>16.309999999999999</v>
          </cell>
          <cell r="CO450" t="str">
            <v>#N/A N/A</v>
          </cell>
          <cell r="CQ450">
            <v>7.09</v>
          </cell>
          <cell r="CR450">
            <v>90</v>
          </cell>
          <cell r="CS450">
            <v>1942</v>
          </cell>
          <cell r="CU450">
            <v>1020</v>
          </cell>
          <cell r="CW450">
            <v>47.789634146341463</v>
          </cell>
          <cell r="CX450">
            <v>692.84800000000007</v>
          </cell>
          <cell r="CZ450">
            <v>310.91000000000003</v>
          </cell>
          <cell r="DA450">
            <v>3899.6</v>
          </cell>
          <cell r="DB450">
            <v>11.17</v>
          </cell>
          <cell r="DC450">
            <v>351.1</v>
          </cell>
          <cell r="DD450">
            <v>111.75</v>
          </cell>
        </row>
        <row r="451">
          <cell r="A451">
            <v>39164</v>
          </cell>
          <cell r="C451">
            <v>54</v>
          </cell>
          <cell r="D451" t="str">
            <v>#N/A N/A</v>
          </cell>
          <cell r="E451">
            <v>14.52</v>
          </cell>
          <cell r="L451">
            <v>1447.38</v>
          </cell>
          <cell r="M451">
            <v>2448.9299999999998</v>
          </cell>
          <cell r="N451">
            <v>6339.4</v>
          </cell>
          <cell r="O451">
            <v>4196</v>
          </cell>
          <cell r="Q451">
            <v>620</v>
          </cell>
          <cell r="R451">
            <v>403.25</v>
          </cell>
          <cell r="S451">
            <v>461.5</v>
          </cell>
          <cell r="T451">
            <v>769.5</v>
          </cell>
          <cell r="U451">
            <v>17480.61</v>
          </cell>
          <cell r="V451">
            <v>19692.64</v>
          </cell>
          <cell r="W451">
            <v>7859.32</v>
          </cell>
          <cell r="X451">
            <v>68.150000000000006</v>
          </cell>
          <cell r="Y451">
            <v>890</v>
          </cell>
          <cell r="Z451">
            <v>1340</v>
          </cell>
          <cell r="AA451">
            <v>13285.93</v>
          </cell>
          <cell r="AB451">
            <v>5933.1</v>
          </cell>
          <cell r="AC451">
            <v>45532.531300000002</v>
          </cell>
          <cell r="AE451">
            <v>75.349999999999994</v>
          </cell>
          <cell r="AF451">
            <v>759.97</v>
          </cell>
          <cell r="AG451">
            <v>5330</v>
          </cell>
          <cell r="AH451">
            <v>880</v>
          </cell>
          <cell r="AI451">
            <v>1575</v>
          </cell>
          <cell r="AJ451">
            <v>640.89</v>
          </cell>
          <cell r="AL451">
            <v>1436.11</v>
          </cell>
          <cell r="AP451">
            <v>3074.2860000000001</v>
          </cell>
          <cell r="AV451">
            <v>50.66</v>
          </cell>
          <cell r="AZ451">
            <v>268.10000000000002</v>
          </cell>
          <cell r="BE451">
            <v>44800</v>
          </cell>
          <cell r="BG451">
            <v>54.7</v>
          </cell>
          <cell r="BH451">
            <v>279.83999999999997</v>
          </cell>
          <cell r="BY451">
            <v>479.27</v>
          </cell>
          <cell r="CD451">
            <v>377.99</v>
          </cell>
          <cell r="CE451">
            <v>374.07100000000003</v>
          </cell>
          <cell r="CF451">
            <v>369.54</v>
          </cell>
          <cell r="CG451">
            <v>1290</v>
          </cell>
          <cell r="CH451">
            <v>1070</v>
          </cell>
          <cell r="CI451">
            <v>112</v>
          </cell>
          <cell r="CJ451">
            <v>300</v>
          </cell>
          <cell r="CK451">
            <v>1232</v>
          </cell>
          <cell r="CM451">
            <v>199.83</v>
          </cell>
          <cell r="CN451">
            <v>16.45</v>
          </cell>
          <cell r="CO451" t="str">
            <v>#N/A N/A</v>
          </cell>
          <cell r="CQ451">
            <v>7.17</v>
          </cell>
          <cell r="CR451">
            <v>90</v>
          </cell>
          <cell r="CS451">
            <v>1916.5</v>
          </cell>
          <cell r="CU451">
            <v>950</v>
          </cell>
          <cell r="CW451">
            <v>49.466463414634148</v>
          </cell>
          <cell r="CX451">
            <v>691.08</v>
          </cell>
          <cell r="CZ451">
            <v>310.94</v>
          </cell>
          <cell r="DA451">
            <v>3841</v>
          </cell>
          <cell r="DB451">
            <v>11.16</v>
          </cell>
          <cell r="DC451">
            <v>351.1</v>
          </cell>
          <cell r="DD451">
            <v>113.35</v>
          </cell>
        </row>
        <row r="452">
          <cell r="A452">
            <v>39165</v>
          </cell>
          <cell r="C452">
            <v>54</v>
          </cell>
          <cell r="D452" t="str">
            <v>#N/A N/A</v>
          </cell>
          <cell r="E452">
            <v>14.52</v>
          </cell>
          <cell r="L452">
            <v>1447.38</v>
          </cell>
          <cell r="M452">
            <v>2448.9299999999998</v>
          </cell>
          <cell r="N452">
            <v>6339.4</v>
          </cell>
          <cell r="O452">
            <v>4196</v>
          </cell>
          <cell r="Q452">
            <v>620</v>
          </cell>
          <cell r="R452">
            <v>403.25</v>
          </cell>
          <cell r="S452">
            <v>461.5</v>
          </cell>
          <cell r="T452">
            <v>769.5</v>
          </cell>
          <cell r="U452">
            <v>17480.61</v>
          </cell>
          <cell r="V452">
            <v>19692.64</v>
          </cell>
          <cell r="W452">
            <v>7859.32</v>
          </cell>
          <cell r="X452">
            <v>68.150000000000006</v>
          </cell>
          <cell r="Y452">
            <v>890</v>
          </cell>
          <cell r="Z452">
            <v>1340</v>
          </cell>
          <cell r="AA452">
            <v>13285.93</v>
          </cell>
          <cell r="AB452">
            <v>5933.1</v>
          </cell>
          <cell r="AC452">
            <v>45532.531300000002</v>
          </cell>
          <cell r="AE452">
            <v>75.349999999999994</v>
          </cell>
          <cell r="AF452">
            <v>759.97</v>
          </cell>
          <cell r="AG452">
            <v>5330</v>
          </cell>
          <cell r="AH452">
            <v>880</v>
          </cell>
          <cell r="AI452">
            <v>1575</v>
          </cell>
          <cell r="AJ452">
            <v>640.89</v>
          </cell>
          <cell r="AL452">
            <v>1436.11</v>
          </cell>
          <cell r="AP452">
            <v>3074.2860000000001</v>
          </cell>
          <cell r="AV452">
            <v>50.66</v>
          </cell>
          <cell r="AZ452">
            <v>268.10000000000002</v>
          </cell>
          <cell r="BE452">
            <v>44800</v>
          </cell>
          <cell r="BG452">
            <v>54.7</v>
          </cell>
          <cell r="BH452">
            <v>279.83999999999997</v>
          </cell>
          <cell r="BY452">
            <v>479.27</v>
          </cell>
          <cell r="CD452">
            <v>377.99</v>
          </cell>
          <cell r="CE452">
            <v>374.07100000000003</v>
          </cell>
          <cell r="CF452">
            <v>369.54</v>
          </cell>
          <cell r="CG452">
            <v>1290</v>
          </cell>
          <cell r="CH452">
            <v>1070</v>
          </cell>
          <cell r="CI452">
            <v>112</v>
          </cell>
          <cell r="CJ452">
            <v>300</v>
          </cell>
          <cell r="CK452">
            <v>1232</v>
          </cell>
          <cell r="CM452">
            <v>199.83</v>
          </cell>
          <cell r="CN452">
            <v>16.45</v>
          </cell>
          <cell r="CO452" t="str">
            <v>#N/A N/A</v>
          </cell>
          <cell r="CQ452">
            <v>7.17</v>
          </cell>
          <cell r="CR452">
            <v>90</v>
          </cell>
          <cell r="CS452">
            <v>1916.5</v>
          </cell>
          <cell r="CU452">
            <v>950</v>
          </cell>
          <cell r="CW452">
            <v>49.466463414634148</v>
          </cell>
          <cell r="CX452">
            <v>691.08</v>
          </cell>
          <cell r="CZ452">
            <v>310.94</v>
          </cell>
          <cell r="DA452">
            <v>3841</v>
          </cell>
          <cell r="DB452">
            <v>11.16</v>
          </cell>
          <cell r="DC452">
            <v>351.1</v>
          </cell>
          <cell r="DD452">
            <v>113.35</v>
          </cell>
        </row>
        <row r="453">
          <cell r="A453">
            <v>39166</v>
          </cell>
          <cell r="C453">
            <v>54</v>
          </cell>
          <cell r="D453" t="str">
            <v>#N/A N/A</v>
          </cell>
          <cell r="E453">
            <v>14.52</v>
          </cell>
          <cell r="L453">
            <v>1447.38</v>
          </cell>
          <cell r="M453">
            <v>2448.9299999999998</v>
          </cell>
          <cell r="N453">
            <v>6339.4</v>
          </cell>
          <cell r="O453">
            <v>4196</v>
          </cell>
          <cell r="Q453">
            <v>620</v>
          </cell>
          <cell r="R453">
            <v>403.25</v>
          </cell>
          <cell r="S453">
            <v>461.5</v>
          </cell>
          <cell r="T453">
            <v>769.5</v>
          </cell>
          <cell r="U453">
            <v>17480.61</v>
          </cell>
          <cell r="V453">
            <v>19692.64</v>
          </cell>
          <cell r="W453">
            <v>7859.32</v>
          </cell>
          <cell r="X453">
            <v>68.150000000000006</v>
          </cell>
          <cell r="Y453">
            <v>890</v>
          </cell>
          <cell r="Z453">
            <v>1340</v>
          </cell>
          <cell r="AA453">
            <v>13285.93</v>
          </cell>
          <cell r="AB453">
            <v>5933.1</v>
          </cell>
          <cell r="AC453">
            <v>45532.531300000002</v>
          </cell>
          <cell r="AE453">
            <v>75.349999999999994</v>
          </cell>
          <cell r="AF453">
            <v>759.97</v>
          </cell>
          <cell r="AG453">
            <v>5330</v>
          </cell>
          <cell r="AH453">
            <v>880</v>
          </cell>
          <cell r="AI453">
            <v>1575</v>
          </cell>
          <cell r="AJ453">
            <v>640.89</v>
          </cell>
          <cell r="AL453">
            <v>1436.11</v>
          </cell>
          <cell r="AP453">
            <v>3074.2860000000001</v>
          </cell>
          <cell r="AV453">
            <v>50.66</v>
          </cell>
          <cell r="AZ453">
            <v>268.10000000000002</v>
          </cell>
          <cell r="BE453">
            <v>44800</v>
          </cell>
          <cell r="BG453">
            <v>54.7</v>
          </cell>
          <cell r="BH453">
            <v>279.83999999999997</v>
          </cell>
          <cell r="BY453">
            <v>479.27</v>
          </cell>
          <cell r="CD453">
            <v>377.99</v>
          </cell>
          <cell r="CE453">
            <v>374.07100000000003</v>
          </cell>
          <cell r="CF453">
            <v>369.54</v>
          </cell>
          <cell r="CG453">
            <v>1290</v>
          </cell>
          <cell r="CH453">
            <v>1070</v>
          </cell>
          <cell r="CI453">
            <v>112</v>
          </cell>
          <cell r="CJ453">
            <v>300</v>
          </cell>
          <cell r="CK453">
            <v>1232</v>
          </cell>
          <cell r="CM453">
            <v>199.83</v>
          </cell>
          <cell r="CN453">
            <v>16.45</v>
          </cell>
          <cell r="CO453" t="str">
            <v>#N/A N/A</v>
          </cell>
          <cell r="CQ453">
            <v>7.17</v>
          </cell>
          <cell r="CR453">
            <v>90</v>
          </cell>
          <cell r="CS453">
            <v>1916.5</v>
          </cell>
          <cell r="CU453">
            <v>950</v>
          </cell>
          <cell r="CW453">
            <v>49.466463414634148</v>
          </cell>
          <cell r="CX453">
            <v>691.08</v>
          </cell>
          <cell r="CZ453">
            <v>310.94</v>
          </cell>
          <cell r="DA453">
            <v>3841</v>
          </cell>
          <cell r="DB453">
            <v>11.16</v>
          </cell>
          <cell r="DC453">
            <v>351.1</v>
          </cell>
          <cell r="DD453">
            <v>113.35</v>
          </cell>
        </row>
        <row r="454">
          <cell r="A454">
            <v>39167</v>
          </cell>
          <cell r="C454">
            <v>54</v>
          </cell>
          <cell r="D454" t="str">
            <v>#N/A N/A</v>
          </cell>
          <cell r="E454">
            <v>14.16</v>
          </cell>
          <cell r="L454">
            <v>1449.77</v>
          </cell>
          <cell r="M454">
            <v>2455.63</v>
          </cell>
          <cell r="N454">
            <v>6291.9</v>
          </cell>
          <cell r="O454">
            <v>4199</v>
          </cell>
          <cell r="Q454">
            <v>620</v>
          </cell>
          <cell r="R454">
            <v>391</v>
          </cell>
          <cell r="S454">
            <v>458</v>
          </cell>
          <cell r="T454">
            <v>758.5</v>
          </cell>
          <cell r="U454">
            <v>17521.96</v>
          </cell>
          <cell r="V454">
            <v>19765.849999999999</v>
          </cell>
          <cell r="W454">
            <v>7877.82</v>
          </cell>
          <cell r="X454">
            <v>69.7</v>
          </cell>
          <cell r="Y454">
            <v>890</v>
          </cell>
          <cell r="Z454">
            <v>1340</v>
          </cell>
          <cell r="AA454">
            <v>13124.32</v>
          </cell>
          <cell r="AB454">
            <v>5970.5</v>
          </cell>
          <cell r="AC454">
            <v>45644.558599999997</v>
          </cell>
          <cell r="AE454">
            <v>76.150000000000006</v>
          </cell>
          <cell r="AF454">
            <v>759.97</v>
          </cell>
          <cell r="AG454">
            <v>5357</v>
          </cell>
          <cell r="AH454">
            <v>880</v>
          </cell>
          <cell r="AI454">
            <v>1575</v>
          </cell>
          <cell r="AJ454">
            <v>640.88</v>
          </cell>
          <cell r="AL454">
            <v>1437.5</v>
          </cell>
          <cell r="AP454">
            <v>3122.8110000000001</v>
          </cell>
          <cell r="AV454">
            <v>50.62</v>
          </cell>
          <cell r="AZ454">
            <v>271</v>
          </cell>
          <cell r="BE454">
            <v>44750</v>
          </cell>
          <cell r="BG454">
            <v>54.7</v>
          </cell>
          <cell r="BH454">
            <v>278.89</v>
          </cell>
          <cell r="BY454">
            <v>478.77</v>
          </cell>
          <cell r="CD454">
            <v>377.65</v>
          </cell>
          <cell r="CE454">
            <v>373.63200000000001</v>
          </cell>
          <cell r="CF454">
            <v>370.37</v>
          </cell>
          <cell r="CG454">
            <v>1290</v>
          </cell>
          <cell r="CH454">
            <v>1070</v>
          </cell>
          <cell r="CI454">
            <v>112</v>
          </cell>
          <cell r="CJ454">
            <v>300</v>
          </cell>
          <cell r="CK454">
            <v>1248</v>
          </cell>
          <cell r="CM454">
            <v>207.2</v>
          </cell>
          <cell r="CN454">
            <v>17.04</v>
          </cell>
          <cell r="CO454" t="str">
            <v>#N/A N/A</v>
          </cell>
          <cell r="CQ454">
            <v>7.15</v>
          </cell>
          <cell r="CR454">
            <v>90</v>
          </cell>
          <cell r="CS454">
            <v>1909</v>
          </cell>
          <cell r="CU454">
            <v>950</v>
          </cell>
          <cell r="CW454">
            <v>49.923780487804883</v>
          </cell>
          <cell r="CX454">
            <v>693.36799999999994</v>
          </cell>
          <cell r="CZ454">
            <v>312.27</v>
          </cell>
          <cell r="DA454">
            <v>3875.1</v>
          </cell>
          <cell r="DB454">
            <v>11.05</v>
          </cell>
          <cell r="DC454">
            <v>351.1</v>
          </cell>
          <cell r="DD454">
            <v>114.35</v>
          </cell>
        </row>
        <row r="455">
          <cell r="A455">
            <v>39168</v>
          </cell>
          <cell r="C455">
            <v>54</v>
          </cell>
          <cell r="D455" t="str">
            <v>#N/A N/A</v>
          </cell>
          <cell r="E455">
            <v>14.75</v>
          </cell>
          <cell r="L455">
            <v>1453.23</v>
          </cell>
          <cell r="M455">
            <v>2437.4299999999998</v>
          </cell>
          <cell r="N455">
            <v>6292.6</v>
          </cell>
          <cell r="O455">
            <v>4195</v>
          </cell>
          <cell r="Q455">
            <v>620</v>
          </cell>
          <cell r="R455">
            <v>392.5</v>
          </cell>
          <cell r="S455">
            <v>454</v>
          </cell>
          <cell r="T455">
            <v>757</v>
          </cell>
          <cell r="U455">
            <v>17365.05</v>
          </cell>
          <cell r="V455">
            <v>19706.79</v>
          </cell>
          <cell r="W455">
            <v>7845.17</v>
          </cell>
          <cell r="X455">
            <v>71.25</v>
          </cell>
          <cell r="Y455">
            <v>890</v>
          </cell>
          <cell r="Z455">
            <v>1340</v>
          </cell>
          <cell r="AA455">
            <v>13124.32</v>
          </cell>
          <cell r="AB455">
            <v>5952.3</v>
          </cell>
          <cell r="AC455">
            <v>45206.531300000002</v>
          </cell>
          <cell r="AE455">
            <v>76.45</v>
          </cell>
          <cell r="AF455">
            <v>760</v>
          </cell>
          <cell r="AG455">
            <v>5364</v>
          </cell>
          <cell r="AH455">
            <v>880</v>
          </cell>
          <cell r="AI455">
            <v>1575</v>
          </cell>
          <cell r="AJ455">
            <v>641.20000000000005</v>
          </cell>
          <cell r="AL455">
            <v>1428.61</v>
          </cell>
          <cell r="AP455">
            <v>3138.826</v>
          </cell>
          <cell r="AV455">
            <v>50.18</v>
          </cell>
          <cell r="AZ455">
            <v>270.5</v>
          </cell>
          <cell r="BE455">
            <v>44750</v>
          </cell>
          <cell r="BG455">
            <v>54.7</v>
          </cell>
          <cell r="BH455">
            <v>277.83999999999997</v>
          </cell>
          <cell r="BY455">
            <v>475.54</v>
          </cell>
          <cell r="CD455">
            <v>376.01</v>
          </cell>
          <cell r="CE455">
            <v>371.99200000000002</v>
          </cell>
          <cell r="CF455">
            <v>370.04</v>
          </cell>
          <cell r="CG455">
            <v>1290</v>
          </cell>
          <cell r="CH455">
            <v>1070</v>
          </cell>
          <cell r="CI455">
            <v>112</v>
          </cell>
          <cell r="CJ455">
            <v>300</v>
          </cell>
          <cell r="CK455">
            <v>1263</v>
          </cell>
          <cell r="CM455">
            <v>207.3</v>
          </cell>
          <cell r="CN455">
            <v>17.05</v>
          </cell>
          <cell r="CO455" t="str">
            <v>#N/A N/A</v>
          </cell>
          <cell r="CQ455">
            <v>7.16</v>
          </cell>
          <cell r="CR455">
            <v>90</v>
          </cell>
          <cell r="CS455">
            <v>1862</v>
          </cell>
          <cell r="CU455">
            <v>950</v>
          </cell>
          <cell r="CW455">
            <v>49.771341463414636</v>
          </cell>
          <cell r="CX455">
            <v>694.096</v>
          </cell>
          <cell r="CZ455">
            <v>311.85000000000002</v>
          </cell>
          <cell r="DA455">
            <v>3833.2</v>
          </cell>
          <cell r="DB455">
            <v>11.03</v>
          </cell>
          <cell r="DC455">
            <v>351.1</v>
          </cell>
          <cell r="DD455">
            <v>112.45</v>
          </cell>
        </row>
        <row r="456">
          <cell r="A456">
            <v>39169</v>
          </cell>
          <cell r="C456">
            <v>54</v>
          </cell>
          <cell r="D456" t="str">
            <v>#N/A N/A</v>
          </cell>
          <cell r="E456">
            <v>14.92</v>
          </cell>
          <cell r="L456">
            <v>1439.74</v>
          </cell>
          <cell r="M456">
            <v>2417.1</v>
          </cell>
          <cell r="N456">
            <v>6267.2</v>
          </cell>
          <cell r="O456">
            <v>4198</v>
          </cell>
          <cell r="Q456">
            <v>620</v>
          </cell>
          <cell r="R456">
            <v>388.5</v>
          </cell>
          <cell r="S456">
            <v>456.5</v>
          </cell>
          <cell r="T456">
            <v>770.75</v>
          </cell>
          <cell r="U456">
            <v>17254.73</v>
          </cell>
          <cell r="V456">
            <v>19553.87</v>
          </cell>
          <cell r="W456">
            <v>7788.14</v>
          </cell>
          <cell r="X456">
            <v>70.650000000000006</v>
          </cell>
          <cell r="Y456">
            <v>890</v>
          </cell>
          <cell r="Z456">
            <v>1340</v>
          </cell>
          <cell r="AA456">
            <v>12884.34</v>
          </cell>
          <cell r="AB456">
            <v>5913.3</v>
          </cell>
          <cell r="AC456">
            <v>44484.101600000002</v>
          </cell>
          <cell r="AE456">
            <v>78.05</v>
          </cell>
          <cell r="AF456">
            <v>760</v>
          </cell>
          <cell r="AG456">
            <v>5356</v>
          </cell>
          <cell r="AH456">
            <v>880</v>
          </cell>
          <cell r="AI456">
            <v>1575</v>
          </cell>
          <cell r="AJ456">
            <v>636.82000000000005</v>
          </cell>
          <cell r="AL456">
            <v>1417.23</v>
          </cell>
          <cell r="AP456">
            <v>3173.018</v>
          </cell>
          <cell r="AV456">
            <v>49.75</v>
          </cell>
          <cell r="AZ456">
            <v>271.60000000000002</v>
          </cell>
          <cell r="BE456">
            <v>45050</v>
          </cell>
          <cell r="BG456">
            <v>54.7</v>
          </cell>
          <cell r="BH456">
            <v>279.01</v>
          </cell>
          <cell r="BY456">
            <v>469.11</v>
          </cell>
          <cell r="CD456">
            <v>373.92</v>
          </cell>
          <cell r="CE456">
            <v>370.029</v>
          </cell>
          <cell r="CF456">
            <v>366.43</v>
          </cell>
          <cell r="CG456">
            <v>1290</v>
          </cell>
          <cell r="CH456">
            <v>1070</v>
          </cell>
          <cell r="CI456">
            <v>112</v>
          </cell>
          <cell r="CJ456">
            <v>300</v>
          </cell>
          <cell r="CK456">
            <v>1295</v>
          </cell>
          <cell r="CM456">
            <v>205.72</v>
          </cell>
          <cell r="CN456">
            <v>17.38</v>
          </cell>
          <cell r="CO456" t="str">
            <v>#N/A N/A</v>
          </cell>
          <cell r="CQ456">
            <v>7.47</v>
          </cell>
          <cell r="CR456">
            <v>95</v>
          </cell>
          <cell r="CS456">
            <v>1910</v>
          </cell>
          <cell r="CU456">
            <v>950</v>
          </cell>
          <cell r="CW456">
            <v>49.771341463414636</v>
          </cell>
          <cell r="CX456">
            <v>693.36799999999994</v>
          </cell>
          <cell r="CZ456">
            <v>314.37</v>
          </cell>
          <cell r="DA456">
            <v>3830.8</v>
          </cell>
          <cell r="DB456">
            <v>11.19</v>
          </cell>
          <cell r="DC456">
            <v>351.1</v>
          </cell>
          <cell r="DD456">
            <v>112.7</v>
          </cell>
        </row>
        <row r="457">
          <cell r="A457">
            <v>39170</v>
          </cell>
          <cell r="C457">
            <v>54</v>
          </cell>
          <cell r="D457" t="str">
            <v>#N/A N/A</v>
          </cell>
          <cell r="E457">
            <v>15.54</v>
          </cell>
          <cell r="L457">
            <v>1450.95</v>
          </cell>
          <cell r="M457">
            <v>2417.88</v>
          </cell>
          <cell r="N457">
            <v>6324.2</v>
          </cell>
          <cell r="O457">
            <v>4193</v>
          </cell>
          <cell r="Q457">
            <v>620</v>
          </cell>
          <cell r="R457">
            <v>394.5</v>
          </cell>
          <cell r="S457">
            <v>461</v>
          </cell>
          <cell r="T457">
            <v>778.25</v>
          </cell>
          <cell r="U457">
            <v>17263.939999999999</v>
          </cell>
          <cell r="V457">
            <v>19821.78</v>
          </cell>
          <cell r="W457">
            <v>7848.33</v>
          </cell>
          <cell r="X457">
            <v>70.650000000000006</v>
          </cell>
          <cell r="Y457">
            <v>890</v>
          </cell>
          <cell r="Z457">
            <v>1340</v>
          </cell>
          <cell r="AA457">
            <v>12979.66</v>
          </cell>
          <cell r="AB457">
            <v>5945.7</v>
          </cell>
          <cell r="AC457">
            <v>45355.128900000003</v>
          </cell>
          <cell r="AE457">
            <v>78.150000000000006</v>
          </cell>
          <cell r="AF457">
            <v>760</v>
          </cell>
          <cell r="AG457">
            <v>5355</v>
          </cell>
          <cell r="AH457">
            <v>880</v>
          </cell>
          <cell r="AI457">
            <v>1575</v>
          </cell>
          <cell r="AJ457">
            <v>645.37</v>
          </cell>
          <cell r="AL457">
            <v>1422.53</v>
          </cell>
          <cell r="AP457">
            <v>3197.5369999999998</v>
          </cell>
          <cell r="AV457">
            <v>50.87</v>
          </cell>
          <cell r="AZ457">
            <v>269.60000000000002</v>
          </cell>
          <cell r="BE457">
            <v>45500</v>
          </cell>
          <cell r="BG457">
            <v>54.7</v>
          </cell>
          <cell r="BH457">
            <v>276.08999999999997</v>
          </cell>
          <cell r="BY457">
            <v>464.71</v>
          </cell>
          <cell r="CD457">
            <v>375.55</v>
          </cell>
          <cell r="CE457">
            <v>371.39600000000002</v>
          </cell>
          <cell r="CF457">
            <v>368.7</v>
          </cell>
          <cell r="CG457">
            <v>1290</v>
          </cell>
          <cell r="CH457">
            <v>1070</v>
          </cell>
          <cell r="CI457">
            <v>112</v>
          </cell>
          <cell r="CJ457">
            <v>300</v>
          </cell>
          <cell r="CK457">
            <v>1367</v>
          </cell>
          <cell r="CM457">
            <v>213.55</v>
          </cell>
          <cell r="CN457">
            <v>17.62</v>
          </cell>
          <cell r="CO457" t="str">
            <v>#N/A N/A</v>
          </cell>
          <cell r="CQ457">
            <v>7.35</v>
          </cell>
          <cell r="CR457">
            <v>95</v>
          </cell>
          <cell r="CS457">
            <v>1926</v>
          </cell>
          <cell r="CU457">
            <v>950</v>
          </cell>
          <cell r="CW457">
            <v>51.676829268292686</v>
          </cell>
          <cell r="CX457">
            <v>693.52399999999989</v>
          </cell>
          <cell r="CZ457">
            <v>317.73</v>
          </cell>
          <cell r="DA457">
            <v>3877</v>
          </cell>
          <cell r="DB457">
            <v>10.89</v>
          </cell>
          <cell r="DC457">
            <v>351.1</v>
          </cell>
          <cell r="DD457">
            <v>110.6</v>
          </cell>
        </row>
        <row r="458">
          <cell r="A458">
            <v>39171</v>
          </cell>
          <cell r="C458">
            <v>54</v>
          </cell>
          <cell r="D458" t="str">
            <v>#N/A N/A</v>
          </cell>
          <cell r="E458">
            <v>16.28</v>
          </cell>
          <cell r="L458">
            <v>1452.55</v>
          </cell>
          <cell r="M458">
            <v>2421.64</v>
          </cell>
          <cell r="N458">
            <v>6308</v>
          </cell>
          <cell r="O458">
            <v>4201</v>
          </cell>
          <cell r="Q458">
            <v>620</v>
          </cell>
          <cell r="R458">
            <v>374.5</v>
          </cell>
          <cell r="S458">
            <v>438</v>
          </cell>
          <cell r="T458">
            <v>761.25</v>
          </cell>
          <cell r="U458">
            <v>17287.650000000001</v>
          </cell>
          <cell r="V458">
            <v>19800.93</v>
          </cell>
          <cell r="W458">
            <v>7884.41</v>
          </cell>
          <cell r="X458">
            <v>72.900000000000006</v>
          </cell>
          <cell r="Y458">
            <v>850</v>
          </cell>
          <cell r="Z458">
            <v>1340</v>
          </cell>
          <cell r="AA458">
            <v>13072.1</v>
          </cell>
          <cell r="AB458">
            <v>5978.8</v>
          </cell>
          <cell r="AC458">
            <v>45804.660199999998</v>
          </cell>
          <cell r="AE458">
            <v>80.2</v>
          </cell>
          <cell r="AF458">
            <v>760</v>
          </cell>
          <cell r="AG458">
            <v>5388</v>
          </cell>
          <cell r="AH458">
            <v>890</v>
          </cell>
          <cell r="AI458">
            <v>1575</v>
          </cell>
          <cell r="AJ458">
            <v>648.99</v>
          </cell>
          <cell r="AL458">
            <v>1420.86</v>
          </cell>
          <cell r="AP458">
            <v>3183.9830000000002</v>
          </cell>
          <cell r="AV458">
            <v>50.57</v>
          </cell>
          <cell r="AZ458">
            <v>274</v>
          </cell>
          <cell r="BE458">
            <v>46825</v>
          </cell>
          <cell r="BG458">
            <v>54.5</v>
          </cell>
          <cell r="BH458">
            <v>278.37</v>
          </cell>
          <cell r="BY458">
            <v>465.57</v>
          </cell>
          <cell r="CD458">
            <v>375.3</v>
          </cell>
          <cell r="CE458">
            <v>370.96600000000001</v>
          </cell>
          <cell r="CF458">
            <v>370.11</v>
          </cell>
          <cell r="CG458">
            <v>1280</v>
          </cell>
          <cell r="CH458">
            <v>1060</v>
          </cell>
          <cell r="CI458">
            <v>112</v>
          </cell>
          <cell r="CJ458">
            <v>300</v>
          </cell>
          <cell r="CK458">
            <v>1398</v>
          </cell>
          <cell r="CM458">
            <v>211.15</v>
          </cell>
          <cell r="CN458">
            <v>17.36</v>
          </cell>
          <cell r="CO458" t="str">
            <v>#N/A N/A</v>
          </cell>
          <cell r="CQ458">
            <v>7.5</v>
          </cell>
          <cell r="CR458">
            <v>95</v>
          </cell>
          <cell r="CS458">
            <v>1931</v>
          </cell>
          <cell r="CU458">
            <v>955</v>
          </cell>
          <cell r="CW458">
            <v>51.905487804878049</v>
          </cell>
          <cell r="CX458">
            <v>695.29200000000003</v>
          </cell>
          <cell r="CZ458">
            <v>316.88</v>
          </cell>
          <cell r="DA458">
            <v>3928.9</v>
          </cell>
          <cell r="DB458">
            <v>11.03</v>
          </cell>
          <cell r="DC458">
            <v>351.1</v>
          </cell>
          <cell r="DD458">
            <v>109.25</v>
          </cell>
        </row>
        <row r="459">
          <cell r="A459">
            <v>39172</v>
          </cell>
          <cell r="C459">
            <v>54</v>
          </cell>
          <cell r="D459" t="str">
            <v>#N/A N/A</v>
          </cell>
          <cell r="E459">
            <v>16.28</v>
          </cell>
          <cell r="L459">
            <v>1452.55</v>
          </cell>
          <cell r="M459">
            <v>2421.64</v>
          </cell>
          <cell r="N459">
            <v>6308</v>
          </cell>
          <cell r="O459">
            <v>4201</v>
          </cell>
          <cell r="Q459">
            <v>620</v>
          </cell>
          <cell r="R459">
            <v>374.5</v>
          </cell>
          <cell r="S459">
            <v>438</v>
          </cell>
          <cell r="T459">
            <v>761.25</v>
          </cell>
          <cell r="U459">
            <v>17287.650000000001</v>
          </cell>
          <cell r="V459">
            <v>19800.93</v>
          </cell>
          <cell r="W459">
            <v>7884.41</v>
          </cell>
          <cell r="X459">
            <v>72.900000000000006</v>
          </cell>
          <cell r="Y459">
            <v>850</v>
          </cell>
          <cell r="Z459">
            <v>1340</v>
          </cell>
          <cell r="AA459">
            <v>13072.1</v>
          </cell>
          <cell r="AB459">
            <v>5978.8</v>
          </cell>
          <cell r="AC459">
            <v>45804.660199999998</v>
          </cell>
          <cell r="AE459">
            <v>80.2</v>
          </cell>
          <cell r="AF459">
            <v>760</v>
          </cell>
          <cell r="AG459">
            <v>5388</v>
          </cell>
          <cell r="AH459">
            <v>890</v>
          </cell>
          <cell r="AI459">
            <v>1575</v>
          </cell>
          <cell r="AJ459">
            <v>648.99</v>
          </cell>
          <cell r="AL459">
            <v>1420.86</v>
          </cell>
          <cell r="AP459">
            <v>3183.9830000000002</v>
          </cell>
          <cell r="AV459">
            <v>50.57</v>
          </cell>
          <cell r="AZ459">
            <v>274</v>
          </cell>
          <cell r="BE459">
            <v>46825</v>
          </cell>
          <cell r="BG459">
            <v>54.5</v>
          </cell>
          <cell r="BH459">
            <v>278.37</v>
          </cell>
          <cell r="BY459">
            <v>465.57</v>
          </cell>
          <cell r="CD459">
            <v>375.3</v>
          </cell>
          <cell r="CE459">
            <v>370.96600000000001</v>
          </cell>
          <cell r="CF459">
            <v>370.11</v>
          </cell>
          <cell r="CG459">
            <v>1280</v>
          </cell>
          <cell r="CH459">
            <v>1060</v>
          </cell>
          <cell r="CI459">
            <v>112</v>
          </cell>
          <cell r="CJ459">
            <v>300</v>
          </cell>
          <cell r="CK459">
            <v>1398</v>
          </cell>
          <cell r="CM459">
            <v>211.15</v>
          </cell>
          <cell r="CN459">
            <v>17.36</v>
          </cell>
          <cell r="CO459" t="str">
            <v>#N/A N/A</v>
          </cell>
          <cell r="CQ459">
            <v>7.5</v>
          </cell>
          <cell r="CR459">
            <v>95</v>
          </cell>
          <cell r="CS459">
            <v>1931</v>
          </cell>
          <cell r="CU459">
            <v>955</v>
          </cell>
          <cell r="CW459">
            <v>51.905487804878049</v>
          </cell>
          <cell r="CX459">
            <v>695.29200000000003</v>
          </cell>
          <cell r="CZ459">
            <v>316.88</v>
          </cell>
          <cell r="DA459">
            <v>3928.9</v>
          </cell>
          <cell r="DB459">
            <v>11.03</v>
          </cell>
          <cell r="DC459">
            <v>351.1</v>
          </cell>
          <cell r="DD459">
            <v>109.25</v>
          </cell>
        </row>
        <row r="460">
          <cell r="A460">
            <v>39173</v>
          </cell>
          <cell r="C460">
            <v>54</v>
          </cell>
          <cell r="D460" t="str">
            <v>#N/A N/A</v>
          </cell>
          <cell r="E460">
            <v>16.28</v>
          </cell>
          <cell r="L460">
            <v>1452.55</v>
          </cell>
          <cell r="M460">
            <v>2421.64</v>
          </cell>
          <cell r="N460">
            <v>6308</v>
          </cell>
          <cell r="O460">
            <v>4201</v>
          </cell>
          <cell r="Q460">
            <v>620</v>
          </cell>
          <cell r="R460">
            <v>374.5</v>
          </cell>
          <cell r="S460">
            <v>438</v>
          </cell>
          <cell r="T460">
            <v>761.25</v>
          </cell>
          <cell r="U460">
            <v>17287.650000000001</v>
          </cell>
          <cell r="V460">
            <v>19800.93</v>
          </cell>
          <cell r="W460">
            <v>7884.41</v>
          </cell>
          <cell r="X460">
            <v>72.900000000000006</v>
          </cell>
          <cell r="Y460">
            <v>850</v>
          </cell>
          <cell r="Z460">
            <v>1340</v>
          </cell>
          <cell r="AA460">
            <v>13072.1</v>
          </cell>
          <cell r="AB460">
            <v>5978.8</v>
          </cell>
          <cell r="AC460">
            <v>45804.660199999998</v>
          </cell>
          <cell r="AE460">
            <v>80.2</v>
          </cell>
          <cell r="AF460">
            <v>760</v>
          </cell>
          <cell r="AG460">
            <v>5388</v>
          </cell>
          <cell r="AH460">
            <v>890</v>
          </cell>
          <cell r="AI460">
            <v>1575</v>
          </cell>
          <cell r="AJ460">
            <v>648.99</v>
          </cell>
          <cell r="AL460">
            <v>1420.86</v>
          </cell>
          <cell r="AP460">
            <v>3183.9830000000002</v>
          </cell>
          <cell r="AV460">
            <v>50.57</v>
          </cell>
          <cell r="AZ460">
            <v>274</v>
          </cell>
          <cell r="BE460">
            <v>46825</v>
          </cell>
          <cell r="BG460">
            <v>54.5</v>
          </cell>
          <cell r="BH460">
            <v>278.37</v>
          </cell>
          <cell r="BY460">
            <v>465.57</v>
          </cell>
          <cell r="CD460">
            <v>375.3</v>
          </cell>
          <cell r="CE460">
            <v>370.96600000000001</v>
          </cell>
          <cell r="CF460">
            <v>370.11</v>
          </cell>
          <cell r="CG460">
            <v>1280</v>
          </cell>
          <cell r="CH460">
            <v>1060</v>
          </cell>
          <cell r="CI460">
            <v>112</v>
          </cell>
          <cell r="CJ460">
            <v>300</v>
          </cell>
          <cell r="CK460">
            <v>1398</v>
          </cell>
          <cell r="CM460">
            <v>211.15</v>
          </cell>
          <cell r="CN460">
            <v>17.36</v>
          </cell>
          <cell r="CO460" t="str">
            <v>#N/A N/A</v>
          </cell>
          <cell r="CQ460">
            <v>7.5</v>
          </cell>
          <cell r="CR460">
            <v>95</v>
          </cell>
          <cell r="CS460">
            <v>1931</v>
          </cell>
          <cell r="CU460">
            <v>955</v>
          </cell>
          <cell r="CW460">
            <v>51.905487804878049</v>
          </cell>
          <cell r="CX460">
            <v>695.29200000000003</v>
          </cell>
          <cell r="CZ460">
            <v>316.88</v>
          </cell>
          <cell r="DA460">
            <v>3928.9</v>
          </cell>
          <cell r="DB460">
            <v>11.03</v>
          </cell>
          <cell r="DC460">
            <v>351.1</v>
          </cell>
          <cell r="DD460">
            <v>109.25</v>
          </cell>
        </row>
        <row r="461">
          <cell r="A461">
            <v>39174</v>
          </cell>
          <cell r="C461">
            <v>54</v>
          </cell>
          <cell r="D461" t="str">
            <v>#N/A N/A</v>
          </cell>
          <cell r="E461">
            <v>17.27</v>
          </cell>
          <cell r="L461">
            <v>1459.53</v>
          </cell>
          <cell r="M461">
            <v>2422.2600000000002</v>
          </cell>
          <cell r="N461">
            <v>6315.5</v>
          </cell>
          <cell r="O461">
            <v>4205</v>
          </cell>
          <cell r="Q461">
            <v>620</v>
          </cell>
          <cell r="R461">
            <v>354.75</v>
          </cell>
          <cell r="S461">
            <v>428</v>
          </cell>
          <cell r="T461">
            <v>779</v>
          </cell>
          <cell r="U461">
            <v>17028.41</v>
          </cell>
          <cell r="V461">
            <v>19809.7</v>
          </cell>
          <cell r="W461">
            <v>7884.99</v>
          </cell>
          <cell r="X461">
            <v>71.849999999999994</v>
          </cell>
          <cell r="Y461">
            <v>850</v>
          </cell>
          <cell r="Z461">
            <v>1340</v>
          </cell>
          <cell r="AA461">
            <v>12455.37</v>
          </cell>
          <cell r="AB461">
            <v>5908.2</v>
          </cell>
          <cell r="AC461">
            <v>45597.480499999998</v>
          </cell>
          <cell r="AE461">
            <v>78.650000000000006</v>
          </cell>
          <cell r="AF461">
            <v>760</v>
          </cell>
          <cell r="AG461">
            <v>5417</v>
          </cell>
          <cell r="AH461">
            <v>890</v>
          </cell>
          <cell r="AI461">
            <v>1575</v>
          </cell>
          <cell r="AJ461">
            <v>651.78</v>
          </cell>
          <cell r="AL461">
            <v>1424.55</v>
          </cell>
          <cell r="AP461">
            <v>3252.5949999999998</v>
          </cell>
          <cell r="AV461">
            <v>51.35</v>
          </cell>
          <cell r="AZ461">
            <v>278.2</v>
          </cell>
          <cell r="BE461">
            <v>47650</v>
          </cell>
          <cell r="BG461">
            <v>54.5</v>
          </cell>
          <cell r="BH461">
            <v>281.25</v>
          </cell>
          <cell r="BY461">
            <v>465.45</v>
          </cell>
          <cell r="CD461">
            <v>376.18</v>
          </cell>
          <cell r="CE461">
            <v>371.94499999999999</v>
          </cell>
          <cell r="CF461">
            <v>369.06</v>
          </cell>
          <cell r="CG461">
            <v>1280</v>
          </cell>
          <cell r="CH461">
            <v>1060</v>
          </cell>
          <cell r="CI461">
            <v>112</v>
          </cell>
          <cell r="CJ461">
            <v>300</v>
          </cell>
          <cell r="CK461">
            <v>1357</v>
          </cell>
          <cell r="CM461">
            <v>204.28</v>
          </cell>
          <cell r="CN461">
            <v>16.88</v>
          </cell>
          <cell r="CO461" t="str">
            <v>#N/A N/A</v>
          </cell>
          <cell r="CQ461">
            <v>7.62</v>
          </cell>
          <cell r="CR461">
            <v>95</v>
          </cell>
          <cell r="CS461">
            <v>1937</v>
          </cell>
          <cell r="CU461">
            <v>955</v>
          </cell>
          <cell r="CW461">
            <v>51.676829268292686</v>
          </cell>
          <cell r="CX461">
            <v>695.65600000000006</v>
          </cell>
          <cell r="CZ461">
            <v>315.07</v>
          </cell>
          <cell r="DA461">
            <v>3952.8</v>
          </cell>
          <cell r="DB461">
            <v>10.86</v>
          </cell>
          <cell r="DC461">
            <v>351.1</v>
          </cell>
          <cell r="DD461">
            <v>108.6</v>
          </cell>
        </row>
        <row r="462">
          <cell r="A462">
            <v>39175</v>
          </cell>
          <cell r="C462">
            <v>54</v>
          </cell>
          <cell r="D462" t="str">
            <v>#N/A N/A</v>
          </cell>
          <cell r="E462">
            <v>17.03</v>
          </cell>
          <cell r="L462">
            <v>1463.75</v>
          </cell>
          <cell r="M462">
            <v>2450.33</v>
          </cell>
          <cell r="N462">
            <v>6366.1</v>
          </cell>
          <cell r="O462">
            <v>4212</v>
          </cell>
          <cell r="Q462">
            <v>620</v>
          </cell>
          <cell r="R462">
            <v>346.25</v>
          </cell>
          <cell r="S462">
            <v>419</v>
          </cell>
          <cell r="T462">
            <v>763.75</v>
          </cell>
          <cell r="U462">
            <v>17244.05</v>
          </cell>
          <cell r="V462">
            <v>20002.7</v>
          </cell>
          <cell r="W462">
            <v>7932.91</v>
          </cell>
          <cell r="X462">
            <v>72.75</v>
          </cell>
          <cell r="Y462">
            <v>850</v>
          </cell>
          <cell r="Z462">
            <v>1340</v>
          </cell>
          <cell r="AA462">
            <v>12624.58</v>
          </cell>
          <cell r="AB462">
            <v>5997.6</v>
          </cell>
          <cell r="AC462">
            <v>46288.160199999998</v>
          </cell>
          <cell r="AE462">
            <v>78.849999999999994</v>
          </cell>
          <cell r="AF462">
            <v>760.72</v>
          </cell>
          <cell r="AG462">
            <v>5439</v>
          </cell>
          <cell r="AH462">
            <v>890</v>
          </cell>
          <cell r="AI462">
            <v>1575</v>
          </cell>
          <cell r="AJ462">
            <v>655.22</v>
          </cell>
          <cell r="AL462">
            <v>1437.77</v>
          </cell>
          <cell r="AP462">
            <v>3291.299</v>
          </cell>
          <cell r="AV462">
            <v>52.12</v>
          </cell>
          <cell r="AZ462">
            <v>278.39999999999998</v>
          </cell>
          <cell r="BE462">
            <v>50865</v>
          </cell>
          <cell r="BG462">
            <v>54.5</v>
          </cell>
          <cell r="BH462">
            <v>282.99</v>
          </cell>
          <cell r="BY462">
            <v>468.6</v>
          </cell>
          <cell r="CD462">
            <v>379.71</v>
          </cell>
          <cell r="CE462">
            <v>375.428</v>
          </cell>
          <cell r="CF462">
            <v>372.52</v>
          </cell>
          <cell r="CG462">
            <v>1280</v>
          </cell>
          <cell r="CH462">
            <v>1060</v>
          </cell>
          <cell r="CI462">
            <v>112</v>
          </cell>
          <cell r="CJ462">
            <v>300</v>
          </cell>
          <cell r="CK462">
            <v>1296</v>
          </cell>
          <cell r="CM462">
            <v>201.77</v>
          </cell>
          <cell r="CN462">
            <v>15.99</v>
          </cell>
          <cell r="CO462" t="str">
            <v>#N/A N/A</v>
          </cell>
          <cell r="CQ462">
            <v>7.58</v>
          </cell>
          <cell r="CR462">
            <v>95</v>
          </cell>
          <cell r="CS462">
            <v>1974</v>
          </cell>
          <cell r="CU462">
            <v>955</v>
          </cell>
          <cell r="CW462">
            <v>51.753048780487809</v>
          </cell>
          <cell r="CX462">
            <v>694.66800000000001</v>
          </cell>
          <cell r="CZ462">
            <v>313.77999999999997</v>
          </cell>
          <cell r="DA462">
            <v>4116.8999999999996</v>
          </cell>
          <cell r="DB462">
            <v>10.81</v>
          </cell>
          <cell r="DC462">
            <v>351.1</v>
          </cell>
          <cell r="DD462">
            <v>110.75</v>
          </cell>
        </row>
        <row r="463">
          <cell r="A463">
            <v>39176</v>
          </cell>
          <cell r="C463">
            <v>54</v>
          </cell>
          <cell r="D463" t="str">
            <v>#N/A N/A</v>
          </cell>
          <cell r="E463">
            <v>17.03</v>
          </cell>
          <cell r="L463">
            <v>1483.41</v>
          </cell>
          <cell r="M463">
            <v>2458.69</v>
          </cell>
          <cell r="N463">
            <v>6364.7</v>
          </cell>
          <cell r="O463">
            <v>4230</v>
          </cell>
          <cell r="Q463">
            <v>620</v>
          </cell>
          <cell r="R463">
            <v>359.25</v>
          </cell>
          <cell r="S463">
            <v>431.25</v>
          </cell>
          <cell r="T463">
            <v>761</v>
          </cell>
          <cell r="U463">
            <v>17544.09</v>
          </cell>
          <cell r="V463">
            <v>20209.71</v>
          </cell>
          <cell r="W463">
            <v>8004.61</v>
          </cell>
          <cell r="X463">
            <v>72.349999999999994</v>
          </cell>
          <cell r="Y463">
            <v>850</v>
          </cell>
          <cell r="Z463">
            <v>1340</v>
          </cell>
          <cell r="AA463">
            <v>12786.77</v>
          </cell>
          <cell r="AB463">
            <v>6079</v>
          </cell>
          <cell r="AC463">
            <v>46553.929700000001</v>
          </cell>
          <cell r="AE463">
            <v>78.349999999999994</v>
          </cell>
          <cell r="AF463">
            <v>760.72</v>
          </cell>
          <cell r="AG463">
            <v>5487</v>
          </cell>
          <cell r="AH463">
            <v>890</v>
          </cell>
          <cell r="AI463">
            <v>1575</v>
          </cell>
          <cell r="AJ463">
            <v>660.81</v>
          </cell>
          <cell r="AL463">
            <v>1439.37</v>
          </cell>
          <cell r="AP463">
            <v>3291.5419999999999</v>
          </cell>
          <cell r="AV463">
            <v>52.25</v>
          </cell>
          <cell r="AZ463">
            <v>277.10000000000002</v>
          </cell>
          <cell r="BE463">
            <v>51735</v>
          </cell>
          <cell r="BG463">
            <v>54.5</v>
          </cell>
          <cell r="BH463">
            <v>289.38</v>
          </cell>
          <cell r="BY463">
            <v>473.02</v>
          </cell>
          <cell r="CD463">
            <v>381.37</v>
          </cell>
          <cell r="CE463">
            <v>376.84399999999999</v>
          </cell>
          <cell r="CF463">
            <v>378.11</v>
          </cell>
          <cell r="CG463">
            <v>1280</v>
          </cell>
          <cell r="CH463">
            <v>1060</v>
          </cell>
          <cell r="CI463">
            <v>112</v>
          </cell>
          <cell r="CJ463">
            <v>300</v>
          </cell>
          <cell r="CK463">
            <v>1237</v>
          </cell>
          <cell r="CM463">
            <v>210.54</v>
          </cell>
          <cell r="CN463">
            <v>16.190000000000001</v>
          </cell>
          <cell r="CO463" t="str">
            <v>#N/A N/A</v>
          </cell>
          <cell r="CQ463">
            <v>7.46</v>
          </cell>
          <cell r="CR463">
            <v>95</v>
          </cell>
          <cell r="CS463">
            <v>2026.5</v>
          </cell>
          <cell r="CU463">
            <v>955</v>
          </cell>
          <cell r="CW463">
            <v>52.286585365853661</v>
          </cell>
          <cell r="CX463">
            <v>695.39599999999996</v>
          </cell>
          <cell r="CZ463">
            <v>316.72000000000003</v>
          </cell>
          <cell r="DA463">
            <v>4215.1000000000004</v>
          </cell>
          <cell r="DB463">
            <v>10.86</v>
          </cell>
          <cell r="DC463">
            <v>351.1</v>
          </cell>
          <cell r="DD463">
            <v>110.55</v>
          </cell>
        </row>
        <row r="464">
          <cell r="A464">
            <v>39177</v>
          </cell>
          <cell r="C464">
            <v>54</v>
          </cell>
          <cell r="D464" t="str">
            <v>#N/A N/A</v>
          </cell>
          <cell r="E464">
            <v>17.03</v>
          </cell>
          <cell r="L464">
            <v>1482.04</v>
          </cell>
          <cell r="M464">
            <v>2471.34</v>
          </cell>
          <cell r="N464">
            <v>6397.3</v>
          </cell>
          <cell r="O464">
            <v>4230</v>
          </cell>
          <cell r="Q464">
            <v>620</v>
          </cell>
          <cell r="R464">
            <v>366</v>
          </cell>
          <cell r="S464">
            <v>445</v>
          </cell>
          <cell r="T464">
            <v>760.5</v>
          </cell>
          <cell r="U464">
            <v>17491.419999999998</v>
          </cell>
          <cell r="V464">
            <v>20209.71</v>
          </cell>
          <cell r="W464">
            <v>8004.61</v>
          </cell>
          <cell r="X464">
            <v>74.45</v>
          </cell>
          <cell r="Y464">
            <v>850</v>
          </cell>
          <cell r="Z464">
            <v>1340</v>
          </cell>
          <cell r="AA464">
            <v>12856.08</v>
          </cell>
          <cell r="AB464">
            <v>6063.4</v>
          </cell>
          <cell r="AC464">
            <v>46646.570299999999</v>
          </cell>
          <cell r="AE464">
            <v>80.45</v>
          </cell>
          <cell r="AF464">
            <v>760.72</v>
          </cell>
          <cell r="AG464">
            <v>5532</v>
          </cell>
          <cell r="AH464">
            <v>890</v>
          </cell>
          <cell r="AI464">
            <v>1575</v>
          </cell>
          <cell r="AJ464">
            <v>663.98</v>
          </cell>
          <cell r="AL464">
            <v>1443.76</v>
          </cell>
          <cell r="AP464">
            <v>3319.14</v>
          </cell>
          <cell r="AV464">
            <v>52.43</v>
          </cell>
          <cell r="AZ464">
            <v>274</v>
          </cell>
          <cell r="BE464">
            <v>52150</v>
          </cell>
          <cell r="BG464">
            <v>54.5</v>
          </cell>
          <cell r="BH464">
            <v>291.98</v>
          </cell>
          <cell r="BY464">
            <v>475.6</v>
          </cell>
          <cell r="CD464">
            <v>382.43</v>
          </cell>
          <cell r="CE464">
            <v>377.88200000000001</v>
          </cell>
          <cell r="CF464">
            <v>378.65</v>
          </cell>
          <cell r="CG464">
            <v>1280</v>
          </cell>
          <cell r="CH464">
            <v>1060</v>
          </cell>
          <cell r="CI464">
            <v>112</v>
          </cell>
          <cell r="CJ464">
            <v>300</v>
          </cell>
          <cell r="CK464">
            <v>1190</v>
          </cell>
          <cell r="CM464">
            <v>212.88</v>
          </cell>
          <cell r="CN464">
            <v>16.55</v>
          </cell>
          <cell r="CO464" t="str">
            <v>#N/A N/A</v>
          </cell>
          <cell r="CQ464">
            <v>7.53</v>
          </cell>
          <cell r="CR464">
            <v>95</v>
          </cell>
          <cell r="CS464">
            <v>2004</v>
          </cell>
          <cell r="CU464">
            <v>955</v>
          </cell>
          <cell r="CW464">
            <v>53.277439024390247</v>
          </cell>
          <cell r="CX464">
            <v>698.1</v>
          </cell>
          <cell r="CZ464">
            <v>317.60000000000002</v>
          </cell>
          <cell r="DA464">
            <v>4172.8999999999996</v>
          </cell>
          <cell r="DB464">
            <v>10.86</v>
          </cell>
          <cell r="DC464">
            <v>351.1</v>
          </cell>
          <cell r="DD464">
            <v>110.85</v>
          </cell>
        </row>
        <row r="465">
          <cell r="A465">
            <v>39178</v>
          </cell>
          <cell r="C465">
            <v>54</v>
          </cell>
          <cell r="D465" t="str">
            <v>#N/A N/A</v>
          </cell>
          <cell r="E465">
            <v>17.03</v>
          </cell>
          <cell r="L465">
            <v>1484.15</v>
          </cell>
          <cell r="M465">
            <v>2471.34</v>
          </cell>
          <cell r="N465">
            <v>6397.3</v>
          </cell>
          <cell r="O465">
            <v>4235</v>
          </cell>
          <cell r="Q465">
            <v>620</v>
          </cell>
          <cell r="R465">
            <v>366</v>
          </cell>
          <cell r="S465">
            <v>445</v>
          </cell>
          <cell r="T465">
            <v>760.5</v>
          </cell>
          <cell r="U465">
            <v>17484.78</v>
          </cell>
          <cell r="V465">
            <v>20209.71</v>
          </cell>
          <cell r="W465">
            <v>8004.61</v>
          </cell>
          <cell r="X465">
            <v>74.45</v>
          </cell>
          <cell r="Y465">
            <v>840</v>
          </cell>
          <cell r="Z465">
            <v>1340</v>
          </cell>
          <cell r="AA465">
            <v>12856.08</v>
          </cell>
          <cell r="AB465">
            <v>6063.4</v>
          </cell>
          <cell r="AC465">
            <v>46646.570299999999</v>
          </cell>
          <cell r="AE465">
            <v>80.45</v>
          </cell>
          <cell r="AF465">
            <v>760.72</v>
          </cell>
          <cell r="AG465">
            <v>5532</v>
          </cell>
          <cell r="AH465">
            <v>900</v>
          </cell>
          <cell r="AI465">
            <v>1600</v>
          </cell>
          <cell r="AJ465">
            <v>666</v>
          </cell>
          <cell r="AL465">
            <v>1443.76</v>
          </cell>
          <cell r="AP465">
            <v>3323.585</v>
          </cell>
          <cell r="AV465">
            <v>52.43</v>
          </cell>
          <cell r="AZ465">
            <v>277.3</v>
          </cell>
          <cell r="BE465">
            <v>52150</v>
          </cell>
          <cell r="BG465">
            <v>54.5</v>
          </cell>
          <cell r="BH465">
            <v>293.12</v>
          </cell>
          <cell r="BY465">
            <v>475.6</v>
          </cell>
          <cell r="CD465">
            <v>382.34</v>
          </cell>
          <cell r="CE465">
            <v>377.786</v>
          </cell>
          <cell r="CF465">
            <v>378.57</v>
          </cell>
          <cell r="CG465">
            <v>1290</v>
          </cell>
          <cell r="CH465">
            <v>1050</v>
          </cell>
          <cell r="CI465">
            <v>112</v>
          </cell>
          <cell r="CJ465">
            <v>300</v>
          </cell>
          <cell r="CK465">
            <v>1190</v>
          </cell>
          <cell r="CM465">
            <v>212.88</v>
          </cell>
          <cell r="CN465">
            <v>16.55</v>
          </cell>
          <cell r="CO465" t="str">
            <v>#N/A N/A</v>
          </cell>
          <cell r="CQ465">
            <v>7.53</v>
          </cell>
          <cell r="CR465">
            <v>95</v>
          </cell>
          <cell r="CS465">
            <v>2004</v>
          </cell>
          <cell r="CU465">
            <v>960</v>
          </cell>
          <cell r="CW465">
            <v>53.277439024390247</v>
          </cell>
          <cell r="CX465">
            <v>695.34399999999994</v>
          </cell>
          <cell r="CZ465">
            <v>317.60000000000002</v>
          </cell>
          <cell r="DA465">
            <v>4172.8999999999996</v>
          </cell>
          <cell r="DB465">
            <v>10.86</v>
          </cell>
          <cell r="DC465">
            <v>351.1</v>
          </cell>
          <cell r="DD465">
            <v>110.85</v>
          </cell>
        </row>
        <row r="466">
          <cell r="A466">
            <v>39179</v>
          </cell>
          <cell r="C466">
            <v>54</v>
          </cell>
          <cell r="D466" t="str">
            <v>#N/A N/A</v>
          </cell>
          <cell r="E466">
            <v>17.03</v>
          </cell>
          <cell r="L466">
            <v>1484.15</v>
          </cell>
          <cell r="M466">
            <v>2471.34</v>
          </cell>
          <cell r="N466">
            <v>6397.3</v>
          </cell>
          <cell r="O466">
            <v>4235</v>
          </cell>
          <cell r="Q466">
            <v>620</v>
          </cell>
          <cell r="R466">
            <v>366</v>
          </cell>
          <cell r="S466">
            <v>445</v>
          </cell>
          <cell r="T466">
            <v>760.5</v>
          </cell>
          <cell r="U466">
            <v>17484.78</v>
          </cell>
          <cell r="V466">
            <v>20209.71</v>
          </cell>
          <cell r="W466">
            <v>8004.61</v>
          </cell>
          <cell r="X466">
            <v>74.45</v>
          </cell>
          <cell r="Y466">
            <v>840</v>
          </cell>
          <cell r="Z466">
            <v>1340</v>
          </cell>
          <cell r="AA466">
            <v>12856.08</v>
          </cell>
          <cell r="AB466">
            <v>6063.4</v>
          </cell>
          <cell r="AC466">
            <v>46646.570299999999</v>
          </cell>
          <cell r="AE466">
            <v>80.45</v>
          </cell>
          <cell r="AF466">
            <v>760.72</v>
          </cell>
          <cell r="AG466">
            <v>5532</v>
          </cell>
          <cell r="AH466">
            <v>900</v>
          </cell>
          <cell r="AI466">
            <v>1600</v>
          </cell>
          <cell r="AJ466">
            <v>666</v>
          </cell>
          <cell r="AL466">
            <v>1443.76</v>
          </cell>
          <cell r="AP466">
            <v>3323.585</v>
          </cell>
          <cell r="AV466">
            <v>52.43</v>
          </cell>
          <cell r="AZ466">
            <v>277.3</v>
          </cell>
          <cell r="BE466">
            <v>52150</v>
          </cell>
          <cell r="BG466">
            <v>54.5</v>
          </cell>
          <cell r="BH466">
            <v>293.12</v>
          </cell>
          <cell r="BY466">
            <v>475.6</v>
          </cell>
          <cell r="CD466">
            <v>382.34</v>
          </cell>
          <cell r="CE466">
            <v>377.786</v>
          </cell>
          <cell r="CF466">
            <v>378.57</v>
          </cell>
          <cell r="CG466">
            <v>1290</v>
          </cell>
          <cell r="CH466">
            <v>1050</v>
          </cell>
          <cell r="CI466">
            <v>112</v>
          </cell>
          <cell r="CJ466">
            <v>300</v>
          </cell>
          <cell r="CK466">
            <v>1190</v>
          </cell>
          <cell r="CM466">
            <v>212.88</v>
          </cell>
          <cell r="CN466">
            <v>16.55</v>
          </cell>
          <cell r="CO466" t="str">
            <v>#N/A N/A</v>
          </cell>
          <cell r="CQ466">
            <v>7.53</v>
          </cell>
          <cell r="CR466">
            <v>95</v>
          </cell>
          <cell r="CS466">
            <v>2004</v>
          </cell>
          <cell r="CU466">
            <v>960</v>
          </cell>
          <cell r="CW466">
            <v>53.277439024390247</v>
          </cell>
          <cell r="CX466">
            <v>695.34399999999994</v>
          </cell>
          <cell r="CZ466">
            <v>317.60000000000002</v>
          </cell>
          <cell r="DA466">
            <v>4172.8999999999996</v>
          </cell>
          <cell r="DB466">
            <v>10.86</v>
          </cell>
          <cell r="DC466">
            <v>351.1</v>
          </cell>
          <cell r="DD466">
            <v>110.85</v>
          </cell>
        </row>
        <row r="467">
          <cell r="A467">
            <v>39180</v>
          </cell>
          <cell r="C467">
            <v>54</v>
          </cell>
          <cell r="D467" t="str">
            <v>#N/A N/A</v>
          </cell>
          <cell r="E467">
            <v>17.03</v>
          </cell>
          <cell r="L467">
            <v>1484.15</v>
          </cell>
          <cell r="M467">
            <v>2471.34</v>
          </cell>
          <cell r="N467">
            <v>6397.3</v>
          </cell>
          <cell r="O467">
            <v>4235</v>
          </cell>
          <cell r="Q467">
            <v>620</v>
          </cell>
          <cell r="R467">
            <v>366</v>
          </cell>
          <cell r="S467">
            <v>445</v>
          </cell>
          <cell r="T467">
            <v>760.5</v>
          </cell>
          <cell r="U467">
            <v>17484.78</v>
          </cell>
          <cell r="V467">
            <v>20209.71</v>
          </cell>
          <cell r="W467">
            <v>8004.61</v>
          </cell>
          <cell r="X467">
            <v>74.45</v>
          </cell>
          <cell r="Y467">
            <v>840</v>
          </cell>
          <cell r="Z467">
            <v>1340</v>
          </cell>
          <cell r="AA467">
            <v>12856.08</v>
          </cell>
          <cell r="AB467">
            <v>6063.4</v>
          </cell>
          <cell r="AC467">
            <v>46646.570299999999</v>
          </cell>
          <cell r="AE467">
            <v>80.45</v>
          </cell>
          <cell r="AF467">
            <v>760.72</v>
          </cell>
          <cell r="AG467">
            <v>5532</v>
          </cell>
          <cell r="AH467">
            <v>900</v>
          </cell>
          <cell r="AI467">
            <v>1600</v>
          </cell>
          <cell r="AJ467">
            <v>666</v>
          </cell>
          <cell r="AL467">
            <v>1443.76</v>
          </cell>
          <cell r="AP467">
            <v>3323.585</v>
          </cell>
          <cell r="AV467">
            <v>52.43</v>
          </cell>
          <cell r="AZ467">
            <v>277.3</v>
          </cell>
          <cell r="BE467">
            <v>52150</v>
          </cell>
          <cell r="BG467">
            <v>54.5</v>
          </cell>
          <cell r="BH467">
            <v>293.12</v>
          </cell>
          <cell r="BY467">
            <v>475.6</v>
          </cell>
          <cell r="CD467">
            <v>382.34</v>
          </cell>
          <cell r="CE467">
            <v>377.786</v>
          </cell>
          <cell r="CF467">
            <v>378.57</v>
          </cell>
          <cell r="CG467">
            <v>1290</v>
          </cell>
          <cell r="CH467">
            <v>1050</v>
          </cell>
          <cell r="CI467">
            <v>112</v>
          </cell>
          <cell r="CJ467">
            <v>300</v>
          </cell>
          <cell r="CK467">
            <v>1190</v>
          </cell>
          <cell r="CM467">
            <v>212.88</v>
          </cell>
          <cell r="CN467">
            <v>16.55</v>
          </cell>
          <cell r="CO467" t="str">
            <v>#N/A N/A</v>
          </cell>
          <cell r="CQ467">
            <v>7.53</v>
          </cell>
          <cell r="CR467">
            <v>95</v>
          </cell>
          <cell r="CS467">
            <v>2004</v>
          </cell>
          <cell r="CU467">
            <v>960</v>
          </cell>
          <cell r="CW467">
            <v>53.277439024390247</v>
          </cell>
          <cell r="CX467">
            <v>695.34399999999994</v>
          </cell>
          <cell r="CZ467">
            <v>317.60000000000002</v>
          </cell>
          <cell r="DA467">
            <v>4172.8999999999996</v>
          </cell>
          <cell r="DB467">
            <v>10.86</v>
          </cell>
          <cell r="DC467">
            <v>351.1</v>
          </cell>
          <cell r="DD467">
            <v>110.85</v>
          </cell>
        </row>
        <row r="468">
          <cell r="A468">
            <v>39181</v>
          </cell>
          <cell r="C468">
            <v>54</v>
          </cell>
          <cell r="D468" t="str">
            <v>#N/A N/A</v>
          </cell>
          <cell r="E468">
            <v>17.05</v>
          </cell>
          <cell r="L468">
            <v>1501.06</v>
          </cell>
          <cell r="M468">
            <v>2469.1799999999998</v>
          </cell>
          <cell r="N468">
            <v>6397.3</v>
          </cell>
          <cell r="O468">
            <v>4238</v>
          </cell>
          <cell r="Q468">
            <v>620</v>
          </cell>
          <cell r="R468">
            <v>363.5</v>
          </cell>
          <cell r="S468">
            <v>447.5</v>
          </cell>
          <cell r="T468">
            <v>749</v>
          </cell>
          <cell r="U468">
            <v>17743.759999999998</v>
          </cell>
          <cell r="V468">
            <v>20209.71</v>
          </cell>
          <cell r="W468">
            <v>8056.56</v>
          </cell>
          <cell r="X468">
            <v>73.95</v>
          </cell>
          <cell r="Y468">
            <v>840</v>
          </cell>
          <cell r="Z468">
            <v>1340</v>
          </cell>
          <cell r="AA468">
            <v>13177.74</v>
          </cell>
          <cell r="AB468">
            <v>6063.4</v>
          </cell>
          <cell r="AC468">
            <v>46854.710899999998</v>
          </cell>
          <cell r="AE468">
            <v>79.5</v>
          </cell>
          <cell r="AF468">
            <v>760.72</v>
          </cell>
          <cell r="AG468">
            <v>5532</v>
          </cell>
          <cell r="AH468">
            <v>900</v>
          </cell>
          <cell r="AI468">
            <v>1600</v>
          </cell>
          <cell r="AJ468">
            <v>670.54</v>
          </cell>
          <cell r="AL468">
            <v>1444.61</v>
          </cell>
          <cell r="AP468">
            <v>3398.95</v>
          </cell>
          <cell r="AV468">
            <v>52.74</v>
          </cell>
          <cell r="AZ468">
            <v>280.89999999999998</v>
          </cell>
          <cell r="BE468">
            <v>52150</v>
          </cell>
          <cell r="BG468">
            <v>54.5</v>
          </cell>
          <cell r="BH468">
            <v>296.56</v>
          </cell>
          <cell r="BY468">
            <v>472.77</v>
          </cell>
          <cell r="CD468">
            <v>382.27</v>
          </cell>
          <cell r="CE468">
            <v>377.46499999999997</v>
          </cell>
          <cell r="CF468">
            <v>381.6</v>
          </cell>
          <cell r="CG468">
            <v>1290</v>
          </cell>
          <cell r="CH468">
            <v>1050</v>
          </cell>
          <cell r="CI468">
            <v>112</v>
          </cell>
          <cell r="CJ468">
            <v>300</v>
          </cell>
          <cell r="CK468">
            <v>1190</v>
          </cell>
          <cell r="CM468">
            <v>209.46</v>
          </cell>
          <cell r="CN468">
            <v>16.55</v>
          </cell>
          <cell r="CO468" t="str">
            <v>#N/A N/A</v>
          </cell>
          <cell r="CQ468">
            <v>7.65</v>
          </cell>
          <cell r="CR468">
            <v>95</v>
          </cell>
          <cell r="CS468">
            <v>2004</v>
          </cell>
          <cell r="CU468">
            <v>960</v>
          </cell>
          <cell r="CW468">
            <v>52.362804878048784</v>
          </cell>
          <cell r="CX468">
            <v>693.88800000000003</v>
          </cell>
          <cell r="CZ468">
            <v>314.54000000000002</v>
          </cell>
          <cell r="DA468">
            <v>4172.8999999999996</v>
          </cell>
          <cell r="DB468">
            <v>11.16</v>
          </cell>
          <cell r="DC468">
            <v>351.1</v>
          </cell>
          <cell r="DD468">
            <v>109.65</v>
          </cell>
        </row>
        <row r="469">
          <cell r="A469">
            <v>39182</v>
          </cell>
          <cell r="C469">
            <v>46</v>
          </cell>
          <cell r="D469" t="str">
            <v>#N/A N/A</v>
          </cell>
          <cell r="E469">
            <v>17.059999999999999</v>
          </cell>
          <cell r="L469">
            <v>1499.16</v>
          </cell>
          <cell r="M469">
            <v>2477.61</v>
          </cell>
          <cell r="N469">
            <v>6417.8</v>
          </cell>
          <cell r="O469">
            <v>4266</v>
          </cell>
          <cell r="Q469">
            <v>620</v>
          </cell>
          <cell r="R469">
            <v>369</v>
          </cell>
          <cell r="S469">
            <v>457.75</v>
          </cell>
          <cell r="T469">
            <v>742.5</v>
          </cell>
          <cell r="U469">
            <v>17664.689999999999</v>
          </cell>
          <cell r="V469">
            <v>20347.87</v>
          </cell>
          <cell r="W469">
            <v>8048.39</v>
          </cell>
          <cell r="X469">
            <v>73.05</v>
          </cell>
          <cell r="Y469">
            <v>840</v>
          </cell>
          <cell r="Z469">
            <v>1340</v>
          </cell>
          <cell r="AA469">
            <v>13189.54</v>
          </cell>
          <cell r="AB469">
            <v>6139.1</v>
          </cell>
          <cell r="AC469">
            <v>47174.070299999999</v>
          </cell>
          <cell r="AE469">
            <v>79.45</v>
          </cell>
          <cell r="AF469">
            <v>766.91</v>
          </cell>
          <cell r="AG469">
            <v>5552</v>
          </cell>
          <cell r="AH469">
            <v>900</v>
          </cell>
          <cell r="AI469">
            <v>1600</v>
          </cell>
          <cell r="AJ469">
            <v>674.41</v>
          </cell>
          <cell r="AL469">
            <v>1448.39</v>
          </cell>
          <cell r="AP469">
            <v>3444.2910000000002</v>
          </cell>
          <cell r="AV469">
            <v>52.68</v>
          </cell>
          <cell r="AZ469">
            <v>280.10000000000002</v>
          </cell>
          <cell r="BE469">
            <v>50750</v>
          </cell>
          <cell r="BG469">
            <v>54.5</v>
          </cell>
          <cell r="BH469">
            <v>297.48</v>
          </cell>
          <cell r="BY469">
            <v>476.58</v>
          </cell>
          <cell r="CD469">
            <v>384.44</v>
          </cell>
          <cell r="CE469">
            <v>379.68799999999999</v>
          </cell>
          <cell r="CF469">
            <v>382.43</v>
          </cell>
          <cell r="CG469">
            <v>1290</v>
          </cell>
          <cell r="CH469">
            <v>1050</v>
          </cell>
          <cell r="CI469">
            <v>112</v>
          </cell>
          <cell r="CJ469">
            <v>300</v>
          </cell>
          <cell r="CK469">
            <v>1141</v>
          </cell>
          <cell r="CM469">
            <v>212.3</v>
          </cell>
          <cell r="CN469">
            <v>16.649999999999999</v>
          </cell>
          <cell r="CO469" t="str">
            <v>#N/A N/A</v>
          </cell>
          <cell r="CQ469">
            <v>7.65</v>
          </cell>
          <cell r="CR469">
            <v>95</v>
          </cell>
          <cell r="CS469">
            <v>2028</v>
          </cell>
          <cell r="CU469">
            <v>960</v>
          </cell>
          <cell r="CW469">
            <v>50.990853658536587</v>
          </cell>
          <cell r="CX469">
            <v>698.62</v>
          </cell>
          <cell r="CZ469">
            <v>316.44</v>
          </cell>
          <cell r="DA469">
            <v>4271.3999999999996</v>
          </cell>
          <cell r="DB469">
            <v>11.08</v>
          </cell>
          <cell r="DC469">
            <v>351.1</v>
          </cell>
          <cell r="DD469">
            <v>109.25</v>
          </cell>
        </row>
        <row r="470">
          <cell r="A470">
            <v>39183</v>
          </cell>
          <cell r="C470">
            <v>46</v>
          </cell>
          <cell r="D470" t="str">
            <v>#N/A N/A</v>
          </cell>
          <cell r="E470">
            <v>16.75</v>
          </cell>
          <cell r="L470">
            <v>1513.42</v>
          </cell>
          <cell r="M470">
            <v>2459.31</v>
          </cell>
          <cell r="N470">
            <v>6413.3</v>
          </cell>
          <cell r="O470">
            <v>4263</v>
          </cell>
          <cell r="Q470">
            <v>620</v>
          </cell>
          <cell r="R470">
            <v>360.75</v>
          </cell>
          <cell r="S470">
            <v>456.25</v>
          </cell>
          <cell r="T470">
            <v>746.5</v>
          </cell>
          <cell r="U470">
            <v>17670.07</v>
          </cell>
          <cell r="V470">
            <v>20449.43</v>
          </cell>
          <cell r="W470">
            <v>8084.45</v>
          </cell>
          <cell r="X470">
            <v>73.45</v>
          </cell>
          <cell r="Y470">
            <v>840</v>
          </cell>
          <cell r="Z470">
            <v>1340</v>
          </cell>
          <cell r="AA470">
            <v>13183.24</v>
          </cell>
          <cell r="AB470">
            <v>6136.1</v>
          </cell>
          <cell r="AC470">
            <v>46939.191400000003</v>
          </cell>
          <cell r="AE470">
            <v>80.3</v>
          </cell>
          <cell r="AF470">
            <v>766.91</v>
          </cell>
          <cell r="AG470">
            <v>5556</v>
          </cell>
          <cell r="AH470">
            <v>900</v>
          </cell>
          <cell r="AI470">
            <v>1600</v>
          </cell>
          <cell r="AJ470">
            <v>676.7</v>
          </cell>
          <cell r="AL470">
            <v>1438.87</v>
          </cell>
          <cell r="AP470">
            <v>3495.2240000000002</v>
          </cell>
          <cell r="AV470">
            <v>52.57</v>
          </cell>
          <cell r="AZ470">
            <v>281.8</v>
          </cell>
          <cell r="BE470">
            <v>49350</v>
          </cell>
          <cell r="BG470">
            <v>54.5</v>
          </cell>
          <cell r="BH470">
            <v>295.83999999999997</v>
          </cell>
          <cell r="BY470">
            <v>471.28</v>
          </cell>
          <cell r="CD470">
            <v>383.29</v>
          </cell>
          <cell r="CE470">
            <v>378.33</v>
          </cell>
          <cell r="CF470">
            <v>385.43</v>
          </cell>
          <cell r="CG470">
            <v>1290</v>
          </cell>
          <cell r="CH470">
            <v>1050</v>
          </cell>
          <cell r="CI470">
            <v>112</v>
          </cell>
          <cell r="CJ470">
            <v>300</v>
          </cell>
          <cell r="CK470">
            <v>1097</v>
          </cell>
          <cell r="CM470">
            <v>215.87</v>
          </cell>
          <cell r="CN470">
            <v>16.89</v>
          </cell>
          <cell r="CO470" t="str">
            <v>#N/A N/A</v>
          </cell>
          <cell r="CQ470">
            <v>7.97</v>
          </cell>
          <cell r="CR470">
            <v>113</v>
          </cell>
          <cell r="CS470">
            <v>1977.5</v>
          </cell>
          <cell r="CU470">
            <v>960</v>
          </cell>
          <cell r="CW470">
            <v>51.448170731707322</v>
          </cell>
          <cell r="CX470">
            <v>698.30799999999999</v>
          </cell>
          <cell r="CZ470">
            <v>316.58</v>
          </cell>
          <cell r="DA470">
            <v>4269.8999999999996</v>
          </cell>
          <cell r="DB470">
            <v>11.16</v>
          </cell>
          <cell r="DC470">
            <v>351.1</v>
          </cell>
          <cell r="DD470">
            <v>109.45</v>
          </cell>
        </row>
        <row r="471">
          <cell r="A471">
            <v>39184</v>
          </cell>
          <cell r="C471">
            <v>46</v>
          </cell>
          <cell r="D471" t="str">
            <v>#N/A N/A</v>
          </cell>
          <cell r="E471">
            <v>16.43</v>
          </cell>
          <cell r="L471">
            <v>1525.61</v>
          </cell>
          <cell r="M471">
            <v>2480.3200000000002</v>
          </cell>
          <cell r="N471">
            <v>6416.4</v>
          </cell>
          <cell r="O471">
            <v>4263</v>
          </cell>
          <cell r="Q471">
            <v>620</v>
          </cell>
          <cell r="R471">
            <v>358.75</v>
          </cell>
          <cell r="S471">
            <v>458</v>
          </cell>
          <cell r="T471">
            <v>738.25</v>
          </cell>
          <cell r="U471">
            <v>17540.419999999998</v>
          </cell>
          <cell r="V471">
            <v>20380.21</v>
          </cell>
          <cell r="W471">
            <v>8075.2</v>
          </cell>
          <cell r="X471">
            <v>72.95</v>
          </cell>
          <cell r="Y471">
            <v>840</v>
          </cell>
          <cell r="Z471">
            <v>1340</v>
          </cell>
          <cell r="AA471">
            <v>13113.81</v>
          </cell>
          <cell r="AB471">
            <v>6142.8</v>
          </cell>
          <cell r="AC471">
            <v>47346.558599999997</v>
          </cell>
          <cell r="AE471">
            <v>81.95</v>
          </cell>
          <cell r="AF471">
            <v>766.91</v>
          </cell>
          <cell r="AG471">
            <v>5546</v>
          </cell>
          <cell r="AH471">
            <v>900</v>
          </cell>
          <cell r="AI471">
            <v>1600</v>
          </cell>
          <cell r="AJ471">
            <v>681.19</v>
          </cell>
          <cell r="AL471">
            <v>1447.8</v>
          </cell>
          <cell r="AP471">
            <v>3531.029</v>
          </cell>
          <cell r="AV471">
            <v>53.82</v>
          </cell>
          <cell r="AZ471">
            <v>285.5</v>
          </cell>
          <cell r="BE471">
            <v>48550</v>
          </cell>
          <cell r="BG471">
            <v>54.5</v>
          </cell>
          <cell r="BH471">
            <v>298.52999999999997</v>
          </cell>
          <cell r="BY471">
            <v>475.88</v>
          </cell>
          <cell r="CD471">
            <v>384.36</v>
          </cell>
          <cell r="CE471">
            <v>379.49</v>
          </cell>
          <cell r="CF471">
            <v>385.2</v>
          </cell>
          <cell r="CG471">
            <v>1290</v>
          </cell>
          <cell r="CH471">
            <v>1050</v>
          </cell>
          <cell r="CI471">
            <v>112</v>
          </cell>
          <cell r="CJ471">
            <v>300</v>
          </cell>
          <cell r="CK471">
            <v>1092</v>
          </cell>
          <cell r="CM471">
            <v>219.18</v>
          </cell>
          <cell r="CN471">
            <v>17.2</v>
          </cell>
          <cell r="CO471" t="str">
            <v>#N/A N/A</v>
          </cell>
          <cell r="CQ471">
            <v>7.93</v>
          </cell>
          <cell r="CR471">
            <v>113</v>
          </cell>
          <cell r="CS471">
            <v>1988</v>
          </cell>
          <cell r="CU471">
            <v>960</v>
          </cell>
          <cell r="CW471">
            <v>52.667682926829272</v>
          </cell>
          <cell r="CX471">
            <v>700.64799999999991</v>
          </cell>
          <cell r="CZ471">
            <v>317.37</v>
          </cell>
          <cell r="DA471">
            <v>4199.8</v>
          </cell>
          <cell r="DB471">
            <v>11.11</v>
          </cell>
          <cell r="DC471">
            <v>351.1</v>
          </cell>
          <cell r="DD471">
            <v>112.85</v>
          </cell>
        </row>
        <row r="472">
          <cell r="A472">
            <v>39185</v>
          </cell>
          <cell r="C472">
            <v>46</v>
          </cell>
          <cell r="D472" t="str">
            <v>#N/A N/A</v>
          </cell>
          <cell r="E472">
            <v>16.190000000000001</v>
          </cell>
          <cell r="L472">
            <v>1520.78</v>
          </cell>
          <cell r="M472">
            <v>2491.94</v>
          </cell>
          <cell r="N472">
            <v>6462.4</v>
          </cell>
          <cell r="O472">
            <v>4272</v>
          </cell>
          <cell r="Q472">
            <v>620</v>
          </cell>
          <cell r="R472">
            <v>369</v>
          </cell>
          <cell r="S472">
            <v>478.5</v>
          </cell>
          <cell r="T472">
            <v>738</v>
          </cell>
          <cell r="U472">
            <v>17363.95</v>
          </cell>
          <cell r="V472">
            <v>20340.97</v>
          </cell>
          <cell r="W472">
            <v>8002.3</v>
          </cell>
          <cell r="X472">
            <v>75.150000000000006</v>
          </cell>
          <cell r="Y472">
            <v>850</v>
          </cell>
          <cell r="Z472">
            <v>1340</v>
          </cell>
          <cell r="AA472">
            <v>13384.08</v>
          </cell>
          <cell r="AB472">
            <v>6123.8</v>
          </cell>
          <cell r="AC472">
            <v>47926.230499999998</v>
          </cell>
          <cell r="AE472">
            <v>84</v>
          </cell>
          <cell r="AF472">
            <v>766.91</v>
          </cell>
          <cell r="AG472">
            <v>5553</v>
          </cell>
          <cell r="AH472">
            <v>900</v>
          </cell>
          <cell r="AI472">
            <v>1590</v>
          </cell>
          <cell r="AJ472">
            <v>685.22</v>
          </cell>
          <cell r="AL472">
            <v>1452.85</v>
          </cell>
          <cell r="AP472">
            <v>3518.2669999999998</v>
          </cell>
          <cell r="AV472">
            <v>53.78</v>
          </cell>
          <cell r="AZ472">
            <v>283.60000000000002</v>
          </cell>
          <cell r="BE472">
            <v>48875</v>
          </cell>
          <cell r="BG472">
            <v>54.35</v>
          </cell>
          <cell r="BH472">
            <v>299.12</v>
          </cell>
          <cell r="BY472">
            <v>472.44</v>
          </cell>
          <cell r="CD472">
            <v>385.61</v>
          </cell>
          <cell r="CE472">
            <v>380.637</v>
          </cell>
          <cell r="CF472">
            <v>385.57</v>
          </cell>
          <cell r="CG472">
            <v>1280</v>
          </cell>
          <cell r="CH472">
            <v>1060</v>
          </cell>
          <cell r="CI472">
            <v>112</v>
          </cell>
          <cell r="CJ472">
            <v>300</v>
          </cell>
          <cell r="CK472">
            <v>1096</v>
          </cell>
          <cell r="CM472">
            <v>217.97</v>
          </cell>
          <cell r="CN472">
            <v>17.809999999999999</v>
          </cell>
          <cell r="CO472" t="str">
            <v>#N/A N/A</v>
          </cell>
          <cell r="CQ472">
            <v>7.93</v>
          </cell>
          <cell r="CR472">
            <v>113</v>
          </cell>
          <cell r="CS472">
            <v>2005</v>
          </cell>
          <cell r="CU472">
            <v>970</v>
          </cell>
          <cell r="CW472">
            <v>54.03963414634147</v>
          </cell>
          <cell r="CX472">
            <v>702.78</v>
          </cell>
          <cell r="CZ472">
            <v>317.93</v>
          </cell>
          <cell r="DA472">
            <v>4196.8</v>
          </cell>
          <cell r="DB472">
            <v>11.24</v>
          </cell>
          <cell r="DC472">
            <v>351.1</v>
          </cell>
          <cell r="DD472">
            <v>111.8</v>
          </cell>
        </row>
        <row r="473">
          <cell r="A473">
            <v>39186</v>
          </cell>
          <cell r="C473">
            <v>46</v>
          </cell>
          <cell r="D473" t="str">
            <v>#N/A N/A</v>
          </cell>
          <cell r="E473">
            <v>16.190000000000001</v>
          </cell>
          <cell r="L473">
            <v>1520.78</v>
          </cell>
          <cell r="M473">
            <v>2491.94</v>
          </cell>
          <cell r="N473">
            <v>6462.4</v>
          </cell>
          <cell r="O473">
            <v>4272</v>
          </cell>
          <cell r="Q473">
            <v>620</v>
          </cell>
          <cell r="R473">
            <v>369</v>
          </cell>
          <cell r="S473">
            <v>478.5</v>
          </cell>
          <cell r="T473">
            <v>738</v>
          </cell>
          <cell r="U473">
            <v>17363.95</v>
          </cell>
          <cell r="V473">
            <v>20340.97</v>
          </cell>
          <cell r="W473">
            <v>8045.12</v>
          </cell>
          <cell r="X473">
            <v>75.150000000000006</v>
          </cell>
          <cell r="Y473">
            <v>850</v>
          </cell>
          <cell r="Z473">
            <v>1340</v>
          </cell>
          <cell r="AA473">
            <v>13384.08</v>
          </cell>
          <cell r="AB473">
            <v>6123.8</v>
          </cell>
          <cell r="AC473">
            <v>47926.230499999998</v>
          </cell>
          <cell r="AE473">
            <v>84</v>
          </cell>
          <cell r="AF473">
            <v>766.91</v>
          </cell>
          <cell r="AG473">
            <v>5553</v>
          </cell>
          <cell r="AH473">
            <v>900</v>
          </cell>
          <cell r="AI473">
            <v>1590</v>
          </cell>
          <cell r="AJ473">
            <v>685.22</v>
          </cell>
          <cell r="AL473">
            <v>1452.85</v>
          </cell>
          <cell r="AP473">
            <v>3518.2669999999998</v>
          </cell>
          <cell r="AV473">
            <v>53.78</v>
          </cell>
          <cell r="AZ473">
            <v>283.60000000000002</v>
          </cell>
          <cell r="BE473">
            <v>48875</v>
          </cell>
          <cell r="BG473">
            <v>54.35</v>
          </cell>
          <cell r="BH473">
            <v>299.12</v>
          </cell>
          <cell r="BY473">
            <v>472.44</v>
          </cell>
          <cell r="CD473">
            <v>385.61</v>
          </cell>
          <cell r="CE473">
            <v>380.637</v>
          </cell>
          <cell r="CF473">
            <v>385.57</v>
          </cell>
          <cell r="CG473">
            <v>1280</v>
          </cell>
          <cell r="CH473">
            <v>1060</v>
          </cell>
          <cell r="CI473">
            <v>112</v>
          </cell>
          <cell r="CJ473">
            <v>300</v>
          </cell>
          <cell r="CK473">
            <v>1096</v>
          </cell>
          <cell r="CM473">
            <v>217.97</v>
          </cell>
          <cell r="CN473">
            <v>17.809999999999999</v>
          </cell>
          <cell r="CO473" t="str">
            <v>#N/A N/A</v>
          </cell>
          <cell r="CQ473">
            <v>7.93</v>
          </cell>
          <cell r="CR473">
            <v>113</v>
          </cell>
          <cell r="CS473">
            <v>2005</v>
          </cell>
          <cell r="CU473">
            <v>970</v>
          </cell>
          <cell r="CW473">
            <v>54.03963414634147</v>
          </cell>
          <cell r="CX473">
            <v>702.78</v>
          </cell>
          <cell r="CZ473">
            <v>317.93</v>
          </cell>
          <cell r="DA473">
            <v>4196.8</v>
          </cell>
          <cell r="DB473">
            <v>11.24</v>
          </cell>
          <cell r="DC473">
            <v>351.1</v>
          </cell>
          <cell r="DD473">
            <v>111.8</v>
          </cell>
        </row>
        <row r="474">
          <cell r="A474">
            <v>39187</v>
          </cell>
          <cell r="C474">
            <v>46</v>
          </cell>
          <cell r="D474" t="str">
            <v>#N/A N/A</v>
          </cell>
          <cell r="E474">
            <v>16.190000000000001</v>
          </cell>
          <cell r="L474">
            <v>1520.78</v>
          </cell>
          <cell r="M474">
            <v>2491.94</v>
          </cell>
          <cell r="N474">
            <v>6462.4</v>
          </cell>
          <cell r="O474">
            <v>4272</v>
          </cell>
          <cell r="Q474">
            <v>620</v>
          </cell>
          <cell r="R474">
            <v>369</v>
          </cell>
          <cell r="S474">
            <v>478.5</v>
          </cell>
          <cell r="T474">
            <v>738</v>
          </cell>
          <cell r="U474">
            <v>17363.95</v>
          </cell>
          <cell r="V474">
            <v>20340.97</v>
          </cell>
          <cell r="W474">
            <v>8045.12</v>
          </cell>
          <cell r="X474">
            <v>75.150000000000006</v>
          </cell>
          <cell r="Y474">
            <v>850</v>
          </cell>
          <cell r="Z474">
            <v>1340</v>
          </cell>
          <cell r="AA474">
            <v>13384.08</v>
          </cell>
          <cell r="AB474">
            <v>6123.8</v>
          </cell>
          <cell r="AC474">
            <v>47926.230499999998</v>
          </cell>
          <cell r="AE474">
            <v>84</v>
          </cell>
          <cell r="AF474">
            <v>766.91</v>
          </cell>
          <cell r="AG474">
            <v>5553</v>
          </cell>
          <cell r="AH474">
            <v>900</v>
          </cell>
          <cell r="AI474">
            <v>1590</v>
          </cell>
          <cell r="AJ474">
            <v>685.22</v>
          </cell>
          <cell r="AL474">
            <v>1452.85</v>
          </cell>
          <cell r="AP474">
            <v>3518.2669999999998</v>
          </cell>
          <cell r="AV474">
            <v>53.78</v>
          </cell>
          <cell r="AZ474">
            <v>283.60000000000002</v>
          </cell>
          <cell r="BE474">
            <v>48875</v>
          </cell>
          <cell r="BG474">
            <v>54.35</v>
          </cell>
          <cell r="BH474">
            <v>299.12</v>
          </cell>
          <cell r="BY474">
            <v>472.44</v>
          </cell>
          <cell r="CD474">
            <v>385.61</v>
          </cell>
          <cell r="CE474">
            <v>380.637</v>
          </cell>
          <cell r="CF474">
            <v>385.57</v>
          </cell>
          <cell r="CG474">
            <v>1280</v>
          </cell>
          <cell r="CH474">
            <v>1060</v>
          </cell>
          <cell r="CI474">
            <v>112</v>
          </cell>
          <cell r="CJ474">
            <v>300</v>
          </cell>
          <cell r="CK474">
            <v>1096</v>
          </cell>
          <cell r="CM474">
            <v>217.97</v>
          </cell>
          <cell r="CN474">
            <v>17.809999999999999</v>
          </cell>
          <cell r="CO474" t="str">
            <v>#N/A N/A</v>
          </cell>
          <cell r="CQ474">
            <v>7.93</v>
          </cell>
          <cell r="CR474">
            <v>113</v>
          </cell>
          <cell r="CS474">
            <v>2005</v>
          </cell>
          <cell r="CU474">
            <v>970</v>
          </cell>
          <cell r="CW474">
            <v>54.03963414634147</v>
          </cell>
          <cell r="CX474">
            <v>702.78</v>
          </cell>
          <cell r="CZ474">
            <v>317.93</v>
          </cell>
          <cell r="DA474">
            <v>4196.8</v>
          </cell>
          <cell r="DB474">
            <v>11.24</v>
          </cell>
          <cell r="DC474">
            <v>351.1</v>
          </cell>
          <cell r="DD474">
            <v>111.8</v>
          </cell>
        </row>
        <row r="475">
          <cell r="A475">
            <v>39188</v>
          </cell>
          <cell r="C475">
            <v>46</v>
          </cell>
          <cell r="D475" t="str">
            <v>#N/A N/A</v>
          </cell>
          <cell r="E475">
            <v>15.49</v>
          </cell>
          <cell r="L475">
            <v>1532.04</v>
          </cell>
          <cell r="M475">
            <v>2518.33</v>
          </cell>
          <cell r="N475">
            <v>6516.2</v>
          </cell>
          <cell r="O475">
            <v>4282</v>
          </cell>
          <cell r="Q475">
            <v>620</v>
          </cell>
          <cell r="R475">
            <v>364.25</v>
          </cell>
          <cell r="S475">
            <v>475.25</v>
          </cell>
          <cell r="T475">
            <v>736</v>
          </cell>
          <cell r="U475">
            <v>17628.3</v>
          </cell>
          <cell r="V475">
            <v>20757.53</v>
          </cell>
          <cell r="W475">
            <v>8043.54</v>
          </cell>
          <cell r="X475">
            <v>74.55</v>
          </cell>
          <cell r="Y475">
            <v>850</v>
          </cell>
          <cell r="Z475">
            <v>1340</v>
          </cell>
          <cell r="AA475">
            <v>13695.58</v>
          </cell>
          <cell r="AB475">
            <v>6183.6</v>
          </cell>
          <cell r="AC475">
            <v>48921.210899999998</v>
          </cell>
          <cell r="AE475">
            <v>83.35</v>
          </cell>
          <cell r="AF475">
            <v>766.91</v>
          </cell>
          <cell r="AG475">
            <v>5562</v>
          </cell>
          <cell r="AH475">
            <v>900</v>
          </cell>
          <cell r="AI475">
            <v>1590</v>
          </cell>
          <cell r="AJ475">
            <v>697.09</v>
          </cell>
          <cell r="AL475">
            <v>1468.47</v>
          </cell>
          <cell r="AP475">
            <v>3596.4409999999998</v>
          </cell>
          <cell r="AV475">
            <v>54</v>
          </cell>
          <cell r="AZ475">
            <v>287</v>
          </cell>
          <cell r="BE475">
            <v>48625</v>
          </cell>
          <cell r="BG475">
            <v>54.35</v>
          </cell>
          <cell r="BH475">
            <v>306.17</v>
          </cell>
          <cell r="BY475">
            <v>474</v>
          </cell>
          <cell r="CD475">
            <v>390.09</v>
          </cell>
          <cell r="CE475">
            <v>385.04399999999998</v>
          </cell>
          <cell r="CF475">
            <v>390.06</v>
          </cell>
          <cell r="CG475">
            <v>1280</v>
          </cell>
          <cell r="CH475">
            <v>1060</v>
          </cell>
          <cell r="CI475">
            <v>112</v>
          </cell>
          <cell r="CJ475">
            <v>300</v>
          </cell>
          <cell r="CK475">
            <v>1111</v>
          </cell>
          <cell r="CM475">
            <v>211.57</v>
          </cell>
          <cell r="CN475">
            <v>17.87</v>
          </cell>
          <cell r="CO475" t="str">
            <v>#N/A N/A</v>
          </cell>
          <cell r="CQ475">
            <v>7.66</v>
          </cell>
          <cell r="CR475">
            <v>113</v>
          </cell>
          <cell r="CS475">
            <v>2011</v>
          </cell>
          <cell r="CU475">
            <v>970</v>
          </cell>
          <cell r="CW475">
            <v>53.201219512195124</v>
          </cell>
          <cell r="CX475">
            <v>704.548</v>
          </cell>
          <cell r="CZ475">
            <v>314.76</v>
          </cell>
          <cell r="DA475">
            <v>4208</v>
          </cell>
          <cell r="DB475">
            <v>11.04</v>
          </cell>
          <cell r="DC475">
            <v>351.1</v>
          </cell>
          <cell r="DD475">
            <v>108.45</v>
          </cell>
        </row>
        <row r="476">
          <cell r="A476">
            <v>39189</v>
          </cell>
          <cell r="C476">
            <v>46</v>
          </cell>
          <cell r="D476" t="str">
            <v>#N/A N/A</v>
          </cell>
          <cell r="E476">
            <v>14.78</v>
          </cell>
          <cell r="L476">
            <v>1528.66</v>
          </cell>
          <cell r="M476">
            <v>2516.9499999999998</v>
          </cell>
          <cell r="N476">
            <v>6497.8</v>
          </cell>
          <cell r="O476">
            <v>4285</v>
          </cell>
          <cell r="Q476">
            <v>620</v>
          </cell>
          <cell r="R476">
            <v>353.25</v>
          </cell>
          <cell r="S476">
            <v>477.5</v>
          </cell>
          <cell r="T476">
            <v>724</v>
          </cell>
          <cell r="U476">
            <v>17527.45</v>
          </cell>
          <cell r="V476">
            <v>20788.61</v>
          </cell>
          <cell r="W476">
            <v>7959.29</v>
          </cell>
          <cell r="X476">
            <v>74.05</v>
          </cell>
          <cell r="Y476">
            <v>850</v>
          </cell>
          <cell r="Z476">
            <v>1340</v>
          </cell>
          <cell r="AA476">
            <v>13607.04</v>
          </cell>
          <cell r="AB476">
            <v>6168.9</v>
          </cell>
          <cell r="AC476">
            <v>48755.480499999998</v>
          </cell>
          <cell r="AE476">
            <v>81.95</v>
          </cell>
          <cell r="AF476">
            <v>771.52</v>
          </cell>
          <cell r="AG476">
            <v>5601</v>
          </cell>
          <cell r="AH476">
            <v>900</v>
          </cell>
          <cell r="AI476">
            <v>1590</v>
          </cell>
          <cell r="AJ476">
            <v>690.16</v>
          </cell>
          <cell r="AL476">
            <v>1471.48</v>
          </cell>
          <cell r="AP476">
            <v>3611.87</v>
          </cell>
          <cell r="AV476">
            <v>53.49</v>
          </cell>
          <cell r="AZ476">
            <v>286.8</v>
          </cell>
          <cell r="BE476">
            <v>50875</v>
          </cell>
          <cell r="BG476">
            <v>54.35</v>
          </cell>
          <cell r="BH476">
            <v>306.64999999999998</v>
          </cell>
          <cell r="BY476">
            <v>471.51</v>
          </cell>
          <cell r="CD476">
            <v>390.66</v>
          </cell>
          <cell r="CE476">
            <v>385.73200000000003</v>
          </cell>
          <cell r="CF476">
            <v>389.44</v>
          </cell>
          <cell r="CG476">
            <v>1280</v>
          </cell>
          <cell r="CH476">
            <v>1060</v>
          </cell>
          <cell r="CI476">
            <v>112</v>
          </cell>
          <cell r="CJ476">
            <v>300</v>
          </cell>
          <cell r="CK476">
            <v>1113</v>
          </cell>
          <cell r="CM476">
            <v>205.58</v>
          </cell>
          <cell r="CN476">
            <v>17.75</v>
          </cell>
          <cell r="CO476" t="str">
            <v>#N/A N/A</v>
          </cell>
          <cell r="CQ476">
            <v>7.5</v>
          </cell>
          <cell r="CR476">
            <v>113</v>
          </cell>
          <cell r="CS476">
            <v>2016</v>
          </cell>
          <cell r="CU476">
            <v>970</v>
          </cell>
          <cell r="CW476">
            <v>52.667682926829272</v>
          </cell>
          <cell r="CX476">
            <v>705.22400000000005</v>
          </cell>
          <cell r="CZ476">
            <v>313.2</v>
          </cell>
          <cell r="DA476">
            <v>4375.8999999999996</v>
          </cell>
          <cell r="DB476">
            <v>10.95</v>
          </cell>
          <cell r="DC476">
            <v>351.1</v>
          </cell>
          <cell r="DD476">
            <v>109.6</v>
          </cell>
        </row>
        <row r="477">
          <cell r="A477">
            <v>39190</v>
          </cell>
          <cell r="C477">
            <v>46</v>
          </cell>
          <cell r="D477" t="str">
            <v>#N/A N/A</v>
          </cell>
          <cell r="E477">
            <v>15.5</v>
          </cell>
          <cell r="L477">
            <v>1534.58</v>
          </cell>
          <cell r="M477">
            <v>2510.5</v>
          </cell>
          <cell r="N477">
            <v>6449.4</v>
          </cell>
          <cell r="O477">
            <v>4285</v>
          </cell>
          <cell r="Q477">
            <v>620</v>
          </cell>
          <cell r="R477">
            <v>363.5</v>
          </cell>
          <cell r="S477">
            <v>474.5</v>
          </cell>
          <cell r="T477">
            <v>715.5</v>
          </cell>
          <cell r="U477">
            <v>17667.330000000002</v>
          </cell>
          <cell r="V477">
            <v>20777.09</v>
          </cell>
          <cell r="W477">
            <v>8003.31</v>
          </cell>
          <cell r="X477">
            <v>74.25</v>
          </cell>
          <cell r="Y477">
            <v>850</v>
          </cell>
          <cell r="Z477">
            <v>1340</v>
          </cell>
          <cell r="AA477">
            <v>13672.19</v>
          </cell>
          <cell r="AB477">
            <v>6215</v>
          </cell>
          <cell r="AC477">
            <v>48709.839800000002</v>
          </cell>
          <cell r="AE477">
            <v>79.95</v>
          </cell>
          <cell r="AF477">
            <v>771.52</v>
          </cell>
          <cell r="AG477">
            <v>5700</v>
          </cell>
          <cell r="AH477">
            <v>900</v>
          </cell>
          <cell r="AI477">
            <v>1590</v>
          </cell>
          <cell r="AJ477">
            <v>689.95</v>
          </cell>
          <cell r="AL477">
            <v>1472.5</v>
          </cell>
          <cell r="AP477">
            <v>3612.3960000000002</v>
          </cell>
          <cell r="AV477">
            <v>53.55</v>
          </cell>
          <cell r="AZ477">
            <v>287.5</v>
          </cell>
          <cell r="BE477">
            <v>50025</v>
          </cell>
          <cell r="BG477">
            <v>54.35</v>
          </cell>
          <cell r="BH477">
            <v>304.86</v>
          </cell>
          <cell r="BY477">
            <v>483.45</v>
          </cell>
          <cell r="CD477">
            <v>390.92</v>
          </cell>
          <cell r="CE477">
            <v>386.12099999999998</v>
          </cell>
          <cell r="CF477">
            <v>389.84</v>
          </cell>
          <cell r="CG477">
            <v>1280</v>
          </cell>
          <cell r="CH477">
            <v>1060</v>
          </cell>
          <cell r="CI477">
            <v>112</v>
          </cell>
          <cell r="CJ477">
            <v>300</v>
          </cell>
          <cell r="CK477">
            <v>1151</v>
          </cell>
          <cell r="CM477">
            <v>208.33</v>
          </cell>
          <cell r="CN477">
            <v>17.45</v>
          </cell>
          <cell r="CO477" t="str">
            <v>#N/A N/A</v>
          </cell>
          <cell r="CQ477">
            <v>7.55</v>
          </cell>
          <cell r="CR477">
            <v>113</v>
          </cell>
          <cell r="CS477">
            <v>1976</v>
          </cell>
          <cell r="CU477">
            <v>970</v>
          </cell>
          <cell r="CW477">
            <v>51.753048780487809</v>
          </cell>
          <cell r="CX477">
            <v>712.84500000000003</v>
          </cell>
          <cell r="CZ477">
            <v>312.77</v>
          </cell>
          <cell r="DA477">
            <v>4328.8999999999996</v>
          </cell>
          <cell r="DB477">
            <v>10.86</v>
          </cell>
          <cell r="DC477">
            <v>351.1</v>
          </cell>
          <cell r="DD477">
            <v>109.35</v>
          </cell>
        </row>
        <row r="478">
          <cell r="A478">
            <v>39191</v>
          </cell>
          <cell r="C478">
            <v>46</v>
          </cell>
          <cell r="D478" t="str">
            <v>#N/A N/A</v>
          </cell>
          <cell r="E478">
            <v>15.53</v>
          </cell>
          <cell r="L478">
            <v>1513.66</v>
          </cell>
          <cell r="M478">
            <v>2505.35</v>
          </cell>
          <cell r="N478">
            <v>6440.6</v>
          </cell>
          <cell r="O478">
            <v>4285</v>
          </cell>
          <cell r="Q478">
            <v>615</v>
          </cell>
          <cell r="R478">
            <v>371.25</v>
          </cell>
          <cell r="S478">
            <v>496</v>
          </cell>
          <cell r="T478">
            <v>718.25</v>
          </cell>
          <cell r="U478">
            <v>17371.97</v>
          </cell>
          <cell r="V478">
            <v>20299.71</v>
          </cell>
          <cell r="W478">
            <v>7888.63</v>
          </cell>
          <cell r="X478">
            <v>73.349999999999994</v>
          </cell>
          <cell r="Y478">
            <v>850</v>
          </cell>
          <cell r="Z478">
            <v>1340</v>
          </cell>
          <cell r="AA478">
            <v>13619.7</v>
          </cell>
          <cell r="AB478">
            <v>6148.3</v>
          </cell>
          <cell r="AC478">
            <v>48762.128900000003</v>
          </cell>
          <cell r="AE478">
            <v>79.75</v>
          </cell>
          <cell r="AF478">
            <v>771.52</v>
          </cell>
          <cell r="AG478">
            <v>5782</v>
          </cell>
          <cell r="AH478">
            <v>900</v>
          </cell>
          <cell r="AI478">
            <v>1590</v>
          </cell>
          <cell r="AJ478">
            <v>682.85</v>
          </cell>
          <cell r="AL478">
            <v>1470.73</v>
          </cell>
          <cell r="AP478">
            <v>3449.0160000000001</v>
          </cell>
          <cell r="AV478">
            <v>53.07</v>
          </cell>
          <cell r="AZ478">
            <v>277.5</v>
          </cell>
          <cell r="BE478">
            <v>49475</v>
          </cell>
          <cell r="BG478">
            <v>54.35</v>
          </cell>
          <cell r="BH478">
            <v>298.64999999999998</v>
          </cell>
          <cell r="BY478">
            <v>486.44</v>
          </cell>
          <cell r="CD478">
            <v>389.08</v>
          </cell>
          <cell r="CE478">
            <v>384.54399999999998</v>
          </cell>
          <cell r="CF478">
            <v>382.47</v>
          </cell>
          <cell r="CG478">
            <v>1280</v>
          </cell>
          <cell r="CH478">
            <v>1060</v>
          </cell>
          <cell r="CI478">
            <v>112</v>
          </cell>
          <cell r="CJ478">
            <v>300</v>
          </cell>
          <cell r="CK478">
            <v>1160</v>
          </cell>
          <cell r="CM478">
            <v>208.88</v>
          </cell>
          <cell r="CN478">
            <v>17.059999999999999</v>
          </cell>
          <cell r="CO478" t="str">
            <v>#N/A N/A</v>
          </cell>
          <cell r="CQ478">
            <v>7.54</v>
          </cell>
          <cell r="CR478">
            <v>113</v>
          </cell>
          <cell r="CS478">
            <v>1922.5</v>
          </cell>
          <cell r="CU478">
            <v>970</v>
          </cell>
          <cell r="CW478">
            <v>50.762195121951223</v>
          </cell>
          <cell r="CX478">
            <v>714.31500000000005</v>
          </cell>
          <cell r="CZ478">
            <v>310.38</v>
          </cell>
          <cell r="DA478">
            <v>4257.6000000000004</v>
          </cell>
          <cell r="DB478">
            <v>10.77</v>
          </cell>
          <cell r="DC478">
            <v>351.1</v>
          </cell>
          <cell r="DD478">
            <v>108.5</v>
          </cell>
        </row>
        <row r="479">
          <cell r="A479">
            <v>39192</v>
          </cell>
          <cell r="C479">
            <v>40</v>
          </cell>
          <cell r="D479" t="str">
            <v>#N/A N/A</v>
          </cell>
          <cell r="E479">
            <v>15.26</v>
          </cell>
          <cell r="L479">
            <v>1533.08</v>
          </cell>
          <cell r="M479">
            <v>2526.39</v>
          </cell>
          <cell r="N479">
            <v>6486.8</v>
          </cell>
          <cell r="O479">
            <v>4285</v>
          </cell>
          <cell r="Q479">
            <v>615</v>
          </cell>
          <cell r="R479">
            <v>360.5</v>
          </cell>
          <cell r="S479">
            <v>502</v>
          </cell>
          <cell r="T479">
            <v>723.25</v>
          </cell>
          <cell r="U479">
            <v>17452.62</v>
          </cell>
          <cell r="V479">
            <v>20566.59</v>
          </cell>
          <cell r="W479">
            <v>7942.67</v>
          </cell>
          <cell r="X479">
            <v>73.95</v>
          </cell>
          <cell r="Y479">
            <v>970</v>
          </cell>
          <cell r="Z479">
            <v>1340</v>
          </cell>
          <cell r="AA479">
            <v>13897.41</v>
          </cell>
          <cell r="AB479">
            <v>6187.2</v>
          </cell>
          <cell r="AC479">
            <v>49408.179700000001</v>
          </cell>
          <cell r="AE479">
            <v>79.25</v>
          </cell>
          <cell r="AF479">
            <v>771.52</v>
          </cell>
          <cell r="AG479">
            <v>5850</v>
          </cell>
          <cell r="AH479">
            <v>910</v>
          </cell>
          <cell r="AI479">
            <v>1595</v>
          </cell>
          <cell r="AJ479">
            <v>691.56</v>
          </cell>
          <cell r="AL479">
            <v>1484.35</v>
          </cell>
          <cell r="AP479">
            <v>3584.2040000000002</v>
          </cell>
          <cell r="AV479">
            <v>53.89</v>
          </cell>
          <cell r="AZ479">
            <v>274.7</v>
          </cell>
          <cell r="BE479">
            <v>50675</v>
          </cell>
          <cell r="BG479">
            <v>54.35</v>
          </cell>
          <cell r="BH479">
            <v>305.02</v>
          </cell>
          <cell r="BY479">
            <v>487.31</v>
          </cell>
          <cell r="CD479">
            <v>392.67</v>
          </cell>
          <cell r="CE479">
            <v>387.86</v>
          </cell>
          <cell r="CF479">
            <v>388</v>
          </cell>
          <cell r="CG479">
            <v>1290</v>
          </cell>
          <cell r="CH479">
            <v>1070</v>
          </cell>
          <cell r="CI479">
            <v>112</v>
          </cell>
          <cell r="CJ479">
            <v>300</v>
          </cell>
          <cell r="CK479">
            <v>1159</v>
          </cell>
          <cell r="CM479">
            <v>213.74</v>
          </cell>
          <cell r="CN479">
            <v>17.420000000000002</v>
          </cell>
          <cell r="CO479" t="str">
            <v>#N/A N/A</v>
          </cell>
          <cell r="CQ479">
            <v>7.31</v>
          </cell>
          <cell r="CR479">
            <v>113</v>
          </cell>
          <cell r="CS479">
            <v>1971</v>
          </cell>
          <cell r="CU479">
            <v>975</v>
          </cell>
          <cell r="CW479">
            <v>50.457317073170735</v>
          </cell>
          <cell r="CX479">
            <v>714.10500000000002</v>
          </cell>
          <cell r="CZ479">
            <v>312.05</v>
          </cell>
          <cell r="DA479">
            <v>4322.3</v>
          </cell>
          <cell r="DB479">
            <v>10.82</v>
          </cell>
          <cell r="DC479">
            <v>351.1</v>
          </cell>
          <cell r="DD479">
            <v>107.7</v>
          </cell>
        </row>
        <row r="480">
          <cell r="A480">
            <v>39193</v>
          </cell>
          <cell r="C480">
            <v>40</v>
          </cell>
          <cell r="D480" t="str">
            <v>#N/A N/A</v>
          </cell>
          <cell r="E480">
            <v>15.26</v>
          </cell>
          <cell r="L480">
            <v>1533.08</v>
          </cell>
          <cell r="M480">
            <v>2526.39</v>
          </cell>
          <cell r="N480">
            <v>6486.8</v>
          </cell>
          <cell r="O480">
            <v>4285</v>
          </cell>
          <cell r="Q480">
            <v>615</v>
          </cell>
          <cell r="R480">
            <v>360.5</v>
          </cell>
          <cell r="S480">
            <v>502</v>
          </cell>
          <cell r="T480">
            <v>723.25</v>
          </cell>
          <cell r="U480">
            <v>17452.62</v>
          </cell>
          <cell r="V480">
            <v>20566.59</v>
          </cell>
          <cell r="W480">
            <v>7942.67</v>
          </cell>
          <cell r="X480">
            <v>73.95</v>
          </cell>
          <cell r="Y480">
            <v>970</v>
          </cell>
          <cell r="Z480">
            <v>1340</v>
          </cell>
          <cell r="AA480">
            <v>13897.41</v>
          </cell>
          <cell r="AB480">
            <v>6187.2</v>
          </cell>
          <cell r="AC480">
            <v>49408.179700000001</v>
          </cell>
          <cell r="AE480">
            <v>79.25</v>
          </cell>
          <cell r="AF480">
            <v>771.52</v>
          </cell>
          <cell r="AG480">
            <v>5850</v>
          </cell>
          <cell r="AH480">
            <v>910</v>
          </cell>
          <cell r="AI480">
            <v>1595</v>
          </cell>
          <cell r="AJ480">
            <v>691.56</v>
          </cell>
          <cell r="AL480">
            <v>1484.35</v>
          </cell>
          <cell r="AP480">
            <v>3584.2040000000002</v>
          </cell>
          <cell r="AV480">
            <v>53.89</v>
          </cell>
          <cell r="AZ480">
            <v>274.7</v>
          </cell>
          <cell r="BE480">
            <v>50675</v>
          </cell>
          <cell r="BG480">
            <v>54.35</v>
          </cell>
          <cell r="BH480">
            <v>305.02</v>
          </cell>
          <cell r="BY480">
            <v>487.31</v>
          </cell>
          <cell r="CD480">
            <v>392.67</v>
          </cell>
          <cell r="CE480">
            <v>387.86</v>
          </cell>
          <cell r="CF480">
            <v>388</v>
          </cell>
          <cell r="CG480">
            <v>1290</v>
          </cell>
          <cell r="CH480">
            <v>1070</v>
          </cell>
          <cell r="CI480">
            <v>112</v>
          </cell>
          <cell r="CJ480">
            <v>300</v>
          </cell>
          <cell r="CK480">
            <v>1159</v>
          </cell>
          <cell r="CM480">
            <v>213.74</v>
          </cell>
          <cell r="CN480">
            <v>17.420000000000002</v>
          </cell>
          <cell r="CO480" t="str">
            <v>#N/A N/A</v>
          </cell>
          <cell r="CQ480">
            <v>7.31</v>
          </cell>
          <cell r="CR480">
            <v>113</v>
          </cell>
          <cell r="CS480">
            <v>1971</v>
          </cell>
          <cell r="CU480">
            <v>975</v>
          </cell>
          <cell r="CW480">
            <v>50.457317073170735</v>
          </cell>
          <cell r="CX480">
            <v>714.10500000000002</v>
          </cell>
          <cell r="CZ480">
            <v>312.05</v>
          </cell>
          <cell r="DA480">
            <v>4322.3</v>
          </cell>
          <cell r="DB480">
            <v>10.82</v>
          </cell>
          <cell r="DC480">
            <v>351.1</v>
          </cell>
          <cell r="DD480">
            <v>107.7</v>
          </cell>
        </row>
        <row r="481">
          <cell r="A481">
            <v>39194</v>
          </cell>
          <cell r="C481">
            <v>40</v>
          </cell>
          <cell r="D481" t="str">
            <v>#N/A N/A</v>
          </cell>
          <cell r="E481">
            <v>15.26</v>
          </cell>
          <cell r="L481">
            <v>1533.08</v>
          </cell>
          <cell r="M481">
            <v>2526.39</v>
          </cell>
          <cell r="N481">
            <v>6486.8</v>
          </cell>
          <cell r="O481">
            <v>4285</v>
          </cell>
          <cell r="Q481">
            <v>615</v>
          </cell>
          <cell r="R481">
            <v>360.5</v>
          </cell>
          <cell r="S481">
            <v>502</v>
          </cell>
          <cell r="T481">
            <v>723.25</v>
          </cell>
          <cell r="U481">
            <v>17452.62</v>
          </cell>
          <cell r="V481">
            <v>20566.59</v>
          </cell>
          <cell r="W481">
            <v>7942.67</v>
          </cell>
          <cell r="X481">
            <v>73.95</v>
          </cell>
          <cell r="Y481">
            <v>970</v>
          </cell>
          <cell r="Z481">
            <v>1340</v>
          </cell>
          <cell r="AA481">
            <v>13897.41</v>
          </cell>
          <cell r="AB481">
            <v>6187.2</v>
          </cell>
          <cell r="AC481">
            <v>49408.179700000001</v>
          </cell>
          <cell r="AE481">
            <v>79.25</v>
          </cell>
          <cell r="AF481">
            <v>771.52</v>
          </cell>
          <cell r="AG481">
            <v>5850</v>
          </cell>
          <cell r="AH481">
            <v>910</v>
          </cell>
          <cell r="AI481">
            <v>1595</v>
          </cell>
          <cell r="AJ481">
            <v>691.56</v>
          </cell>
          <cell r="AL481">
            <v>1484.35</v>
          </cell>
          <cell r="AP481">
            <v>3584.2040000000002</v>
          </cell>
          <cell r="AV481">
            <v>53.89</v>
          </cell>
          <cell r="AZ481">
            <v>274.7</v>
          </cell>
          <cell r="BE481">
            <v>50675</v>
          </cell>
          <cell r="BG481">
            <v>54.35</v>
          </cell>
          <cell r="BH481">
            <v>305.02</v>
          </cell>
          <cell r="BY481">
            <v>487.31</v>
          </cell>
          <cell r="CD481">
            <v>392.67</v>
          </cell>
          <cell r="CE481">
            <v>387.86</v>
          </cell>
          <cell r="CF481">
            <v>388</v>
          </cell>
          <cell r="CG481">
            <v>1290</v>
          </cell>
          <cell r="CH481">
            <v>1070</v>
          </cell>
          <cell r="CI481">
            <v>112</v>
          </cell>
          <cell r="CJ481">
            <v>300</v>
          </cell>
          <cell r="CK481">
            <v>1159</v>
          </cell>
          <cell r="CM481">
            <v>213.74</v>
          </cell>
          <cell r="CN481">
            <v>17.420000000000002</v>
          </cell>
          <cell r="CO481" t="str">
            <v>#N/A N/A</v>
          </cell>
          <cell r="CQ481">
            <v>7.31</v>
          </cell>
          <cell r="CR481">
            <v>113</v>
          </cell>
          <cell r="CS481">
            <v>1971</v>
          </cell>
          <cell r="CU481">
            <v>975</v>
          </cell>
          <cell r="CW481">
            <v>50.457317073170735</v>
          </cell>
          <cell r="CX481">
            <v>714.10500000000002</v>
          </cell>
          <cell r="CZ481">
            <v>312.05</v>
          </cell>
          <cell r="DA481">
            <v>4322.3</v>
          </cell>
          <cell r="DB481">
            <v>10.82</v>
          </cell>
          <cell r="DC481">
            <v>351.1</v>
          </cell>
          <cell r="DD481">
            <v>107.7</v>
          </cell>
        </row>
        <row r="482">
          <cell r="A482">
            <v>39195</v>
          </cell>
          <cell r="C482">
            <v>40</v>
          </cell>
          <cell r="D482" t="str">
            <v>#N/A N/A</v>
          </cell>
          <cell r="E482">
            <v>14.8</v>
          </cell>
          <cell r="L482">
            <v>1544.35</v>
          </cell>
          <cell r="M482">
            <v>2523.67</v>
          </cell>
          <cell r="N482">
            <v>6479.7</v>
          </cell>
          <cell r="O482">
            <v>4285</v>
          </cell>
          <cell r="Q482">
            <v>615</v>
          </cell>
          <cell r="R482">
            <v>352.25</v>
          </cell>
          <cell r="S482">
            <v>494</v>
          </cell>
          <cell r="T482">
            <v>721.25</v>
          </cell>
          <cell r="U482">
            <v>17455.37</v>
          </cell>
          <cell r="V482">
            <v>20556.57</v>
          </cell>
          <cell r="W482">
            <v>8010.46</v>
          </cell>
          <cell r="X482">
            <v>73.25</v>
          </cell>
          <cell r="Y482">
            <v>970</v>
          </cell>
          <cell r="Z482">
            <v>1340</v>
          </cell>
          <cell r="AA482">
            <v>13928.33</v>
          </cell>
          <cell r="AB482">
            <v>6192.2</v>
          </cell>
          <cell r="AC482">
            <v>49162.089800000002</v>
          </cell>
          <cell r="AE482">
            <v>79.25</v>
          </cell>
          <cell r="AF482">
            <v>771.52</v>
          </cell>
          <cell r="AG482">
            <v>5922</v>
          </cell>
          <cell r="AH482">
            <v>910</v>
          </cell>
          <cell r="AI482">
            <v>1595</v>
          </cell>
          <cell r="AJ482">
            <v>692.01</v>
          </cell>
          <cell r="AL482">
            <v>1480.93</v>
          </cell>
          <cell r="AP482">
            <v>3710.886</v>
          </cell>
          <cell r="AV482">
            <v>53.71</v>
          </cell>
          <cell r="AZ482">
            <v>271.2</v>
          </cell>
          <cell r="BE482">
            <v>51550</v>
          </cell>
          <cell r="BG482">
            <v>54.35</v>
          </cell>
          <cell r="BH482">
            <v>312.27</v>
          </cell>
          <cell r="BY482">
            <v>484.06</v>
          </cell>
          <cell r="CD482">
            <v>391.95</v>
          </cell>
          <cell r="CE482">
            <v>387.03500000000003</v>
          </cell>
          <cell r="CF482">
            <v>390.08</v>
          </cell>
          <cell r="CG482">
            <v>1290</v>
          </cell>
          <cell r="CH482">
            <v>1070</v>
          </cell>
          <cell r="CI482">
            <v>112</v>
          </cell>
          <cell r="CJ482">
            <v>300</v>
          </cell>
          <cell r="CK482">
            <v>1134</v>
          </cell>
          <cell r="CM482">
            <v>219.07</v>
          </cell>
          <cell r="CN482">
            <v>17.829999999999998</v>
          </cell>
          <cell r="CO482" t="str">
            <v>#N/A N/A</v>
          </cell>
          <cell r="CQ482">
            <v>7.23</v>
          </cell>
          <cell r="CR482">
            <v>113</v>
          </cell>
          <cell r="CS482">
            <v>1955</v>
          </cell>
          <cell r="CU482">
            <v>975</v>
          </cell>
          <cell r="CW482">
            <v>51.448170731707322</v>
          </cell>
          <cell r="CX482">
            <v>712.74</v>
          </cell>
          <cell r="CZ482">
            <v>314.47000000000003</v>
          </cell>
          <cell r="DA482">
            <v>4361.8999999999996</v>
          </cell>
          <cell r="DB482">
            <v>10.56</v>
          </cell>
          <cell r="DC482">
            <v>351.1</v>
          </cell>
          <cell r="DD482">
            <v>106.35</v>
          </cell>
        </row>
        <row r="483">
          <cell r="A483">
            <v>39196</v>
          </cell>
          <cell r="C483">
            <v>40</v>
          </cell>
          <cell r="D483" t="str">
            <v>#N/A N/A</v>
          </cell>
          <cell r="E483">
            <v>14.33</v>
          </cell>
          <cell r="L483">
            <v>1556.71</v>
          </cell>
          <cell r="M483">
            <v>2524.54</v>
          </cell>
          <cell r="N483">
            <v>6429.5</v>
          </cell>
          <cell r="O483">
            <v>4289</v>
          </cell>
          <cell r="Q483">
            <v>615</v>
          </cell>
          <cell r="R483">
            <v>360.5</v>
          </cell>
          <cell r="S483">
            <v>483.5</v>
          </cell>
          <cell r="T483">
            <v>709.75</v>
          </cell>
          <cell r="U483">
            <v>17451.77</v>
          </cell>
          <cell r="V483">
            <v>20572.8</v>
          </cell>
          <cell r="W483">
            <v>8045.01</v>
          </cell>
          <cell r="X483">
            <v>74.150000000000006</v>
          </cell>
          <cell r="Y483">
            <v>970</v>
          </cell>
          <cell r="Z483">
            <v>1340</v>
          </cell>
          <cell r="AA483">
            <v>14136.72</v>
          </cell>
          <cell r="AB483">
            <v>6173.3</v>
          </cell>
          <cell r="AC483">
            <v>49070.859400000001</v>
          </cell>
          <cell r="AE483">
            <v>81.599999999999994</v>
          </cell>
          <cell r="AF483">
            <v>771.18</v>
          </cell>
          <cell r="AG483">
            <v>6029</v>
          </cell>
          <cell r="AH483">
            <v>910</v>
          </cell>
          <cell r="AI483">
            <v>1595</v>
          </cell>
          <cell r="AJ483">
            <v>691.6</v>
          </cell>
          <cell r="AL483">
            <v>1480.41</v>
          </cell>
          <cell r="AP483">
            <v>3720.5320000000002</v>
          </cell>
          <cell r="AV483">
            <v>53.96</v>
          </cell>
          <cell r="AZ483">
            <v>271.89999999999998</v>
          </cell>
          <cell r="BE483">
            <v>49800</v>
          </cell>
          <cell r="BG483">
            <v>54.35</v>
          </cell>
          <cell r="BH483">
            <v>311.52999999999997</v>
          </cell>
          <cell r="BY483">
            <v>499.02</v>
          </cell>
          <cell r="CD483">
            <v>391.22</v>
          </cell>
          <cell r="CE483">
            <v>386.27300000000002</v>
          </cell>
          <cell r="CF483">
            <v>392.34</v>
          </cell>
          <cell r="CG483">
            <v>1290</v>
          </cell>
          <cell r="CH483">
            <v>1070</v>
          </cell>
          <cell r="CI483">
            <v>112</v>
          </cell>
          <cell r="CJ483">
            <v>300</v>
          </cell>
          <cell r="CK483">
            <v>1148</v>
          </cell>
          <cell r="CM483">
            <v>220.89</v>
          </cell>
          <cell r="CN483">
            <v>18.03</v>
          </cell>
          <cell r="CO483" t="str">
            <v>#N/A N/A</v>
          </cell>
          <cell r="CQ483">
            <v>7.57</v>
          </cell>
          <cell r="CR483">
            <v>113</v>
          </cell>
          <cell r="CS483">
            <v>1981</v>
          </cell>
          <cell r="CU483">
            <v>975</v>
          </cell>
          <cell r="CW483">
            <v>52.515243902439025</v>
          </cell>
          <cell r="CX483">
            <v>715.15499999999997</v>
          </cell>
          <cell r="CZ483">
            <v>310.83999999999997</v>
          </cell>
          <cell r="DA483">
            <v>4283.1000000000004</v>
          </cell>
          <cell r="DB483">
            <v>10.59</v>
          </cell>
          <cell r="DC483">
            <v>351.1</v>
          </cell>
          <cell r="DD483">
            <v>104.4</v>
          </cell>
        </row>
        <row r="484">
          <cell r="A484">
            <v>39197</v>
          </cell>
          <cell r="C484">
            <v>40</v>
          </cell>
          <cell r="D484" t="str">
            <v>#N/A N/A</v>
          </cell>
          <cell r="E484">
            <v>14.36</v>
          </cell>
          <cell r="L484">
            <v>1545.55</v>
          </cell>
          <cell r="M484">
            <v>2547.89</v>
          </cell>
          <cell r="N484">
            <v>6461.9</v>
          </cell>
          <cell r="O484">
            <v>4288</v>
          </cell>
          <cell r="Q484">
            <v>615</v>
          </cell>
          <cell r="R484">
            <v>371.25</v>
          </cell>
          <cell r="S484">
            <v>506.25</v>
          </cell>
          <cell r="T484">
            <v>721.5</v>
          </cell>
          <cell r="U484">
            <v>17236.16</v>
          </cell>
          <cell r="V484">
            <v>20536.78</v>
          </cell>
          <cell r="W484">
            <v>7984.65</v>
          </cell>
          <cell r="X484">
            <v>73.150000000000006</v>
          </cell>
          <cell r="Y484">
            <v>970</v>
          </cell>
          <cell r="Z484">
            <v>1340</v>
          </cell>
          <cell r="AA484">
            <v>14217.77</v>
          </cell>
          <cell r="AB484">
            <v>6173.3</v>
          </cell>
          <cell r="AC484">
            <v>49675.589800000002</v>
          </cell>
          <cell r="AE484">
            <v>80.95</v>
          </cell>
          <cell r="AF484">
            <v>771.18</v>
          </cell>
          <cell r="AG484">
            <v>6122</v>
          </cell>
          <cell r="AH484">
            <v>910</v>
          </cell>
          <cell r="AI484">
            <v>1595</v>
          </cell>
          <cell r="AJ484">
            <v>683.66</v>
          </cell>
          <cell r="AL484">
            <v>1495.42</v>
          </cell>
          <cell r="AP484">
            <v>3743.9589999999998</v>
          </cell>
          <cell r="AV484">
            <v>54.15</v>
          </cell>
          <cell r="AZ484">
            <v>264.10000000000002</v>
          </cell>
          <cell r="BE484">
            <v>49200</v>
          </cell>
          <cell r="BG484">
            <v>54.35</v>
          </cell>
          <cell r="BH484">
            <v>313.37</v>
          </cell>
          <cell r="BY484">
            <v>502.84</v>
          </cell>
          <cell r="CD484">
            <v>393.83</v>
          </cell>
          <cell r="CE484">
            <v>388.99400000000003</v>
          </cell>
          <cell r="CF484">
            <v>390.96</v>
          </cell>
          <cell r="CG484">
            <v>1290</v>
          </cell>
          <cell r="CH484">
            <v>1070</v>
          </cell>
          <cell r="CI484">
            <v>112</v>
          </cell>
          <cell r="CJ484">
            <v>300</v>
          </cell>
          <cell r="CK484">
            <v>1199</v>
          </cell>
          <cell r="CM484">
            <v>228.26</v>
          </cell>
          <cell r="CN484">
            <v>18.16</v>
          </cell>
          <cell r="CO484" t="str">
            <v>#N/A N/A</v>
          </cell>
          <cell r="CQ484">
            <v>7.6</v>
          </cell>
          <cell r="CR484">
            <v>113</v>
          </cell>
          <cell r="CS484">
            <v>1969</v>
          </cell>
          <cell r="CU484">
            <v>975</v>
          </cell>
          <cell r="CW484">
            <v>52.515243902439025</v>
          </cell>
          <cell r="CX484">
            <v>716.1</v>
          </cell>
          <cell r="CZ484">
            <v>314.69</v>
          </cell>
          <cell r="DA484">
            <v>4279.6000000000004</v>
          </cell>
          <cell r="DB484">
            <v>10.55</v>
          </cell>
          <cell r="DC484">
            <v>351.1</v>
          </cell>
          <cell r="DD484">
            <v>104.35</v>
          </cell>
        </row>
        <row r="485">
          <cell r="A485">
            <v>39198</v>
          </cell>
          <cell r="C485">
            <v>40</v>
          </cell>
          <cell r="D485" t="str">
            <v>#N/A N/A</v>
          </cell>
          <cell r="E485">
            <v>14.6</v>
          </cell>
          <cell r="L485">
            <v>1553.13</v>
          </cell>
          <cell r="M485">
            <v>2554.46</v>
          </cell>
          <cell r="N485">
            <v>6469.4</v>
          </cell>
          <cell r="O485">
            <v>4285</v>
          </cell>
          <cell r="Q485">
            <v>615</v>
          </cell>
          <cell r="R485">
            <v>364.75</v>
          </cell>
          <cell r="S485">
            <v>507</v>
          </cell>
          <cell r="T485">
            <v>718.25</v>
          </cell>
          <cell r="U485">
            <v>17429.169999999998</v>
          </cell>
          <cell r="V485">
            <v>20667.29</v>
          </cell>
          <cell r="W485">
            <v>8000.04</v>
          </cell>
          <cell r="X485">
            <v>74.45</v>
          </cell>
          <cell r="Y485">
            <v>970</v>
          </cell>
          <cell r="Z485">
            <v>1340</v>
          </cell>
          <cell r="AA485">
            <v>14228.88</v>
          </cell>
          <cell r="AB485">
            <v>6197.8</v>
          </cell>
          <cell r="AC485">
            <v>49067.691400000003</v>
          </cell>
          <cell r="AE485">
            <v>81.55</v>
          </cell>
          <cell r="AF485">
            <v>771.18</v>
          </cell>
          <cell r="AG485">
            <v>6192</v>
          </cell>
          <cell r="AH485">
            <v>910</v>
          </cell>
          <cell r="AI485">
            <v>1595</v>
          </cell>
          <cell r="AJ485">
            <v>681.93</v>
          </cell>
          <cell r="AL485">
            <v>1494.25</v>
          </cell>
          <cell r="AP485">
            <v>3783.0630000000001</v>
          </cell>
          <cell r="AV485">
            <v>54.01</v>
          </cell>
          <cell r="AZ485">
            <v>266.8</v>
          </cell>
          <cell r="BE485">
            <v>48725</v>
          </cell>
          <cell r="BG485">
            <v>54.35</v>
          </cell>
          <cell r="BH485">
            <v>313.29000000000002</v>
          </cell>
          <cell r="BY485">
            <v>506.48</v>
          </cell>
          <cell r="CD485">
            <v>393.4</v>
          </cell>
          <cell r="CE485">
            <v>388.50400000000002</v>
          </cell>
          <cell r="CF485">
            <v>392.98</v>
          </cell>
          <cell r="CG485">
            <v>1290</v>
          </cell>
          <cell r="CH485">
            <v>1070</v>
          </cell>
          <cell r="CI485">
            <v>112</v>
          </cell>
          <cell r="CJ485">
            <v>300</v>
          </cell>
          <cell r="CK485">
            <v>1226</v>
          </cell>
          <cell r="CM485">
            <v>229.03</v>
          </cell>
          <cell r="CN485">
            <v>18.04</v>
          </cell>
          <cell r="CO485" t="str">
            <v>#N/A N/A</v>
          </cell>
          <cell r="CQ485">
            <v>7.57</v>
          </cell>
          <cell r="CR485">
            <v>113</v>
          </cell>
          <cell r="CS485">
            <v>1947.5</v>
          </cell>
          <cell r="CU485">
            <v>975</v>
          </cell>
          <cell r="CW485">
            <v>52.97256097560976</v>
          </cell>
          <cell r="CX485">
            <v>714.10500000000002</v>
          </cell>
          <cell r="CZ485">
            <v>310.99</v>
          </cell>
          <cell r="DA485">
            <v>4211.6000000000004</v>
          </cell>
          <cell r="DB485">
            <v>10.69</v>
          </cell>
          <cell r="DC485">
            <v>351.1</v>
          </cell>
          <cell r="DD485">
            <v>103.75</v>
          </cell>
        </row>
        <row r="486">
          <cell r="A486">
            <v>39199</v>
          </cell>
          <cell r="C486">
            <v>40</v>
          </cell>
          <cell r="D486" t="str">
            <v>#N/A N/A</v>
          </cell>
          <cell r="E486">
            <v>14.52</v>
          </cell>
          <cell r="L486">
            <v>1542.52</v>
          </cell>
          <cell r="M486">
            <v>2557.21</v>
          </cell>
          <cell r="N486">
            <v>6418.7</v>
          </cell>
          <cell r="O486">
            <v>4285</v>
          </cell>
          <cell r="Q486">
            <v>615</v>
          </cell>
          <cell r="R486">
            <v>364.25</v>
          </cell>
          <cell r="S486">
            <v>500.5</v>
          </cell>
          <cell r="T486">
            <v>723</v>
          </cell>
          <cell r="U486">
            <v>17400.41</v>
          </cell>
          <cell r="V486">
            <v>20526.5</v>
          </cell>
          <cell r="W486">
            <v>7949.42</v>
          </cell>
          <cell r="X486">
            <v>75.150000000000006</v>
          </cell>
          <cell r="Y486">
            <v>1010</v>
          </cell>
          <cell r="Z486">
            <v>1360</v>
          </cell>
          <cell r="AA486">
            <v>13908.58</v>
          </cell>
          <cell r="AB486">
            <v>6141</v>
          </cell>
          <cell r="AC486">
            <v>49229.601600000002</v>
          </cell>
          <cell r="AE486">
            <v>82.05</v>
          </cell>
          <cell r="AF486">
            <v>771.18</v>
          </cell>
          <cell r="AG486">
            <v>6230</v>
          </cell>
          <cell r="AH486">
            <v>920</v>
          </cell>
          <cell r="AI486">
            <v>1610</v>
          </cell>
          <cell r="AJ486">
            <v>675.52</v>
          </cell>
          <cell r="AL486">
            <v>1494.07</v>
          </cell>
          <cell r="AP486">
            <v>3759.8670000000002</v>
          </cell>
          <cell r="AV486">
            <v>53.56</v>
          </cell>
          <cell r="AZ486">
            <v>266.60000000000002</v>
          </cell>
          <cell r="BE486">
            <v>50475</v>
          </cell>
          <cell r="BG486">
            <v>54.45</v>
          </cell>
          <cell r="BH486">
            <v>310.63</v>
          </cell>
          <cell r="BY486">
            <v>498.67</v>
          </cell>
          <cell r="CD486">
            <v>392.76</v>
          </cell>
          <cell r="CE486">
            <v>388.09500000000003</v>
          </cell>
          <cell r="CF486">
            <v>389.31</v>
          </cell>
          <cell r="CG486">
            <v>1295</v>
          </cell>
          <cell r="CH486">
            <v>1070</v>
          </cell>
          <cell r="CI486">
            <v>112</v>
          </cell>
          <cell r="CJ486">
            <v>300</v>
          </cell>
          <cell r="CK486">
            <v>1233</v>
          </cell>
          <cell r="CM486">
            <v>236.13</v>
          </cell>
          <cell r="CN486">
            <v>18.11</v>
          </cell>
          <cell r="CO486" t="str">
            <v>#N/A N/A</v>
          </cell>
          <cell r="CQ486">
            <v>7.43</v>
          </cell>
          <cell r="CR486">
            <v>113</v>
          </cell>
          <cell r="CS486">
            <v>2005</v>
          </cell>
          <cell r="CU486">
            <v>980</v>
          </cell>
          <cell r="CW486">
            <v>52.362804878048784</v>
          </cell>
          <cell r="CX486">
            <v>714.94500000000005</v>
          </cell>
          <cell r="CZ486">
            <v>314.2</v>
          </cell>
          <cell r="DA486">
            <v>4276.8</v>
          </cell>
          <cell r="DB486">
            <v>10.5</v>
          </cell>
          <cell r="DC486">
            <v>351.1</v>
          </cell>
          <cell r="DD486">
            <v>104</v>
          </cell>
        </row>
        <row r="487">
          <cell r="A487">
            <v>39200</v>
          </cell>
          <cell r="C487">
            <v>40</v>
          </cell>
          <cell r="D487" t="str">
            <v>#N/A N/A</v>
          </cell>
          <cell r="E487">
            <v>14.52</v>
          </cell>
          <cell r="L487">
            <v>1542.52</v>
          </cell>
          <cell r="M487">
            <v>2557.21</v>
          </cell>
          <cell r="N487">
            <v>6418.7</v>
          </cell>
          <cell r="O487">
            <v>4285</v>
          </cell>
          <cell r="Q487">
            <v>615</v>
          </cell>
          <cell r="R487">
            <v>364.25</v>
          </cell>
          <cell r="S487">
            <v>500.5</v>
          </cell>
          <cell r="T487">
            <v>723</v>
          </cell>
          <cell r="U487">
            <v>17400.41</v>
          </cell>
          <cell r="V487">
            <v>20526.5</v>
          </cell>
          <cell r="W487">
            <v>7949.42</v>
          </cell>
          <cell r="X487">
            <v>75.150000000000006</v>
          </cell>
          <cell r="Y487">
            <v>1010</v>
          </cell>
          <cell r="Z487">
            <v>1360</v>
          </cell>
          <cell r="AA487">
            <v>13908.58</v>
          </cell>
          <cell r="AB487">
            <v>6141</v>
          </cell>
          <cell r="AC487">
            <v>49229.601600000002</v>
          </cell>
          <cell r="AE487">
            <v>82.05</v>
          </cell>
          <cell r="AF487">
            <v>771.18</v>
          </cell>
          <cell r="AG487">
            <v>6230</v>
          </cell>
          <cell r="AH487">
            <v>920</v>
          </cell>
          <cell r="AI487">
            <v>1610</v>
          </cell>
          <cell r="AJ487">
            <v>675.52</v>
          </cell>
          <cell r="AL487">
            <v>1494.07</v>
          </cell>
          <cell r="AP487">
            <v>3759.8670000000002</v>
          </cell>
          <cell r="AV487">
            <v>53.56</v>
          </cell>
          <cell r="AZ487">
            <v>266.60000000000002</v>
          </cell>
          <cell r="BE487">
            <v>50475</v>
          </cell>
          <cell r="BG487">
            <v>54.45</v>
          </cell>
          <cell r="BH487">
            <v>310.63</v>
          </cell>
          <cell r="BY487">
            <v>498.67</v>
          </cell>
          <cell r="CD487">
            <v>392.76</v>
          </cell>
          <cell r="CE487">
            <v>388.09500000000003</v>
          </cell>
          <cell r="CF487">
            <v>389.31</v>
          </cell>
          <cell r="CG487">
            <v>1295</v>
          </cell>
          <cell r="CH487">
            <v>1070</v>
          </cell>
          <cell r="CI487">
            <v>112</v>
          </cell>
          <cell r="CJ487">
            <v>300</v>
          </cell>
          <cell r="CK487">
            <v>1233</v>
          </cell>
          <cell r="CM487">
            <v>236.13</v>
          </cell>
          <cell r="CN487">
            <v>18.11</v>
          </cell>
          <cell r="CO487" t="str">
            <v>#N/A N/A</v>
          </cell>
          <cell r="CQ487">
            <v>7.43</v>
          </cell>
          <cell r="CR487">
            <v>113</v>
          </cell>
          <cell r="CS487">
            <v>2005</v>
          </cell>
          <cell r="CU487">
            <v>980</v>
          </cell>
          <cell r="CW487">
            <v>52.362804878048784</v>
          </cell>
          <cell r="CX487">
            <v>714.94500000000005</v>
          </cell>
          <cell r="CZ487">
            <v>314.2</v>
          </cell>
          <cell r="DA487">
            <v>4276.8</v>
          </cell>
          <cell r="DB487">
            <v>10.5</v>
          </cell>
          <cell r="DC487">
            <v>351.1</v>
          </cell>
          <cell r="DD487">
            <v>104</v>
          </cell>
        </row>
        <row r="488">
          <cell r="A488">
            <v>39201</v>
          </cell>
          <cell r="C488">
            <v>40</v>
          </cell>
          <cell r="D488" t="str">
            <v>#N/A N/A</v>
          </cell>
          <cell r="E488">
            <v>14.52</v>
          </cell>
          <cell r="L488">
            <v>1542.52</v>
          </cell>
          <cell r="M488">
            <v>2557.21</v>
          </cell>
          <cell r="N488">
            <v>6418.7</v>
          </cell>
          <cell r="O488">
            <v>4285</v>
          </cell>
          <cell r="Q488">
            <v>615</v>
          </cell>
          <cell r="R488">
            <v>364.25</v>
          </cell>
          <cell r="S488">
            <v>500.5</v>
          </cell>
          <cell r="T488">
            <v>723</v>
          </cell>
          <cell r="U488">
            <v>17400.41</v>
          </cell>
          <cell r="V488">
            <v>20526.5</v>
          </cell>
          <cell r="W488">
            <v>7949.42</v>
          </cell>
          <cell r="X488">
            <v>75.150000000000006</v>
          </cell>
          <cell r="Y488">
            <v>1010</v>
          </cell>
          <cell r="Z488">
            <v>1360</v>
          </cell>
          <cell r="AA488">
            <v>13908.58</v>
          </cell>
          <cell r="AB488">
            <v>6141</v>
          </cell>
          <cell r="AC488">
            <v>49229.601600000002</v>
          </cell>
          <cell r="AE488">
            <v>82.05</v>
          </cell>
          <cell r="AF488">
            <v>771.18</v>
          </cell>
          <cell r="AG488">
            <v>6230</v>
          </cell>
          <cell r="AH488">
            <v>920</v>
          </cell>
          <cell r="AI488">
            <v>1610</v>
          </cell>
          <cell r="AJ488">
            <v>675.52</v>
          </cell>
          <cell r="AL488">
            <v>1494.07</v>
          </cell>
          <cell r="AP488">
            <v>3759.8670000000002</v>
          </cell>
          <cell r="AV488">
            <v>53.56</v>
          </cell>
          <cell r="AZ488">
            <v>266.60000000000002</v>
          </cell>
          <cell r="BE488">
            <v>50475</v>
          </cell>
          <cell r="BG488">
            <v>54.45</v>
          </cell>
          <cell r="BH488">
            <v>310.63</v>
          </cell>
          <cell r="BY488">
            <v>498.67</v>
          </cell>
          <cell r="CD488">
            <v>392.76</v>
          </cell>
          <cell r="CE488">
            <v>388.09500000000003</v>
          </cell>
          <cell r="CF488">
            <v>389.31</v>
          </cell>
          <cell r="CG488">
            <v>1295</v>
          </cell>
          <cell r="CH488">
            <v>1070</v>
          </cell>
          <cell r="CI488">
            <v>112</v>
          </cell>
          <cell r="CJ488">
            <v>300</v>
          </cell>
          <cell r="CK488">
            <v>1233</v>
          </cell>
          <cell r="CM488">
            <v>236.13</v>
          </cell>
          <cell r="CN488">
            <v>18.11</v>
          </cell>
          <cell r="CO488" t="str">
            <v>#N/A N/A</v>
          </cell>
          <cell r="CQ488">
            <v>7.43</v>
          </cell>
          <cell r="CR488">
            <v>113</v>
          </cell>
          <cell r="CS488">
            <v>2005</v>
          </cell>
          <cell r="CU488">
            <v>980</v>
          </cell>
          <cell r="CW488">
            <v>52.362804878048784</v>
          </cell>
          <cell r="CX488">
            <v>714.94500000000005</v>
          </cell>
          <cell r="CZ488">
            <v>314.2</v>
          </cell>
          <cell r="DA488">
            <v>4276.8</v>
          </cell>
          <cell r="DB488">
            <v>10.5</v>
          </cell>
          <cell r="DC488">
            <v>351.1</v>
          </cell>
          <cell r="DD488">
            <v>104</v>
          </cell>
        </row>
        <row r="489">
          <cell r="A489">
            <v>39202</v>
          </cell>
          <cell r="C489">
            <v>40</v>
          </cell>
          <cell r="D489" t="str">
            <v>#N/A N/A</v>
          </cell>
          <cell r="E489">
            <v>14.56</v>
          </cell>
          <cell r="L489">
            <v>1542.24</v>
          </cell>
          <cell r="M489">
            <v>2525.09</v>
          </cell>
          <cell r="N489">
            <v>6449.2</v>
          </cell>
          <cell r="O489">
            <v>4285</v>
          </cell>
          <cell r="Q489">
            <v>615</v>
          </cell>
          <cell r="R489">
            <v>358</v>
          </cell>
          <cell r="S489">
            <v>485.5</v>
          </cell>
          <cell r="T489">
            <v>728.5</v>
          </cell>
          <cell r="U489">
            <v>17400.41</v>
          </cell>
          <cell r="V489">
            <v>20318.98</v>
          </cell>
          <cell r="W489">
            <v>7875.42</v>
          </cell>
          <cell r="X489">
            <v>75.55</v>
          </cell>
          <cell r="Y489">
            <v>1010</v>
          </cell>
          <cell r="Z489">
            <v>1360</v>
          </cell>
          <cell r="AA489">
            <v>13872.37</v>
          </cell>
          <cell r="AB489">
            <v>6158.3</v>
          </cell>
          <cell r="AC489">
            <v>48956.390599999999</v>
          </cell>
          <cell r="AE489">
            <v>82.6</v>
          </cell>
          <cell r="AF489">
            <v>771.18</v>
          </cell>
          <cell r="AG489">
            <v>6248</v>
          </cell>
          <cell r="AH489">
            <v>920</v>
          </cell>
          <cell r="AI489">
            <v>1610</v>
          </cell>
          <cell r="AJ489">
            <v>675.88</v>
          </cell>
          <cell r="AL489">
            <v>1482.37</v>
          </cell>
          <cell r="AP489">
            <v>3841.2719999999999</v>
          </cell>
          <cell r="AV489">
            <v>53.06</v>
          </cell>
          <cell r="AZ489">
            <v>266.60000000000002</v>
          </cell>
          <cell r="BE489">
            <v>49825</v>
          </cell>
          <cell r="BG489">
            <v>54.45</v>
          </cell>
          <cell r="BH489">
            <v>306.57</v>
          </cell>
          <cell r="BY489">
            <v>492.94</v>
          </cell>
          <cell r="CD489">
            <v>391.14</v>
          </cell>
          <cell r="CE489">
            <v>386.56700000000001</v>
          </cell>
          <cell r="CF489">
            <v>387.59</v>
          </cell>
          <cell r="CG489">
            <v>1295</v>
          </cell>
          <cell r="CH489">
            <v>1070</v>
          </cell>
          <cell r="CI489">
            <v>112</v>
          </cell>
          <cell r="CJ489">
            <v>300</v>
          </cell>
          <cell r="CK489">
            <v>1236</v>
          </cell>
          <cell r="CM489">
            <v>244.05</v>
          </cell>
          <cell r="CN489">
            <v>18.86</v>
          </cell>
          <cell r="CO489" t="str">
            <v>#N/A N/A</v>
          </cell>
          <cell r="CQ489">
            <v>7.7</v>
          </cell>
          <cell r="CR489">
            <v>113</v>
          </cell>
          <cell r="CS489">
            <v>2005</v>
          </cell>
          <cell r="CU489">
            <v>980</v>
          </cell>
          <cell r="CW489">
            <v>52.896341463414636</v>
          </cell>
          <cell r="CX489">
            <v>717.57</v>
          </cell>
          <cell r="CZ489">
            <v>312.70999999999998</v>
          </cell>
          <cell r="DA489">
            <v>4287.1000000000004</v>
          </cell>
          <cell r="DB489">
            <v>10.53</v>
          </cell>
          <cell r="DC489">
            <v>351.1</v>
          </cell>
          <cell r="DD489">
            <v>103.15</v>
          </cell>
        </row>
        <row r="490">
          <cell r="A490">
            <v>39203</v>
          </cell>
          <cell r="C490">
            <v>40</v>
          </cell>
          <cell r="D490" t="str">
            <v>#N/A N/A</v>
          </cell>
          <cell r="E490">
            <v>14.56</v>
          </cell>
          <cell r="L490">
            <v>1542.24</v>
          </cell>
          <cell r="M490">
            <v>2531.5300000000002</v>
          </cell>
          <cell r="N490">
            <v>6419.6</v>
          </cell>
          <cell r="O490">
            <v>4285</v>
          </cell>
          <cell r="Q490">
            <v>615</v>
          </cell>
          <cell r="R490">
            <v>377.5</v>
          </cell>
          <cell r="S490">
            <v>501</v>
          </cell>
          <cell r="T490">
            <v>756.25</v>
          </cell>
          <cell r="U490">
            <v>17274.98</v>
          </cell>
          <cell r="V490">
            <v>20318.98</v>
          </cell>
          <cell r="W490">
            <v>7875.42</v>
          </cell>
          <cell r="X490">
            <v>75.55</v>
          </cell>
          <cell r="Y490">
            <v>1010</v>
          </cell>
          <cell r="Z490">
            <v>1360</v>
          </cell>
          <cell r="AA490">
            <v>13872.37</v>
          </cell>
          <cell r="AB490">
            <v>6140.2</v>
          </cell>
          <cell r="AC490">
            <v>48956.390599999999</v>
          </cell>
          <cell r="AE490">
            <v>82.6</v>
          </cell>
          <cell r="AF490">
            <v>772.68</v>
          </cell>
          <cell r="AG490">
            <v>6255</v>
          </cell>
          <cell r="AH490">
            <v>920</v>
          </cell>
          <cell r="AI490">
            <v>1610</v>
          </cell>
          <cell r="AJ490">
            <v>675.88</v>
          </cell>
          <cell r="AL490">
            <v>1486.3</v>
          </cell>
          <cell r="AP490">
            <v>3841.2719999999999</v>
          </cell>
          <cell r="AV490">
            <v>53.5</v>
          </cell>
          <cell r="AZ490">
            <v>269.8</v>
          </cell>
          <cell r="BE490">
            <v>50575</v>
          </cell>
          <cell r="BG490">
            <v>54.45</v>
          </cell>
          <cell r="BH490">
            <v>307.55</v>
          </cell>
          <cell r="BY490">
            <v>494.13</v>
          </cell>
          <cell r="CD490">
            <v>390.68</v>
          </cell>
          <cell r="CE490">
            <v>386.09</v>
          </cell>
          <cell r="CF490">
            <v>387.48</v>
          </cell>
          <cell r="CG490">
            <v>1295</v>
          </cell>
          <cell r="CH490">
            <v>1070</v>
          </cell>
          <cell r="CI490">
            <v>112</v>
          </cell>
          <cell r="CJ490">
            <v>300</v>
          </cell>
          <cell r="CK490">
            <v>1236</v>
          </cell>
          <cell r="CM490">
            <v>224.47</v>
          </cell>
          <cell r="CN490">
            <v>19.12</v>
          </cell>
          <cell r="CO490" t="str">
            <v>#N/A N/A</v>
          </cell>
          <cell r="CQ490">
            <v>7.65</v>
          </cell>
          <cell r="CR490">
            <v>113</v>
          </cell>
          <cell r="CS490">
            <v>2002.5</v>
          </cell>
          <cell r="CU490">
            <v>980</v>
          </cell>
          <cell r="CW490">
            <v>52.896341463414636</v>
          </cell>
          <cell r="CX490">
            <v>714</v>
          </cell>
          <cell r="CZ490">
            <v>311.58</v>
          </cell>
          <cell r="DA490">
            <v>4366.1000000000004</v>
          </cell>
          <cell r="DB490">
            <v>10.45</v>
          </cell>
          <cell r="DC490">
            <v>374.15</v>
          </cell>
          <cell r="DD490">
            <v>104.85</v>
          </cell>
        </row>
        <row r="491">
          <cell r="A491">
            <v>39204</v>
          </cell>
          <cell r="C491">
            <v>40</v>
          </cell>
          <cell r="D491" t="str">
            <v>#N/A N/A</v>
          </cell>
          <cell r="E491">
            <v>14.45</v>
          </cell>
          <cell r="L491">
            <v>1553.3</v>
          </cell>
          <cell r="M491">
            <v>2557.84</v>
          </cell>
          <cell r="N491">
            <v>6484.5</v>
          </cell>
          <cell r="O491">
            <v>4285</v>
          </cell>
          <cell r="Q491">
            <v>615</v>
          </cell>
          <cell r="R491">
            <v>382</v>
          </cell>
          <cell r="S491">
            <v>493.5</v>
          </cell>
          <cell r="T491">
            <v>748.5</v>
          </cell>
          <cell r="U491">
            <v>17394.919999999998</v>
          </cell>
          <cell r="V491">
            <v>20388.490000000002</v>
          </cell>
          <cell r="W491">
            <v>7903.04</v>
          </cell>
          <cell r="X491">
            <v>75.099999999999994</v>
          </cell>
          <cell r="Y491">
            <v>1010</v>
          </cell>
          <cell r="Z491">
            <v>1360</v>
          </cell>
          <cell r="AA491">
            <v>13872.37</v>
          </cell>
          <cell r="AB491">
            <v>6224.5</v>
          </cell>
          <cell r="AC491">
            <v>49471.539100000002</v>
          </cell>
          <cell r="AE491">
            <v>82</v>
          </cell>
          <cell r="AF491">
            <v>772.68</v>
          </cell>
          <cell r="AG491">
            <v>6262</v>
          </cell>
          <cell r="AH491">
            <v>920</v>
          </cell>
          <cell r="AI491">
            <v>1610</v>
          </cell>
          <cell r="AJ491">
            <v>682.07</v>
          </cell>
          <cell r="AL491">
            <v>1495.92</v>
          </cell>
          <cell r="AP491">
            <v>3841.2719999999999</v>
          </cell>
          <cell r="AV491">
            <v>54.52</v>
          </cell>
          <cell r="AZ491">
            <v>275.2</v>
          </cell>
          <cell r="BE491">
            <v>50850</v>
          </cell>
          <cell r="BG491">
            <v>54.45</v>
          </cell>
          <cell r="BH491">
            <v>312.57</v>
          </cell>
          <cell r="BY491">
            <v>498.41</v>
          </cell>
          <cell r="CD491">
            <v>393.13</v>
          </cell>
          <cell r="CE491">
            <v>388.52600000000001</v>
          </cell>
          <cell r="CF491">
            <v>389.02</v>
          </cell>
          <cell r="CG491">
            <v>1295</v>
          </cell>
          <cell r="CH491">
            <v>1070</v>
          </cell>
          <cell r="CI491">
            <v>112</v>
          </cell>
          <cell r="CJ491">
            <v>300</v>
          </cell>
          <cell r="CK491">
            <v>1249</v>
          </cell>
          <cell r="CM491">
            <v>223.26</v>
          </cell>
          <cell r="CN491">
            <v>19.11</v>
          </cell>
          <cell r="CO491" t="str">
            <v>#N/A N/A</v>
          </cell>
          <cell r="CQ491">
            <v>7.64</v>
          </cell>
          <cell r="CR491">
            <v>113</v>
          </cell>
          <cell r="CS491">
            <v>2047</v>
          </cell>
          <cell r="CU491">
            <v>980</v>
          </cell>
          <cell r="CW491">
            <v>53.277439024390247</v>
          </cell>
          <cell r="CX491">
            <v>714.26250000000005</v>
          </cell>
          <cell r="CZ491">
            <v>310.52</v>
          </cell>
          <cell r="DA491">
            <v>4358.8999999999996</v>
          </cell>
          <cell r="DB491">
            <v>10.47</v>
          </cell>
          <cell r="DC491">
            <v>374.95</v>
          </cell>
          <cell r="DD491">
            <v>104.7</v>
          </cell>
        </row>
        <row r="492">
          <cell r="A492">
            <v>39205</v>
          </cell>
          <cell r="C492">
            <v>40</v>
          </cell>
          <cell r="D492" t="str">
            <v>#N/A N/A</v>
          </cell>
          <cell r="E492">
            <v>14.39</v>
          </cell>
          <cell r="L492">
            <v>1559.86</v>
          </cell>
          <cell r="M492">
            <v>2565.46</v>
          </cell>
          <cell r="N492">
            <v>6537.8</v>
          </cell>
          <cell r="O492">
            <v>4285</v>
          </cell>
          <cell r="Q492">
            <v>615</v>
          </cell>
          <cell r="R492">
            <v>389.25</v>
          </cell>
          <cell r="S492">
            <v>494.5</v>
          </cell>
          <cell r="T492">
            <v>747.75</v>
          </cell>
          <cell r="U492">
            <v>17394.919999999998</v>
          </cell>
          <cell r="V492">
            <v>20681.580000000002</v>
          </cell>
          <cell r="W492">
            <v>7926.66</v>
          </cell>
          <cell r="X492">
            <v>74.45</v>
          </cell>
          <cell r="Y492">
            <v>1010</v>
          </cell>
          <cell r="Z492">
            <v>1360</v>
          </cell>
          <cell r="AA492">
            <v>14078.21</v>
          </cell>
          <cell r="AB492">
            <v>6236.9</v>
          </cell>
          <cell r="AC492">
            <v>50218.218800000002</v>
          </cell>
          <cell r="AE492">
            <v>82.15</v>
          </cell>
          <cell r="AF492">
            <v>772.68</v>
          </cell>
          <cell r="AG492">
            <v>6276</v>
          </cell>
          <cell r="AH492">
            <v>920</v>
          </cell>
          <cell r="AI492">
            <v>1610</v>
          </cell>
          <cell r="AJ492">
            <v>686.53</v>
          </cell>
          <cell r="AL492">
            <v>1502.39</v>
          </cell>
          <cell r="AP492">
            <v>3841.2719999999999</v>
          </cell>
          <cell r="AV492">
            <v>55</v>
          </cell>
          <cell r="AZ492">
            <v>275.2</v>
          </cell>
          <cell r="BE492">
            <v>51900</v>
          </cell>
          <cell r="BG492">
            <v>54.45</v>
          </cell>
          <cell r="BH492">
            <v>315.75</v>
          </cell>
          <cell r="BY492">
            <v>500.38</v>
          </cell>
          <cell r="CD492">
            <v>394.43</v>
          </cell>
          <cell r="CE492">
            <v>389.51400000000001</v>
          </cell>
          <cell r="CF492">
            <v>393.58</v>
          </cell>
          <cell r="CG492">
            <v>1295</v>
          </cell>
          <cell r="CH492">
            <v>1070</v>
          </cell>
          <cell r="CI492">
            <v>112</v>
          </cell>
          <cell r="CJ492">
            <v>300</v>
          </cell>
          <cell r="CK492">
            <v>1285</v>
          </cell>
          <cell r="CM492">
            <v>224.76</v>
          </cell>
          <cell r="CN492">
            <v>19.100000000000001</v>
          </cell>
          <cell r="CO492" t="str">
            <v>#N/A N/A</v>
          </cell>
          <cell r="CQ492">
            <v>7.58</v>
          </cell>
          <cell r="CR492">
            <v>113</v>
          </cell>
          <cell r="CS492">
            <v>2075</v>
          </cell>
          <cell r="CU492">
            <v>980</v>
          </cell>
          <cell r="CW492">
            <v>52.97256097560976</v>
          </cell>
          <cell r="CX492">
            <v>712.37249999999995</v>
          </cell>
          <cell r="CZ492">
            <v>311.77</v>
          </cell>
          <cell r="DA492">
            <v>4461.3</v>
          </cell>
          <cell r="DB492">
            <v>10.67</v>
          </cell>
          <cell r="DC492">
            <v>376.5</v>
          </cell>
          <cell r="DD492">
            <v>104.35</v>
          </cell>
        </row>
        <row r="493">
          <cell r="A493">
            <v>39206</v>
          </cell>
          <cell r="C493">
            <v>40</v>
          </cell>
          <cell r="D493" t="str">
            <v>#N/A N/A</v>
          </cell>
          <cell r="E493">
            <v>14.39</v>
          </cell>
          <cell r="L493">
            <v>1567.74</v>
          </cell>
          <cell r="M493">
            <v>2572.15</v>
          </cell>
          <cell r="N493">
            <v>6603.7</v>
          </cell>
          <cell r="O493">
            <v>4285</v>
          </cell>
          <cell r="Q493">
            <v>615</v>
          </cell>
          <cell r="R493">
            <v>390.75</v>
          </cell>
          <cell r="S493">
            <v>494.75</v>
          </cell>
          <cell r="T493">
            <v>747.5</v>
          </cell>
          <cell r="U493">
            <v>17394.919999999998</v>
          </cell>
          <cell r="V493">
            <v>20841.080000000002</v>
          </cell>
          <cell r="W493">
            <v>8066.06</v>
          </cell>
          <cell r="X493">
            <v>74.95</v>
          </cell>
          <cell r="Y493">
            <v>1020</v>
          </cell>
          <cell r="Z493">
            <v>1360</v>
          </cell>
          <cell r="AA493">
            <v>13934.27</v>
          </cell>
          <cell r="AB493">
            <v>6296.2</v>
          </cell>
          <cell r="AC493">
            <v>50597.789100000002</v>
          </cell>
          <cell r="AE493">
            <v>82.35</v>
          </cell>
          <cell r="AF493">
            <v>772.68</v>
          </cell>
          <cell r="AG493">
            <v>6321</v>
          </cell>
          <cell r="AH493">
            <v>920</v>
          </cell>
          <cell r="AI493">
            <v>1610</v>
          </cell>
          <cell r="AJ493">
            <v>693.44</v>
          </cell>
          <cell r="AL493">
            <v>1505.62</v>
          </cell>
          <cell r="AP493">
            <v>3841.2719999999999</v>
          </cell>
          <cell r="AV493">
            <v>54.65</v>
          </cell>
          <cell r="AZ493">
            <v>275.2</v>
          </cell>
          <cell r="BE493">
            <v>53775</v>
          </cell>
          <cell r="BG493">
            <v>54.35</v>
          </cell>
          <cell r="BH493">
            <v>316.81</v>
          </cell>
          <cell r="BY493">
            <v>505.61</v>
          </cell>
          <cell r="CD493">
            <v>396.45</v>
          </cell>
          <cell r="CE493">
            <v>391.36599999999999</v>
          </cell>
          <cell r="CF493">
            <v>397.7</v>
          </cell>
          <cell r="CG493">
            <v>1295</v>
          </cell>
          <cell r="CH493">
            <v>1075</v>
          </cell>
          <cell r="CI493">
            <v>112</v>
          </cell>
          <cell r="CJ493">
            <v>300</v>
          </cell>
          <cell r="CK493">
            <v>1299</v>
          </cell>
          <cell r="CM493">
            <v>221.64</v>
          </cell>
          <cell r="CN493">
            <v>19.489999999999998</v>
          </cell>
          <cell r="CO493" t="str">
            <v>#N/A N/A</v>
          </cell>
          <cell r="CQ493">
            <v>7.82</v>
          </cell>
          <cell r="CR493">
            <v>113</v>
          </cell>
          <cell r="CS493">
            <v>2114</v>
          </cell>
          <cell r="CU493">
            <v>980</v>
          </cell>
          <cell r="CW493">
            <v>52.97256097560976</v>
          </cell>
          <cell r="CX493">
            <v>713.68499999999995</v>
          </cell>
          <cell r="CZ493">
            <v>311.24</v>
          </cell>
          <cell r="DA493">
            <v>4556.6000000000004</v>
          </cell>
          <cell r="DB493">
            <v>10.67</v>
          </cell>
          <cell r="DC493">
            <v>377</v>
          </cell>
          <cell r="DD493">
            <v>106</v>
          </cell>
        </row>
        <row r="494">
          <cell r="A494">
            <v>39207</v>
          </cell>
          <cell r="C494">
            <v>40</v>
          </cell>
          <cell r="D494" t="str">
            <v>#N/A N/A</v>
          </cell>
          <cell r="E494">
            <v>14.39</v>
          </cell>
          <cell r="L494">
            <v>1567.74</v>
          </cell>
          <cell r="M494">
            <v>2572.15</v>
          </cell>
          <cell r="N494">
            <v>6603.7</v>
          </cell>
          <cell r="O494">
            <v>4285</v>
          </cell>
          <cell r="Q494">
            <v>615</v>
          </cell>
          <cell r="R494">
            <v>390.75</v>
          </cell>
          <cell r="S494">
            <v>494.75</v>
          </cell>
          <cell r="T494">
            <v>747.5</v>
          </cell>
          <cell r="U494">
            <v>17394.919999999998</v>
          </cell>
          <cell r="V494">
            <v>20841.080000000002</v>
          </cell>
          <cell r="W494">
            <v>8066.06</v>
          </cell>
          <cell r="X494">
            <v>74.95</v>
          </cell>
          <cell r="Y494">
            <v>1020</v>
          </cell>
          <cell r="Z494">
            <v>1360</v>
          </cell>
          <cell r="AA494">
            <v>13934.27</v>
          </cell>
          <cell r="AB494">
            <v>6296.2</v>
          </cell>
          <cell r="AC494">
            <v>50597.789100000002</v>
          </cell>
          <cell r="AE494">
            <v>82.35</v>
          </cell>
          <cell r="AF494">
            <v>772.68</v>
          </cell>
          <cell r="AG494">
            <v>6321</v>
          </cell>
          <cell r="AH494">
            <v>920</v>
          </cell>
          <cell r="AI494">
            <v>1610</v>
          </cell>
          <cell r="AJ494">
            <v>693.44</v>
          </cell>
          <cell r="AL494">
            <v>1505.62</v>
          </cell>
          <cell r="AP494">
            <v>3841.2719999999999</v>
          </cell>
          <cell r="AV494">
            <v>54.65</v>
          </cell>
          <cell r="AZ494">
            <v>275.2</v>
          </cell>
          <cell r="BE494">
            <v>53775</v>
          </cell>
          <cell r="BG494">
            <v>54.35</v>
          </cell>
          <cell r="BH494">
            <v>316.81</v>
          </cell>
          <cell r="BY494">
            <v>505.61</v>
          </cell>
          <cell r="CD494">
            <v>396.45</v>
          </cell>
          <cell r="CE494">
            <v>391.36599999999999</v>
          </cell>
          <cell r="CF494">
            <v>397.7</v>
          </cell>
          <cell r="CG494">
            <v>1295</v>
          </cell>
          <cell r="CH494">
            <v>1075</v>
          </cell>
          <cell r="CI494">
            <v>112</v>
          </cell>
          <cell r="CJ494">
            <v>300</v>
          </cell>
          <cell r="CK494">
            <v>1299</v>
          </cell>
          <cell r="CM494">
            <v>221.64</v>
          </cell>
          <cell r="CN494">
            <v>19.489999999999998</v>
          </cell>
          <cell r="CO494" t="str">
            <v>#N/A N/A</v>
          </cell>
          <cell r="CQ494">
            <v>7.82</v>
          </cell>
          <cell r="CR494">
            <v>113</v>
          </cell>
          <cell r="CS494">
            <v>2114</v>
          </cell>
          <cell r="CU494">
            <v>980</v>
          </cell>
          <cell r="CW494">
            <v>52.97256097560976</v>
          </cell>
          <cell r="CX494">
            <v>713.68499999999995</v>
          </cell>
          <cell r="CZ494">
            <v>311.24</v>
          </cell>
          <cell r="DA494">
            <v>4556.6000000000004</v>
          </cell>
          <cell r="DB494">
            <v>10.67</v>
          </cell>
          <cell r="DC494">
            <v>377</v>
          </cell>
          <cell r="DD494">
            <v>106</v>
          </cell>
        </row>
        <row r="495">
          <cell r="A495">
            <v>39208</v>
          </cell>
          <cell r="C495">
            <v>40</v>
          </cell>
          <cell r="D495" t="str">
            <v>#N/A N/A</v>
          </cell>
          <cell r="E495">
            <v>14.39</v>
          </cell>
          <cell r="L495">
            <v>1567.74</v>
          </cell>
          <cell r="M495">
            <v>2572.15</v>
          </cell>
          <cell r="N495">
            <v>6603.7</v>
          </cell>
          <cell r="O495">
            <v>4285</v>
          </cell>
          <cell r="Q495">
            <v>615</v>
          </cell>
          <cell r="R495">
            <v>390.75</v>
          </cell>
          <cell r="S495">
            <v>494.75</v>
          </cell>
          <cell r="T495">
            <v>747.5</v>
          </cell>
          <cell r="U495">
            <v>17394.919999999998</v>
          </cell>
          <cell r="V495">
            <v>20841.080000000002</v>
          </cell>
          <cell r="W495">
            <v>8066.06</v>
          </cell>
          <cell r="X495">
            <v>74.95</v>
          </cell>
          <cell r="Y495">
            <v>1020</v>
          </cell>
          <cell r="Z495">
            <v>1360</v>
          </cell>
          <cell r="AA495">
            <v>13934.27</v>
          </cell>
          <cell r="AB495">
            <v>6296.2</v>
          </cell>
          <cell r="AC495">
            <v>50597.789100000002</v>
          </cell>
          <cell r="AE495">
            <v>82.35</v>
          </cell>
          <cell r="AF495">
            <v>772.68</v>
          </cell>
          <cell r="AG495">
            <v>6321</v>
          </cell>
          <cell r="AH495">
            <v>920</v>
          </cell>
          <cell r="AI495">
            <v>1610</v>
          </cell>
          <cell r="AJ495">
            <v>693.44</v>
          </cell>
          <cell r="AL495">
            <v>1505.62</v>
          </cell>
          <cell r="AP495">
            <v>3841.2719999999999</v>
          </cell>
          <cell r="AV495">
            <v>54.65</v>
          </cell>
          <cell r="AZ495">
            <v>275.2</v>
          </cell>
          <cell r="BE495">
            <v>53775</v>
          </cell>
          <cell r="BG495">
            <v>54.35</v>
          </cell>
          <cell r="BH495">
            <v>316.81</v>
          </cell>
          <cell r="BY495">
            <v>505.61</v>
          </cell>
          <cell r="CD495">
            <v>396.45</v>
          </cell>
          <cell r="CE495">
            <v>391.36599999999999</v>
          </cell>
          <cell r="CF495">
            <v>397.7</v>
          </cell>
          <cell r="CG495">
            <v>1295</v>
          </cell>
          <cell r="CH495">
            <v>1075</v>
          </cell>
          <cell r="CI495">
            <v>112</v>
          </cell>
          <cell r="CJ495">
            <v>300</v>
          </cell>
          <cell r="CK495">
            <v>1299</v>
          </cell>
          <cell r="CM495">
            <v>221.64</v>
          </cell>
          <cell r="CN495">
            <v>19.489999999999998</v>
          </cell>
          <cell r="CO495" t="str">
            <v>#N/A N/A</v>
          </cell>
          <cell r="CQ495">
            <v>7.82</v>
          </cell>
          <cell r="CR495">
            <v>113</v>
          </cell>
          <cell r="CS495">
            <v>2114</v>
          </cell>
          <cell r="CU495">
            <v>980</v>
          </cell>
          <cell r="CW495">
            <v>52.97256097560976</v>
          </cell>
          <cell r="CX495">
            <v>713.68499999999995</v>
          </cell>
          <cell r="CZ495">
            <v>311.24</v>
          </cell>
          <cell r="DA495">
            <v>4556.6000000000004</v>
          </cell>
          <cell r="DB495">
            <v>10.67</v>
          </cell>
          <cell r="DC495">
            <v>377</v>
          </cell>
          <cell r="DD495">
            <v>106</v>
          </cell>
        </row>
        <row r="496">
          <cell r="A496">
            <v>39209</v>
          </cell>
          <cell r="C496">
            <v>37</v>
          </cell>
          <cell r="D496" t="str">
            <v>#N/A N/A</v>
          </cell>
          <cell r="E496">
            <v>14.4</v>
          </cell>
          <cell r="L496">
            <v>1584.46</v>
          </cell>
          <cell r="M496">
            <v>2570.9499999999998</v>
          </cell>
          <cell r="N496">
            <v>6603.7</v>
          </cell>
          <cell r="O496">
            <v>4285</v>
          </cell>
          <cell r="Q496">
            <v>615</v>
          </cell>
          <cell r="R496">
            <v>379</v>
          </cell>
          <cell r="S496">
            <v>494</v>
          </cell>
          <cell r="T496">
            <v>742.5</v>
          </cell>
          <cell r="U496">
            <v>17669.830000000002</v>
          </cell>
          <cell r="V496">
            <v>20896.64</v>
          </cell>
          <cell r="W496">
            <v>8115.27</v>
          </cell>
          <cell r="X496">
            <v>74.45</v>
          </cell>
          <cell r="Y496">
            <v>1020</v>
          </cell>
          <cell r="Z496">
            <v>1360</v>
          </cell>
          <cell r="AA496">
            <v>13879.25</v>
          </cell>
          <cell r="AB496">
            <v>6329.4</v>
          </cell>
          <cell r="AC496">
            <v>50281.730499999998</v>
          </cell>
          <cell r="AE496">
            <v>80.95</v>
          </cell>
          <cell r="AF496">
            <v>772.68</v>
          </cell>
          <cell r="AG496">
            <v>6321</v>
          </cell>
          <cell r="AH496">
            <v>920</v>
          </cell>
          <cell r="AI496">
            <v>1610</v>
          </cell>
          <cell r="AJ496">
            <v>702.76</v>
          </cell>
          <cell r="AL496">
            <v>1509.48</v>
          </cell>
          <cell r="AP496">
            <v>3841.2719999999999</v>
          </cell>
          <cell r="AV496">
            <v>55.41</v>
          </cell>
          <cell r="AZ496">
            <v>279.5</v>
          </cell>
          <cell r="BE496">
            <v>53775</v>
          </cell>
          <cell r="BG496">
            <v>54.35</v>
          </cell>
          <cell r="BH496">
            <v>319.14</v>
          </cell>
          <cell r="BY496">
            <v>503.85</v>
          </cell>
          <cell r="CD496">
            <v>398.4</v>
          </cell>
          <cell r="CE496">
            <v>393.315</v>
          </cell>
          <cell r="CF496">
            <v>401.05</v>
          </cell>
          <cell r="CG496">
            <v>1295</v>
          </cell>
          <cell r="CH496">
            <v>1075</v>
          </cell>
          <cell r="CI496">
            <v>112</v>
          </cell>
          <cell r="CJ496">
            <v>300</v>
          </cell>
          <cell r="CK496">
            <v>1299</v>
          </cell>
          <cell r="CM496">
            <v>218.96</v>
          </cell>
          <cell r="CN496">
            <v>19.68</v>
          </cell>
          <cell r="CO496" t="str">
            <v>#N/A N/A</v>
          </cell>
          <cell r="CQ496">
            <v>7.69</v>
          </cell>
          <cell r="CR496">
            <v>113</v>
          </cell>
          <cell r="CS496">
            <v>2114</v>
          </cell>
          <cell r="CU496">
            <v>980</v>
          </cell>
          <cell r="CW496">
            <v>52.667682926829272</v>
          </cell>
          <cell r="CX496">
            <v>714.89250000000004</v>
          </cell>
          <cell r="CZ496">
            <v>308.92</v>
          </cell>
          <cell r="DA496">
            <v>4556.6000000000004</v>
          </cell>
          <cell r="DB496">
            <v>10.69</v>
          </cell>
          <cell r="DC496">
            <v>379.2</v>
          </cell>
          <cell r="DD496">
            <v>104.8</v>
          </cell>
        </row>
        <row r="497">
          <cell r="A497">
            <v>39210</v>
          </cell>
          <cell r="C497">
            <v>37</v>
          </cell>
          <cell r="D497" t="str">
            <v>#N/A N/A</v>
          </cell>
          <cell r="E497">
            <v>14.44</v>
          </cell>
          <cell r="L497">
            <v>1582.65</v>
          </cell>
          <cell r="M497">
            <v>2571.75</v>
          </cell>
          <cell r="N497">
            <v>6550.4</v>
          </cell>
          <cell r="O497">
            <v>4304</v>
          </cell>
          <cell r="Q497">
            <v>615</v>
          </cell>
          <cell r="R497">
            <v>363.5</v>
          </cell>
          <cell r="S497">
            <v>481</v>
          </cell>
          <cell r="T497">
            <v>739.5</v>
          </cell>
          <cell r="U497">
            <v>17656.84</v>
          </cell>
          <cell r="V497">
            <v>20706.349999999999</v>
          </cell>
          <cell r="W497">
            <v>8095.84</v>
          </cell>
          <cell r="X497">
            <v>74.7</v>
          </cell>
          <cell r="Y497">
            <v>1020</v>
          </cell>
          <cell r="Z497">
            <v>1360</v>
          </cell>
          <cell r="AA497">
            <v>13765.46</v>
          </cell>
          <cell r="AB497">
            <v>6301</v>
          </cell>
          <cell r="AC497">
            <v>50277.691400000003</v>
          </cell>
          <cell r="AE497">
            <v>80.05</v>
          </cell>
          <cell r="AF497">
            <v>776.01</v>
          </cell>
          <cell r="AG497">
            <v>6395</v>
          </cell>
          <cell r="AH497">
            <v>920</v>
          </cell>
          <cell r="AI497">
            <v>1610</v>
          </cell>
          <cell r="AJ497">
            <v>698.25</v>
          </cell>
          <cell r="AL497">
            <v>1507.72</v>
          </cell>
          <cell r="AP497">
            <v>3950.011</v>
          </cell>
          <cell r="AV497">
            <v>55.35</v>
          </cell>
          <cell r="AZ497">
            <v>280.5</v>
          </cell>
          <cell r="BE497">
            <v>53200</v>
          </cell>
          <cell r="BG497">
            <v>54.35</v>
          </cell>
          <cell r="BH497">
            <v>319.94</v>
          </cell>
          <cell r="BY497">
            <v>501.12</v>
          </cell>
          <cell r="CD497">
            <v>396.07</v>
          </cell>
          <cell r="CE497">
            <v>391.03800000000001</v>
          </cell>
          <cell r="CF497">
            <v>399.43</v>
          </cell>
          <cell r="CG497">
            <v>1295</v>
          </cell>
          <cell r="CH497">
            <v>1075</v>
          </cell>
          <cell r="CI497">
            <v>122</v>
          </cell>
          <cell r="CJ497">
            <v>305</v>
          </cell>
          <cell r="CK497">
            <v>1297</v>
          </cell>
          <cell r="CM497">
            <v>220.45</v>
          </cell>
          <cell r="CN497">
            <v>19.79</v>
          </cell>
          <cell r="CO497" t="str">
            <v>#N/A N/A</v>
          </cell>
          <cell r="CQ497">
            <v>7.5</v>
          </cell>
          <cell r="CR497">
            <v>113</v>
          </cell>
          <cell r="CS497">
            <v>2079</v>
          </cell>
          <cell r="CU497">
            <v>980</v>
          </cell>
          <cell r="CW497">
            <v>52.515243902439025</v>
          </cell>
          <cell r="CX497">
            <v>710.85</v>
          </cell>
          <cell r="CZ497">
            <v>308.89999999999998</v>
          </cell>
          <cell r="DA497">
            <v>4500.6000000000004</v>
          </cell>
          <cell r="DB497">
            <v>10.67</v>
          </cell>
          <cell r="DC497">
            <v>375.95</v>
          </cell>
          <cell r="DD497">
            <v>105.25</v>
          </cell>
        </row>
        <row r="498">
          <cell r="A498">
            <v>39211</v>
          </cell>
          <cell r="C498">
            <v>37</v>
          </cell>
          <cell r="D498" t="str">
            <v>#N/A N/A</v>
          </cell>
          <cell r="E498">
            <v>14.53</v>
          </cell>
          <cell r="L498">
            <v>1593.42</v>
          </cell>
          <cell r="M498">
            <v>2576.34</v>
          </cell>
          <cell r="N498">
            <v>6549.6</v>
          </cell>
          <cell r="O498">
            <v>4307</v>
          </cell>
          <cell r="Q498">
            <v>615</v>
          </cell>
          <cell r="R498">
            <v>366.25</v>
          </cell>
          <cell r="S498">
            <v>482</v>
          </cell>
          <cell r="T498">
            <v>747.5</v>
          </cell>
          <cell r="U498">
            <v>17748.12</v>
          </cell>
          <cell r="V498">
            <v>20844.78</v>
          </cell>
          <cell r="W498">
            <v>8052.7</v>
          </cell>
          <cell r="X498">
            <v>74.95</v>
          </cell>
          <cell r="Y498">
            <v>1020</v>
          </cell>
          <cell r="Z498">
            <v>1360</v>
          </cell>
          <cell r="AA498">
            <v>13781.51</v>
          </cell>
          <cell r="AB498">
            <v>6338</v>
          </cell>
          <cell r="AC498">
            <v>51300.128900000003</v>
          </cell>
          <cell r="AE498">
            <v>80.849999999999994</v>
          </cell>
          <cell r="AF498">
            <v>776.01</v>
          </cell>
          <cell r="AG498">
            <v>6478</v>
          </cell>
          <cell r="AH498">
            <v>920</v>
          </cell>
          <cell r="AI498">
            <v>1610</v>
          </cell>
          <cell r="AJ498">
            <v>701.5</v>
          </cell>
          <cell r="AL498">
            <v>1512.58</v>
          </cell>
          <cell r="AP498">
            <v>4013.085</v>
          </cell>
          <cell r="AV498">
            <v>56.209000000000003</v>
          </cell>
          <cell r="AZ498">
            <v>276.89999999999998</v>
          </cell>
          <cell r="BE498">
            <v>51820</v>
          </cell>
          <cell r="BG498">
            <v>54.35</v>
          </cell>
          <cell r="BH498">
            <v>325.89999999999998</v>
          </cell>
          <cell r="BY498">
            <v>509.61</v>
          </cell>
          <cell r="CD498">
            <v>397.71</v>
          </cell>
          <cell r="CE498">
            <v>392.6</v>
          </cell>
          <cell r="CF498">
            <v>399.79</v>
          </cell>
          <cell r="CG498">
            <v>1295</v>
          </cell>
          <cell r="CH498">
            <v>1075</v>
          </cell>
          <cell r="CI498">
            <v>122</v>
          </cell>
          <cell r="CJ498">
            <v>305</v>
          </cell>
          <cell r="CK498">
            <v>1296</v>
          </cell>
          <cell r="CM498">
            <v>223.09</v>
          </cell>
          <cell r="CN498">
            <v>19.600000000000001</v>
          </cell>
          <cell r="CO498" t="str">
            <v>#N/A N/A</v>
          </cell>
          <cell r="CQ498">
            <v>7.46</v>
          </cell>
          <cell r="CR498">
            <v>120</v>
          </cell>
          <cell r="CS498">
            <v>2057.5</v>
          </cell>
          <cell r="CU498">
            <v>980</v>
          </cell>
          <cell r="CW498">
            <v>51.753048780487809</v>
          </cell>
          <cell r="CX498">
            <v>711.375</v>
          </cell>
          <cell r="CZ498">
            <v>308.69</v>
          </cell>
          <cell r="DA498">
            <v>4444.3</v>
          </cell>
          <cell r="DB498">
            <v>10.7</v>
          </cell>
          <cell r="DC498">
            <v>370.4</v>
          </cell>
          <cell r="DD498">
            <v>106.25</v>
          </cell>
        </row>
        <row r="499">
          <cell r="A499">
            <v>39212</v>
          </cell>
          <cell r="C499">
            <v>37</v>
          </cell>
          <cell r="D499" t="str">
            <v>#N/A N/A</v>
          </cell>
          <cell r="E499">
            <v>14.47</v>
          </cell>
          <cell r="L499">
            <v>1599.68</v>
          </cell>
          <cell r="M499">
            <v>2533.7399999999998</v>
          </cell>
          <cell r="N499">
            <v>6524.1</v>
          </cell>
          <cell r="O499">
            <v>4322</v>
          </cell>
          <cell r="Q499">
            <v>615</v>
          </cell>
          <cell r="R499">
            <v>354.5</v>
          </cell>
          <cell r="S499">
            <v>481.5</v>
          </cell>
          <cell r="T499">
            <v>746.25</v>
          </cell>
          <cell r="U499">
            <v>17736.96</v>
          </cell>
          <cell r="V499">
            <v>20746.27</v>
          </cell>
          <cell r="W499">
            <v>8096.86</v>
          </cell>
          <cell r="X499">
            <v>75.099999999999994</v>
          </cell>
          <cell r="Y499">
            <v>1020</v>
          </cell>
          <cell r="Z499">
            <v>1360</v>
          </cell>
          <cell r="AA499">
            <v>13771.23</v>
          </cell>
          <cell r="AB499">
            <v>6351.8</v>
          </cell>
          <cell r="AC499">
            <v>50234.679700000001</v>
          </cell>
          <cell r="AE499">
            <v>80.55</v>
          </cell>
          <cell r="AF499">
            <v>776.01</v>
          </cell>
          <cell r="AG499">
            <v>6585</v>
          </cell>
          <cell r="AH499">
            <v>920</v>
          </cell>
          <cell r="AI499">
            <v>1610</v>
          </cell>
          <cell r="AJ499">
            <v>704.44</v>
          </cell>
          <cell r="AL499">
            <v>1491.47</v>
          </cell>
          <cell r="AP499">
            <v>4049.701</v>
          </cell>
          <cell r="AV499">
            <v>55</v>
          </cell>
          <cell r="AZ499">
            <v>273.8</v>
          </cell>
          <cell r="BE499">
            <v>52675</v>
          </cell>
          <cell r="BG499">
            <v>54.35</v>
          </cell>
          <cell r="BH499">
            <v>325.26</v>
          </cell>
          <cell r="BY499">
            <v>498.9</v>
          </cell>
          <cell r="CD499">
            <v>393.46</v>
          </cell>
          <cell r="CE499">
            <v>388.19400000000002</v>
          </cell>
          <cell r="CF499">
            <v>400.75</v>
          </cell>
          <cell r="CG499">
            <v>1295</v>
          </cell>
          <cell r="CH499">
            <v>1075</v>
          </cell>
          <cell r="CI499">
            <v>122</v>
          </cell>
          <cell r="CJ499">
            <v>305</v>
          </cell>
          <cell r="CK499">
            <v>1314</v>
          </cell>
          <cell r="CM499">
            <v>232.61</v>
          </cell>
          <cell r="CN499">
            <v>19.37</v>
          </cell>
          <cell r="CO499" t="str">
            <v>#N/A N/A</v>
          </cell>
          <cell r="CQ499">
            <v>7.63</v>
          </cell>
          <cell r="CR499">
            <v>120</v>
          </cell>
          <cell r="CS499">
            <v>2037</v>
          </cell>
          <cell r="CU499">
            <v>980</v>
          </cell>
          <cell r="CW499">
            <v>50.990853658536587</v>
          </cell>
          <cell r="CX499">
            <v>708.0675</v>
          </cell>
          <cell r="CZ499">
            <v>307.83999999999997</v>
          </cell>
          <cell r="DA499">
            <v>4371.1000000000004</v>
          </cell>
          <cell r="DB499">
            <v>10.79</v>
          </cell>
          <cell r="DC499">
            <v>363.75</v>
          </cell>
          <cell r="DD499">
            <v>106.55</v>
          </cell>
        </row>
        <row r="500">
          <cell r="A500">
            <v>39213</v>
          </cell>
          <cell r="C500">
            <v>37</v>
          </cell>
          <cell r="D500" t="str">
            <v>#N/A N/A</v>
          </cell>
          <cell r="E500">
            <v>14.42</v>
          </cell>
          <cell r="L500">
            <v>1603.56</v>
          </cell>
          <cell r="M500">
            <v>2562.2199999999998</v>
          </cell>
          <cell r="N500">
            <v>6565.7</v>
          </cell>
          <cell r="O500">
            <v>4327</v>
          </cell>
          <cell r="Q500">
            <v>615</v>
          </cell>
          <cell r="R500">
            <v>369.25</v>
          </cell>
          <cell r="S500">
            <v>493</v>
          </cell>
          <cell r="T500">
            <v>761.75</v>
          </cell>
          <cell r="U500">
            <v>17553.72</v>
          </cell>
          <cell r="V500">
            <v>20468.21</v>
          </cell>
          <cell r="W500">
            <v>8031.54</v>
          </cell>
          <cell r="X500">
            <v>76.95</v>
          </cell>
          <cell r="Y500">
            <v>1150</v>
          </cell>
          <cell r="Z500">
            <v>1360</v>
          </cell>
          <cell r="AA500">
            <v>13796.16</v>
          </cell>
          <cell r="AB500">
            <v>6297.3</v>
          </cell>
          <cell r="AC500">
            <v>50902.378900000003</v>
          </cell>
          <cell r="AE500">
            <v>80.55</v>
          </cell>
          <cell r="AF500">
            <v>776.01</v>
          </cell>
          <cell r="AG500">
            <v>6648</v>
          </cell>
          <cell r="AH500">
            <v>930</v>
          </cell>
          <cell r="AI500">
            <v>1630</v>
          </cell>
          <cell r="AJ500">
            <v>707.97</v>
          </cell>
          <cell r="AL500">
            <v>1505.85</v>
          </cell>
          <cell r="AP500">
            <v>4021.6779999999999</v>
          </cell>
          <cell r="AV500">
            <v>56.4</v>
          </cell>
          <cell r="AZ500">
            <v>273.39999999999998</v>
          </cell>
          <cell r="BE500">
            <v>53430</v>
          </cell>
          <cell r="BG500">
            <v>53.5</v>
          </cell>
          <cell r="BH500">
            <v>328.26</v>
          </cell>
          <cell r="BY500">
            <v>504.86</v>
          </cell>
          <cell r="CD500">
            <v>395.48</v>
          </cell>
          <cell r="CE500">
            <v>390.483</v>
          </cell>
          <cell r="CF500">
            <v>397.93</v>
          </cell>
          <cell r="CG500">
            <v>1295</v>
          </cell>
          <cell r="CH500">
            <v>1075</v>
          </cell>
          <cell r="CI500">
            <v>122</v>
          </cell>
          <cell r="CJ500">
            <v>305</v>
          </cell>
          <cell r="CK500">
            <v>1324</v>
          </cell>
          <cell r="CM500">
            <v>235.21</v>
          </cell>
          <cell r="CN500">
            <v>19.73</v>
          </cell>
          <cell r="CO500" t="str">
            <v>#N/A N/A</v>
          </cell>
          <cell r="CQ500">
            <v>7.54</v>
          </cell>
          <cell r="CR500">
            <v>120</v>
          </cell>
          <cell r="CS500">
            <v>2076.5</v>
          </cell>
          <cell r="CU500">
            <v>975</v>
          </cell>
          <cell r="CW500">
            <v>51.448170731707322</v>
          </cell>
          <cell r="CX500">
            <v>709.38</v>
          </cell>
          <cell r="CZ500">
            <v>311.13</v>
          </cell>
          <cell r="DA500">
            <v>4403.1000000000004</v>
          </cell>
          <cell r="DB500">
            <v>10.83</v>
          </cell>
          <cell r="DC500">
            <v>368.65</v>
          </cell>
          <cell r="DD500">
            <v>105.7</v>
          </cell>
        </row>
        <row r="501">
          <cell r="A501">
            <v>39214</v>
          </cell>
          <cell r="C501">
            <v>37</v>
          </cell>
          <cell r="D501" t="str">
            <v>#N/A N/A</v>
          </cell>
          <cell r="E501">
            <v>14.42</v>
          </cell>
          <cell r="L501">
            <v>1603.56</v>
          </cell>
          <cell r="M501">
            <v>2562.2199999999998</v>
          </cell>
          <cell r="N501">
            <v>6565.7</v>
          </cell>
          <cell r="O501">
            <v>4327</v>
          </cell>
          <cell r="Q501">
            <v>615</v>
          </cell>
          <cell r="R501">
            <v>369.25</v>
          </cell>
          <cell r="S501">
            <v>493</v>
          </cell>
          <cell r="T501">
            <v>761.75</v>
          </cell>
          <cell r="U501">
            <v>17553.72</v>
          </cell>
          <cell r="V501">
            <v>20468.21</v>
          </cell>
          <cell r="W501">
            <v>8031.54</v>
          </cell>
          <cell r="X501">
            <v>76.95</v>
          </cell>
          <cell r="Y501">
            <v>1150</v>
          </cell>
          <cell r="Z501">
            <v>1360</v>
          </cell>
          <cell r="AA501">
            <v>13796.16</v>
          </cell>
          <cell r="AB501">
            <v>6297.3</v>
          </cell>
          <cell r="AC501">
            <v>50902.378900000003</v>
          </cell>
          <cell r="AE501">
            <v>80.55</v>
          </cell>
          <cell r="AF501">
            <v>776.01</v>
          </cell>
          <cell r="AG501">
            <v>6648</v>
          </cell>
          <cell r="AH501">
            <v>930</v>
          </cell>
          <cell r="AI501">
            <v>1630</v>
          </cell>
          <cell r="AJ501">
            <v>707.97</v>
          </cell>
          <cell r="AL501">
            <v>1505.85</v>
          </cell>
          <cell r="AP501">
            <v>4021.6779999999999</v>
          </cell>
          <cell r="AV501">
            <v>56.4</v>
          </cell>
          <cell r="AZ501">
            <v>273.39999999999998</v>
          </cell>
          <cell r="BE501">
            <v>53430</v>
          </cell>
          <cell r="BG501">
            <v>53.5</v>
          </cell>
          <cell r="BH501">
            <v>328.26</v>
          </cell>
          <cell r="BY501">
            <v>504.86</v>
          </cell>
          <cell r="CD501">
            <v>395.48</v>
          </cell>
          <cell r="CE501">
            <v>390.483</v>
          </cell>
          <cell r="CF501">
            <v>397.93</v>
          </cell>
          <cell r="CG501">
            <v>1295</v>
          </cell>
          <cell r="CH501">
            <v>1075</v>
          </cell>
          <cell r="CI501">
            <v>122</v>
          </cell>
          <cell r="CJ501">
            <v>305</v>
          </cell>
          <cell r="CK501">
            <v>1324</v>
          </cell>
          <cell r="CM501">
            <v>235.21</v>
          </cell>
          <cell r="CN501">
            <v>19.73</v>
          </cell>
          <cell r="CO501" t="str">
            <v>#N/A N/A</v>
          </cell>
          <cell r="CQ501">
            <v>7.54</v>
          </cell>
          <cell r="CR501">
            <v>120</v>
          </cell>
          <cell r="CS501">
            <v>2076.5</v>
          </cell>
          <cell r="CU501">
            <v>975</v>
          </cell>
          <cell r="CW501">
            <v>51.448170731707322</v>
          </cell>
          <cell r="CX501">
            <v>709.38</v>
          </cell>
          <cell r="CZ501">
            <v>311.13</v>
          </cell>
          <cell r="DA501">
            <v>4403.1000000000004</v>
          </cell>
          <cell r="DB501">
            <v>10.83</v>
          </cell>
          <cell r="DC501">
            <v>368.65</v>
          </cell>
          <cell r="DD501">
            <v>105.7</v>
          </cell>
        </row>
        <row r="502">
          <cell r="A502">
            <v>39215</v>
          </cell>
          <cell r="C502">
            <v>37</v>
          </cell>
          <cell r="D502" t="str">
            <v>#N/A N/A</v>
          </cell>
          <cell r="E502">
            <v>14.42</v>
          </cell>
          <cell r="L502">
            <v>1603.56</v>
          </cell>
          <cell r="M502">
            <v>2562.2199999999998</v>
          </cell>
          <cell r="N502">
            <v>6565.7</v>
          </cell>
          <cell r="O502">
            <v>4327</v>
          </cell>
          <cell r="Q502">
            <v>615</v>
          </cell>
          <cell r="R502">
            <v>369.25</v>
          </cell>
          <cell r="S502">
            <v>493</v>
          </cell>
          <cell r="T502">
            <v>761.75</v>
          </cell>
          <cell r="U502">
            <v>17553.72</v>
          </cell>
          <cell r="V502">
            <v>20468.21</v>
          </cell>
          <cell r="W502">
            <v>8031.54</v>
          </cell>
          <cell r="X502">
            <v>76.95</v>
          </cell>
          <cell r="Y502">
            <v>1150</v>
          </cell>
          <cell r="Z502">
            <v>1360</v>
          </cell>
          <cell r="AA502">
            <v>13796.16</v>
          </cell>
          <cell r="AB502">
            <v>6297.3</v>
          </cell>
          <cell r="AC502">
            <v>50902.378900000003</v>
          </cell>
          <cell r="AE502">
            <v>80.55</v>
          </cell>
          <cell r="AF502">
            <v>776.01</v>
          </cell>
          <cell r="AG502">
            <v>6648</v>
          </cell>
          <cell r="AH502">
            <v>930</v>
          </cell>
          <cell r="AI502">
            <v>1630</v>
          </cell>
          <cell r="AJ502">
            <v>707.97</v>
          </cell>
          <cell r="AL502">
            <v>1505.85</v>
          </cell>
          <cell r="AP502">
            <v>4021.6779999999999</v>
          </cell>
          <cell r="AV502">
            <v>56.4</v>
          </cell>
          <cell r="AZ502">
            <v>273.39999999999998</v>
          </cell>
          <cell r="BE502">
            <v>53430</v>
          </cell>
          <cell r="BG502">
            <v>53.5</v>
          </cell>
          <cell r="BH502">
            <v>328.26</v>
          </cell>
          <cell r="BY502">
            <v>504.86</v>
          </cell>
          <cell r="CD502">
            <v>395.48</v>
          </cell>
          <cell r="CE502">
            <v>390.483</v>
          </cell>
          <cell r="CF502">
            <v>397.93</v>
          </cell>
          <cell r="CG502">
            <v>1295</v>
          </cell>
          <cell r="CH502">
            <v>1075</v>
          </cell>
          <cell r="CI502">
            <v>122</v>
          </cell>
          <cell r="CJ502">
            <v>305</v>
          </cell>
          <cell r="CK502">
            <v>1324</v>
          </cell>
          <cell r="CM502">
            <v>235.21</v>
          </cell>
          <cell r="CN502">
            <v>19.73</v>
          </cell>
          <cell r="CO502" t="str">
            <v>#N/A N/A</v>
          </cell>
          <cell r="CQ502">
            <v>7.54</v>
          </cell>
          <cell r="CR502">
            <v>120</v>
          </cell>
          <cell r="CS502">
            <v>2076.5</v>
          </cell>
          <cell r="CU502">
            <v>975</v>
          </cell>
          <cell r="CW502">
            <v>51.448170731707322</v>
          </cell>
          <cell r="CX502">
            <v>709.38</v>
          </cell>
          <cell r="CZ502">
            <v>311.13</v>
          </cell>
          <cell r="DA502">
            <v>4403.1000000000004</v>
          </cell>
          <cell r="DB502">
            <v>10.83</v>
          </cell>
          <cell r="DC502">
            <v>368.65</v>
          </cell>
          <cell r="DD502">
            <v>105.7</v>
          </cell>
        </row>
        <row r="503">
          <cell r="A503">
            <v>39216</v>
          </cell>
          <cell r="C503">
            <v>37</v>
          </cell>
          <cell r="D503" t="str">
            <v>#N/A N/A</v>
          </cell>
          <cell r="E503">
            <v>14.27</v>
          </cell>
          <cell r="L503">
            <v>1605.77</v>
          </cell>
          <cell r="M503">
            <v>2546.44</v>
          </cell>
          <cell r="N503">
            <v>6555.5</v>
          </cell>
          <cell r="O503">
            <v>4327</v>
          </cell>
          <cell r="Q503">
            <v>615</v>
          </cell>
          <cell r="R503">
            <v>363.25</v>
          </cell>
          <cell r="S503">
            <v>496.5</v>
          </cell>
          <cell r="T503">
            <v>770.5</v>
          </cell>
          <cell r="U503">
            <v>17677.939999999999</v>
          </cell>
          <cell r="V503">
            <v>20979.24</v>
          </cell>
          <cell r="W503">
            <v>8030.56</v>
          </cell>
          <cell r="X503">
            <v>78.400000000000006</v>
          </cell>
          <cell r="Y503">
            <v>1150</v>
          </cell>
          <cell r="Z503">
            <v>1360</v>
          </cell>
          <cell r="AA503">
            <v>13965.86</v>
          </cell>
          <cell r="AB503">
            <v>6346.7</v>
          </cell>
          <cell r="AC503">
            <v>50510.761700000003</v>
          </cell>
          <cell r="AE503">
            <v>81.5</v>
          </cell>
          <cell r="AF503">
            <v>776.01</v>
          </cell>
          <cell r="AG503">
            <v>6685</v>
          </cell>
          <cell r="AH503">
            <v>930</v>
          </cell>
          <cell r="AI503">
            <v>1630</v>
          </cell>
          <cell r="AJ503">
            <v>703.83</v>
          </cell>
          <cell r="AL503">
            <v>1503.15</v>
          </cell>
          <cell r="AP503">
            <v>4046.3919999999998</v>
          </cell>
          <cell r="AV503">
            <v>55.85</v>
          </cell>
          <cell r="AZ503">
            <v>273.5</v>
          </cell>
          <cell r="BE503">
            <v>52045</v>
          </cell>
          <cell r="BG503">
            <v>53.5</v>
          </cell>
          <cell r="BH503">
            <v>330.89</v>
          </cell>
          <cell r="BY503">
            <v>504.13</v>
          </cell>
          <cell r="CD503">
            <v>395.58</v>
          </cell>
          <cell r="CE503">
            <v>390.327</v>
          </cell>
          <cell r="CF503">
            <v>404.49</v>
          </cell>
          <cell r="CG503">
            <v>1295</v>
          </cell>
          <cell r="CH503">
            <v>1075</v>
          </cell>
          <cell r="CI503">
            <v>122</v>
          </cell>
          <cell r="CJ503">
            <v>305</v>
          </cell>
          <cell r="CK503">
            <v>1286</v>
          </cell>
          <cell r="CM503">
            <v>230.12</v>
          </cell>
          <cell r="CN503">
            <v>20.34</v>
          </cell>
          <cell r="CO503" t="str">
            <v>#N/A N/A</v>
          </cell>
          <cell r="CQ503">
            <v>7.85</v>
          </cell>
          <cell r="CR503">
            <v>120</v>
          </cell>
          <cell r="CS503">
            <v>2064</v>
          </cell>
          <cell r="CU503">
            <v>975</v>
          </cell>
          <cell r="CW503">
            <v>52.210365853658537</v>
          </cell>
          <cell r="CX503">
            <v>711.11249999999995</v>
          </cell>
          <cell r="CZ503">
            <v>309.07</v>
          </cell>
          <cell r="DA503">
            <v>4291.8</v>
          </cell>
          <cell r="DB503">
            <v>10.8</v>
          </cell>
          <cell r="DC503">
            <v>360.7</v>
          </cell>
          <cell r="DD503">
            <v>106.85</v>
          </cell>
        </row>
        <row r="504">
          <cell r="A504">
            <v>39217</v>
          </cell>
          <cell r="C504">
            <v>37</v>
          </cell>
          <cell r="D504" t="str">
            <v>#N/A N/A</v>
          </cell>
          <cell r="E504">
            <v>13.99</v>
          </cell>
          <cell r="L504">
            <v>1589.37</v>
          </cell>
          <cell r="M504">
            <v>2525.29</v>
          </cell>
          <cell r="N504">
            <v>6568.6</v>
          </cell>
          <cell r="O504">
            <v>4354</v>
          </cell>
          <cell r="Q504">
            <v>615</v>
          </cell>
          <cell r="R504">
            <v>371.5</v>
          </cell>
          <cell r="S504">
            <v>502</v>
          </cell>
          <cell r="T504">
            <v>778</v>
          </cell>
          <cell r="U504">
            <v>17512.98</v>
          </cell>
          <cell r="V504">
            <v>20868.150000000001</v>
          </cell>
          <cell r="W504">
            <v>7975.03</v>
          </cell>
          <cell r="X504">
            <v>77.45</v>
          </cell>
          <cell r="Y504">
            <v>1150</v>
          </cell>
          <cell r="Z504">
            <v>1360</v>
          </cell>
          <cell r="AA504">
            <v>13929.33</v>
          </cell>
          <cell r="AB504">
            <v>6297.3</v>
          </cell>
          <cell r="AC504">
            <v>50518.210899999998</v>
          </cell>
          <cell r="AE504">
            <v>80.45</v>
          </cell>
          <cell r="AF504">
            <v>777.31</v>
          </cell>
          <cell r="AG504">
            <v>6688</v>
          </cell>
          <cell r="AH504">
            <v>930</v>
          </cell>
          <cell r="AI504">
            <v>1630</v>
          </cell>
          <cell r="AJ504">
            <v>697.53</v>
          </cell>
          <cell r="AL504">
            <v>1501.19</v>
          </cell>
          <cell r="AP504">
            <v>3899.1779999999999</v>
          </cell>
          <cell r="AV504">
            <v>55.55</v>
          </cell>
          <cell r="AZ504">
            <v>273.39999999999998</v>
          </cell>
          <cell r="BE504">
            <v>54050</v>
          </cell>
          <cell r="BG504">
            <v>53.5</v>
          </cell>
          <cell r="BH504">
            <v>324.79000000000002</v>
          </cell>
          <cell r="BY504">
            <v>498.08</v>
          </cell>
          <cell r="CD504">
            <v>395.66</v>
          </cell>
          <cell r="CE504">
            <v>390.62099999999998</v>
          </cell>
          <cell r="CF504">
            <v>401.44</v>
          </cell>
          <cell r="CG504">
            <v>1295</v>
          </cell>
          <cell r="CH504">
            <v>1075</v>
          </cell>
          <cell r="CI504">
            <v>122</v>
          </cell>
          <cell r="CJ504">
            <v>305</v>
          </cell>
          <cell r="CK504">
            <v>1255</v>
          </cell>
          <cell r="CM504">
            <v>230.16</v>
          </cell>
          <cell r="CN504">
            <v>20.51</v>
          </cell>
          <cell r="CO504" t="str">
            <v>#N/A N/A</v>
          </cell>
          <cell r="CQ504">
            <v>7.68</v>
          </cell>
          <cell r="CR504">
            <v>120</v>
          </cell>
          <cell r="CS504">
            <v>2073</v>
          </cell>
          <cell r="CU504">
            <v>975</v>
          </cell>
          <cell r="CW504">
            <v>52.210365853658537</v>
          </cell>
          <cell r="CX504">
            <v>714.10500000000002</v>
          </cell>
          <cell r="CZ504">
            <v>310.48</v>
          </cell>
          <cell r="DA504">
            <v>4349.7</v>
          </cell>
          <cell r="DB504">
            <v>10.42</v>
          </cell>
          <cell r="DC504">
            <v>358.45</v>
          </cell>
          <cell r="DD504">
            <v>107.3</v>
          </cell>
        </row>
        <row r="505">
          <cell r="A505">
            <v>39218</v>
          </cell>
          <cell r="C505">
            <v>37</v>
          </cell>
          <cell r="D505" t="str">
            <v>#N/A N/A</v>
          </cell>
          <cell r="E505">
            <v>13.78</v>
          </cell>
          <cell r="L505">
            <v>1600.6</v>
          </cell>
          <cell r="M505">
            <v>2547.42</v>
          </cell>
          <cell r="N505">
            <v>6559.5</v>
          </cell>
          <cell r="O505">
            <v>4354</v>
          </cell>
          <cell r="Q505">
            <v>615</v>
          </cell>
          <cell r="R505">
            <v>376</v>
          </cell>
          <cell r="S505">
            <v>496.75</v>
          </cell>
          <cell r="T505">
            <v>792.75</v>
          </cell>
          <cell r="U505">
            <v>17529</v>
          </cell>
          <cell r="V505">
            <v>20937.259999999998</v>
          </cell>
          <cell r="W505">
            <v>7988.57</v>
          </cell>
          <cell r="X505">
            <v>77.55</v>
          </cell>
          <cell r="Y505">
            <v>1150</v>
          </cell>
          <cell r="Z505">
            <v>1360</v>
          </cell>
          <cell r="AA505">
            <v>14127.31</v>
          </cell>
          <cell r="AB505">
            <v>6301.1</v>
          </cell>
          <cell r="AC505">
            <v>51737.558599999997</v>
          </cell>
          <cell r="AE505">
            <v>82.35</v>
          </cell>
          <cell r="AF505">
            <v>777.31</v>
          </cell>
          <cell r="AG505">
            <v>6650</v>
          </cell>
          <cell r="AH505">
            <v>930</v>
          </cell>
          <cell r="AI505">
            <v>1630</v>
          </cell>
          <cell r="AJ505">
            <v>701.4</v>
          </cell>
          <cell r="AL505">
            <v>1514.14</v>
          </cell>
          <cell r="AP505">
            <v>3986.0430000000001</v>
          </cell>
          <cell r="AV505">
            <v>56.68</v>
          </cell>
          <cell r="AZ505">
            <v>283.39999999999998</v>
          </cell>
          <cell r="BE505">
            <v>53650</v>
          </cell>
          <cell r="BG505">
            <v>53.5</v>
          </cell>
          <cell r="BH505">
            <v>327.33</v>
          </cell>
          <cell r="BY505">
            <v>497.53</v>
          </cell>
          <cell r="CD505">
            <v>396.91</v>
          </cell>
          <cell r="CE505">
            <v>391.55</v>
          </cell>
          <cell r="CF505">
            <v>404.21</v>
          </cell>
          <cell r="CG505">
            <v>1295</v>
          </cell>
          <cell r="CH505">
            <v>1075</v>
          </cell>
          <cell r="CI505">
            <v>122</v>
          </cell>
          <cell r="CJ505">
            <v>305</v>
          </cell>
          <cell r="CK505">
            <v>1230</v>
          </cell>
          <cell r="CM505">
            <v>233.7</v>
          </cell>
          <cell r="CN505">
            <v>20.93</v>
          </cell>
          <cell r="CO505" t="str">
            <v>#N/A N/A</v>
          </cell>
          <cell r="CQ505">
            <v>7.61</v>
          </cell>
          <cell r="CR505">
            <v>120</v>
          </cell>
          <cell r="CS505">
            <v>2077.5</v>
          </cell>
          <cell r="CU505">
            <v>975</v>
          </cell>
          <cell r="CW505">
            <v>52.210365853658537</v>
          </cell>
          <cell r="CX505">
            <v>709.48500000000001</v>
          </cell>
          <cell r="CZ505">
            <v>310.12</v>
          </cell>
          <cell r="DA505">
            <v>4297.2</v>
          </cell>
          <cell r="DB505">
            <v>10.41</v>
          </cell>
          <cell r="DC505">
            <v>357.5</v>
          </cell>
          <cell r="DD505">
            <v>109.7</v>
          </cell>
        </row>
        <row r="506">
          <cell r="A506">
            <v>39219</v>
          </cell>
          <cell r="C506">
            <v>37</v>
          </cell>
          <cell r="D506" t="str">
            <v>#N/A N/A</v>
          </cell>
          <cell r="E506">
            <v>13.75</v>
          </cell>
          <cell r="L506">
            <v>1615.58</v>
          </cell>
          <cell r="M506">
            <v>2539.38</v>
          </cell>
          <cell r="N506">
            <v>6579.3</v>
          </cell>
          <cell r="O506">
            <v>4353</v>
          </cell>
          <cell r="Q506">
            <v>615</v>
          </cell>
          <cell r="R506">
            <v>373</v>
          </cell>
          <cell r="S506">
            <v>485.5</v>
          </cell>
          <cell r="T506">
            <v>792.75</v>
          </cell>
          <cell r="U506">
            <v>17498.599999999999</v>
          </cell>
          <cell r="V506">
            <v>20994.61</v>
          </cell>
          <cell r="W506">
            <v>8037.96</v>
          </cell>
          <cell r="X506">
            <v>76.599999999999994</v>
          </cell>
          <cell r="Y506">
            <v>1150</v>
          </cell>
          <cell r="Z506">
            <v>1360</v>
          </cell>
          <cell r="AA506">
            <v>14299.71</v>
          </cell>
          <cell r="AB506">
            <v>6370.1</v>
          </cell>
          <cell r="AC506">
            <v>51631.468800000002</v>
          </cell>
          <cell r="AE506">
            <v>82.05</v>
          </cell>
          <cell r="AF506">
            <v>777.31</v>
          </cell>
          <cell r="AG506">
            <v>6603</v>
          </cell>
          <cell r="AH506">
            <v>930</v>
          </cell>
          <cell r="AI506">
            <v>1630</v>
          </cell>
          <cell r="AJ506">
            <v>710.67</v>
          </cell>
          <cell r="AL506">
            <v>1512.75</v>
          </cell>
          <cell r="AP506">
            <v>4048.2930000000001</v>
          </cell>
          <cell r="AV506">
            <v>56.1</v>
          </cell>
          <cell r="AZ506">
            <v>285</v>
          </cell>
          <cell r="BE506">
            <v>52225</v>
          </cell>
          <cell r="BG506">
            <v>53.5</v>
          </cell>
          <cell r="BH506">
            <v>330.29</v>
          </cell>
          <cell r="BY506">
            <v>492.3</v>
          </cell>
          <cell r="CD506">
            <v>396.25</v>
          </cell>
          <cell r="CE506">
            <v>390.86700000000002</v>
          </cell>
          <cell r="CF506">
            <v>406.01</v>
          </cell>
          <cell r="CG506">
            <v>1295</v>
          </cell>
          <cell r="CH506">
            <v>1075</v>
          </cell>
          <cell r="CI506">
            <v>122</v>
          </cell>
          <cell r="CJ506">
            <v>305</v>
          </cell>
          <cell r="CK506">
            <v>1195</v>
          </cell>
          <cell r="CM506">
            <v>243.66</v>
          </cell>
          <cell r="CN506">
            <v>21.23</v>
          </cell>
          <cell r="CO506" t="str">
            <v>#N/A N/A</v>
          </cell>
          <cell r="CQ506">
            <v>7.7</v>
          </cell>
          <cell r="CR506">
            <v>120</v>
          </cell>
          <cell r="CS506">
            <v>1977.5</v>
          </cell>
          <cell r="CU506">
            <v>975</v>
          </cell>
          <cell r="CW506">
            <v>51.448170731707322</v>
          </cell>
          <cell r="CX506">
            <v>708.59249999999997</v>
          </cell>
          <cell r="CZ506">
            <v>313.14999999999998</v>
          </cell>
          <cell r="DA506">
            <v>4155.2</v>
          </cell>
          <cell r="DB506">
            <v>10.54</v>
          </cell>
          <cell r="DC506">
            <v>360.4</v>
          </cell>
          <cell r="DD506">
            <v>113.1</v>
          </cell>
        </row>
        <row r="507">
          <cell r="A507">
            <v>39220</v>
          </cell>
          <cell r="C507">
            <v>37</v>
          </cell>
          <cell r="D507" t="str">
            <v>#N/A N/A</v>
          </cell>
          <cell r="E507">
            <v>13.65</v>
          </cell>
          <cell r="L507">
            <v>1612.25</v>
          </cell>
          <cell r="M507">
            <v>2558.4499999999998</v>
          </cell>
          <cell r="N507">
            <v>6640.9</v>
          </cell>
          <cell r="O507">
            <v>4350</v>
          </cell>
          <cell r="Q507">
            <v>615</v>
          </cell>
          <cell r="R507">
            <v>371.25</v>
          </cell>
          <cell r="S507">
            <v>471.25</v>
          </cell>
          <cell r="T507">
            <v>792.5</v>
          </cell>
          <cell r="U507">
            <v>17399.580000000002</v>
          </cell>
          <cell r="V507">
            <v>20904.84</v>
          </cell>
          <cell r="W507">
            <v>8034.14</v>
          </cell>
          <cell r="X507">
            <v>78.05</v>
          </cell>
          <cell r="Y507">
            <v>1160</v>
          </cell>
          <cell r="Z507">
            <v>1360</v>
          </cell>
          <cell r="AA507">
            <v>14303.41</v>
          </cell>
          <cell r="AB507">
            <v>6319.7</v>
          </cell>
          <cell r="AC507">
            <v>52077.679700000001</v>
          </cell>
          <cell r="AE507">
            <v>83.15</v>
          </cell>
          <cell r="AF507">
            <v>777.31</v>
          </cell>
          <cell r="AG507">
            <v>6554</v>
          </cell>
          <cell r="AH507">
            <v>930</v>
          </cell>
          <cell r="AI507">
            <v>1630</v>
          </cell>
          <cell r="AJ507">
            <v>711.08</v>
          </cell>
          <cell r="AL507">
            <v>1522.75</v>
          </cell>
          <cell r="AP507">
            <v>4030.2579999999998</v>
          </cell>
          <cell r="AV507">
            <v>55.91</v>
          </cell>
          <cell r="AZ507">
            <v>288.5</v>
          </cell>
          <cell r="BE507">
            <v>54025</v>
          </cell>
          <cell r="BG507">
            <v>54.4</v>
          </cell>
          <cell r="BH507">
            <v>335.71</v>
          </cell>
          <cell r="BY507">
            <v>491.71</v>
          </cell>
          <cell r="CD507">
            <v>398.43</v>
          </cell>
          <cell r="CE507">
            <v>393.12200000000001</v>
          </cell>
          <cell r="CF507">
            <v>404.48</v>
          </cell>
          <cell r="CG507">
            <v>1300</v>
          </cell>
          <cell r="CH507">
            <v>1075</v>
          </cell>
          <cell r="CI507">
            <v>122</v>
          </cell>
          <cell r="CJ507">
            <v>305</v>
          </cell>
          <cell r="CK507">
            <v>1180</v>
          </cell>
          <cell r="CM507">
            <v>240.77</v>
          </cell>
          <cell r="CN507">
            <v>21.7</v>
          </cell>
          <cell r="CO507" t="str">
            <v>#N/A N/A</v>
          </cell>
          <cell r="CQ507">
            <v>7.87</v>
          </cell>
          <cell r="CR507">
            <v>120</v>
          </cell>
          <cell r="CS507">
            <v>2041</v>
          </cell>
          <cell r="CU507">
            <v>960</v>
          </cell>
          <cell r="CW507">
            <v>52.362804878048784</v>
          </cell>
          <cell r="CX507">
            <v>709.4325</v>
          </cell>
          <cell r="CZ507">
            <v>313.17</v>
          </cell>
          <cell r="DA507">
            <v>4203.2</v>
          </cell>
          <cell r="DB507">
            <v>10.49</v>
          </cell>
          <cell r="DC507">
            <v>365.25</v>
          </cell>
          <cell r="DD507">
            <v>111.8</v>
          </cell>
        </row>
        <row r="508">
          <cell r="A508">
            <v>39221</v>
          </cell>
          <cell r="C508">
            <v>37</v>
          </cell>
          <cell r="D508" t="str">
            <v>#N/A N/A</v>
          </cell>
          <cell r="E508">
            <v>13.65</v>
          </cell>
          <cell r="L508">
            <v>1612.25</v>
          </cell>
          <cell r="M508">
            <v>2558.4499999999998</v>
          </cell>
          <cell r="N508">
            <v>6640.9</v>
          </cell>
          <cell r="O508">
            <v>4350</v>
          </cell>
          <cell r="Q508">
            <v>615</v>
          </cell>
          <cell r="R508">
            <v>371.25</v>
          </cell>
          <cell r="S508">
            <v>471.25</v>
          </cell>
          <cell r="T508">
            <v>792.5</v>
          </cell>
          <cell r="U508">
            <v>17399.580000000002</v>
          </cell>
          <cell r="V508">
            <v>20904.84</v>
          </cell>
          <cell r="W508">
            <v>8034.14</v>
          </cell>
          <cell r="X508">
            <v>78.05</v>
          </cell>
          <cell r="Y508">
            <v>1160</v>
          </cell>
          <cell r="Z508">
            <v>1360</v>
          </cell>
          <cell r="AA508">
            <v>14303.41</v>
          </cell>
          <cell r="AB508">
            <v>6319.7</v>
          </cell>
          <cell r="AC508">
            <v>52077.679700000001</v>
          </cell>
          <cell r="AE508">
            <v>83.15</v>
          </cell>
          <cell r="AF508">
            <v>777.31</v>
          </cell>
          <cell r="AG508">
            <v>6554</v>
          </cell>
          <cell r="AH508">
            <v>930</v>
          </cell>
          <cell r="AI508">
            <v>1630</v>
          </cell>
          <cell r="AJ508">
            <v>711.08</v>
          </cell>
          <cell r="AL508">
            <v>1522.75</v>
          </cell>
          <cell r="AP508">
            <v>4030.2579999999998</v>
          </cell>
          <cell r="AV508">
            <v>55.91</v>
          </cell>
          <cell r="AZ508">
            <v>288.5</v>
          </cell>
          <cell r="BE508">
            <v>54025</v>
          </cell>
          <cell r="BG508">
            <v>54.4</v>
          </cell>
          <cell r="BH508">
            <v>335.71</v>
          </cell>
          <cell r="BY508">
            <v>491.71</v>
          </cell>
          <cell r="CD508">
            <v>398.43</v>
          </cell>
          <cell r="CE508">
            <v>393.12200000000001</v>
          </cell>
          <cell r="CF508">
            <v>404.48</v>
          </cell>
          <cell r="CG508">
            <v>1300</v>
          </cell>
          <cell r="CH508">
            <v>1075</v>
          </cell>
          <cell r="CI508">
            <v>122</v>
          </cell>
          <cell r="CJ508">
            <v>305</v>
          </cell>
          <cell r="CK508">
            <v>1180</v>
          </cell>
          <cell r="CM508">
            <v>240.77</v>
          </cell>
          <cell r="CN508">
            <v>21.7</v>
          </cell>
          <cell r="CO508" t="str">
            <v>#N/A N/A</v>
          </cell>
          <cell r="CQ508">
            <v>7.87</v>
          </cell>
          <cell r="CR508">
            <v>120</v>
          </cell>
          <cell r="CS508">
            <v>2041</v>
          </cell>
          <cell r="CU508">
            <v>960</v>
          </cell>
          <cell r="CW508">
            <v>52.362804878048784</v>
          </cell>
          <cell r="CX508">
            <v>709.4325</v>
          </cell>
          <cell r="CZ508">
            <v>313.17</v>
          </cell>
          <cell r="DA508">
            <v>4203.2</v>
          </cell>
          <cell r="DB508">
            <v>10.49</v>
          </cell>
          <cell r="DC508">
            <v>365.25</v>
          </cell>
          <cell r="DD508">
            <v>111.8</v>
          </cell>
        </row>
        <row r="509">
          <cell r="A509">
            <v>39222</v>
          </cell>
          <cell r="C509">
            <v>37</v>
          </cell>
          <cell r="D509" t="str">
            <v>#N/A N/A</v>
          </cell>
          <cell r="E509">
            <v>13.65</v>
          </cell>
          <cell r="L509">
            <v>1612.25</v>
          </cell>
          <cell r="M509">
            <v>2558.4499999999998</v>
          </cell>
          <cell r="N509">
            <v>6640.9</v>
          </cell>
          <cell r="O509">
            <v>4350</v>
          </cell>
          <cell r="Q509">
            <v>615</v>
          </cell>
          <cell r="R509">
            <v>371.25</v>
          </cell>
          <cell r="S509">
            <v>471.25</v>
          </cell>
          <cell r="T509">
            <v>792.5</v>
          </cell>
          <cell r="U509">
            <v>17399.580000000002</v>
          </cell>
          <cell r="V509">
            <v>20904.84</v>
          </cell>
          <cell r="W509">
            <v>8034.14</v>
          </cell>
          <cell r="X509">
            <v>78.05</v>
          </cell>
          <cell r="Y509">
            <v>1160</v>
          </cell>
          <cell r="Z509">
            <v>1360</v>
          </cell>
          <cell r="AA509">
            <v>14303.41</v>
          </cell>
          <cell r="AB509">
            <v>6319.7</v>
          </cell>
          <cell r="AC509">
            <v>52077.679700000001</v>
          </cell>
          <cell r="AE509">
            <v>83.15</v>
          </cell>
          <cell r="AF509">
            <v>777.31</v>
          </cell>
          <cell r="AG509">
            <v>6554</v>
          </cell>
          <cell r="AH509">
            <v>930</v>
          </cell>
          <cell r="AI509">
            <v>1630</v>
          </cell>
          <cell r="AJ509">
            <v>711.08</v>
          </cell>
          <cell r="AL509">
            <v>1522.75</v>
          </cell>
          <cell r="AP509">
            <v>4030.2579999999998</v>
          </cell>
          <cell r="AV509">
            <v>55.91</v>
          </cell>
          <cell r="AZ509">
            <v>288.5</v>
          </cell>
          <cell r="BE509">
            <v>54025</v>
          </cell>
          <cell r="BG509">
            <v>54.4</v>
          </cell>
          <cell r="BH509">
            <v>335.71</v>
          </cell>
          <cell r="BY509">
            <v>491.71</v>
          </cell>
          <cell r="CD509">
            <v>398.43</v>
          </cell>
          <cell r="CE509">
            <v>393.12200000000001</v>
          </cell>
          <cell r="CF509">
            <v>404.48</v>
          </cell>
          <cell r="CG509">
            <v>1300</v>
          </cell>
          <cell r="CH509">
            <v>1075</v>
          </cell>
          <cell r="CI509">
            <v>122</v>
          </cell>
          <cell r="CJ509">
            <v>305</v>
          </cell>
          <cell r="CK509">
            <v>1180</v>
          </cell>
          <cell r="CM509">
            <v>240.77</v>
          </cell>
          <cell r="CN509">
            <v>21.7</v>
          </cell>
          <cell r="CO509" t="str">
            <v>#N/A N/A</v>
          </cell>
          <cell r="CQ509">
            <v>7.87</v>
          </cell>
          <cell r="CR509">
            <v>120</v>
          </cell>
          <cell r="CS509">
            <v>2041</v>
          </cell>
          <cell r="CU509">
            <v>960</v>
          </cell>
          <cell r="CW509">
            <v>52.362804878048784</v>
          </cell>
          <cell r="CX509">
            <v>709.4325</v>
          </cell>
          <cell r="CZ509">
            <v>313.17</v>
          </cell>
          <cell r="DA509">
            <v>4203.2</v>
          </cell>
          <cell r="DB509">
            <v>10.49</v>
          </cell>
          <cell r="DC509">
            <v>365.25</v>
          </cell>
          <cell r="DD509">
            <v>111.8</v>
          </cell>
        </row>
        <row r="510">
          <cell r="A510">
            <v>39223</v>
          </cell>
          <cell r="C510">
            <v>35</v>
          </cell>
          <cell r="D510" t="str">
            <v>#N/A N/A</v>
          </cell>
          <cell r="E510">
            <v>13.67</v>
          </cell>
          <cell r="L510">
            <v>1628.2</v>
          </cell>
          <cell r="M510">
            <v>2578.79</v>
          </cell>
          <cell r="N510">
            <v>6636.8</v>
          </cell>
          <cell r="O510">
            <v>4348</v>
          </cell>
          <cell r="Q510">
            <v>615</v>
          </cell>
          <cell r="R510">
            <v>381</v>
          </cell>
          <cell r="S510">
            <v>479.5</v>
          </cell>
          <cell r="T510">
            <v>800.5</v>
          </cell>
          <cell r="U510">
            <v>17556.87</v>
          </cell>
          <cell r="V510">
            <v>20927.75</v>
          </cell>
          <cell r="W510">
            <v>8141.59</v>
          </cell>
          <cell r="X510">
            <v>78.45</v>
          </cell>
          <cell r="Y510">
            <v>1160</v>
          </cell>
          <cell r="Z510">
            <v>1360</v>
          </cell>
          <cell r="AA510">
            <v>14418.6</v>
          </cell>
          <cell r="AB510">
            <v>6372.5</v>
          </cell>
          <cell r="AC510">
            <v>52423.449200000003</v>
          </cell>
          <cell r="AE510">
            <v>82.75</v>
          </cell>
          <cell r="AF510">
            <v>777.31</v>
          </cell>
          <cell r="AG510">
            <v>6521</v>
          </cell>
          <cell r="AH510">
            <v>930</v>
          </cell>
          <cell r="AI510">
            <v>1630</v>
          </cell>
          <cell r="AJ510">
            <v>709.23</v>
          </cell>
          <cell r="AL510">
            <v>1525.1</v>
          </cell>
          <cell r="AP510">
            <v>4071.4580000000001</v>
          </cell>
          <cell r="AV510">
            <v>56.3</v>
          </cell>
          <cell r="AZ510">
            <v>291.8</v>
          </cell>
          <cell r="BE510">
            <v>53975</v>
          </cell>
          <cell r="BG510">
            <v>54.4</v>
          </cell>
          <cell r="BH510">
            <v>343.1</v>
          </cell>
          <cell r="BY510">
            <v>490.86</v>
          </cell>
          <cell r="CD510">
            <v>398.89</v>
          </cell>
          <cell r="CE510">
            <v>393.31599999999997</v>
          </cell>
          <cell r="CF510">
            <v>408.25</v>
          </cell>
          <cell r="CG510">
            <v>1300</v>
          </cell>
          <cell r="CH510">
            <v>1075</v>
          </cell>
          <cell r="CI510">
            <v>123</v>
          </cell>
          <cell r="CJ510">
            <v>305</v>
          </cell>
          <cell r="CK510">
            <v>1165</v>
          </cell>
          <cell r="CM510">
            <v>240.13</v>
          </cell>
          <cell r="CN510">
            <v>21.92</v>
          </cell>
          <cell r="CO510" t="str">
            <v>#N/A N/A</v>
          </cell>
          <cell r="CQ510">
            <v>7.66</v>
          </cell>
          <cell r="CR510">
            <v>120</v>
          </cell>
          <cell r="CS510">
            <v>2091.5</v>
          </cell>
          <cell r="CU510">
            <v>960</v>
          </cell>
          <cell r="CW510">
            <v>51.676829268292686</v>
          </cell>
          <cell r="CX510">
            <v>706.86</v>
          </cell>
          <cell r="CZ510">
            <v>316.49</v>
          </cell>
          <cell r="DA510">
            <v>4257.2</v>
          </cell>
          <cell r="DB510">
            <v>10.68</v>
          </cell>
          <cell r="DC510">
            <v>374.3</v>
          </cell>
          <cell r="DD510">
            <v>112</v>
          </cell>
        </row>
        <row r="511">
          <cell r="A511">
            <v>39224</v>
          </cell>
          <cell r="C511">
            <v>35</v>
          </cell>
          <cell r="D511" t="str">
            <v>#N/A N/A</v>
          </cell>
          <cell r="E511">
            <v>13.88</v>
          </cell>
          <cell r="L511">
            <v>1642.88</v>
          </cell>
          <cell r="M511">
            <v>2588.02</v>
          </cell>
          <cell r="N511">
            <v>6606.6</v>
          </cell>
          <cell r="O511">
            <v>4342</v>
          </cell>
          <cell r="Q511">
            <v>615</v>
          </cell>
          <cell r="R511">
            <v>369.5</v>
          </cell>
          <cell r="S511">
            <v>471</v>
          </cell>
          <cell r="T511">
            <v>793.25</v>
          </cell>
          <cell r="U511">
            <v>17680.05</v>
          </cell>
          <cell r="V511">
            <v>20843.919999999998</v>
          </cell>
          <cell r="W511">
            <v>8188.63</v>
          </cell>
          <cell r="X511">
            <v>78.650000000000006</v>
          </cell>
          <cell r="Y511">
            <v>1160</v>
          </cell>
          <cell r="Z511">
            <v>1360</v>
          </cell>
          <cell r="AA511">
            <v>14453.72</v>
          </cell>
          <cell r="AB511">
            <v>6350.2</v>
          </cell>
          <cell r="AC511">
            <v>52208.089800000002</v>
          </cell>
          <cell r="AE511">
            <v>83.65</v>
          </cell>
          <cell r="AF511">
            <v>778.79</v>
          </cell>
          <cell r="AG511">
            <v>6471</v>
          </cell>
          <cell r="AH511">
            <v>930</v>
          </cell>
          <cell r="AI511">
            <v>1630</v>
          </cell>
          <cell r="AJ511">
            <v>710.86</v>
          </cell>
          <cell r="AL511">
            <v>1524.12</v>
          </cell>
          <cell r="AP511">
            <v>4110.3789999999999</v>
          </cell>
          <cell r="AV511">
            <v>56.87</v>
          </cell>
          <cell r="AZ511">
            <v>293.5</v>
          </cell>
          <cell r="BE511">
            <v>51375</v>
          </cell>
          <cell r="BG511">
            <v>54.4</v>
          </cell>
          <cell r="BH511">
            <v>344.78</v>
          </cell>
          <cell r="BY511">
            <v>493.02</v>
          </cell>
          <cell r="CD511">
            <v>399.39</v>
          </cell>
          <cell r="CE511">
            <v>393.733</v>
          </cell>
          <cell r="CF511">
            <v>411.33</v>
          </cell>
          <cell r="CG511">
            <v>1300</v>
          </cell>
          <cell r="CH511">
            <v>1075</v>
          </cell>
          <cell r="CI511">
            <v>123</v>
          </cell>
          <cell r="CJ511">
            <v>305</v>
          </cell>
          <cell r="CK511">
            <v>1145</v>
          </cell>
          <cell r="CM511">
            <v>230.63</v>
          </cell>
          <cell r="CN511">
            <v>21.75</v>
          </cell>
          <cell r="CO511" t="str">
            <v>#N/A N/A</v>
          </cell>
          <cell r="CQ511">
            <v>7.6</v>
          </cell>
          <cell r="CR511">
            <v>120</v>
          </cell>
          <cell r="CS511">
            <v>2135.5</v>
          </cell>
          <cell r="CU511">
            <v>960</v>
          </cell>
          <cell r="CW511">
            <v>52.515243902439025</v>
          </cell>
          <cell r="CX511">
            <v>706.28250000000003</v>
          </cell>
          <cell r="CZ511">
            <v>311.42</v>
          </cell>
          <cell r="DA511">
            <v>4172.8999999999996</v>
          </cell>
          <cell r="DB511">
            <v>10.74</v>
          </cell>
          <cell r="DC511">
            <v>378.55</v>
          </cell>
          <cell r="DD511">
            <v>111.55</v>
          </cell>
        </row>
        <row r="512">
          <cell r="A512">
            <v>39225</v>
          </cell>
          <cell r="C512">
            <v>35</v>
          </cell>
          <cell r="D512" t="str">
            <v>#N/A N/A</v>
          </cell>
          <cell r="E512">
            <v>14.35</v>
          </cell>
          <cell r="L512">
            <v>1646.59</v>
          </cell>
          <cell r="M512">
            <v>2577.0500000000002</v>
          </cell>
          <cell r="N512">
            <v>6616.4</v>
          </cell>
          <cell r="O512">
            <v>4328</v>
          </cell>
          <cell r="Q512">
            <v>615</v>
          </cell>
          <cell r="R512">
            <v>368.5</v>
          </cell>
          <cell r="S512">
            <v>476.5</v>
          </cell>
          <cell r="T512">
            <v>800.5</v>
          </cell>
          <cell r="U512">
            <v>17705.12</v>
          </cell>
          <cell r="V512">
            <v>20798.97</v>
          </cell>
          <cell r="W512">
            <v>8221.7900000000009</v>
          </cell>
          <cell r="X512">
            <v>76.75</v>
          </cell>
          <cell r="Y512">
            <v>1160</v>
          </cell>
          <cell r="Z512">
            <v>1360</v>
          </cell>
          <cell r="AA512">
            <v>14363.26</v>
          </cell>
          <cell r="AB512">
            <v>6369</v>
          </cell>
          <cell r="AC512">
            <v>51812.5</v>
          </cell>
          <cell r="AE512">
            <v>82.35</v>
          </cell>
          <cell r="AF512">
            <v>778.79</v>
          </cell>
          <cell r="AG512">
            <v>6422</v>
          </cell>
          <cell r="AH512">
            <v>930</v>
          </cell>
          <cell r="AI512">
            <v>1630</v>
          </cell>
          <cell r="AJ512">
            <v>716.83</v>
          </cell>
          <cell r="AL512">
            <v>1522.28</v>
          </cell>
          <cell r="AP512">
            <v>4173.7089999999998</v>
          </cell>
          <cell r="AV512">
            <v>56.8</v>
          </cell>
          <cell r="AZ512">
            <v>296.7</v>
          </cell>
          <cell r="BE512">
            <v>49245</v>
          </cell>
          <cell r="BG512">
            <v>54.4</v>
          </cell>
          <cell r="BH512">
            <v>347.54</v>
          </cell>
          <cell r="BY512">
            <v>486.61</v>
          </cell>
          <cell r="CD512">
            <v>400.59</v>
          </cell>
          <cell r="CE512">
            <v>395.07799999999997</v>
          </cell>
          <cell r="CF512">
            <v>411.15</v>
          </cell>
          <cell r="CG512">
            <v>1300</v>
          </cell>
          <cell r="CH512">
            <v>1075</v>
          </cell>
          <cell r="CI512">
            <v>123</v>
          </cell>
          <cell r="CJ512">
            <v>305</v>
          </cell>
          <cell r="CK512">
            <v>1121</v>
          </cell>
          <cell r="CM512">
            <v>231.04</v>
          </cell>
          <cell r="CN512">
            <v>22.24</v>
          </cell>
          <cell r="CO512" t="str">
            <v>#N/A N/A</v>
          </cell>
          <cell r="CQ512">
            <v>7.52</v>
          </cell>
          <cell r="CR512">
            <v>122</v>
          </cell>
          <cell r="CS512">
            <v>2114</v>
          </cell>
          <cell r="CU512">
            <v>960</v>
          </cell>
          <cell r="CW512">
            <v>52.515243902439025</v>
          </cell>
          <cell r="CX512">
            <v>707.22749999999996</v>
          </cell>
          <cell r="CZ512">
            <v>311.62</v>
          </cell>
          <cell r="DA512">
            <v>4104.8999999999996</v>
          </cell>
          <cell r="DB512">
            <v>10.74</v>
          </cell>
          <cell r="DC512">
            <v>377.55</v>
          </cell>
          <cell r="DD512">
            <v>112.05</v>
          </cell>
        </row>
        <row r="513">
          <cell r="A513">
            <v>39226</v>
          </cell>
          <cell r="C513">
            <v>35</v>
          </cell>
          <cell r="D513" t="str">
            <v>#N/A N/A</v>
          </cell>
          <cell r="E513">
            <v>14.22</v>
          </cell>
          <cell r="L513">
            <v>1646.59</v>
          </cell>
          <cell r="M513">
            <v>2537.92</v>
          </cell>
          <cell r="N513">
            <v>6565.4</v>
          </cell>
          <cell r="O513">
            <v>4306</v>
          </cell>
          <cell r="Q513">
            <v>600</v>
          </cell>
          <cell r="R513">
            <v>376.5</v>
          </cell>
          <cell r="S513">
            <v>491</v>
          </cell>
          <cell r="T513">
            <v>805.25</v>
          </cell>
          <cell r="U513">
            <v>17696.97</v>
          </cell>
          <cell r="V513">
            <v>20798.97</v>
          </cell>
          <cell r="W513">
            <v>8216.41</v>
          </cell>
          <cell r="X513">
            <v>78.5</v>
          </cell>
          <cell r="Y513">
            <v>1160</v>
          </cell>
          <cell r="Z513">
            <v>1360</v>
          </cell>
          <cell r="AA513">
            <v>14218.11</v>
          </cell>
          <cell r="AB513">
            <v>6298.6</v>
          </cell>
          <cell r="AC513">
            <v>50530.648399999998</v>
          </cell>
          <cell r="AE513">
            <v>83.4</v>
          </cell>
          <cell r="AF513">
            <v>778.79</v>
          </cell>
          <cell r="AG513">
            <v>6304</v>
          </cell>
          <cell r="AH513">
            <v>930</v>
          </cell>
          <cell r="AI513">
            <v>1630</v>
          </cell>
          <cell r="AJ513">
            <v>716.83</v>
          </cell>
          <cell r="AL513">
            <v>1507.51</v>
          </cell>
          <cell r="AP513">
            <v>4151.1329999999998</v>
          </cell>
          <cell r="AV513">
            <v>55.8</v>
          </cell>
          <cell r="AZ513">
            <v>297.39999999999998</v>
          </cell>
          <cell r="BE513">
            <v>48260</v>
          </cell>
          <cell r="BG513">
            <v>54.4</v>
          </cell>
          <cell r="BH513">
            <v>343.28</v>
          </cell>
          <cell r="BY513">
            <v>478.84</v>
          </cell>
          <cell r="CD513">
            <v>396.61</v>
          </cell>
          <cell r="CE513">
            <v>391.24700000000001</v>
          </cell>
          <cell r="CF513">
            <v>410.05</v>
          </cell>
          <cell r="CG513">
            <v>1300</v>
          </cell>
          <cell r="CH513">
            <v>1075</v>
          </cell>
          <cell r="CI513">
            <v>123</v>
          </cell>
          <cell r="CJ513">
            <v>305</v>
          </cell>
          <cell r="CK513">
            <v>1090</v>
          </cell>
          <cell r="CM513">
            <v>235.69</v>
          </cell>
          <cell r="CN513">
            <v>23.16</v>
          </cell>
          <cell r="CO513" t="str">
            <v>#N/A N/A</v>
          </cell>
          <cell r="CQ513">
            <v>7.58</v>
          </cell>
          <cell r="CR513">
            <v>122</v>
          </cell>
          <cell r="CS513">
            <v>2104.5</v>
          </cell>
          <cell r="CU513">
            <v>960</v>
          </cell>
          <cell r="CW513">
            <v>52.97256097560976</v>
          </cell>
          <cell r="CX513">
            <v>705.28499999999997</v>
          </cell>
          <cell r="CZ513">
            <v>309.44</v>
          </cell>
          <cell r="DA513">
            <v>4004.7</v>
          </cell>
          <cell r="DB513">
            <v>10.86</v>
          </cell>
          <cell r="DC513">
            <v>369.1</v>
          </cell>
          <cell r="DD513">
            <v>113.35</v>
          </cell>
        </row>
        <row r="514">
          <cell r="A514">
            <v>39227</v>
          </cell>
          <cell r="C514">
            <v>35</v>
          </cell>
          <cell r="D514" t="str">
            <v>#N/A N/A</v>
          </cell>
          <cell r="E514">
            <v>14.14</v>
          </cell>
          <cell r="L514">
            <v>1644.56</v>
          </cell>
          <cell r="M514">
            <v>2557.19</v>
          </cell>
          <cell r="N514">
            <v>6570.5</v>
          </cell>
          <cell r="O514">
            <v>4294</v>
          </cell>
          <cell r="Q514">
            <v>600</v>
          </cell>
          <cell r="R514">
            <v>376</v>
          </cell>
          <cell r="S514">
            <v>501</v>
          </cell>
          <cell r="T514">
            <v>812.5</v>
          </cell>
          <cell r="U514">
            <v>17481.21</v>
          </cell>
          <cell r="V514">
            <v>20520.66</v>
          </cell>
          <cell r="W514">
            <v>8159.97</v>
          </cell>
          <cell r="X514">
            <v>78.349999999999994</v>
          </cell>
          <cell r="Y514">
            <v>1160</v>
          </cell>
          <cell r="Z514">
            <v>1380</v>
          </cell>
          <cell r="AA514">
            <v>14338.45</v>
          </cell>
          <cell r="AB514">
            <v>6273.3</v>
          </cell>
          <cell r="AC514">
            <v>51617.968800000002</v>
          </cell>
          <cell r="AE514">
            <v>83.25</v>
          </cell>
          <cell r="AF514">
            <v>778.79</v>
          </cell>
          <cell r="AG514">
            <v>6212</v>
          </cell>
          <cell r="AH514">
            <v>950</v>
          </cell>
          <cell r="AI514">
            <v>1680</v>
          </cell>
          <cell r="AJ514">
            <v>719.54</v>
          </cell>
          <cell r="AL514">
            <v>1515.73</v>
          </cell>
          <cell r="AP514">
            <v>4179.7759999999998</v>
          </cell>
          <cell r="AV514">
            <v>56.9</v>
          </cell>
          <cell r="AZ514">
            <v>297.7</v>
          </cell>
          <cell r="BE514">
            <v>50075</v>
          </cell>
          <cell r="BG514">
            <v>56.4</v>
          </cell>
          <cell r="BH514">
            <v>344.58</v>
          </cell>
          <cell r="BY514">
            <v>480.63</v>
          </cell>
          <cell r="CD514">
            <v>397.22</v>
          </cell>
          <cell r="CE514">
            <v>391.84500000000003</v>
          </cell>
          <cell r="CF514">
            <v>407.3</v>
          </cell>
          <cell r="CG514">
            <v>1320</v>
          </cell>
          <cell r="CH514">
            <v>1050</v>
          </cell>
          <cell r="CI514">
            <v>123</v>
          </cell>
          <cell r="CJ514">
            <v>305</v>
          </cell>
          <cell r="CK514">
            <v>1073</v>
          </cell>
          <cell r="CM514">
            <v>240.37</v>
          </cell>
          <cell r="CN514">
            <v>23.96</v>
          </cell>
          <cell r="CO514" t="str">
            <v>#N/A N/A</v>
          </cell>
          <cell r="CQ514">
            <v>7.47</v>
          </cell>
          <cell r="CR514">
            <v>122</v>
          </cell>
          <cell r="CS514">
            <v>2205</v>
          </cell>
          <cell r="CU514">
            <v>940</v>
          </cell>
          <cell r="CW514">
            <v>52.97256097560976</v>
          </cell>
          <cell r="CX514">
            <v>706.17750000000001</v>
          </cell>
          <cell r="CZ514">
            <v>313.10000000000002</v>
          </cell>
          <cell r="DA514">
            <v>4101.3999999999996</v>
          </cell>
          <cell r="DB514">
            <v>11.34</v>
          </cell>
          <cell r="DC514">
            <v>367.8</v>
          </cell>
          <cell r="DD514">
            <v>112.9</v>
          </cell>
        </row>
        <row r="515">
          <cell r="A515">
            <v>39228</v>
          </cell>
          <cell r="C515">
            <v>35</v>
          </cell>
          <cell r="D515" t="str">
            <v>#N/A N/A</v>
          </cell>
          <cell r="E515">
            <v>14.14</v>
          </cell>
          <cell r="L515">
            <v>1644.56</v>
          </cell>
          <cell r="M515">
            <v>2557.19</v>
          </cell>
          <cell r="N515">
            <v>6570.5</v>
          </cell>
          <cell r="O515">
            <v>4294</v>
          </cell>
          <cell r="Q515">
            <v>600</v>
          </cell>
          <cell r="R515">
            <v>376</v>
          </cell>
          <cell r="S515">
            <v>501</v>
          </cell>
          <cell r="T515">
            <v>812.5</v>
          </cell>
          <cell r="U515">
            <v>17481.21</v>
          </cell>
          <cell r="V515">
            <v>20520.66</v>
          </cell>
          <cell r="W515">
            <v>8159.97</v>
          </cell>
          <cell r="X515">
            <v>78.349999999999994</v>
          </cell>
          <cell r="Y515">
            <v>1160</v>
          </cell>
          <cell r="Z515">
            <v>1380</v>
          </cell>
          <cell r="AA515">
            <v>14338.45</v>
          </cell>
          <cell r="AB515">
            <v>6273.3</v>
          </cell>
          <cell r="AC515">
            <v>51617.968800000002</v>
          </cell>
          <cell r="AE515">
            <v>83.25</v>
          </cell>
          <cell r="AF515">
            <v>778.79</v>
          </cell>
          <cell r="AG515">
            <v>6212</v>
          </cell>
          <cell r="AH515">
            <v>950</v>
          </cell>
          <cell r="AI515">
            <v>1680</v>
          </cell>
          <cell r="AJ515">
            <v>719.54</v>
          </cell>
          <cell r="AL515">
            <v>1515.73</v>
          </cell>
          <cell r="AP515">
            <v>4179.7759999999998</v>
          </cell>
          <cell r="AV515">
            <v>56.9</v>
          </cell>
          <cell r="AZ515">
            <v>297.7</v>
          </cell>
          <cell r="BE515">
            <v>50075</v>
          </cell>
          <cell r="BG515">
            <v>56.4</v>
          </cell>
          <cell r="BH515">
            <v>344.58</v>
          </cell>
          <cell r="BY515">
            <v>480.63</v>
          </cell>
          <cell r="CD515">
            <v>397.22</v>
          </cell>
          <cell r="CE515">
            <v>391.84500000000003</v>
          </cell>
          <cell r="CF515">
            <v>407.3</v>
          </cell>
          <cell r="CG515">
            <v>1320</v>
          </cell>
          <cell r="CH515">
            <v>1050</v>
          </cell>
          <cell r="CI515">
            <v>123</v>
          </cell>
          <cell r="CJ515">
            <v>305</v>
          </cell>
          <cell r="CK515">
            <v>1073</v>
          </cell>
          <cell r="CM515">
            <v>240.37</v>
          </cell>
          <cell r="CN515">
            <v>23.96</v>
          </cell>
          <cell r="CO515" t="str">
            <v>#N/A N/A</v>
          </cell>
          <cell r="CQ515">
            <v>7.47</v>
          </cell>
          <cell r="CR515">
            <v>122</v>
          </cell>
          <cell r="CS515">
            <v>2205</v>
          </cell>
          <cell r="CU515">
            <v>940</v>
          </cell>
          <cell r="CW515">
            <v>52.97256097560976</v>
          </cell>
          <cell r="CX515">
            <v>706.17750000000001</v>
          </cell>
          <cell r="CZ515">
            <v>313.10000000000002</v>
          </cell>
          <cell r="DA515">
            <v>4101.3999999999996</v>
          </cell>
          <cell r="DB515">
            <v>11.34</v>
          </cell>
          <cell r="DC515">
            <v>367.8</v>
          </cell>
          <cell r="DD515">
            <v>112.9</v>
          </cell>
        </row>
        <row r="516">
          <cell r="A516">
            <v>39229</v>
          </cell>
          <cell r="C516">
            <v>35</v>
          </cell>
          <cell r="D516" t="str">
            <v>#N/A N/A</v>
          </cell>
          <cell r="E516">
            <v>14.14</v>
          </cell>
          <cell r="L516">
            <v>1644.56</v>
          </cell>
          <cell r="M516">
            <v>2557.19</v>
          </cell>
          <cell r="N516">
            <v>6570.5</v>
          </cell>
          <cell r="O516">
            <v>4294</v>
          </cell>
          <cell r="Q516">
            <v>600</v>
          </cell>
          <cell r="R516">
            <v>376</v>
          </cell>
          <cell r="S516">
            <v>501</v>
          </cell>
          <cell r="T516">
            <v>812.5</v>
          </cell>
          <cell r="U516">
            <v>17481.21</v>
          </cell>
          <cell r="V516">
            <v>20520.66</v>
          </cell>
          <cell r="W516">
            <v>8159.97</v>
          </cell>
          <cell r="X516">
            <v>78.349999999999994</v>
          </cell>
          <cell r="Y516">
            <v>1160</v>
          </cell>
          <cell r="Z516">
            <v>1380</v>
          </cell>
          <cell r="AA516">
            <v>14338.45</v>
          </cell>
          <cell r="AB516">
            <v>6273.3</v>
          </cell>
          <cell r="AC516">
            <v>51617.968800000002</v>
          </cell>
          <cell r="AE516">
            <v>83.25</v>
          </cell>
          <cell r="AF516">
            <v>778.79</v>
          </cell>
          <cell r="AG516">
            <v>6212</v>
          </cell>
          <cell r="AH516">
            <v>950</v>
          </cell>
          <cell r="AI516">
            <v>1680</v>
          </cell>
          <cell r="AJ516">
            <v>719.54</v>
          </cell>
          <cell r="AL516">
            <v>1515.73</v>
          </cell>
          <cell r="AP516">
            <v>4179.7759999999998</v>
          </cell>
          <cell r="AV516">
            <v>56.9</v>
          </cell>
          <cell r="AZ516">
            <v>297.7</v>
          </cell>
          <cell r="BE516">
            <v>50075</v>
          </cell>
          <cell r="BG516">
            <v>56.4</v>
          </cell>
          <cell r="BH516">
            <v>344.58</v>
          </cell>
          <cell r="BY516">
            <v>480.63</v>
          </cell>
          <cell r="CD516">
            <v>397.22</v>
          </cell>
          <cell r="CE516">
            <v>391.84500000000003</v>
          </cell>
          <cell r="CF516">
            <v>407.3</v>
          </cell>
          <cell r="CG516">
            <v>1320</v>
          </cell>
          <cell r="CH516">
            <v>1050</v>
          </cell>
          <cell r="CI516">
            <v>123</v>
          </cell>
          <cell r="CJ516">
            <v>305</v>
          </cell>
          <cell r="CK516">
            <v>1073</v>
          </cell>
          <cell r="CM516">
            <v>240.37</v>
          </cell>
          <cell r="CN516">
            <v>23.96</v>
          </cell>
          <cell r="CO516" t="str">
            <v>#N/A N/A</v>
          </cell>
          <cell r="CQ516">
            <v>7.47</v>
          </cell>
          <cell r="CR516">
            <v>122</v>
          </cell>
          <cell r="CS516">
            <v>2205</v>
          </cell>
          <cell r="CU516">
            <v>940</v>
          </cell>
          <cell r="CW516">
            <v>52.97256097560976</v>
          </cell>
          <cell r="CX516">
            <v>706.17750000000001</v>
          </cell>
          <cell r="CZ516">
            <v>313.10000000000002</v>
          </cell>
          <cell r="DA516">
            <v>4101.3999999999996</v>
          </cell>
          <cell r="DB516">
            <v>11.34</v>
          </cell>
          <cell r="DC516">
            <v>367.8</v>
          </cell>
          <cell r="DD516">
            <v>112.9</v>
          </cell>
        </row>
        <row r="517">
          <cell r="A517">
            <v>39230</v>
          </cell>
          <cell r="C517">
            <v>35</v>
          </cell>
          <cell r="D517" t="str">
            <v>#N/A N/A</v>
          </cell>
          <cell r="E517">
            <v>14.16</v>
          </cell>
          <cell r="L517">
            <v>1657.91</v>
          </cell>
          <cell r="M517">
            <v>2557.19</v>
          </cell>
          <cell r="N517">
            <v>6570.5</v>
          </cell>
          <cell r="O517">
            <v>4291</v>
          </cell>
          <cell r="Q517">
            <v>600</v>
          </cell>
          <cell r="R517">
            <v>376</v>
          </cell>
          <cell r="S517">
            <v>501</v>
          </cell>
          <cell r="T517">
            <v>812.5</v>
          </cell>
          <cell r="U517">
            <v>17587.59</v>
          </cell>
          <cell r="V517">
            <v>20529.759999999998</v>
          </cell>
          <cell r="W517">
            <v>8156.82</v>
          </cell>
          <cell r="X517">
            <v>78.25</v>
          </cell>
          <cell r="Y517">
            <v>1160</v>
          </cell>
          <cell r="Z517">
            <v>1380</v>
          </cell>
          <cell r="AA517">
            <v>14397.89</v>
          </cell>
          <cell r="AB517">
            <v>6275</v>
          </cell>
          <cell r="AC517">
            <v>52119.968800000002</v>
          </cell>
          <cell r="AE517">
            <v>82.85</v>
          </cell>
          <cell r="AF517">
            <v>778.79</v>
          </cell>
          <cell r="AG517">
            <v>6212</v>
          </cell>
          <cell r="AH517">
            <v>950</v>
          </cell>
          <cell r="AI517">
            <v>1680</v>
          </cell>
          <cell r="AJ517">
            <v>729.16</v>
          </cell>
          <cell r="AL517">
            <v>1515.73</v>
          </cell>
          <cell r="AP517">
            <v>4272.1109999999999</v>
          </cell>
          <cell r="AV517">
            <v>56.9</v>
          </cell>
          <cell r="AZ517">
            <v>294</v>
          </cell>
          <cell r="BE517">
            <v>50075</v>
          </cell>
          <cell r="BG517">
            <v>56.4</v>
          </cell>
          <cell r="BH517">
            <v>345.98</v>
          </cell>
          <cell r="BY517">
            <v>480.63</v>
          </cell>
          <cell r="CD517">
            <v>397.73</v>
          </cell>
          <cell r="CE517">
            <v>392.28800000000001</v>
          </cell>
          <cell r="CF517">
            <v>408.89</v>
          </cell>
          <cell r="CG517">
            <v>1320</v>
          </cell>
          <cell r="CH517">
            <v>1050</v>
          </cell>
          <cell r="CI517">
            <v>123</v>
          </cell>
          <cell r="CJ517">
            <v>305</v>
          </cell>
          <cell r="CK517">
            <v>1073</v>
          </cell>
          <cell r="CM517">
            <v>240.37</v>
          </cell>
          <cell r="CN517">
            <v>23.96</v>
          </cell>
          <cell r="CO517" t="str">
            <v>#N/A N/A</v>
          </cell>
          <cell r="CQ517">
            <v>7.47</v>
          </cell>
          <cell r="CR517">
            <v>122</v>
          </cell>
          <cell r="CS517">
            <v>2205</v>
          </cell>
          <cell r="CU517">
            <v>940</v>
          </cell>
          <cell r="CW517">
            <v>52.210365853658537</v>
          </cell>
          <cell r="CX517">
            <v>706.33500000000004</v>
          </cell>
          <cell r="CZ517">
            <v>313.10000000000002</v>
          </cell>
          <cell r="DA517">
            <v>4101.3999999999996</v>
          </cell>
          <cell r="DB517">
            <v>11.34</v>
          </cell>
          <cell r="DC517">
            <v>367.8</v>
          </cell>
          <cell r="DD517">
            <v>112.9</v>
          </cell>
        </row>
        <row r="518">
          <cell r="A518">
            <v>39231</v>
          </cell>
          <cell r="C518">
            <v>35</v>
          </cell>
          <cell r="D518" t="str">
            <v>#N/A N/A</v>
          </cell>
          <cell r="E518">
            <v>14.22</v>
          </cell>
          <cell r="L518">
            <v>1661.8</v>
          </cell>
          <cell r="M518">
            <v>2572.06</v>
          </cell>
          <cell r="N518">
            <v>6606.5</v>
          </cell>
          <cell r="O518">
            <v>4286</v>
          </cell>
          <cell r="Q518">
            <v>600</v>
          </cell>
          <cell r="R518">
            <v>364.75</v>
          </cell>
          <cell r="S518">
            <v>491</v>
          </cell>
          <cell r="T518">
            <v>797.5</v>
          </cell>
          <cell r="U518">
            <v>17672.560000000001</v>
          </cell>
          <cell r="V518">
            <v>20469.59</v>
          </cell>
          <cell r="W518">
            <v>8181.49</v>
          </cell>
          <cell r="X518">
            <v>77.45</v>
          </cell>
          <cell r="Y518">
            <v>1160</v>
          </cell>
          <cell r="Z518">
            <v>1380</v>
          </cell>
          <cell r="AA518">
            <v>14508.21</v>
          </cell>
          <cell r="AB518">
            <v>6338.8</v>
          </cell>
          <cell r="AC518">
            <v>51713.179700000001</v>
          </cell>
          <cell r="AE518">
            <v>82.45</v>
          </cell>
          <cell r="AF518">
            <v>778.65</v>
          </cell>
          <cell r="AG518">
            <v>6123</v>
          </cell>
          <cell r="AH518">
            <v>950</v>
          </cell>
          <cell r="AI518">
            <v>1680</v>
          </cell>
          <cell r="AJ518">
            <v>734.82</v>
          </cell>
          <cell r="AL518">
            <v>1518.11</v>
          </cell>
          <cell r="AP518">
            <v>4334.924</v>
          </cell>
          <cell r="AV518">
            <v>56.95</v>
          </cell>
          <cell r="AZ518">
            <v>288.7</v>
          </cell>
          <cell r="BE518">
            <v>51650</v>
          </cell>
          <cell r="BG518">
            <v>56.4</v>
          </cell>
          <cell r="BH518">
            <v>350.24</v>
          </cell>
          <cell r="BY518">
            <v>483.17</v>
          </cell>
          <cell r="CD518">
            <v>398.7</v>
          </cell>
          <cell r="CE518">
            <v>393.40100000000001</v>
          </cell>
          <cell r="CF518">
            <v>409.48</v>
          </cell>
          <cell r="CG518">
            <v>1320</v>
          </cell>
          <cell r="CH518">
            <v>1050</v>
          </cell>
          <cell r="CI518">
            <v>123</v>
          </cell>
          <cell r="CJ518">
            <v>305</v>
          </cell>
          <cell r="CK518">
            <v>1050</v>
          </cell>
          <cell r="CM518">
            <v>229.79</v>
          </cell>
          <cell r="CN518">
            <v>25.12</v>
          </cell>
          <cell r="CO518" t="str">
            <v>#N/A N/A</v>
          </cell>
          <cell r="CQ518">
            <v>7.52</v>
          </cell>
          <cell r="CR518">
            <v>122</v>
          </cell>
          <cell r="CS518">
            <v>2229</v>
          </cell>
          <cell r="CU518">
            <v>940</v>
          </cell>
          <cell r="CW518">
            <v>51.600609756097562</v>
          </cell>
          <cell r="CX518">
            <v>707.49</v>
          </cell>
          <cell r="CZ518">
            <v>307.47000000000003</v>
          </cell>
          <cell r="DA518">
            <v>4136.5</v>
          </cell>
          <cell r="DB518">
            <v>11.46</v>
          </cell>
          <cell r="DC518">
            <v>366.95</v>
          </cell>
          <cell r="DD518">
            <v>110.7</v>
          </cell>
        </row>
        <row r="519">
          <cell r="A519">
            <v>39232</v>
          </cell>
          <cell r="C519">
            <v>35</v>
          </cell>
          <cell r="D519" t="str">
            <v>#N/A N/A</v>
          </cell>
          <cell r="E519">
            <v>14.19</v>
          </cell>
          <cell r="L519">
            <v>1662.72</v>
          </cell>
          <cell r="M519">
            <v>2592.59</v>
          </cell>
          <cell r="N519">
            <v>6602.1</v>
          </cell>
          <cell r="O519">
            <v>4278</v>
          </cell>
          <cell r="Q519">
            <v>600</v>
          </cell>
          <cell r="R519">
            <v>382.25</v>
          </cell>
          <cell r="S519">
            <v>510.75</v>
          </cell>
          <cell r="T519">
            <v>808.25</v>
          </cell>
          <cell r="U519">
            <v>17588.259999999998</v>
          </cell>
          <cell r="V519">
            <v>20293.759999999998</v>
          </cell>
          <cell r="W519">
            <v>8147.34</v>
          </cell>
          <cell r="X519">
            <v>75.25</v>
          </cell>
          <cell r="Y519">
            <v>1160</v>
          </cell>
          <cell r="Z519">
            <v>1380</v>
          </cell>
          <cell r="AA519">
            <v>14411.38</v>
          </cell>
          <cell r="AB519">
            <v>6271.7</v>
          </cell>
          <cell r="AC519">
            <v>52527.648399999998</v>
          </cell>
          <cell r="AE519">
            <v>81.55</v>
          </cell>
          <cell r="AF519">
            <v>778.65</v>
          </cell>
          <cell r="AG519">
            <v>6023</v>
          </cell>
          <cell r="AH519">
            <v>950</v>
          </cell>
          <cell r="AI519">
            <v>1680</v>
          </cell>
          <cell r="AJ519">
            <v>735.6</v>
          </cell>
          <cell r="AL519">
            <v>1530.23</v>
          </cell>
          <cell r="AP519">
            <v>4053.0880000000002</v>
          </cell>
          <cell r="AV519">
            <v>57.45</v>
          </cell>
          <cell r="AZ519">
            <v>288.60000000000002</v>
          </cell>
          <cell r="BE519">
            <v>49800</v>
          </cell>
          <cell r="BG519">
            <v>56.4</v>
          </cell>
          <cell r="BH519">
            <v>346.82</v>
          </cell>
          <cell r="BY519">
            <v>481.42</v>
          </cell>
          <cell r="CD519">
            <v>399.12</v>
          </cell>
          <cell r="CE519">
            <v>394.101</v>
          </cell>
          <cell r="CF519">
            <v>405.58</v>
          </cell>
          <cell r="CG519">
            <v>1320</v>
          </cell>
          <cell r="CH519">
            <v>1050</v>
          </cell>
          <cell r="CI519">
            <v>123</v>
          </cell>
          <cell r="CJ519">
            <v>305</v>
          </cell>
          <cell r="CK519">
            <v>1032</v>
          </cell>
          <cell r="CM519">
            <v>227.25</v>
          </cell>
          <cell r="CN519">
            <v>22.14</v>
          </cell>
          <cell r="CO519" t="str">
            <v>#N/A N/A</v>
          </cell>
          <cell r="CQ519">
            <v>7.71</v>
          </cell>
          <cell r="CR519">
            <v>122</v>
          </cell>
          <cell r="CS519">
            <v>2288.5</v>
          </cell>
          <cell r="CU519">
            <v>940</v>
          </cell>
          <cell r="CW519">
            <v>49.923780487804883</v>
          </cell>
          <cell r="CX519">
            <v>684.3180000000001</v>
          </cell>
          <cell r="CZ519">
            <v>309.25</v>
          </cell>
          <cell r="DA519">
            <v>4096.8999999999996</v>
          </cell>
          <cell r="DB519">
            <v>11.4</v>
          </cell>
          <cell r="DC519">
            <v>366.05</v>
          </cell>
          <cell r="DD519">
            <v>111.35</v>
          </cell>
        </row>
        <row r="520">
          <cell r="A520">
            <v>39233</v>
          </cell>
          <cell r="C520">
            <v>35</v>
          </cell>
          <cell r="D520" t="str">
            <v>#N/A N/A</v>
          </cell>
          <cell r="E520">
            <v>14</v>
          </cell>
          <cell r="L520">
            <v>1700.91</v>
          </cell>
          <cell r="M520">
            <v>2604.52</v>
          </cell>
          <cell r="N520">
            <v>6621.4</v>
          </cell>
          <cell r="O520">
            <v>4265</v>
          </cell>
          <cell r="Q520">
            <v>600</v>
          </cell>
          <cell r="R520">
            <v>390.25</v>
          </cell>
          <cell r="S520">
            <v>517</v>
          </cell>
          <cell r="T520">
            <v>806.25</v>
          </cell>
          <cell r="U520">
            <v>17875.75</v>
          </cell>
          <cell r="V520">
            <v>20634.47</v>
          </cell>
          <cell r="W520">
            <v>8144.95</v>
          </cell>
          <cell r="X520">
            <v>75.25</v>
          </cell>
          <cell r="Y520">
            <v>1160</v>
          </cell>
          <cell r="Z520">
            <v>1380</v>
          </cell>
          <cell r="AA520">
            <v>14544.46</v>
          </cell>
          <cell r="AB520">
            <v>6341.8</v>
          </cell>
          <cell r="AC520">
            <v>52268.460899999998</v>
          </cell>
          <cell r="AE520">
            <v>81.55</v>
          </cell>
          <cell r="AF520">
            <v>778.65</v>
          </cell>
          <cell r="AG520">
            <v>5971</v>
          </cell>
          <cell r="AH520">
            <v>950</v>
          </cell>
          <cell r="AI520">
            <v>1680</v>
          </cell>
          <cell r="AJ520">
            <v>747.87</v>
          </cell>
          <cell r="AL520">
            <v>1530.62</v>
          </cell>
          <cell r="AP520">
            <v>4109.6540000000005</v>
          </cell>
          <cell r="AV520">
            <v>58.1</v>
          </cell>
          <cell r="AZ520">
            <v>284.10000000000002</v>
          </cell>
          <cell r="BE520">
            <v>48850</v>
          </cell>
          <cell r="BG520">
            <v>56.4</v>
          </cell>
          <cell r="BH520">
            <v>351.38</v>
          </cell>
          <cell r="BY520">
            <v>488.26</v>
          </cell>
          <cell r="CD520">
            <v>401.52</v>
          </cell>
          <cell r="CE520">
            <v>396.125</v>
          </cell>
          <cell r="CF520">
            <v>411.97</v>
          </cell>
          <cell r="CG520">
            <v>1320</v>
          </cell>
          <cell r="CH520">
            <v>1050</v>
          </cell>
          <cell r="CI520">
            <v>123</v>
          </cell>
          <cell r="CJ520">
            <v>305</v>
          </cell>
          <cell r="CK520">
            <v>1016</v>
          </cell>
          <cell r="CM520">
            <v>225.12</v>
          </cell>
          <cell r="CN520">
            <v>22.36</v>
          </cell>
          <cell r="CO520" t="str">
            <v>#N/A N/A</v>
          </cell>
          <cell r="CQ520">
            <v>7.82</v>
          </cell>
          <cell r="CR520">
            <v>122</v>
          </cell>
          <cell r="CS520">
            <v>2336.5</v>
          </cell>
          <cell r="CU520">
            <v>940</v>
          </cell>
          <cell r="CW520">
            <v>49.923780487804883</v>
          </cell>
          <cell r="CX520">
            <v>685.79700000000003</v>
          </cell>
          <cell r="CZ520">
            <v>311.45999999999998</v>
          </cell>
          <cell r="DA520">
            <v>4155.7</v>
          </cell>
          <cell r="DB520">
            <v>11.31</v>
          </cell>
          <cell r="DC520">
            <v>368</v>
          </cell>
          <cell r="DD520">
            <v>111.9</v>
          </cell>
        </row>
        <row r="521">
          <cell r="A521">
            <v>39234</v>
          </cell>
          <cell r="C521">
            <v>35</v>
          </cell>
          <cell r="D521" t="str">
            <v>#N/A N/A</v>
          </cell>
          <cell r="E521">
            <v>14.09</v>
          </cell>
          <cell r="L521">
            <v>1716.24</v>
          </cell>
          <cell r="M521">
            <v>2613.92</v>
          </cell>
          <cell r="N521">
            <v>6676.7</v>
          </cell>
          <cell r="O521">
            <v>4262</v>
          </cell>
          <cell r="Q521">
            <v>600</v>
          </cell>
          <cell r="R521">
            <v>386.75</v>
          </cell>
          <cell r="S521">
            <v>520.75</v>
          </cell>
          <cell r="T521">
            <v>817.5</v>
          </cell>
          <cell r="U521">
            <v>17958.88</v>
          </cell>
          <cell r="V521">
            <v>20602.87</v>
          </cell>
          <cell r="W521">
            <v>8249.9</v>
          </cell>
          <cell r="X521">
            <v>73.400000000000006</v>
          </cell>
          <cell r="Y521">
            <v>1110</v>
          </cell>
          <cell r="Z521">
            <v>1390</v>
          </cell>
          <cell r="AA521">
            <v>14570.75</v>
          </cell>
          <cell r="AB521">
            <v>6363.5</v>
          </cell>
          <cell r="AC521">
            <v>53422.671900000001</v>
          </cell>
          <cell r="AE521">
            <v>80.95</v>
          </cell>
          <cell r="AF521">
            <v>778.65</v>
          </cell>
          <cell r="AG521">
            <v>5983</v>
          </cell>
          <cell r="AH521">
            <v>950</v>
          </cell>
          <cell r="AI521">
            <v>1710</v>
          </cell>
          <cell r="AJ521">
            <v>742.61</v>
          </cell>
          <cell r="AL521">
            <v>1536.34</v>
          </cell>
          <cell r="AP521">
            <v>4000.7420000000002</v>
          </cell>
          <cell r="AV521">
            <v>59.25</v>
          </cell>
          <cell r="AZ521">
            <v>285</v>
          </cell>
          <cell r="BE521">
            <v>50090</v>
          </cell>
          <cell r="BG521">
            <v>56.85</v>
          </cell>
          <cell r="BH521">
            <v>354.94</v>
          </cell>
          <cell r="BY521">
            <v>489.98</v>
          </cell>
          <cell r="CD521">
            <v>403.99</v>
          </cell>
          <cell r="CE521">
            <v>398.17</v>
          </cell>
          <cell r="CF521">
            <v>417</v>
          </cell>
          <cell r="CG521">
            <v>1330</v>
          </cell>
          <cell r="CH521">
            <v>1020</v>
          </cell>
          <cell r="CI521">
            <v>123</v>
          </cell>
          <cell r="CJ521">
            <v>305</v>
          </cell>
          <cell r="CK521">
            <v>1006</v>
          </cell>
          <cell r="CM521">
            <v>224.46</v>
          </cell>
          <cell r="CN521">
            <v>24.03</v>
          </cell>
          <cell r="CO521" t="str">
            <v>#N/A N/A</v>
          </cell>
          <cell r="CQ521">
            <v>7.57</v>
          </cell>
          <cell r="CR521">
            <v>122</v>
          </cell>
          <cell r="CS521">
            <v>2375</v>
          </cell>
          <cell r="CU521">
            <v>920</v>
          </cell>
          <cell r="CW521">
            <v>51.448170731707322</v>
          </cell>
          <cell r="CX521">
            <v>685.79700000000003</v>
          </cell>
          <cell r="CZ521">
            <v>314.12</v>
          </cell>
          <cell r="DA521">
            <v>4203.3999999999996</v>
          </cell>
          <cell r="DB521">
            <v>11.09</v>
          </cell>
          <cell r="DC521">
            <v>368</v>
          </cell>
          <cell r="DD521">
            <v>117.4</v>
          </cell>
        </row>
        <row r="522">
          <cell r="A522">
            <v>39235</v>
          </cell>
          <cell r="C522">
            <v>35</v>
          </cell>
          <cell r="D522" t="str">
            <v>#N/A N/A</v>
          </cell>
          <cell r="E522">
            <v>14.09</v>
          </cell>
          <cell r="L522">
            <v>1716.24</v>
          </cell>
          <cell r="M522">
            <v>2613.92</v>
          </cell>
          <cell r="N522">
            <v>6676.7</v>
          </cell>
          <cell r="O522">
            <v>4262</v>
          </cell>
          <cell r="Q522">
            <v>600</v>
          </cell>
          <cell r="R522">
            <v>386.75</v>
          </cell>
          <cell r="S522">
            <v>520.75</v>
          </cell>
          <cell r="T522">
            <v>817.5</v>
          </cell>
          <cell r="U522">
            <v>17958.88</v>
          </cell>
          <cell r="V522">
            <v>20602.87</v>
          </cell>
          <cell r="W522">
            <v>8249.9</v>
          </cell>
          <cell r="X522">
            <v>73.400000000000006</v>
          </cell>
          <cell r="Y522">
            <v>1110</v>
          </cell>
          <cell r="Z522">
            <v>1390</v>
          </cell>
          <cell r="AA522">
            <v>14570.75</v>
          </cell>
          <cell r="AB522">
            <v>6363.5</v>
          </cell>
          <cell r="AC522">
            <v>53422.671900000001</v>
          </cell>
          <cell r="AE522">
            <v>80.95</v>
          </cell>
          <cell r="AF522">
            <v>778.65</v>
          </cell>
          <cell r="AG522">
            <v>5983</v>
          </cell>
          <cell r="AH522">
            <v>950</v>
          </cell>
          <cell r="AI522">
            <v>1710</v>
          </cell>
          <cell r="AJ522">
            <v>742.61</v>
          </cell>
          <cell r="AL522">
            <v>1536.34</v>
          </cell>
          <cell r="AP522">
            <v>4000.7420000000002</v>
          </cell>
          <cell r="AV522">
            <v>59.25</v>
          </cell>
          <cell r="AZ522">
            <v>285</v>
          </cell>
          <cell r="BE522">
            <v>50090</v>
          </cell>
          <cell r="BG522">
            <v>56.85</v>
          </cell>
          <cell r="BH522">
            <v>354.94</v>
          </cell>
          <cell r="BY522">
            <v>489.98</v>
          </cell>
          <cell r="CD522">
            <v>403.99</v>
          </cell>
          <cell r="CE522">
            <v>398.17</v>
          </cell>
          <cell r="CF522">
            <v>417</v>
          </cell>
          <cell r="CG522">
            <v>1330</v>
          </cell>
          <cell r="CH522">
            <v>1020</v>
          </cell>
          <cell r="CI522">
            <v>123</v>
          </cell>
          <cell r="CJ522">
            <v>305</v>
          </cell>
          <cell r="CK522">
            <v>1006</v>
          </cell>
          <cell r="CM522">
            <v>224.46</v>
          </cell>
          <cell r="CN522">
            <v>24.03</v>
          </cell>
          <cell r="CO522" t="str">
            <v>#N/A N/A</v>
          </cell>
          <cell r="CQ522">
            <v>7.57</v>
          </cell>
          <cell r="CR522">
            <v>122</v>
          </cell>
          <cell r="CS522">
            <v>2375</v>
          </cell>
          <cell r="CU522">
            <v>920</v>
          </cell>
          <cell r="CW522">
            <v>51.448170731707322</v>
          </cell>
          <cell r="CX522">
            <v>685.79700000000003</v>
          </cell>
          <cell r="CZ522">
            <v>314.12</v>
          </cell>
          <cell r="DA522">
            <v>4203.3999999999996</v>
          </cell>
          <cell r="DB522">
            <v>11.09</v>
          </cell>
          <cell r="DC522">
            <v>368</v>
          </cell>
          <cell r="DD522">
            <v>117.4</v>
          </cell>
        </row>
        <row r="523">
          <cell r="A523">
            <v>39236</v>
          </cell>
          <cell r="C523">
            <v>35</v>
          </cell>
          <cell r="D523" t="str">
            <v>#N/A N/A</v>
          </cell>
          <cell r="E523">
            <v>14.09</v>
          </cell>
          <cell r="L523">
            <v>1716.24</v>
          </cell>
          <cell r="M523">
            <v>2613.92</v>
          </cell>
          <cell r="N523">
            <v>6676.7</v>
          </cell>
          <cell r="O523">
            <v>4262</v>
          </cell>
          <cell r="Q523">
            <v>600</v>
          </cell>
          <cell r="R523">
            <v>386.75</v>
          </cell>
          <cell r="S523">
            <v>520.75</v>
          </cell>
          <cell r="T523">
            <v>817.5</v>
          </cell>
          <cell r="U523">
            <v>17958.88</v>
          </cell>
          <cell r="V523">
            <v>20602.87</v>
          </cell>
          <cell r="W523">
            <v>8249.9</v>
          </cell>
          <cell r="X523">
            <v>73.400000000000006</v>
          </cell>
          <cell r="Y523">
            <v>1110</v>
          </cell>
          <cell r="Z523">
            <v>1390</v>
          </cell>
          <cell r="AA523">
            <v>14570.75</v>
          </cell>
          <cell r="AB523">
            <v>6363.5</v>
          </cell>
          <cell r="AC523">
            <v>53422.671900000001</v>
          </cell>
          <cell r="AE523">
            <v>80.95</v>
          </cell>
          <cell r="AF523">
            <v>778.65</v>
          </cell>
          <cell r="AG523">
            <v>5983</v>
          </cell>
          <cell r="AH523">
            <v>950</v>
          </cell>
          <cell r="AI523">
            <v>1710</v>
          </cell>
          <cell r="AJ523">
            <v>742.61</v>
          </cell>
          <cell r="AL523">
            <v>1536.34</v>
          </cell>
          <cell r="AP523">
            <v>4000.7420000000002</v>
          </cell>
          <cell r="AV523">
            <v>59.25</v>
          </cell>
          <cell r="AZ523">
            <v>285</v>
          </cell>
          <cell r="BE523">
            <v>50090</v>
          </cell>
          <cell r="BG523">
            <v>56.85</v>
          </cell>
          <cell r="BH523">
            <v>354.94</v>
          </cell>
          <cell r="BY523">
            <v>489.98</v>
          </cell>
          <cell r="CD523">
            <v>403.99</v>
          </cell>
          <cell r="CE523">
            <v>398.17</v>
          </cell>
          <cell r="CF523">
            <v>417</v>
          </cell>
          <cell r="CG523">
            <v>1330</v>
          </cell>
          <cell r="CH523">
            <v>1020</v>
          </cell>
          <cell r="CI523">
            <v>123</v>
          </cell>
          <cell r="CJ523">
            <v>305</v>
          </cell>
          <cell r="CK523">
            <v>1006</v>
          </cell>
          <cell r="CM523">
            <v>224.46</v>
          </cell>
          <cell r="CN523">
            <v>24.03</v>
          </cell>
          <cell r="CO523" t="str">
            <v>#N/A N/A</v>
          </cell>
          <cell r="CQ523">
            <v>7.57</v>
          </cell>
          <cell r="CR523">
            <v>122</v>
          </cell>
          <cell r="CS523">
            <v>2375</v>
          </cell>
          <cell r="CU523">
            <v>920</v>
          </cell>
          <cell r="CW523">
            <v>51.448170731707322</v>
          </cell>
          <cell r="CX523">
            <v>685.79700000000003</v>
          </cell>
          <cell r="CZ523">
            <v>314.12</v>
          </cell>
          <cell r="DA523">
            <v>4203.3999999999996</v>
          </cell>
          <cell r="DB523">
            <v>11.09</v>
          </cell>
          <cell r="DC523">
            <v>368</v>
          </cell>
          <cell r="DD523">
            <v>117.4</v>
          </cell>
        </row>
        <row r="524">
          <cell r="A524">
            <v>39237</v>
          </cell>
          <cell r="C524">
            <v>35</v>
          </cell>
          <cell r="D524" t="str">
            <v>#N/A N/A</v>
          </cell>
          <cell r="E524">
            <v>14.11</v>
          </cell>
          <cell r="L524">
            <v>1737.59</v>
          </cell>
          <cell r="M524">
            <v>2618.29</v>
          </cell>
          <cell r="N524">
            <v>6664.1</v>
          </cell>
          <cell r="O524">
            <v>4255</v>
          </cell>
          <cell r="Q524">
            <v>600</v>
          </cell>
          <cell r="R524">
            <v>383.75</v>
          </cell>
          <cell r="S524">
            <v>520.25</v>
          </cell>
          <cell r="T524">
            <v>815.75</v>
          </cell>
          <cell r="U524">
            <v>17973.419999999998</v>
          </cell>
          <cell r="V524">
            <v>20729.59</v>
          </cell>
          <cell r="W524">
            <v>8294.7900000000009</v>
          </cell>
          <cell r="X524">
            <v>73.849999999999994</v>
          </cell>
          <cell r="Y524">
            <v>1110</v>
          </cell>
          <cell r="Z524">
            <v>1390</v>
          </cell>
          <cell r="AA524">
            <v>14495.77</v>
          </cell>
          <cell r="AB524">
            <v>6419.6</v>
          </cell>
          <cell r="AC524">
            <v>53242.679700000001</v>
          </cell>
          <cell r="AE524">
            <v>82.35</v>
          </cell>
          <cell r="AF524">
            <v>778.65</v>
          </cell>
          <cell r="AG524">
            <v>6011</v>
          </cell>
          <cell r="AH524">
            <v>950</v>
          </cell>
          <cell r="AI524">
            <v>1710</v>
          </cell>
          <cell r="AJ524">
            <v>745.49</v>
          </cell>
          <cell r="AL524">
            <v>1539.18</v>
          </cell>
          <cell r="AP524">
            <v>3670.4009999999998</v>
          </cell>
          <cell r="AV524">
            <v>60.05</v>
          </cell>
          <cell r="AZ524">
            <v>285.7</v>
          </cell>
          <cell r="BE524">
            <v>50125</v>
          </cell>
          <cell r="BG524">
            <v>56.85</v>
          </cell>
          <cell r="BH524">
            <v>352.8</v>
          </cell>
          <cell r="BY524">
            <v>490.44</v>
          </cell>
          <cell r="CD524">
            <v>405.19</v>
          </cell>
          <cell r="CE524">
            <v>399.35599999999999</v>
          </cell>
          <cell r="CF524">
            <v>420.52</v>
          </cell>
          <cell r="CG524">
            <v>1330</v>
          </cell>
          <cell r="CH524">
            <v>1020</v>
          </cell>
          <cell r="CI524">
            <v>123</v>
          </cell>
          <cell r="CJ524">
            <v>305</v>
          </cell>
          <cell r="CK524">
            <v>999</v>
          </cell>
          <cell r="CM524">
            <v>223.8</v>
          </cell>
          <cell r="CN524">
            <v>24.26</v>
          </cell>
          <cell r="CO524" t="str">
            <v>#N/A N/A</v>
          </cell>
          <cell r="CQ524">
            <v>7.72</v>
          </cell>
          <cell r="CR524">
            <v>122</v>
          </cell>
          <cell r="CS524">
            <v>2373</v>
          </cell>
          <cell r="CU524">
            <v>920</v>
          </cell>
          <cell r="CW524">
            <v>52.362804878048784</v>
          </cell>
          <cell r="CX524">
            <v>687.78600000000006</v>
          </cell>
          <cell r="CZ524">
            <v>315.55</v>
          </cell>
          <cell r="DA524">
            <v>4272.2</v>
          </cell>
          <cell r="DB524">
            <v>10.95</v>
          </cell>
          <cell r="DC524">
            <v>368</v>
          </cell>
          <cell r="DD524">
            <v>115.3</v>
          </cell>
        </row>
        <row r="525">
          <cell r="A525">
            <v>39238</v>
          </cell>
          <cell r="C525">
            <v>35</v>
          </cell>
          <cell r="D525" t="str">
            <v>#N/A N/A</v>
          </cell>
          <cell r="E525">
            <v>14.09</v>
          </cell>
          <cell r="L525">
            <v>1742.19</v>
          </cell>
          <cell r="M525">
            <v>2611.23</v>
          </cell>
          <cell r="N525">
            <v>6632.8</v>
          </cell>
          <cell r="O525">
            <v>4237</v>
          </cell>
          <cell r="Q525">
            <v>600</v>
          </cell>
          <cell r="R525">
            <v>380.25</v>
          </cell>
          <cell r="S525">
            <v>527.25</v>
          </cell>
          <cell r="T525">
            <v>828.25</v>
          </cell>
          <cell r="U525">
            <v>18053.810000000001</v>
          </cell>
          <cell r="V525">
            <v>20842.150000000001</v>
          </cell>
          <cell r="W525">
            <v>8303.99</v>
          </cell>
          <cell r="X525">
            <v>74.349999999999994</v>
          </cell>
          <cell r="Y525">
            <v>1110</v>
          </cell>
          <cell r="Z525">
            <v>1390</v>
          </cell>
          <cell r="AA525">
            <v>14535.01</v>
          </cell>
          <cell r="AB525">
            <v>6399.9</v>
          </cell>
          <cell r="AC525">
            <v>53162.210899999998</v>
          </cell>
          <cell r="AE525">
            <v>83.05</v>
          </cell>
          <cell r="AF525">
            <v>779.63</v>
          </cell>
          <cell r="AG525">
            <v>6023</v>
          </cell>
          <cell r="AH525">
            <v>950</v>
          </cell>
          <cell r="AI525">
            <v>1710</v>
          </cell>
          <cell r="AJ525">
            <v>750.08</v>
          </cell>
          <cell r="AL525">
            <v>1530.95</v>
          </cell>
          <cell r="AP525">
            <v>3767.1010000000001</v>
          </cell>
          <cell r="AV525">
            <v>59.8</v>
          </cell>
          <cell r="AZ525">
            <v>285.5</v>
          </cell>
          <cell r="BE525">
            <v>49125</v>
          </cell>
          <cell r="BG525">
            <v>56.85</v>
          </cell>
          <cell r="BH525">
            <v>354.26</v>
          </cell>
          <cell r="BY525">
            <v>487.24</v>
          </cell>
          <cell r="CD525">
            <v>403.98</v>
          </cell>
          <cell r="CE525">
            <v>398.012</v>
          </cell>
          <cell r="CF525">
            <v>421.58</v>
          </cell>
          <cell r="CG525">
            <v>1330</v>
          </cell>
          <cell r="CH525">
            <v>1020</v>
          </cell>
          <cell r="CI525">
            <v>128</v>
          </cell>
          <cell r="CJ525">
            <v>310</v>
          </cell>
          <cell r="CK525">
            <v>987</v>
          </cell>
          <cell r="CM525">
            <v>220.73</v>
          </cell>
          <cell r="CN525">
            <v>23.39</v>
          </cell>
          <cell r="CO525" t="str">
            <v>#N/A N/A</v>
          </cell>
          <cell r="CQ525">
            <v>7.82</v>
          </cell>
          <cell r="CR525">
            <v>122</v>
          </cell>
          <cell r="CS525">
            <v>2325.5</v>
          </cell>
          <cell r="CU525">
            <v>920</v>
          </cell>
          <cell r="CW525">
            <v>52.515243902439025</v>
          </cell>
          <cell r="CX525">
            <v>689.928</v>
          </cell>
          <cell r="CZ525">
            <v>314.64</v>
          </cell>
          <cell r="DA525">
            <v>4207.7</v>
          </cell>
          <cell r="DB525">
            <v>10.68</v>
          </cell>
          <cell r="DC525">
            <v>368</v>
          </cell>
          <cell r="DD525">
            <v>116.55</v>
          </cell>
        </row>
        <row r="526">
          <cell r="A526">
            <v>39239</v>
          </cell>
          <cell r="C526">
            <v>32.5</v>
          </cell>
          <cell r="D526" t="str">
            <v>#N/A N/A</v>
          </cell>
          <cell r="E526">
            <v>14.11</v>
          </cell>
          <cell r="L526">
            <v>1742.19</v>
          </cell>
          <cell r="M526">
            <v>2587.1799999999998</v>
          </cell>
          <cell r="N526">
            <v>6522.7</v>
          </cell>
          <cell r="O526">
            <v>4225</v>
          </cell>
          <cell r="Q526">
            <v>600</v>
          </cell>
          <cell r="R526">
            <v>374.75</v>
          </cell>
          <cell r="S526">
            <v>519.75</v>
          </cell>
          <cell r="T526">
            <v>822.25</v>
          </cell>
          <cell r="U526">
            <v>18040.93</v>
          </cell>
          <cell r="V526">
            <v>20818.61</v>
          </cell>
          <cell r="W526">
            <v>8314.68</v>
          </cell>
          <cell r="X526">
            <v>74.599999999999994</v>
          </cell>
          <cell r="Y526">
            <v>1110</v>
          </cell>
          <cell r="Z526">
            <v>1390</v>
          </cell>
          <cell r="AA526">
            <v>14255.93</v>
          </cell>
          <cell r="AB526">
            <v>6367.4</v>
          </cell>
          <cell r="AC526">
            <v>52049.308599999997</v>
          </cell>
          <cell r="AE526">
            <v>83.15</v>
          </cell>
          <cell r="AF526">
            <v>779.63</v>
          </cell>
          <cell r="AG526">
            <v>5988</v>
          </cell>
          <cell r="AH526">
            <v>950</v>
          </cell>
          <cell r="AI526">
            <v>1710</v>
          </cell>
          <cell r="AJ526">
            <v>750.08</v>
          </cell>
          <cell r="AL526">
            <v>1517.38</v>
          </cell>
          <cell r="AP526">
            <v>3776.317</v>
          </cell>
          <cell r="AV526">
            <v>58.96</v>
          </cell>
          <cell r="AZ526">
            <v>283.60000000000002</v>
          </cell>
          <cell r="BE526">
            <v>48300</v>
          </cell>
          <cell r="BG526">
            <v>56.85</v>
          </cell>
          <cell r="BH526">
            <v>352.99</v>
          </cell>
          <cell r="BY526">
            <v>481.75</v>
          </cell>
          <cell r="CD526">
            <v>399.77</v>
          </cell>
          <cell r="CE526">
            <v>393.89</v>
          </cell>
          <cell r="CF526">
            <v>420.42</v>
          </cell>
          <cell r="CG526">
            <v>1330</v>
          </cell>
          <cell r="CH526">
            <v>1020</v>
          </cell>
          <cell r="CI526">
            <v>128</v>
          </cell>
          <cell r="CJ526">
            <v>310</v>
          </cell>
          <cell r="CK526">
            <v>993</v>
          </cell>
          <cell r="CM526">
            <v>219.04</v>
          </cell>
          <cell r="CN526">
            <v>23.61</v>
          </cell>
          <cell r="CO526" t="str">
            <v>#N/A N/A</v>
          </cell>
          <cell r="CQ526">
            <v>7.84</v>
          </cell>
          <cell r="CR526">
            <v>138</v>
          </cell>
          <cell r="CS526">
            <v>2301</v>
          </cell>
          <cell r="CU526">
            <v>920</v>
          </cell>
          <cell r="CW526">
            <v>52.97256097560976</v>
          </cell>
          <cell r="CX526">
            <v>688.55100000000004</v>
          </cell>
          <cell r="CZ526">
            <v>313.66000000000003</v>
          </cell>
          <cell r="DA526">
            <v>4133.1000000000004</v>
          </cell>
          <cell r="DB526">
            <v>10.71</v>
          </cell>
          <cell r="DC526">
            <v>368</v>
          </cell>
          <cell r="DD526">
            <v>116.45</v>
          </cell>
        </row>
        <row r="527">
          <cell r="A527">
            <v>39240</v>
          </cell>
          <cell r="C527">
            <v>32.5</v>
          </cell>
          <cell r="D527" t="str">
            <v>#N/A N/A</v>
          </cell>
          <cell r="E527">
            <v>14.3</v>
          </cell>
          <cell r="L527">
            <v>1753.04</v>
          </cell>
          <cell r="M527">
            <v>2541.38</v>
          </cell>
          <cell r="N527">
            <v>6505.1</v>
          </cell>
          <cell r="O527">
            <v>4191</v>
          </cell>
          <cell r="Q527">
            <v>600</v>
          </cell>
          <cell r="R527">
            <v>384.75</v>
          </cell>
          <cell r="S527">
            <v>524.5</v>
          </cell>
          <cell r="T527">
            <v>832</v>
          </cell>
          <cell r="U527">
            <v>18053.38</v>
          </cell>
          <cell r="V527">
            <v>20800.16</v>
          </cell>
          <cell r="W527">
            <v>8355.26</v>
          </cell>
          <cell r="X527">
            <v>74.45</v>
          </cell>
          <cell r="Y527">
            <v>1110</v>
          </cell>
          <cell r="Z527">
            <v>1390</v>
          </cell>
          <cell r="AA527">
            <v>14186.18</v>
          </cell>
          <cell r="AB527">
            <v>6338.2</v>
          </cell>
          <cell r="AC527">
            <v>52049.308599999997</v>
          </cell>
          <cell r="AE527">
            <v>82.7</v>
          </cell>
          <cell r="AF527">
            <v>779.63</v>
          </cell>
          <cell r="AG527">
            <v>5877</v>
          </cell>
          <cell r="AH527">
            <v>950</v>
          </cell>
          <cell r="AI527">
            <v>1710</v>
          </cell>
          <cell r="AJ527">
            <v>761.84</v>
          </cell>
          <cell r="AL527">
            <v>1490.72</v>
          </cell>
          <cell r="AP527">
            <v>3890.8029999999999</v>
          </cell>
          <cell r="AV527">
            <v>58.7</v>
          </cell>
          <cell r="AZ527">
            <v>277.89999999999998</v>
          </cell>
          <cell r="BE527">
            <v>43850</v>
          </cell>
          <cell r="BG527">
            <v>56.85</v>
          </cell>
          <cell r="BH527">
            <v>347.76</v>
          </cell>
          <cell r="BY527">
            <v>473.66</v>
          </cell>
          <cell r="CD527">
            <v>394.41</v>
          </cell>
          <cell r="CE527">
            <v>388.26</v>
          </cell>
          <cell r="CF527">
            <v>420.17</v>
          </cell>
          <cell r="CG527">
            <v>1330</v>
          </cell>
          <cell r="CH527">
            <v>1020</v>
          </cell>
          <cell r="CI527">
            <v>128</v>
          </cell>
          <cell r="CJ527">
            <v>310</v>
          </cell>
          <cell r="CK527">
            <v>998</v>
          </cell>
          <cell r="CM527">
            <v>219.27</v>
          </cell>
          <cell r="CN527">
            <v>22.28</v>
          </cell>
          <cell r="CO527" t="str">
            <v>#N/A N/A</v>
          </cell>
          <cell r="CQ527">
            <v>7.89</v>
          </cell>
          <cell r="CR527">
            <v>138</v>
          </cell>
          <cell r="CS527">
            <v>2264.5</v>
          </cell>
          <cell r="CU527">
            <v>920</v>
          </cell>
          <cell r="CW527">
            <v>52.97256097560976</v>
          </cell>
          <cell r="CX527">
            <v>684.726</v>
          </cell>
          <cell r="CZ527">
            <v>313.92</v>
          </cell>
          <cell r="DA527">
            <v>4081.8</v>
          </cell>
          <cell r="DB527">
            <v>10.56</v>
          </cell>
          <cell r="DC527">
            <v>368</v>
          </cell>
          <cell r="DD527">
            <v>116.95</v>
          </cell>
        </row>
        <row r="528">
          <cell r="A528">
            <v>39241</v>
          </cell>
          <cell r="C528">
            <v>32.5</v>
          </cell>
          <cell r="D528" t="str">
            <v>#N/A N/A</v>
          </cell>
          <cell r="E528">
            <v>13.74</v>
          </cell>
          <cell r="L528">
            <v>1727.28</v>
          </cell>
          <cell r="M528">
            <v>2573.54</v>
          </cell>
          <cell r="N528">
            <v>6505.1</v>
          </cell>
          <cell r="O528">
            <v>4181</v>
          </cell>
          <cell r="Q528">
            <v>600</v>
          </cell>
          <cell r="R528">
            <v>382</v>
          </cell>
          <cell r="S528">
            <v>527.5</v>
          </cell>
          <cell r="T528">
            <v>821.5</v>
          </cell>
          <cell r="U528">
            <v>17779.09</v>
          </cell>
          <cell r="V528">
            <v>20509.150000000001</v>
          </cell>
          <cell r="W528">
            <v>8300.7099999999991</v>
          </cell>
          <cell r="X528">
            <v>73.55</v>
          </cell>
          <cell r="Y528">
            <v>1070</v>
          </cell>
          <cell r="Z528">
            <v>1400</v>
          </cell>
          <cell r="AA528">
            <v>14063.81</v>
          </cell>
          <cell r="AB528">
            <v>6258.4</v>
          </cell>
          <cell r="AC528">
            <v>52329.679700000001</v>
          </cell>
          <cell r="AE528">
            <v>82.25</v>
          </cell>
          <cell r="AF528">
            <v>779.63</v>
          </cell>
          <cell r="AG528">
            <v>5736</v>
          </cell>
          <cell r="AH528">
            <v>960</v>
          </cell>
          <cell r="AI528">
            <v>1700</v>
          </cell>
          <cell r="AJ528">
            <v>760.63</v>
          </cell>
          <cell r="AL528">
            <v>1507.67</v>
          </cell>
          <cell r="AP528">
            <v>3913.1350000000002</v>
          </cell>
          <cell r="AV528">
            <v>59.9</v>
          </cell>
          <cell r="AZ528">
            <v>273.10000000000002</v>
          </cell>
          <cell r="BE528">
            <v>43325</v>
          </cell>
          <cell r="BG528">
            <v>59.45</v>
          </cell>
          <cell r="BH528">
            <v>347.47</v>
          </cell>
          <cell r="BY528">
            <v>488.36</v>
          </cell>
          <cell r="CD528">
            <v>394.23</v>
          </cell>
          <cell r="CE528">
            <v>388.54500000000002</v>
          </cell>
          <cell r="CF528">
            <v>413.31</v>
          </cell>
          <cell r="CG528">
            <v>1340</v>
          </cell>
          <cell r="CH528">
            <v>1000</v>
          </cell>
          <cell r="CI528">
            <v>128</v>
          </cell>
          <cell r="CJ528">
            <v>310</v>
          </cell>
          <cell r="CK528">
            <v>1020</v>
          </cell>
          <cell r="CM528">
            <v>212.71</v>
          </cell>
          <cell r="CN528">
            <v>23.16</v>
          </cell>
          <cell r="CO528" t="str">
            <v>#N/A N/A</v>
          </cell>
          <cell r="CQ528">
            <v>7.53</v>
          </cell>
          <cell r="CR528">
            <v>138</v>
          </cell>
          <cell r="CS528">
            <v>2266.5</v>
          </cell>
          <cell r="CU528">
            <v>900</v>
          </cell>
          <cell r="CW528">
            <v>53.582317073170735</v>
          </cell>
          <cell r="CX528">
            <v>680.90099999999995</v>
          </cell>
          <cell r="CZ528">
            <v>307.51</v>
          </cell>
          <cell r="DA528">
            <v>3988.2</v>
          </cell>
          <cell r="DB528">
            <v>10.68</v>
          </cell>
          <cell r="DC528">
            <v>368</v>
          </cell>
          <cell r="DD528">
            <v>114.85</v>
          </cell>
        </row>
        <row r="529">
          <cell r="A529">
            <v>39242</v>
          </cell>
          <cell r="C529">
            <v>32.5</v>
          </cell>
          <cell r="D529" t="str">
            <v>#N/A N/A</v>
          </cell>
          <cell r="E529">
            <v>13.74</v>
          </cell>
          <cell r="L529">
            <v>1727.28</v>
          </cell>
          <cell r="M529">
            <v>2573.54</v>
          </cell>
          <cell r="N529">
            <v>6505.1</v>
          </cell>
          <cell r="O529">
            <v>4181</v>
          </cell>
          <cell r="Q529">
            <v>600</v>
          </cell>
          <cell r="R529">
            <v>382</v>
          </cell>
          <cell r="S529">
            <v>527.5</v>
          </cell>
          <cell r="T529">
            <v>821.5</v>
          </cell>
          <cell r="U529">
            <v>17779.09</v>
          </cell>
          <cell r="V529">
            <v>20509.150000000001</v>
          </cell>
          <cell r="W529">
            <v>8300.7099999999991</v>
          </cell>
          <cell r="X529">
            <v>73.55</v>
          </cell>
          <cell r="Y529">
            <v>1070</v>
          </cell>
          <cell r="Z529">
            <v>1400</v>
          </cell>
          <cell r="AA529">
            <v>14063.81</v>
          </cell>
          <cell r="AB529">
            <v>6258.4</v>
          </cell>
          <cell r="AC529">
            <v>52329.679700000001</v>
          </cell>
          <cell r="AE529">
            <v>82.25</v>
          </cell>
          <cell r="AF529">
            <v>779.63</v>
          </cell>
          <cell r="AG529">
            <v>5736</v>
          </cell>
          <cell r="AH529">
            <v>960</v>
          </cell>
          <cell r="AI529">
            <v>1700</v>
          </cell>
          <cell r="AJ529">
            <v>760.63</v>
          </cell>
          <cell r="AL529">
            <v>1507.67</v>
          </cell>
          <cell r="AP529">
            <v>3913.1350000000002</v>
          </cell>
          <cell r="AV529">
            <v>59.9</v>
          </cell>
          <cell r="AZ529">
            <v>273.10000000000002</v>
          </cell>
          <cell r="BE529">
            <v>43325</v>
          </cell>
          <cell r="BG529">
            <v>59.45</v>
          </cell>
          <cell r="BH529">
            <v>347.47</v>
          </cell>
          <cell r="BY529">
            <v>488.36</v>
          </cell>
          <cell r="CD529">
            <v>394.23</v>
          </cell>
          <cell r="CE529">
            <v>388.54500000000002</v>
          </cell>
          <cell r="CF529">
            <v>413.31</v>
          </cell>
          <cell r="CG529">
            <v>1340</v>
          </cell>
          <cell r="CH529">
            <v>1000</v>
          </cell>
          <cell r="CI529">
            <v>128</v>
          </cell>
          <cell r="CJ529">
            <v>310</v>
          </cell>
          <cell r="CK529">
            <v>1020</v>
          </cell>
          <cell r="CM529">
            <v>212.71</v>
          </cell>
          <cell r="CN529">
            <v>23.16</v>
          </cell>
          <cell r="CO529" t="str">
            <v>#N/A N/A</v>
          </cell>
          <cell r="CQ529">
            <v>7.53</v>
          </cell>
          <cell r="CR529">
            <v>138</v>
          </cell>
          <cell r="CS529">
            <v>2266.5</v>
          </cell>
          <cell r="CU529">
            <v>900</v>
          </cell>
          <cell r="CW529">
            <v>53.582317073170735</v>
          </cell>
          <cell r="CX529">
            <v>680.90099999999995</v>
          </cell>
          <cell r="CZ529">
            <v>307.51</v>
          </cell>
          <cell r="DA529">
            <v>3988.2</v>
          </cell>
          <cell r="DB529">
            <v>10.68</v>
          </cell>
          <cell r="DC529">
            <v>368</v>
          </cell>
          <cell r="DD529">
            <v>114.85</v>
          </cell>
        </row>
        <row r="530">
          <cell r="A530">
            <v>39243</v>
          </cell>
          <cell r="C530">
            <v>32.5</v>
          </cell>
          <cell r="D530" t="str">
            <v>#N/A N/A</v>
          </cell>
          <cell r="E530">
            <v>13.74</v>
          </cell>
          <cell r="L530">
            <v>1727.28</v>
          </cell>
          <cell r="M530">
            <v>2573.54</v>
          </cell>
          <cell r="N530">
            <v>6505.1</v>
          </cell>
          <cell r="O530">
            <v>4181</v>
          </cell>
          <cell r="Q530">
            <v>600</v>
          </cell>
          <cell r="R530">
            <v>382</v>
          </cell>
          <cell r="S530">
            <v>527.5</v>
          </cell>
          <cell r="T530">
            <v>821.5</v>
          </cell>
          <cell r="U530">
            <v>17779.09</v>
          </cell>
          <cell r="V530">
            <v>20509.150000000001</v>
          </cell>
          <cell r="W530">
            <v>8300.7099999999991</v>
          </cell>
          <cell r="X530">
            <v>73.55</v>
          </cell>
          <cell r="Y530">
            <v>1070</v>
          </cell>
          <cell r="Z530">
            <v>1400</v>
          </cell>
          <cell r="AA530">
            <v>14063.81</v>
          </cell>
          <cell r="AB530">
            <v>6258.4</v>
          </cell>
          <cell r="AC530">
            <v>52329.679700000001</v>
          </cell>
          <cell r="AE530">
            <v>82.25</v>
          </cell>
          <cell r="AF530">
            <v>779.63</v>
          </cell>
          <cell r="AG530">
            <v>5736</v>
          </cell>
          <cell r="AH530">
            <v>960</v>
          </cell>
          <cell r="AI530">
            <v>1700</v>
          </cell>
          <cell r="AJ530">
            <v>760.63</v>
          </cell>
          <cell r="AL530">
            <v>1507.67</v>
          </cell>
          <cell r="AP530">
            <v>3913.1350000000002</v>
          </cell>
          <cell r="AV530">
            <v>59.9</v>
          </cell>
          <cell r="AZ530">
            <v>273.10000000000002</v>
          </cell>
          <cell r="BE530">
            <v>43325</v>
          </cell>
          <cell r="BG530">
            <v>59.45</v>
          </cell>
          <cell r="BH530">
            <v>347.47</v>
          </cell>
          <cell r="BY530">
            <v>488.36</v>
          </cell>
          <cell r="CD530">
            <v>394.23</v>
          </cell>
          <cell r="CE530">
            <v>388.54500000000002</v>
          </cell>
          <cell r="CF530">
            <v>413.31</v>
          </cell>
          <cell r="CG530">
            <v>1340</v>
          </cell>
          <cell r="CH530">
            <v>1000</v>
          </cell>
          <cell r="CI530">
            <v>128</v>
          </cell>
          <cell r="CJ530">
            <v>310</v>
          </cell>
          <cell r="CK530">
            <v>1020</v>
          </cell>
          <cell r="CM530">
            <v>212.71</v>
          </cell>
          <cell r="CN530">
            <v>23.16</v>
          </cell>
          <cell r="CO530" t="str">
            <v>#N/A N/A</v>
          </cell>
          <cell r="CQ530">
            <v>7.53</v>
          </cell>
          <cell r="CR530">
            <v>138</v>
          </cell>
          <cell r="CS530">
            <v>2266.5</v>
          </cell>
          <cell r="CU530">
            <v>900</v>
          </cell>
          <cell r="CW530">
            <v>53.582317073170735</v>
          </cell>
          <cell r="CX530">
            <v>680.90099999999995</v>
          </cell>
          <cell r="CZ530">
            <v>307.51</v>
          </cell>
          <cell r="DA530">
            <v>3988.2</v>
          </cell>
          <cell r="DB530">
            <v>10.68</v>
          </cell>
          <cell r="DC530">
            <v>368</v>
          </cell>
          <cell r="DD530">
            <v>114.85</v>
          </cell>
        </row>
        <row r="531">
          <cell r="A531">
            <v>39244</v>
          </cell>
          <cell r="C531">
            <v>32.5</v>
          </cell>
          <cell r="D531" t="str">
            <v>#N/A N/A</v>
          </cell>
          <cell r="E531">
            <v>13.51</v>
          </cell>
          <cell r="L531">
            <v>1716.56</v>
          </cell>
          <cell r="M531">
            <v>2572.15</v>
          </cell>
          <cell r="N531">
            <v>6567.5</v>
          </cell>
          <cell r="O531">
            <v>4169</v>
          </cell>
          <cell r="Q531">
            <v>600</v>
          </cell>
          <cell r="R531">
            <v>396</v>
          </cell>
          <cell r="S531">
            <v>556</v>
          </cell>
          <cell r="T531">
            <v>830</v>
          </cell>
          <cell r="U531">
            <v>17834.48</v>
          </cell>
          <cell r="V531">
            <v>20615.490000000002</v>
          </cell>
          <cell r="W531">
            <v>8338.8799999999992</v>
          </cell>
          <cell r="X531">
            <v>72.45</v>
          </cell>
          <cell r="Y531">
            <v>1070</v>
          </cell>
          <cell r="Z531">
            <v>1400</v>
          </cell>
          <cell r="AA531">
            <v>14083.41</v>
          </cell>
          <cell r="AB531">
            <v>6258.4</v>
          </cell>
          <cell r="AC531">
            <v>52776.839800000002</v>
          </cell>
          <cell r="AE531">
            <v>80.8</v>
          </cell>
          <cell r="AF531">
            <v>779.63</v>
          </cell>
          <cell r="AG531">
            <v>5661</v>
          </cell>
          <cell r="AH531">
            <v>960</v>
          </cell>
          <cell r="AI531">
            <v>1700</v>
          </cell>
          <cell r="AJ531">
            <v>758.69</v>
          </cell>
          <cell r="AL531">
            <v>1509.12</v>
          </cell>
          <cell r="AP531">
            <v>3995.68</v>
          </cell>
          <cell r="AV531">
            <v>59.29</v>
          </cell>
          <cell r="AZ531">
            <v>271</v>
          </cell>
          <cell r="BE531">
            <v>43475</v>
          </cell>
          <cell r="BG531">
            <v>59.45</v>
          </cell>
          <cell r="BH531">
            <v>353.48</v>
          </cell>
          <cell r="BY531">
            <v>486.37</v>
          </cell>
          <cell r="CD531">
            <v>395.71</v>
          </cell>
          <cell r="CE531">
            <v>389.86799999999999</v>
          </cell>
          <cell r="CF531">
            <v>414.62</v>
          </cell>
          <cell r="CG531">
            <v>1340</v>
          </cell>
          <cell r="CH531">
            <v>1000</v>
          </cell>
          <cell r="CI531">
            <v>128</v>
          </cell>
          <cell r="CJ531">
            <v>310</v>
          </cell>
          <cell r="CK531">
            <v>1026</v>
          </cell>
          <cell r="CM531">
            <v>215.13</v>
          </cell>
          <cell r="CN531">
            <v>22.77</v>
          </cell>
          <cell r="CO531" t="str">
            <v>#N/A N/A</v>
          </cell>
          <cell r="CQ531">
            <v>7.43</v>
          </cell>
          <cell r="CR531">
            <v>138</v>
          </cell>
          <cell r="CS531">
            <v>2337.5</v>
          </cell>
          <cell r="CU531">
            <v>900</v>
          </cell>
          <cell r="CW531">
            <v>53.277439024390247</v>
          </cell>
          <cell r="CX531">
            <v>681.30900000000008</v>
          </cell>
          <cell r="CZ531">
            <v>312.06</v>
          </cell>
          <cell r="DA531">
            <v>4074.1</v>
          </cell>
          <cell r="DB531">
            <v>10.85</v>
          </cell>
          <cell r="DC531">
            <v>368</v>
          </cell>
          <cell r="DD531">
            <v>115.4</v>
          </cell>
        </row>
        <row r="532">
          <cell r="A532">
            <v>39245</v>
          </cell>
          <cell r="C532">
            <v>32.5</v>
          </cell>
          <cell r="D532" t="str">
            <v>#N/A N/A</v>
          </cell>
          <cell r="E532">
            <v>13.47</v>
          </cell>
          <cell r="L532">
            <v>1729.88</v>
          </cell>
          <cell r="M532">
            <v>2549.77</v>
          </cell>
          <cell r="N532">
            <v>6520.4</v>
          </cell>
          <cell r="O532">
            <v>4156</v>
          </cell>
          <cell r="Q532">
            <v>600</v>
          </cell>
          <cell r="R532">
            <v>393.5</v>
          </cell>
          <cell r="S532">
            <v>565</v>
          </cell>
          <cell r="T532">
            <v>826.5</v>
          </cell>
          <cell r="U532">
            <v>17760.91</v>
          </cell>
          <cell r="V532">
            <v>20636.39</v>
          </cell>
          <cell r="W532">
            <v>8370.26</v>
          </cell>
          <cell r="X532">
            <v>73.400000000000006</v>
          </cell>
          <cell r="Y532">
            <v>1070</v>
          </cell>
          <cell r="Z532">
            <v>1400</v>
          </cell>
          <cell r="AA532">
            <v>14130.95</v>
          </cell>
          <cell r="AB532">
            <v>6267.7</v>
          </cell>
          <cell r="AC532">
            <v>51797.140599999999</v>
          </cell>
          <cell r="AE532">
            <v>81.95</v>
          </cell>
          <cell r="AF532">
            <v>785.4</v>
          </cell>
          <cell r="AG532">
            <v>5538</v>
          </cell>
          <cell r="AH532">
            <v>960</v>
          </cell>
          <cell r="AI532">
            <v>1700</v>
          </cell>
          <cell r="AJ532">
            <v>763.05</v>
          </cell>
          <cell r="AL532">
            <v>1493</v>
          </cell>
          <cell r="AP532">
            <v>4072.1379999999999</v>
          </cell>
          <cell r="AV532">
            <v>58.78</v>
          </cell>
          <cell r="AZ532">
            <v>267.2</v>
          </cell>
          <cell r="BE532">
            <v>40725</v>
          </cell>
          <cell r="BG532">
            <v>59.45</v>
          </cell>
          <cell r="BH532">
            <v>352.8</v>
          </cell>
          <cell r="BY532">
            <v>481.8</v>
          </cell>
          <cell r="CD532">
            <v>392.7</v>
          </cell>
          <cell r="CE532">
            <v>386.61599999999999</v>
          </cell>
          <cell r="CF532">
            <v>417.23</v>
          </cell>
          <cell r="CG532">
            <v>1340</v>
          </cell>
          <cell r="CH532">
            <v>1000</v>
          </cell>
          <cell r="CI532">
            <v>128</v>
          </cell>
          <cell r="CJ532">
            <v>310</v>
          </cell>
          <cell r="CK532">
            <v>1026</v>
          </cell>
          <cell r="CM532">
            <v>213.5</v>
          </cell>
          <cell r="CN532">
            <v>23.01</v>
          </cell>
          <cell r="CO532" t="str">
            <v>#N/A N/A</v>
          </cell>
          <cell r="CQ532">
            <v>7.45</v>
          </cell>
          <cell r="CR532">
            <v>138</v>
          </cell>
          <cell r="CS532">
            <v>2322.5</v>
          </cell>
          <cell r="CU532">
            <v>900</v>
          </cell>
          <cell r="CW532">
            <v>54.03963414634147</v>
          </cell>
          <cell r="CX532">
            <v>679.42200000000003</v>
          </cell>
          <cell r="CZ532">
            <v>309.70999999999998</v>
          </cell>
          <cell r="DA532">
            <v>3974.9</v>
          </cell>
          <cell r="DB532">
            <v>10.7</v>
          </cell>
          <cell r="DC532">
            <v>368</v>
          </cell>
          <cell r="DD532">
            <v>113.45</v>
          </cell>
        </row>
        <row r="533">
          <cell r="A533">
            <v>39246</v>
          </cell>
          <cell r="C533">
            <v>32.5</v>
          </cell>
          <cell r="D533" t="str">
            <v>#N/A N/A</v>
          </cell>
          <cell r="E533">
            <v>13.51</v>
          </cell>
          <cell r="L533">
            <v>1721.99</v>
          </cell>
          <cell r="M533">
            <v>2582.31</v>
          </cell>
          <cell r="N533">
            <v>6559.6</v>
          </cell>
          <cell r="O533">
            <v>4144</v>
          </cell>
          <cell r="Q533">
            <v>600</v>
          </cell>
          <cell r="R533">
            <v>404.5</v>
          </cell>
          <cell r="S533">
            <v>589.5</v>
          </cell>
          <cell r="T533">
            <v>825.75</v>
          </cell>
          <cell r="U533">
            <v>17732.77</v>
          </cell>
          <cell r="V533">
            <v>20578.75</v>
          </cell>
          <cell r="W533">
            <v>8346.39</v>
          </cell>
          <cell r="X533">
            <v>72.25</v>
          </cell>
          <cell r="Y533">
            <v>1070</v>
          </cell>
          <cell r="Z533">
            <v>1400</v>
          </cell>
          <cell r="AA533">
            <v>14003.03</v>
          </cell>
          <cell r="AB533">
            <v>6210.1</v>
          </cell>
          <cell r="AC533">
            <v>52993.730499999998</v>
          </cell>
          <cell r="AE533">
            <v>82.35</v>
          </cell>
          <cell r="AF533">
            <v>785.4</v>
          </cell>
          <cell r="AG533">
            <v>5407</v>
          </cell>
          <cell r="AH533">
            <v>960</v>
          </cell>
          <cell r="AI533">
            <v>1700</v>
          </cell>
          <cell r="AJ533">
            <v>765.53</v>
          </cell>
          <cell r="AL533">
            <v>1515.67</v>
          </cell>
          <cell r="AP533">
            <v>4176.4799999999996</v>
          </cell>
          <cell r="AV533">
            <v>59.91</v>
          </cell>
          <cell r="AZ533">
            <v>269.89999999999998</v>
          </cell>
          <cell r="BE533">
            <v>40500</v>
          </cell>
          <cell r="BG533">
            <v>59.45</v>
          </cell>
          <cell r="BH533">
            <v>355.66</v>
          </cell>
          <cell r="BY533">
            <v>488.74</v>
          </cell>
          <cell r="CD533">
            <v>395.33</v>
          </cell>
          <cell r="CE533">
            <v>389.41199999999998</v>
          </cell>
          <cell r="CF533">
            <v>414.21</v>
          </cell>
          <cell r="CG533">
            <v>1340</v>
          </cell>
          <cell r="CH533">
            <v>1000</v>
          </cell>
          <cell r="CI533">
            <v>128</v>
          </cell>
          <cell r="CJ533">
            <v>310</v>
          </cell>
          <cell r="CK533">
            <v>1035</v>
          </cell>
          <cell r="CM533">
            <v>215.53</v>
          </cell>
          <cell r="CN533">
            <v>23.43</v>
          </cell>
          <cell r="CO533" t="str">
            <v>#N/A N/A</v>
          </cell>
          <cell r="CQ533">
            <v>7.6</v>
          </cell>
          <cell r="CR533">
            <v>138</v>
          </cell>
          <cell r="CS533">
            <v>2297.5</v>
          </cell>
          <cell r="CU533">
            <v>900</v>
          </cell>
          <cell r="CW533">
            <v>54.19207317073171</v>
          </cell>
          <cell r="CX533">
            <v>677.99400000000003</v>
          </cell>
          <cell r="CZ533">
            <v>311.68</v>
          </cell>
          <cell r="DA533">
            <v>4001.5</v>
          </cell>
          <cell r="DB533">
            <v>10.58</v>
          </cell>
          <cell r="DC533">
            <v>368</v>
          </cell>
          <cell r="DD533">
            <v>114.6</v>
          </cell>
        </row>
        <row r="534">
          <cell r="A534">
            <v>39247</v>
          </cell>
          <cell r="C534">
            <v>32.5</v>
          </cell>
          <cell r="D534" t="str">
            <v>#N/A N/A</v>
          </cell>
          <cell r="E534">
            <v>13.51</v>
          </cell>
          <cell r="L534">
            <v>1769.18</v>
          </cell>
          <cell r="M534">
            <v>2599.41</v>
          </cell>
          <cell r="N534">
            <v>6649.9</v>
          </cell>
          <cell r="O534">
            <v>4143</v>
          </cell>
          <cell r="Q534">
            <v>560</v>
          </cell>
          <cell r="R534">
            <v>409.5</v>
          </cell>
          <cell r="S534">
            <v>606.5</v>
          </cell>
          <cell r="T534">
            <v>827.5</v>
          </cell>
          <cell r="U534">
            <v>17842.29</v>
          </cell>
          <cell r="V534">
            <v>20867.259999999998</v>
          </cell>
          <cell r="W534">
            <v>8450.7199999999993</v>
          </cell>
          <cell r="X534">
            <v>72.55</v>
          </cell>
          <cell r="Y534">
            <v>1070</v>
          </cell>
          <cell r="Z534">
            <v>1400</v>
          </cell>
          <cell r="AA534">
            <v>14203.72</v>
          </cell>
          <cell r="AB534">
            <v>6288.4</v>
          </cell>
          <cell r="AC534">
            <v>53712.890599999999</v>
          </cell>
          <cell r="AE534">
            <v>83.25</v>
          </cell>
          <cell r="AF534">
            <v>785.4</v>
          </cell>
          <cell r="AG534">
            <v>5302</v>
          </cell>
          <cell r="AH534">
            <v>960</v>
          </cell>
          <cell r="AI534">
            <v>1700</v>
          </cell>
          <cell r="AJ534">
            <v>783.02</v>
          </cell>
          <cell r="AL534">
            <v>1522.97</v>
          </cell>
          <cell r="AP534">
            <v>4115.2089999999998</v>
          </cell>
          <cell r="AV534">
            <v>61.27</v>
          </cell>
          <cell r="AZ534">
            <v>271.60000000000002</v>
          </cell>
          <cell r="BE534">
            <v>42520</v>
          </cell>
          <cell r="BG534">
            <v>59.45</v>
          </cell>
          <cell r="BH534">
            <v>362.28</v>
          </cell>
          <cell r="BY534">
            <v>494.03</v>
          </cell>
          <cell r="CD534">
            <v>399.15</v>
          </cell>
          <cell r="CE534">
            <v>392.74900000000002</v>
          </cell>
          <cell r="CF534">
            <v>422.64</v>
          </cell>
          <cell r="CG534">
            <v>1340</v>
          </cell>
          <cell r="CH534">
            <v>1000</v>
          </cell>
          <cell r="CI534">
            <v>128</v>
          </cell>
          <cell r="CJ534">
            <v>310</v>
          </cell>
          <cell r="CK534">
            <v>1055</v>
          </cell>
          <cell r="CM534">
            <v>222.47</v>
          </cell>
          <cell r="CN534">
            <v>23.71</v>
          </cell>
          <cell r="CO534" t="str">
            <v>#N/A N/A</v>
          </cell>
          <cell r="CQ534">
            <v>7.48</v>
          </cell>
          <cell r="CR534">
            <v>138</v>
          </cell>
          <cell r="CS534">
            <v>2353</v>
          </cell>
          <cell r="CU534">
            <v>900</v>
          </cell>
          <cell r="CW534">
            <v>55.259146341463421</v>
          </cell>
          <cell r="CX534">
            <v>678.91199999999992</v>
          </cell>
          <cell r="CZ534">
            <v>316.54000000000002</v>
          </cell>
          <cell r="DA534">
            <v>4077.8</v>
          </cell>
          <cell r="DB534">
            <v>10.43</v>
          </cell>
          <cell r="DC534">
            <v>368</v>
          </cell>
          <cell r="DD534">
            <v>114.75</v>
          </cell>
        </row>
        <row r="535">
          <cell r="A535">
            <v>39248</v>
          </cell>
          <cell r="C535">
            <v>32.5</v>
          </cell>
          <cell r="D535" t="str">
            <v>#N/A N/A</v>
          </cell>
          <cell r="E535">
            <v>13.53</v>
          </cell>
          <cell r="L535">
            <v>1772.26</v>
          </cell>
          <cell r="M535">
            <v>2626.71</v>
          </cell>
          <cell r="N535">
            <v>6732.4</v>
          </cell>
          <cell r="O535">
            <v>4127</v>
          </cell>
          <cell r="Q535">
            <v>560</v>
          </cell>
          <cell r="R535">
            <v>419</v>
          </cell>
          <cell r="S535">
            <v>606.5</v>
          </cell>
          <cell r="T535">
            <v>847.25</v>
          </cell>
          <cell r="U535">
            <v>17971.490000000002</v>
          </cell>
          <cell r="V535">
            <v>21017.05</v>
          </cell>
          <cell r="W535">
            <v>8573.64</v>
          </cell>
          <cell r="X535">
            <v>72.599999999999994</v>
          </cell>
          <cell r="Y535">
            <v>1030</v>
          </cell>
          <cell r="Z535">
            <v>1400</v>
          </cell>
          <cell r="AA535">
            <v>14162.71</v>
          </cell>
          <cell r="AB535">
            <v>6317.1</v>
          </cell>
          <cell r="AC535">
            <v>54518.628900000003</v>
          </cell>
          <cell r="AE535">
            <v>84.05</v>
          </cell>
          <cell r="AF535">
            <v>785.4</v>
          </cell>
          <cell r="AG535">
            <v>5258</v>
          </cell>
          <cell r="AH535">
            <v>970</v>
          </cell>
          <cell r="AI535">
            <v>1690</v>
          </cell>
          <cell r="AJ535">
            <v>800.61</v>
          </cell>
          <cell r="AL535">
            <v>1532.91</v>
          </cell>
          <cell r="AP535">
            <v>4132.8689999999997</v>
          </cell>
          <cell r="AV535">
            <v>61.9</v>
          </cell>
          <cell r="AZ535">
            <v>267.7</v>
          </cell>
          <cell r="BE535">
            <v>42675</v>
          </cell>
          <cell r="BG535">
            <v>63.5</v>
          </cell>
          <cell r="BH535">
            <v>365.73</v>
          </cell>
          <cell r="BY535">
            <v>502.49</v>
          </cell>
          <cell r="CD535">
            <v>403.25</v>
          </cell>
          <cell r="CE535">
            <v>396.70100000000002</v>
          </cell>
          <cell r="CF535">
            <v>426.24</v>
          </cell>
          <cell r="CG535">
            <v>1340</v>
          </cell>
          <cell r="CH535">
            <v>970</v>
          </cell>
          <cell r="CI535">
            <v>128</v>
          </cell>
          <cell r="CJ535">
            <v>310</v>
          </cell>
          <cell r="CK535">
            <v>1065</v>
          </cell>
          <cell r="CM535">
            <v>226.01</v>
          </cell>
          <cell r="CN535">
            <v>23.16</v>
          </cell>
          <cell r="CO535" t="str">
            <v>#N/A N/A</v>
          </cell>
          <cell r="CQ535">
            <v>7.58</v>
          </cell>
          <cell r="CR535">
            <v>138</v>
          </cell>
          <cell r="CS535">
            <v>2377</v>
          </cell>
          <cell r="CU535">
            <v>880</v>
          </cell>
          <cell r="CW535">
            <v>55.487804878048784</v>
          </cell>
          <cell r="CX535">
            <v>682.27800000000002</v>
          </cell>
          <cell r="CZ535">
            <v>319.3</v>
          </cell>
          <cell r="DA535">
            <v>4105.8</v>
          </cell>
          <cell r="DB535">
            <v>10.67</v>
          </cell>
          <cell r="DC535">
            <v>368</v>
          </cell>
          <cell r="DD535">
            <v>114.7</v>
          </cell>
        </row>
        <row r="536">
          <cell r="A536">
            <v>39249</v>
          </cell>
          <cell r="C536">
            <v>32.5</v>
          </cell>
          <cell r="D536" t="str">
            <v>#N/A N/A</v>
          </cell>
          <cell r="E536">
            <v>13.53</v>
          </cell>
          <cell r="L536">
            <v>1772.26</v>
          </cell>
          <cell r="M536">
            <v>2626.71</v>
          </cell>
          <cell r="N536">
            <v>6732.4</v>
          </cell>
          <cell r="O536">
            <v>4127</v>
          </cell>
          <cell r="Q536">
            <v>560</v>
          </cell>
          <cell r="R536">
            <v>419</v>
          </cell>
          <cell r="S536">
            <v>606.5</v>
          </cell>
          <cell r="T536">
            <v>847.25</v>
          </cell>
          <cell r="U536">
            <v>17971.490000000002</v>
          </cell>
          <cell r="V536">
            <v>21017.05</v>
          </cell>
          <cell r="W536">
            <v>8573.64</v>
          </cell>
          <cell r="X536">
            <v>72.599999999999994</v>
          </cell>
          <cell r="Y536">
            <v>1030</v>
          </cell>
          <cell r="Z536">
            <v>1400</v>
          </cell>
          <cell r="AA536">
            <v>14162.71</v>
          </cell>
          <cell r="AB536">
            <v>6317.1</v>
          </cell>
          <cell r="AC536">
            <v>54518.628900000003</v>
          </cell>
          <cell r="AE536">
            <v>84.05</v>
          </cell>
          <cell r="AF536">
            <v>785.4</v>
          </cell>
          <cell r="AG536">
            <v>5258</v>
          </cell>
          <cell r="AH536">
            <v>970</v>
          </cell>
          <cell r="AI536">
            <v>1690</v>
          </cell>
          <cell r="AJ536">
            <v>800.61</v>
          </cell>
          <cell r="AL536">
            <v>1532.91</v>
          </cell>
          <cell r="AP536">
            <v>4132.8689999999997</v>
          </cell>
          <cell r="AV536">
            <v>61.9</v>
          </cell>
          <cell r="AZ536">
            <v>267.7</v>
          </cell>
          <cell r="BE536">
            <v>42675</v>
          </cell>
          <cell r="BG536">
            <v>63.5</v>
          </cell>
          <cell r="BH536">
            <v>365.73</v>
          </cell>
          <cell r="BY536">
            <v>502.49</v>
          </cell>
          <cell r="CD536">
            <v>403.25</v>
          </cell>
          <cell r="CE536">
            <v>396.70100000000002</v>
          </cell>
          <cell r="CF536">
            <v>426.24</v>
          </cell>
          <cell r="CG536">
            <v>1340</v>
          </cell>
          <cell r="CH536">
            <v>970</v>
          </cell>
          <cell r="CI536">
            <v>128</v>
          </cell>
          <cell r="CJ536">
            <v>310</v>
          </cell>
          <cell r="CK536">
            <v>1065</v>
          </cell>
          <cell r="CM536">
            <v>226.01</v>
          </cell>
          <cell r="CN536">
            <v>23.16</v>
          </cell>
          <cell r="CO536" t="str">
            <v>#N/A N/A</v>
          </cell>
          <cell r="CQ536">
            <v>7.58</v>
          </cell>
          <cell r="CR536">
            <v>138</v>
          </cell>
          <cell r="CS536">
            <v>2377</v>
          </cell>
          <cell r="CU536">
            <v>880</v>
          </cell>
          <cell r="CW536">
            <v>55.487804878048784</v>
          </cell>
          <cell r="CX536">
            <v>682.27800000000002</v>
          </cell>
          <cell r="CZ536">
            <v>319.3</v>
          </cell>
          <cell r="DA536">
            <v>4105.8</v>
          </cell>
          <cell r="DB536">
            <v>10.67</v>
          </cell>
          <cell r="DC536">
            <v>368</v>
          </cell>
          <cell r="DD536">
            <v>114.7</v>
          </cell>
        </row>
        <row r="537">
          <cell r="A537">
            <v>39250</v>
          </cell>
          <cell r="C537">
            <v>32.5</v>
          </cell>
          <cell r="D537" t="str">
            <v>#N/A N/A</v>
          </cell>
          <cell r="E537">
            <v>13.53</v>
          </cell>
          <cell r="L537">
            <v>1772.26</v>
          </cell>
          <cell r="M537">
            <v>2626.71</v>
          </cell>
          <cell r="N537">
            <v>6732.4</v>
          </cell>
          <cell r="O537">
            <v>4127</v>
          </cell>
          <cell r="Q537">
            <v>560</v>
          </cell>
          <cell r="R537">
            <v>419</v>
          </cell>
          <cell r="S537">
            <v>606.5</v>
          </cell>
          <cell r="T537">
            <v>847.25</v>
          </cell>
          <cell r="U537">
            <v>17971.490000000002</v>
          </cell>
          <cell r="V537">
            <v>21017.05</v>
          </cell>
          <cell r="W537">
            <v>8573.64</v>
          </cell>
          <cell r="X537">
            <v>72.599999999999994</v>
          </cell>
          <cell r="Y537">
            <v>1030</v>
          </cell>
          <cell r="Z537">
            <v>1400</v>
          </cell>
          <cell r="AA537">
            <v>14162.71</v>
          </cell>
          <cell r="AB537">
            <v>6317.1</v>
          </cell>
          <cell r="AC537">
            <v>54518.628900000003</v>
          </cell>
          <cell r="AE537">
            <v>84.05</v>
          </cell>
          <cell r="AF537">
            <v>785.4</v>
          </cell>
          <cell r="AG537">
            <v>5258</v>
          </cell>
          <cell r="AH537">
            <v>970</v>
          </cell>
          <cell r="AI537">
            <v>1690</v>
          </cell>
          <cell r="AJ537">
            <v>800.61</v>
          </cell>
          <cell r="AL537">
            <v>1532.91</v>
          </cell>
          <cell r="AP537">
            <v>4132.8689999999997</v>
          </cell>
          <cell r="AV537">
            <v>61.9</v>
          </cell>
          <cell r="AZ537">
            <v>267.7</v>
          </cell>
          <cell r="BE537">
            <v>42675</v>
          </cell>
          <cell r="BG537">
            <v>63.5</v>
          </cell>
          <cell r="BH537">
            <v>365.73</v>
          </cell>
          <cell r="BY537">
            <v>502.49</v>
          </cell>
          <cell r="CD537">
            <v>403.25</v>
          </cell>
          <cell r="CE537">
            <v>396.70100000000002</v>
          </cell>
          <cell r="CF537">
            <v>426.24</v>
          </cell>
          <cell r="CG537">
            <v>1340</v>
          </cell>
          <cell r="CH537">
            <v>970</v>
          </cell>
          <cell r="CI537">
            <v>128</v>
          </cell>
          <cell r="CJ537">
            <v>310</v>
          </cell>
          <cell r="CK537">
            <v>1065</v>
          </cell>
          <cell r="CM537">
            <v>226.01</v>
          </cell>
          <cell r="CN537">
            <v>23.16</v>
          </cell>
          <cell r="CO537" t="str">
            <v>#N/A N/A</v>
          </cell>
          <cell r="CQ537">
            <v>7.58</v>
          </cell>
          <cell r="CR537">
            <v>138</v>
          </cell>
          <cell r="CS537">
            <v>2377</v>
          </cell>
          <cell r="CU537">
            <v>880</v>
          </cell>
          <cell r="CW537">
            <v>55.487804878048784</v>
          </cell>
          <cell r="CX537">
            <v>682.27800000000002</v>
          </cell>
          <cell r="CZ537">
            <v>319.3</v>
          </cell>
          <cell r="DA537">
            <v>4105.8</v>
          </cell>
          <cell r="DB537">
            <v>10.67</v>
          </cell>
          <cell r="DC537">
            <v>368</v>
          </cell>
          <cell r="DD537">
            <v>114.7</v>
          </cell>
        </row>
        <row r="538">
          <cell r="A538">
            <v>39251</v>
          </cell>
          <cell r="C538">
            <v>32.5</v>
          </cell>
          <cell r="D538" t="str">
            <v>#N/A N/A</v>
          </cell>
          <cell r="E538">
            <v>13.53</v>
          </cell>
          <cell r="L538">
            <v>1806.88</v>
          </cell>
          <cell r="M538">
            <v>2626.6</v>
          </cell>
          <cell r="N538">
            <v>6703.5</v>
          </cell>
          <cell r="O538">
            <v>4111</v>
          </cell>
          <cell r="Q538">
            <v>560</v>
          </cell>
          <cell r="R538">
            <v>416</v>
          </cell>
          <cell r="S538">
            <v>601</v>
          </cell>
          <cell r="T538">
            <v>855.25</v>
          </cell>
          <cell r="U538">
            <v>18149.52</v>
          </cell>
          <cell r="V538">
            <v>21582.89</v>
          </cell>
          <cell r="W538">
            <v>8573.64</v>
          </cell>
          <cell r="X538">
            <v>72.650000000000006</v>
          </cell>
          <cell r="Y538">
            <v>1030</v>
          </cell>
          <cell r="Z538">
            <v>1400</v>
          </cell>
          <cell r="AA538">
            <v>14080.14</v>
          </cell>
          <cell r="AB538">
            <v>6365.3</v>
          </cell>
          <cell r="AC538">
            <v>54730.441400000003</v>
          </cell>
          <cell r="AE538">
            <v>84.4</v>
          </cell>
          <cell r="AF538">
            <v>785.4</v>
          </cell>
          <cell r="AG538">
            <v>5254</v>
          </cell>
          <cell r="AH538">
            <v>970</v>
          </cell>
          <cell r="AI538">
            <v>1690</v>
          </cell>
          <cell r="AJ538">
            <v>818.11</v>
          </cell>
          <cell r="AL538">
            <v>1531.05</v>
          </cell>
          <cell r="AP538">
            <v>4253.348</v>
          </cell>
          <cell r="AV538">
            <v>62.18</v>
          </cell>
          <cell r="AZ538">
            <v>271.39999999999998</v>
          </cell>
          <cell r="BE538">
            <v>40475</v>
          </cell>
          <cell r="BG538">
            <v>63.5</v>
          </cell>
          <cell r="BH538">
            <v>368</v>
          </cell>
          <cell r="BY538">
            <v>503.17</v>
          </cell>
          <cell r="CD538">
            <v>403.72</v>
          </cell>
          <cell r="CE538">
            <v>396.74299999999999</v>
          </cell>
          <cell r="CF538">
            <v>433.28</v>
          </cell>
          <cell r="CG538">
            <v>1340</v>
          </cell>
          <cell r="CH538">
            <v>970</v>
          </cell>
          <cell r="CI538">
            <v>128</v>
          </cell>
          <cell r="CJ538">
            <v>310</v>
          </cell>
          <cell r="CK538">
            <v>1067</v>
          </cell>
          <cell r="CM538">
            <v>226.43</v>
          </cell>
          <cell r="CN538">
            <v>21.53</v>
          </cell>
          <cell r="CO538" t="str">
            <v>#N/A N/A</v>
          </cell>
          <cell r="CQ538">
            <v>7.7</v>
          </cell>
          <cell r="CR538">
            <v>138</v>
          </cell>
          <cell r="CS538">
            <v>2398</v>
          </cell>
          <cell r="CU538">
            <v>880</v>
          </cell>
          <cell r="CW538">
            <v>54.878048780487809</v>
          </cell>
          <cell r="CX538">
            <v>683.85900000000004</v>
          </cell>
          <cell r="CZ538">
            <v>320.89999999999998</v>
          </cell>
          <cell r="DA538">
            <v>4064.7</v>
          </cell>
          <cell r="DB538">
            <v>11.08</v>
          </cell>
          <cell r="DC538">
            <v>368</v>
          </cell>
          <cell r="DD538">
            <v>115.2</v>
          </cell>
        </row>
        <row r="539">
          <cell r="A539">
            <v>39252</v>
          </cell>
          <cell r="C539">
            <v>32.5</v>
          </cell>
          <cell r="D539" t="str">
            <v>#N/A N/A</v>
          </cell>
          <cell r="E539">
            <v>13.53</v>
          </cell>
          <cell r="L539">
            <v>1807.85</v>
          </cell>
          <cell r="M539">
            <v>2626.76</v>
          </cell>
          <cell r="N539">
            <v>6650.2</v>
          </cell>
          <cell r="O539">
            <v>4101</v>
          </cell>
          <cell r="Q539">
            <v>560</v>
          </cell>
          <cell r="R539">
            <v>396</v>
          </cell>
          <cell r="S539">
            <v>581</v>
          </cell>
          <cell r="T539">
            <v>829</v>
          </cell>
          <cell r="U539">
            <v>18163.61</v>
          </cell>
          <cell r="V539">
            <v>21582.89</v>
          </cell>
          <cell r="W539">
            <v>8573.64</v>
          </cell>
          <cell r="X539">
            <v>73.55</v>
          </cell>
          <cell r="Y539">
            <v>1030</v>
          </cell>
          <cell r="Z539">
            <v>1400</v>
          </cell>
          <cell r="AA539">
            <v>14295.5</v>
          </cell>
          <cell r="AB539">
            <v>6393.4</v>
          </cell>
          <cell r="AC539">
            <v>54643.718800000002</v>
          </cell>
          <cell r="AE539">
            <v>85.3</v>
          </cell>
          <cell r="AF539">
            <v>790.76</v>
          </cell>
          <cell r="AG539">
            <v>5310</v>
          </cell>
          <cell r="AH539">
            <v>970</v>
          </cell>
          <cell r="AI539">
            <v>1690</v>
          </cell>
          <cell r="AJ539">
            <v>819.97</v>
          </cell>
          <cell r="AL539">
            <v>1533.7</v>
          </cell>
          <cell r="AP539">
            <v>4269.5240000000003</v>
          </cell>
          <cell r="AV539">
            <v>62.35</v>
          </cell>
          <cell r="AZ539">
            <v>276.2</v>
          </cell>
          <cell r="BE539">
            <v>37675</v>
          </cell>
          <cell r="BG539">
            <v>63.5</v>
          </cell>
          <cell r="BH539">
            <v>372.01</v>
          </cell>
          <cell r="BY539">
            <v>500.81</v>
          </cell>
          <cell r="CD539">
            <v>403.82</v>
          </cell>
          <cell r="CE539">
            <v>396.85399999999998</v>
          </cell>
          <cell r="CF539">
            <v>433.79</v>
          </cell>
          <cell r="CG539">
            <v>1340</v>
          </cell>
          <cell r="CH539">
            <v>970</v>
          </cell>
          <cell r="CI539">
            <v>128</v>
          </cell>
          <cell r="CJ539">
            <v>310</v>
          </cell>
          <cell r="CK539">
            <v>1062</v>
          </cell>
          <cell r="CM539">
            <v>223.46</v>
          </cell>
          <cell r="CN539">
            <v>20.84</v>
          </cell>
          <cell r="CO539" t="str">
            <v>#N/A N/A</v>
          </cell>
          <cell r="CQ539">
            <v>7.45</v>
          </cell>
          <cell r="CR539">
            <v>138</v>
          </cell>
          <cell r="CS539">
            <v>2407</v>
          </cell>
          <cell r="CU539">
            <v>880</v>
          </cell>
          <cell r="CW539">
            <v>55.564024390243908</v>
          </cell>
          <cell r="CX539">
            <v>684.67499999999995</v>
          </cell>
          <cell r="CZ539">
            <v>317.82</v>
          </cell>
          <cell r="DA539">
            <v>3982.9</v>
          </cell>
          <cell r="DB539">
            <v>11</v>
          </cell>
          <cell r="DC539">
            <v>368</v>
          </cell>
          <cell r="DD539">
            <v>113.35</v>
          </cell>
        </row>
        <row r="540">
          <cell r="A540">
            <v>39253</v>
          </cell>
          <cell r="C540">
            <v>32.5</v>
          </cell>
          <cell r="D540" t="str">
            <v>#N/A N/A</v>
          </cell>
          <cell r="E540">
            <v>13.62</v>
          </cell>
          <cell r="L540">
            <v>1783.79</v>
          </cell>
          <cell r="M540">
            <v>2599.96</v>
          </cell>
          <cell r="N540">
            <v>6649.3</v>
          </cell>
          <cell r="O540">
            <v>4077</v>
          </cell>
          <cell r="Q540">
            <v>560</v>
          </cell>
          <cell r="R540">
            <v>394.25</v>
          </cell>
          <cell r="S540">
            <v>605</v>
          </cell>
          <cell r="T540">
            <v>839</v>
          </cell>
          <cell r="U540">
            <v>18211.68</v>
          </cell>
          <cell r="V540">
            <v>21684.67</v>
          </cell>
          <cell r="W540">
            <v>8755.8799999999992</v>
          </cell>
          <cell r="X540">
            <v>74.3</v>
          </cell>
          <cell r="Y540">
            <v>1030</v>
          </cell>
          <cell r="Z540">
            <v>1400</v>
          </cell>
          <cell r="AA540">
            <v>14411.95</v>
          </cell>
          <cell r="AB540">
            <v>6421</v>
          </cell>
          <cell r="AC540">
            <v>54029.238299999997</v>
          </cell>
          <cell r="AE540">
            <v>85.05</v>
          </cell>
          <cell r="AF540">
            <v>790.76</v>
          </cell>
          <cell r="AG540">
            <v>5438</v>
          </cell>
          <cell r="AH540">
            <v>970</v>
          </cell>
          <cell r="AI540">
            <v>1690</v>
          </cell>
          <cell r="AJ540">
            <v>797.27</v>
          </cell>
          <cell r="AL540">
            <v>1512.84</v>
          </cell>
          <cell r="AP540">
            <v>4181.3230000000003</v>
          </cell>
          <cell r="AV540">
            <v>61.24</v>
          </cell>
          <cell r="AZ540">
            <v>267.3</v>
          </cell>
          <cell r="BE540">
            <v>36735</v>
          </cell>
          <cell r="BG540">
            <v>63.5</v>
          </cell>
          <cell r="BH540">
            <v>365.03</v>
          </cell>
          <cell r="BY540">
            <v>497.59</v>
          </cell>
          <cell r="CD540">
            <v>401.95</v>
          </cell>
          <cell r="CE540">
            <v>394.74200000000002</v>
          </cell>
          <cell r="CF540">
            <v>436.66</v>
          </cell>
          <cell r="CG540">
            <v>1340</v>
          </cell>
          <cell r="CH540">
            <v>970</v>
          </cell>
          <cell r="CI540">
            <v>128</v>
          </cell>
          <cell r="CJ540">
            <v>310</v>
          </cell>
          <cell r="CK540">
            <v>1059</v>
          </cell>
          <cell r="CM540">
            <v>222.81</v>
          </cell>
          <cell r="CN540">
            <v>21.63</v>
          </cell>
          <cell r="CO540" t="str">
            <v>#N/A N/A</v>
          </cell>
          <cell r="CQ540">
            <v>7.39</v>
          </cell>
          <cell r="CR540">
            <v>138</v>
          </cell>
          <cell r="CS540">
            <v>2523</v>
          </cell>
          <cell r="CU540">
            <v>880</v>
          </cell>
          <cell r="CW540">
            <v>55.030487804878049</v>
          </cell>
          <cell r="CX540">
            <v>664.63649999999996</v>
          </cell>
          <cell r="CZ540">
            <v>317.64</v>
          </cell>
          <cell r="DA540">
            <v>4005.6</v>
          </cell>
          <cell r="DB540">
            <v>11.15</v>
          </cell>
          <cell r="DC540">
            <v>368</v>
          </cell>
          <cell r="DD540">
            <v>115</v>
          </cell>
        </row>
        <row r="541">
          <cell r="A541">
            <v>39254</v>
          </cell>
          <cell r="C541">
            <v>32.5</v>
          </cell>
          <cell r="D541" t="str">
            <v>#N/A N/A</v>
          </cell>
          <cell r="E541">
            <v>13.62</v>
          </cell>
          <cell r="L541">
            <v>1794.24</v>
          </cell>
          <cell r="M541">
            <v>2616.96</v>
          </cell>
          <cell r="N541">
            <v>6596</v>
          </cell>
          <cell r="O541">
            <v>4074</v>
          </cell>
          <cell r="Q541">
            <v>560</v>
          </cell>
          <cell r="R541">
            <v>385</v>
          </cell>
          <cell r="S541">
            <v>606</v>
          </cell>
          <cell r="T541">
            <v>818.5</v>
          </cell>
          <cell r="U541">
            <v>18240.3</v>
          </cell>
          <cell r="V541">
            <v>21954.67</v>
          </cell>
          <cell r="W541">
            <v>8851.99</v>
          </cell>
          <cell r="X541">
            <v>72.95</v>
          </cell>
          <cell r="Y541">
            <v>1030</v>
          </cell>
          <cell r="Z541">
            <v>1400</v>
          </cell>
          <cell r="AA541">
            <v>14499.24</v>
          </cell>
          <cell r="AB541">
            <v>6411.9</v>
          </cell>
          <cell r="AC541">
            <v>54656.878900000003</v>
          </cell>
          <cell r="AE541">
            <v>85.3</v>
          </cell>
          <cell r="AF541">
            <v>790.76</v>
          </cell>
          <cell r="AG541">
            <v>5672</v>
          </cell>
          <cell r="AH541">
            <v>970</v>
          </cell>
          <cell r="AI541">
            <v>1690</v>
          </cell>
          <cell r="AJ541">
            <v>810.36</v>
          </cell>
          <cell r="AL541">
            <v>1522.19</v>
          </cell>
          <cell r="AP541">
            <v>4230.8230000000003</v>
          </cell>
          <cell r="AV541">
            <v>62.22</v>
          </cell>
          <cell r="AZ541">
            <v>267.89999999999998</v>
          </cell>
          <cell r="BE541">
            <v>37345</v>
          </cell>
          <cell r="BG541">
            <v>63.5</v>
          </cell>
          <cell r="BH541">
            <v>368.85</v>
          </cell>
          <cell r="BY541">
            <v>512.5</v>
          </cell>
          <cell r="CD541">
            <v>401.84</v>
          </cell>
          <cell r="CE541">
            <v>394.52100000000002</v>
          </cell>
          <cell r="CF541">
            <v>440.6</v>
          </cell>
          <cell r="CG541">
            <v>1340</v>
          </cell>
          <cell r="CH541">
            <v>970</v>
          </cell>
          <cell r="CI541">
            <v>128</v>
          </cell>
          <cell r="CJ541">
            <v>310</v>
          </cell>
          <cell r="CK541">
            <v>1063</v>
          </cell>
          <cell r="CM541">
            <v>224.67</v>
          </cell>
          <cell r="CN541">
            <v>21.36</v>
          </cell>
          <cell r="CO541" t="str">
            <v>#N/A N/A</v>
          </cell>
          <cell r="CQ541">
            <v>7.24</v>
          </cell>
          <cell r="CR541">
            <v>138</v>
          </cell>
          <cell r="CS541">
            <v>2470</v>
          </cell>
          <cell r="CU541">
            <v>880</v>
          </cell>
          <cell r="CW541">
            <v>55.259146341463421</v>
          </cell>
          <cell r="CX541">
            <v>663.00299999999993</v>
          </cell>
          <cell r="CZ541">
            <v>316.14999999999998</v>
          </cell>
          <cell r="DA541">
            <v>3973.3</v>
          </cell>
          <cell r="DB541">
            <v>11.44</v>
          </cell>
          <cell r="DC541">
            <v>368</v>
          </cell>
          <cell r="DD541">
            <v>114.55</v>
          </cell>
        </row>
        <row r="542">
          <cell r="A542">
            <v>39255</v>
          </cell>
          <cell r="C542">
            <v>32.5</v>
          </cell>
          <cell r="D542" t="str">
            <v>#N/A N/A</v>
          </cell>
          <cell r="E542">
            <v>13.62</v>
          </cell>
          <cell r="L542">
            <v>1770.98</v>
          </cell>
          <cell r="M542">
            <v>2588.96</v>
          </cell>
          <cell r="N542">
            <v>6567.4</v>
          </cell>
          <cell r="O542">
            <v>4066</v>
          </cell>
          <cell r="Q542">
            <v>560</v>
          </cell>
          <cell r="R542">
            <v>367.5</v>
          </cell>
          <cell r="S542">
            <v>592.25</v>
          </cell>
          <cell r="T542">
            <v>797</v>
          </cell>
          <cell r="U542">
            <v>18188.63</v>
          </cell>
          <cell r="V542">
            <v>21999.91</v>
          </cell>
          <cell r="W542">
            <v>8846.39</v>
          </cell>
          <cell r="X542">
            <v>71.95</v>
          </cell>
          <cell r="Y542">
            <v>1020</v>
          </cell>
          <cell r="Z542">
            <v>1410</v>
          </cell>
          <cell r="AA542">
            <v>14467.36</v>
          </cell>
          <cell r="AB542">
            <v>6409.3</v>
          </cell>
          <cell r="AC542">
            <v>54267.101600000002</v>
          </cell>
          <cell r="AE542">
            <v>84.95</v>
          </cell>
          <cell r="AF542">
            <v>790.76</v>
          </cell>
          <cell r="AG542">
            <v>5922</v>
          </cell>
          <cell r="AH542">
            <v>975</v>
          </cell>
          <cell r="AI542">
            <v>1680</v>
          </cell>
          <cell r="AJ542">
            <v>809.58</v>
          </cell>
          <cell r="AL542">
            <v>1502.56</v>
          </cell>
          <cell r="AP542">
            <v>4091.4450000000002</v>
          </cell>
          <cell r="AV542">
            <v>60.49</v>
          </cell>
          <cell r="AZ542">
            <v>267.10000000000002</v>
          </cell>
          <cell r="BE542">
            <v>37800</v>
          </cell>
          <cell r="BG542">
            <v>66.7</v>
          </cell>
          <cell r="BH542">
            <v>367.1</v>
          </cell>
          <cell r="BY542">
            <v>504.73</v>
          </cell>
          <cell r="CD542">
            <v>398.98</v>
          </cell>
          <cell r="CE542">
            <v>391.52600000000001</v>
          </cell>
          <cell r="CF542">
            <v>439.31</v>
          </cell>
          <cell r="CG542">
            <v>1330</v>
          </cell>
          <cell r="CH542">
            <v>955</v>
          </cell>
          <cell r="CI542">
            <v>128</v>
          </cell>
          <cell r="CJ542">
            <v>310</v>
          </cell>
          <cell r="CK542">
            <v>1064</v>
          </cell>
          <cell r="CM542">
            <v>228.66</v>
          </cell>
          <cell r="CN542">
            <v>21.58</v>
          </cell>
          <cell r="CO542" t="str">
            <v>#N/A N/A</v>
          </cell>
          <cell r="CQ542">
            <v>7.03</v>
          </cell>
          <cell r="CR542">
            <v>138</v>
          </cell>
          <cell r="CS542">
            <v>2547.5</v>
          </cell>
          <cell r="CU542">
            <v>830</v>
          </cell>
          <cell r="CW542">
            <v>55.716463414634148</v>
          </cell>
          <cell r="CX542">
            <v>665.87400000000002</v>
          </cell>
          <cell r="CZ542">
            <v>314.75</v>
          </cell>
          <cell r="DA542">
            <v>3984</v>
          </cell>
          <cell r="DB542">
            <v>11.44</v>
          </cell>
          <cell r="DC542">
            <v>368</v>
          </cell>
          <cell r="DD542">
            <v>113.6</v>
          </cell>
        </row>
        <row r="543">
          <cell r="A543">
            <v>39256</v>
          </cell>
          <cell r="C543">
            <v>32.5</v>
          </cell>
          <cell r="D543" t="str">
            <v>#N/A N/A</v>
          </cell>
          <cell r="E543">
            <v>13.62</v>
          </cell>
          <cell r="L543">
            <v>1770.98</v>
          </cell>
          <cell r="M543">
            <v>2588.96</v>
          </cell>
          <cell r="N543">
            <v>6567.4</v>
          </cell>
          <cell r="O543">
            <v>4066</v>
          </cell>
          <cell r="Q543">
            <v>560</v>
          </cell>
          <cell r="R543">
            <v>367.5</v>
          </cell>
          <cell r="S543">
            <v>592.25</v>
          </cell>
          <cell r="T543">
            <v>797</v>
          </cell>
          <cell r="U543">
            <v>18188.63</v>
          </cell>
          <cell r="V543">
            <v>21999.91</v>
          </cell>
          <cell r="W543">
            <v>8812.91</v>
          </cell>
          <cell r="X543">
            <v>71.95</v>
          </cell>
          <cell r="Y543">
            <v>1020</v>
          </cell>
          <cell r="Z543">
            <v>1410</v>
          </cell>
          <cell r="AA543">
            <v>14467.36</v>
          </cell>
          <cell r="AB543">
            <v>6409.3</v>
          </cell>
          <cell r="AC543">
            <v>54267.101600000002</v>
          </cell>
          <cell r="AE543">
            <v>84.95</v>
          </cell>
          <cell r="AF543">
            <v>790.76</v>
          </cell>
          <cell r="AG543">
            <v>5922</v>
          </cell>
          <cell r="AH543">
            <v>975</v>
          </cell>
          <cell r="AI543">
            <v>1680</v>
          </cell>
          <cell r="AJ543">
            <v>809.58</v>
          </cell>
          <cell r="AL543">
            <v>1502.56</v>
          </cell>
          <cell r="AP543">
            <v>4091.4450000000002</v>
          </cell>
          <cell r="AV543">
            <v>60.49</v>
          </cell>
          <cell r="AZ543">
            <v>267.10000000000002</v>
          </cell>
          <cell r="BE543">
            <v>37800</v>
          </cell>
          <cell r="BG543">
            <v>66.7</v>
          </cell>
          <cell r="BH543">
            <v>367.1</v>
          </cell>
          <cell r="BY543">
            <v>504.73</v>
          </cell>
          <cell r="CD543">
            <v>398.98</v>
          </cell>
          <cell r="CE543">
            <v>391.52600000000001</v>
          </cell>
          <cell r="CF543">
            <v>439.31</v>
          </cell>
          <cell r="CG543">
            <v>1330</v>
          </cell>
          <cell r="CH543">
            <v>955</v>
          </cell>
          <cell r="CI543">
            <v>128</v>
          </cell>
          <cell r="CJ543">
            <v>310</v>
          </cell>
          <cell r="CK543">
            <v>1064</v>
          </cell>
          <cell r="CM543">
            <v>228.66</v>
          </cell>
          <cell r="CN543">
            <v>21.58</v>
          </cell>
          <cell r="CO543" t="str">
            <v>#N/A N/A</v>
          </cell>
          <cell r="CQ543">
            <v>7.03</v>
          </cell>
          <cell r="CR543">
            <v>138</v>
          </cell>
          <cell r="CS543">
            <v>2547.5</v>
          </cell>
          <cell r="CU543">
            <v>830</v>
          </cell>
          <cell r="CW543">
            <v>55.716463414634148</v>
          </cell>
          <cell r="CX543">
            <v>665.87400000000002</v>
          </cell>
          <cell r="CZ543">
            <v>314.75</v>
          </cell>
          <cell r="DA543">
            <v>3984</v>
          </cell>
          <cell r="DB543">
            <v>11.44</v>
          </cell>
          <cell r="DC543">
            <v>368</v>
          </cell>
          <cell r="DD543">
            <v>113.6</v>
          </cell>
        </row>
        <row r="544">
          <cell r="A544">
            <v>39257</v>
          </cell>
          <cell r="C544">
            <v>32.5</v>
          </cell>
          <cell r="D544" t="str">
            <v>#N/A N/A</v>
          </cell>
          <cell r="E544">
            <v>13.62</v>
          </cell>
          <cell r="L544">
            <v>1770.98</v>
          </cell>
          <cell r="M544">
            <v>2588.96</v>
          </cell>
          <cell r="N544">
            <v>6567.4</v>
          </cell>
          <cell r="O544">
            <v>4066</v>
          </cell>
          <cell r="Q544">
            <v>560</v>
          </cell>
          <cell r="R544">
            <v>367.5</v>
          </cell>
          <cell r="S544">
            <v>592.25</v>
          </cell>
          <cell r="T544">
            <v>797</v>
          </cell>
          <cell r="U544">
            <v>18188.63</v>
          </cell>
          <cell r="V544">
            <v>21999.91</v>
          </cell>
          <cell r="W544">
            <v>8812.91</v>
          </cell>
          <cell r="X544">
            <v>71.95</v>
          </cell>
          <cell r="Y544">
            <v>1020</v>
          </cell>
          <cell r="Z544">
            <v>1410</v>
          </cell>
          <cell r="AA544">
            <v>14467.36</v>
          </cell>
          <cell r="AB544">
            <v>6409.3</v>
          </cell>
          <cell r="AC544">
            <v>54267.101600000002</v>
          </cell>
          <cell r="AE544">
            <v>84.95</v>
          </cell>
          <cell r="AF544">
            <v>790.76</v>
          </cell>
          <cell r="AG544">
            <v>5922</v>
          </cell>
          <cell r="AH544">
            <v>975</v>
          </cell>
          <cell r="AI544">
            <v>1680</v>
          </cell>
          <cell r="AJ544">
            <v>809.58</v>
          </cell>
          <cell r="AL544">
            <v>1502.56</v>
          </cell>
          <cell r="AP544">
            <v>4091.4450000000002</v>
          </cell>
          <cell r="AV544">
            <v>60.49</v>
          </cell>
          <cell r="AZ544">
            <v>267.10000000000002</v>
          </cell>
          <cell r="BE544">
            <v>37800</v>
          </cell>
          <cell r="BG544">
            <v>66.7</v>
          </cell>
          <cell r="BH544">
            <v>367.1</v>
          </cell>
          <cell r="BY544">
            <v>504.73</v>
          </cell>
          <cell r="CD544">
            <v>398.98</v>
          </cell>
          <cell r="CE544">
            <v>391.52600000000001</v>
          </cell>
          <cell r="CF544">
            <v>439.31</v>
          </cell>
          <cell r="CG544">
            <v>1330</v>
          </cell>
          <cell r="CH544">
            <v>955</v>
          </cell>
          <cell r="CI544">
            <v>128</v>
          </cell>
          <cell r="CJ544">
            <v>310</v>
          </cell>
          <cell r="CK544">
            <v>1064</v>
          </cell>
          <cell r="CM544">
            <v>228.66</v>
          </cell>
          <cell r="CN544">
            <v>21.58</v>
          </cell>
          <cell r="CO544" t="str">
            <v>#N/A N/A</v>
          </cell>
          <cell r="CQ544">
            <v>7.03</v>
          </cell>
          <cell r="CR544">
            <v>138</v>
          </cell>
          <cell r="CS544">
            <v>2547.5</v>
          </cell>
          <cell r="CU544">
            <v>830</v>
          </cell>
          <cell r="CW544">
            <v>55.716463414634148</v>
          </cell>
          <cell r="CX544">
            <v>665.87400000000002</v>
          </cell>
          <cell r="CZ544">
            <v>314.75</v>
          </cell>
          <cell r="DA544">
            <v>3984</v>
          </cell>
          <cell r="DB544">
            <v>11.44</v>
          </cell>
          <cell r="DC544">
            <v>368</v>
          </cell>
          <cell r="DD544">
            <v>113.6</v>
          </cell>
        </row>
        <row r="545">
          <cell r="A545">
            <v>39258</v>
          </cell>
          <cell r="C545">
            <v>32.5</v>
          </cell>
          <cell r="D545" t="str">
            <v>#N/A N/A</v>
          </cell>
          <cell r="E545">
            <v>13.62</v>
          </cell>
          <cell r="L545">
            <v>1757.73</v>
          </cell>
          <cell r="M545">
            <v>2577.08</v>
          </cell>
          <cell r="N545">
            <v>6588.4</v>
          </cell>
          <cell r="O545">
            <v>4048</v>
          </cell>
          <cell r="Q545">
            <v>560</v>
          </cell>
          <cell r="R545">
            <v>357.75</v>
          </cell>
          <cell r="S545">
            <v>589.5</v>
          </cell>
          <cell r="T545">
            <v>804.25</v>
          </cell>
          <cell r="U545">
            <v>18087.48</v>
          </cell>
          <cell r="V545">
            <v>21822.35</v>
          </cell>
          <cell r="W545">
            <v>8939.19</v>
          </cell>
          <cell r="X545">
            <v>72.150000000000006</v>
          </cell>
          <cell r="Y545">
            <v>1020</v>
          </cell>
          <cell r="Z545">
            <v>1410</v>
          </cell>
          <cell r="AA545">
            <v>14487.72</v>
          </cell>
          <cell r="AB545">
            <v>6358.6</v>
          </cell>
          <cell r="AC545">
            <v>54041.570299999999</v>
          </cell>
          <cell r="AE545">
            <v>85.1</v>
          </cell>
          <cell r="AF545">
            <v>790.76</v>
          </cell>
          <cell r="AG545">
            <v>6038</v>
          </cell>
          <cell r="AH545">
            <v>975</v>
          </cell>
          <cell r="AI545">
            <v>1680</v>
          </cell>
          <cell r="AJ545">
            <v>796.8</v>
          </cell>
          <cell r="AL545">
            <v>1497.74</v>
          </cell>
          <cell r="AP545">
            <v>3941.0810000000001</v>
          </cell>
          <cell r="AV545">
            <v>60.35</v>
          </cell>
          <cell r="AZ545">
            <v>269.5</v>
          </cell>
          <cell r="BE545">
            <v>39275</v>
          </cell>
          <cell r="BG545">
            <v>66.7</v>
          </cell>
          <cell r="BH545">
            <v>356.18</v>
          </cell>
          <cell r="BY545">
            <v>497.18</v>
          </cell>
          <cell r="CD545">
            <v>397.7</v>
          </cell>
          <cell r="CE545">
            <v>390.39699999999999</v>
          </cell>
          <cell r="CF545">
            <v>437.68</v>
          </cell>
          <cell r="CG545">
            <v>1330</v>
          </cell>
          <cell r="CH545">
            <v>955</v>
          </cell>
          <cell r="CI545">
            <v>128</v>
          </cell>
          <cell r="CJ545">
            <v>310</v>
          </cell>
          <cell r="CK545">
            <v>1052</v>
          </cell>
          <cell r="CM545">
            <v>230.25</v>
          </cell>
          <cell r="CN545">
            <v>21.04</v>
          </cell>
          <cell r="CO545" t="str">
            <v>#N/A N/A</v>
          </cell>
          <cell r="CQ545">
            <v>6.77</v>
          </cell>
          <cell r="CR545">
            <v>138</v>
          </cell>
          <cell r="CS545">
            <v>2720</v>
          </cell>
          <cell r="CU545">
            <v>830</v>
          </cell>
          <cell r="CW545">
            <v>55.564024390243908</v>
          </cell>
          <cell r="CX545">
            <v>666.12149999999997</v>
          </cell>
          <cell r="CZ545">
            <v>313.24</v>
          </cell>
          <cell r="DA545">
            <v>4036.5</v>
          </cell>
          <cell r="DB545">
            <v>11.35</v>
          </cell>
          <cell r="DC545">
            <v>368</v>
          </cell>
          <cell r="DD545">
            <v>110</v>
          </cell>
        </row>
        <row r="546">
          <cell r="A546">
            <v>39259</v>
          </cell>
          <cell r="C546">
            <v>32.5</v>
          </cell>
          <cell r="D546" t="str">
            <v>#N/A N/A</v>
          </cell>
          <cell r="E546">
            <v>13.62</v>
          </cell>
          <cell r="L546">
            <v>1749.55</v>
          </cell>
          <cell r="M546">
            <v>2574.16</v>
          </cell>
          <cell r="N546">
            <v>6559.3</v>
          </cell>
          <cell r="O546">
            <v>4045</v>
          </cell>
          <cell r="Q546">
            <v>560</v>
          </cell>
          <cell r="R546">
            <v>356.5</v>
          </cell>
          <cell r="S546">
            <v>608.5</v>
          </cell>
          <cell r="T546">
            <v>807</v>
          </cell>
          <cell r="U546">
            <v>18066.11</v>
          </cell>
          <cell r="V546">
            <v>21803.57</v>
          </cell>
          <cell r="W546">
            <v>8865.75</v>
          </cell>
          <cell r="X546">
            <v>73.349999999999994</v>
          </cell>
          <cell r="Y546">
            <v>1020</v>
          </cell>
          <cell r="Z546">
            <v>1410</v>
          </cell>
          <cell r="AA546">
            <v>14501.08</v>
          </cell>
          <cell r="AB546">
            <v>6337.3</v>
          </cell>
          <cell r="AC546">
            <v>53851.679700000001</v>
          </cell>
          <cell r="AE546">
            <v>85.55</v>
          </cell>
          <cell r="AF546">
            <v>791.25</v>
          </cell>
          <cell r="AG546">
            <v>6105</v>
          </cell>
          <cell r="AH546">
            <v>975</v>
          </cell>
          <cell r="AI546">
            <v>1680</v>
          </cell>
          <cell r="AJ546">
            <v>780.31</v>
          </cell>
          <cell r="AL546">
            <v>1492.89</v>
          </cell>
          <cell r="AP546">
            <v>3973.3710000000001</v>
          </cell>
          <cell r="AV546">
            <v>59.71</v>
          </cell>
          <cell r="AZ546">
            <v>269.2</v>
          </cell>
          <cell r="BE546">
            <v>37660</v>
          </cell>
          <cell r="BG546">
            <v>66.7</v>
          </cell>
          <cell r="BH546">
            <v>349.71</v>
          </cell>
          <cell r="BY546">
            <v>495.89</v>
          </cell>
          <cell r="CD546">
            <v>396.2</v>
          </cell>
          <cell r="CE546">
            <v>389.00900000000001</v>
          </cell>
          <cell r="CF546">
            <v>434.99</v>
          </cell>
          <cell r="CG546">
            <v>1330</v>
          </cell>
          <cell r="CH546">
            <v>955</v>
          </cell>
          <cell r="CI546">
            <v>128</v>
          </cell>
          <cell r="CJ546">
            <v>310</v>
          </cell>
          <cell r="CK546">
            <v>1041</v>
          </cell>
          <cell r="CM546">
            <v>224.69</v>
          </cell>
          <cell r="CN546">
            <v>20.95</v>
          </cell>
          <cell r="CO546" t="str">
            <v>#N/A N/A</v>
          </cell>
          <cell r="CQ546">
            <v>6.89</v>
          </cell>
          <cell r="CR546">
            <v>138</v>
          </cell>
          <cell r="CS546">
            <v>2589.5</v>
          </cell>
          <cell r="CU546">
            <v>830</v>
          </cell>
          <cell r="CW546">
            <v>55.564024390243908</v>
          </cell>
          <cell r="CX546">
            <v>666.66600000000005</v>
          </cell>
          <cell r="CZ546">
            <v>310.73</v>
          </cell>
          <cell r="DA546">
            <v>3952.1</v>
          </cell>
          <cell r="DB546">
            <v>11.77</v>
          </cell>
          <cell r="DC546">
            <v>368</v>
          </cell>
          <cell r="DD546">
            <v>109.95</v>
          </cell>
        </row>
        <row r="547">
          <cell r="A547">
            <v>39260</v>
          </cell>
          <cell r="C547">
            <v>32.5</v>
          </cell>
          <cell r="D547" t="str">
            <v>#N/A N/A</v>
          </cell>
          <cell r="E547">
            <v>13.63</v>
          </cell>
          <cell r="L547">
            <v>1733.1</v>
          </cell>
          <cell r="M547">
            <v>2605.35</v>
          </cell>
          <cell r="N547">
            <v>6527.6</v>
          </cell>
          <cell r="O547">
            <v>4044</v>
          </cell>
          <cell r="Q547">
            <v>560</v>
          </cell>
          <cell r="R547">
            <v>343.75</v>
          </cell>
          <cell r="S547">
            <v>606</v>
          </cell>
          <cell r="T547">
            <v>803.5</v>
          </cell>
          <cell r="U547">
            <v>17849.28</v>
          </cell>
          <cell r="V547">
            <v>21705.56</v>
          </cell>
          <cell r="W547">
            <v>8844.2199999999993</v>
          </cell>
          <cell r="X547">
            <v>73.2</v>
          </cell>
          <cell r="Y547">
            <v>1020</v>
          </cell>
          <cell r="Z547">
            <v>1410</v>
          </cell>
          <cell r="AA547">
            <v>14431.06</v>
          </cell>
          <cell r="AB547">
            <v>6216.6</v>
          </cell>
          <cell r="AC547">
            <v>54143.070299999999</v>
          </cell>
          <cell r="AE547">
            <v>84.35</v>
          </cell>
          <cell r="AF547">
            <v>791.25</v>
          </cell>
          <cell r="AG547">
            <v>6180</v>
          </cell>
          <cell r="AH547">
            <v>975</v>
          </cell>
          <cell r="AI547">
            <v>1680</v>
          </cell>
          <cell r="AJ547">
            <v>761.03</v>
          </cell>
          <cell r="AL547">
            <v>1506.34</v>
          </cell>
          <cell r="AP547">
            <v>4078.5990000000002</v>
          </cell>
          <cell r="AV547">
            <v>60.24</v>
          </cell>
          <cell r="AZ547">
            <v>263.10000000000002</v>
          </cell>
          <cell r="BE547">
            <v>37775</v>
          </cell>
          <cell r="BG547">
            <v>66.7</v>
          </cell>
          <cell r="BH547">
            <v>355.35</v>
          </cell>
          <cell r="BY547">
            <v>506.77</v>
          </cell>
          <cell r="CD547">
            <v>396.07</v>
          </cell>
          <cell r="CE547">
            <v>389.09899999999999</v>
          </cell>
          <cell r="CF547">
            <v>431.62</v>
          </cell>
          <cell r="CG547">
            <v>1330</v>
          </cell>
          <cell r="CH547">
            <v>955</v>
          </cell>
          <cell r="CI547">
            <v>128</v>
          </cell>
          <cell r="CJ547">
            <v>310</v>
          </cell>
          <cell r="CK547">
            <v>1031</v>
          </cell>
          <cell r="CM547">
            <v>225.46</v>
          </cell>
          <cell r="CN547">
            <v>21.27</v>
          </cell>
          <cell r="CO547" t="str">
            <v>#N/A N/A</v>
          </cell>
          <cell r="CQ547">
            <v>6.75</v>
          </cell>
          <cell r="CR547">
            <v>138</v>
          </cell>
          <cell r="CS547">
            <v>2602.5</v>
          </cell>
          <cell r="CU547">
            <v>830</v>
          </cell>
          <cell r="CW547">
            <v>56.021341463414636</v>
          </cell>
          <cell r="CX547">
            <v>665.37900000000002</v>
          </cell>
          <cell r="CZ547">
            <v>312.3</v>
          </cell>
          <cell r="DA547">
            <v>3955.5</v>
          </cell>
          <cell r="DB547">
            <v>11.59</v>
          </cell>
          <cell r="DC547">
            <v>368</v>
          </cell>
          <cell r="DD547">
            <v>110.4</v>
          </cell>
        </row>
        <row r="548">
          <cell r="A548">
            <v>39261</v>
          </cell>
          <cell r="C548">
            <v>32.5</v>
          </cell>
          <cell r="D548" t="str">
            <v>#N/A N/A</v>
          </cell>
          <cell r="E548">
            <v>14.75</v>
          </cell>
          <cell r="L548">
            <v>1751.75</v>
          </cell>
          <cell r="M548">
            <v>2608.37</v>
          </cell>
          <cell r="N548">
            <v>6571.3</v>
          </cell>
          <cell r="O548">
            <v>4024</v>
          </cell>
          <cell r="Q548">
            <v>540</v>
          </cell>
          <cell r="R548">
            <v>339.5</v>
          </cell>
          <cell r="S548">
            <v>609</v>
          </cell>
          <cell r="T548">
            <v>809.75</v>
          </cell>
          <cell r="U548">
            <v>17932.27</v>
          </cell>
          <cell r="V548">
            <v>21938.22</v>
          </cell>
          <cell r="W548">
            <v>8892.83</v>
          </cell>
          <cell r="X548">
            <v>74.349999999999994</v>
          </cell>
          <cell r="Y548">
            <v>1020</v>
          </cell>
          <cell r="Z548">
            <v>1410</v>
          </cell>
          <cell r="AA548">
            <v>14504.57</v>
          </cell>
          <cell r="AB548">
            <v>6297.4</v>
          </cell>
          <cell r="AC548">
            <v>54146.589800000002</v>
          </cell>
          <cell r="AE548">
            <v>85.25</v>
          </cell>
          <cell r="AF548">
            <v>791.25</v>
          </cell>
          <cell r="AG548">
            <v>6234</v>
          </cell>
          <cell r="AH548">
            <v>975</v>
          </cell>
          <cell r="AI548">
            <v>1680</v>
          </cell>
          <cell r="AJ548">
            <v>778.5</v>
          </cell>
          <cell r="AL548">
            <v>1505.71</v>
          </cell>
          <cell r="AP548">
            <v>3914.2040000000002</v>
          </cell>
          <cell r="AV548">
            <v>60.45</v>
          </cell>
          <cell r="AZ548">
            <v>258.3</v>
          </cell>
          <cell r="BE548">
            <v>36820</v>
          </cell>
          <cell r="BG548">
            <v>66.7</v>
          </cell>
          <cell r="BH548">
            <v>357.43</v>
          </cell>
          <cell r="BY548">
            <v>502.24</v>
          </cell>
          <cell r="CD548">
            <v>398.31</v>
          </cell>
          <cell r="CE548">
            <v>391.1</v>
          </cell>
          <cell r="CF548">
            <v>435.43</v>
          </cell>
          <cell r="CG548">
            <v>1330</v>
          </cell>
          <cell r="CH548">
            <v>955</v>
          </cell>
          <cell r="CI548">
            <v>128</v>
          </cell>
          <cell r="CJ548">
            <v>310</v>
          </cell>
          <cell r="CK548">
            <v>1031</v>
          </cell>
          <cell r="CM548">
            <v>226.67</v>
          </cell>
          <cell r="CN548">
            <v>22.85</v>
          </cell>
          <cell r="CO548" t="str">
            <v>#N/A N/A</v>
          </cell>
          <cell r="CQ548">
            <v>6.8</v>
          </cell>
          <cell r="CR548">
            <v>138</v>
          </cell>
          <cell r="CS548">
            <v>2656</v>
          </cell>
          <cell r="CU548">
            <v>830</v>
          </cell>
          <cell r="CW548">
            <v>56.326219512195124</v>
          </cell>
          <cell r="CX548">
            <v>666.41849999999999</v>
          </cell>
          <cell r="CZ548">
            <v>312.76</v>
          </cell>
          <cell r="DA548">
            <v>4003.9</v>
          </cell>
          <cell r="DB548">
            <v>11.56</v>
          </cell>
          <cell r="DC548">
            <v>368</v>
          </cell>
          <cell r="DD548">
            <v>110.8</v>
          </cell>
        </row>
        <row r="549">
          <cell r="A549">
            <v>39262</v>
          </cell>
          <cell r="C549">
            <v>32.5</v>
          </cell>
          <cell r="D549" t="str">
            <v>#N/A N/A</v>
          </cell>
          <cell r="E549">
            <v>14.74</v>
          </cell>
          <cell r="L549">
            <v>1743.6</v>
          </cell>
          <cell r="M549">
            <v>2603.23</v>
          </cell>
          <cell r="N549">
            <v>6607.9</v>
          </cell>
          <cell r="O549">
            <v>3994</v>
          </cell>
          <cell r="Q549">
            <v>540</v>
          </cell>
          <cell r="R549">
            <v>329.5</v>
          </cell>
          <cell r="S549">
            <v>582</v>
          </cell>
          <cell r="T549">
            <v>850</v>
          </cell>
          <cell r="U549">
            <v>18138.36</v>
          </cell>
          <cell r="V549">
            <v>21772.73</v>
          </cell>
          <cell r="W549">
            <v>8883.2099999999991</v>
          </cell>
          <cell r="X549">
            <v>75.05</v>
          </cell>
          <cell r="Y549">
            <v>1020</v>
          </cell>
          <cell r="Z549">
            <v>1450</v>
          </cell>
          <cell r="AA549">
            <v>14650.51</v>
          </cell>
          <cell r="AB549">
            <v>6310.6</v>
          </cell>
          <cell r="AC549">
            <v>54392.058599999997</v>
          </cell>
          <cell r="AE549">
            <v>84.7</v>
          </cell>
          <cell r="AF549">
            <v>791.25</v>
          </cell>
          <cell r="AG549">
            <v>6278</v>
          </cell>
          <cell r="AH549">
            <v>980</v>
          </cell>
          <cell r="AI549">
            <v>1670</v>
          </cell>
          <cell r="AJ549">
            <v>778.69</v>
          </cell>
          <cell r="AL549">
            <v>1503.35</v>
          </cell>
          <cell r="AP549">
            <v>3820.703</v>
          </cell>
          <cell r="AV549">
            <v>60.3</v>
          </cell>
          <cell r="AZ549">
            <v>257.10000000000002</v>
          </cell>
          <cell r="BE549">
            <v>36315</v>
          </cell>
          <cell r="BG549">
            <v>70.3</v>
          </cell>
          <cell r="BH549">
            <v>362.88</v>
          </cell>
          <cell r="BY549">
            <v>501.16</v>
          </cell>
          <cell r="CD549">
            <v>399.79</v>
          </cell>
          <cell r="CE549">
            <v>392.57</v>
          </cell>
          <cell r="CF549">
            <v>435.61</v>
          </cell>
          <cell r="CG549">
            <v>1350</v>
          </cell>
          <cell r="CH549">
            <v>950</v>
          </cell>
          <cell r="CI549">
            <v>128</v>
          </cell>
          <cell r="CJ549">
            <v>310</v>
          </cell>
          <cell r="CK549">
            <v>1029</v>
          </cell>
          <cell r="CM549">
            <v>229.42</v>
          </cell>
          <cell r="CN549">
            <v>22.14</v>
          </cell>
          <cell r="CO549" t="str">
            <v>#N/A N/A</v>
          </cell>
          <cell r="CQ549">
            <v>6.36</v>
          </cell>
          <cell r="CR549">
            <v>138</v>
          </cell>
          <cell r="CS549">
            <v>2663</v>
          </cell>
          <cell r="CU549">
            <v>820</v>
          </cell>
          <cell r="CW549">
            <v>55.868902439024396</v>
          </cell>
          <cell r="CX549">
            <v>670.13100000000009</v>
          </cell>
          <cell r="CZ549">
            <v>315.74</v>
          </cell>
          <cell r="DA549">
            <v>3992</v>
          </cell>
          <cell r="DB549">
            <v>11.73</v>
          </cell>
          <cell r="DC549">
            <v>368</v>
          </cell>
          <cell r="DD549">
            <v>111</v>
          </cell>
        </row>
        <row r="550">
          <cell r="A550">
            <v>39263</v>
          </cell>
          <cell r="C550">
            <v>32.5</v>
          </cell>
          <cell r="D550" t="str">
            <v>#N/A N/A</v>
          </cell>
          <cell r="E550">
            <v>14.74</v>
          </cell>
          <cell r="L550">
            <v>1743.6</v>
          </cell>
          <cell r="M550">
            <v>2603.23</v>
          </cell>
          <cell r="N550">
            <v>6607.9</v>
          </cell>
          <cell r="O550">
            <v>3994</v>
          </cell>
          <cell r="Q550">
            <v>540</v>
          </cell>
          <cell r="R550">
            <v>329.5</v>
          </cell>
          <cell r="S550">
            <v>582</v>
          </cell>
          <cell r="T550">
            <v>850</v>
          </cell>
          <cell r="U550">
            <v>18138.36</v>
          </cell>
          <cell r="V550">
            <v>21772.73</v>
          </cell>
          <cell r="W550">
            <v>8883.2099999999991</v>
          </cell>
          <cell r="X550">
            <v>75.05</v>
          </cell>
          <cell r="Y550">
            <v>1020</v>
          </cell>
          <cell r="Z550">
            <v>1450</v>
          </cell>
          <cell r="AA550">
            <v>14650.51</v>
          </cell>
          <cell r="AB550">
            <v>6310.6</v>
          </cell>
          <cell r="AC550">
            <v>54392.058599999997</v>
          </cell>
          <cell r="AE550">
            <v>84.7</v>
          </cell>
          <cell r="AF550">
            <v>791.25</v>
          </cell>
          <cell r="AG550">
            <v>6278</v>
          </cell>
          <cell r="AH550">
            <v>980</v>
          </cell>
          <cell r="AI550">
            <v>1670</v>
          </cell>
          <cell r="AJ550">
            <v>778.69</v>
          </cell>
          <cell r="AL550">
            <v>1503.35</v>
          </cell>
          <cell r="AP550">
            <v>3820.703</v>
          </cell>
          <cell r="AV550">
            <v>60.3</v>
          </cell>
          <cell r="AZ550">
            <v>257.10000000000002</v>
          </cell>
          <cell r="BE550">
            <v>36315</v>
          </cell>
          <cell r="BG550">
            <v>70.3</v>
          </cell>
          <cell r="BH550">
            <v>362.88</v>
          </cell>
          <cell r="BY550">
            <v>501.16</v>
          </cell>
          <cell r="CD550">
            <v>399.79</v>
          </cell>
          <cell r="CE550">
            <v>392.57</v>
          </cell>
          <cell r="CF550">
            <v>435.61</v>
          </cell>
          <cell r="CG550">
            <v>1350</v>
          </cell>
          <cell r="CH550">
            <v>950</v>
          </cell>
          <cell r="CI550">
            <v>128</v>
          </cell>
          <cell r="CJ550">
            <v>310</v>
          </cell>
          <cell r="CK550">
            <v>1029</v>
          </cell>
          <cell r="CM550">
            <v>229.42</v>
          </cell>
          <cell r="CN550">
            <v>22.14</v>
          </cell>
          <cell r="CO550" t="str">
            <v>#N/A N/A</v>
          </cell>
          <cell r="CQ550">
            <v>6.36</v>
          </cell>
          <cell r="CR550">
            <v>138</v>
          </cell>
          <cell r="CS550">
            <v>2663</v>
          </cell>
          <cell r="CU550">
            <v>820</v>
          </cell>
          <cell r="CW550">
            <v>55.868902439024396</v>
          </cell>
          <cell r="CX550">
            <v>670.13100000000009</v>
          </cell>
          <cell r="CZ550">
            <v>315.74</v>
          </cell>
          <cell r="DA550">
            <v>3992</v>
          </cell>
          <cell r="DB550">
            <v>11.73</v>
          </cell>
          <cell r="DC550">
            <v>368</v>
          </cell>
          <cell r="DD550">
            <v>111</v>
          </cell>
        </row>
        <row r="551">
          <cell r="A551">
            <v>39264</v>
          </cell>
          <cell r="C551">
            <v>32.5</v>
          </cell>
          <cell r="D551" t="str">
            <v>#N/A N/A</v>
          </cell>
          <cell r="E551">
            <v>14.74</v>
          </cell>
          <cell r="L551">
            <v>1743.6</v>
          </cell>
          <cell r="M551">
            <v>2603.23</v>
          </cell>
          <cell r="N551">
            <v>6607.9</v>
          </cell>
          <cell r="O551">
            <v>3994</v>
          </cell>
          <cell r="Q551">
            <v>540</v>
          </cell>
          <cell r="R551">
            <v>329.5</v>
          </cell>
          <cell r="S551">
            <v>582</v>
          </cell>
          <cell r="T551">
            <v>850</v>
          </cell>
          <cell r="U551">
            <v>18138.36</v>
          </cell>
          <cell r="V551">
            <v>21772.73</v>
          </cell>
          <cell r="W551">
            <v>8883.2099999999991</v>
          </cell>
          <cell r="X551">
            <v>75.05</v>
          </cell>
          <cell r="Y551">
            <v>1020</v>
          </cell>
          <cell r="Z551">
            <v>1450</v>
          </cell>
          <cell r="AA551">
            <v>14650.51</v>
          </cell>
          <cell r="AB551">
            <v>6310.6</v>
          </cell>
          <cell r="AC551">
            <v>54392.058599999997</v>
          </cell>
          <cell r="AE551">
            <v>84.7</v>
          </cell>
          <cell r="AF551">
            <v>791.25</v>
          </cell>
          <cell r="AG551">
            <v>6278</v>
          </cell>
          <cell r="AH551">
            <v>980</v>
          </cell>
          <cell r="AI551">
            <v>1670</v>
          </cell>
          <cell r="AJ551">
            <v>778.69</v>
          </cell>
          <cell r="AL551">
            <v>1503.35</v>
          </cell>
          <cell r="AP551">
            <v>3820.703</v>
          </cell>
          <cell r="AV551">
            <v>60.3</v>
          </cell>
          <cell r="AZ551">
            <v>257.10000000000002</v>
          </cell>
          <cell r="BE551">
            <v>36315</v>
          </cell>
          <cell r="BG551">
            <v>70.3</v>
          </cell>
          <cell r="BH551">
            <v>362.88</v>
          </cell>
          <cell r="BY551">
            <v>501.16</v>
          </cell>
          <cell r="CD551">
            <v>399.79</v>
          </cell>
          <cell r="CE551">
            <v>392.57</v>
          </cell>
          <cell r="CF551">
            <v>435.61</v>
          </cell>
          <cell r="CG551">
            <v>1350</v>
          </cell>
          <cell r="CH551">
            <v>950</v>
          </cell>
          <cell r="CI551">
            <v>128</v>
          </cell>
          <cell r="CJ551">
            <v>310</v>
          </cell>
          <cell r="CK551">
            <v>1029</v>
          </cell>
          <cell r="CM551">
            <v>229.42</v>
          </cell>
          <cell r="CN551">
            <v>22.14</v>
          </cell>
          <cell r="CO551" t="str">
            <v>#N/A N/A</v>
          </cell>
          <cell r="CQ551">
            <v>6.36</v>
          </cell>
          <cell r="CR551">
            <v>138</v>
          </cell>
          <cell r="CS551">
            <v>2663</v>
          </cell>
          <cell r="CU551">
            <v>820</v>
          </cell>
          <cell r="CW551">
            <v>55.868902439024396</v>
          </cell>
          <cell r="CX551">
            <v>670.13100000000009</v>
          </cell>
          <cell r="CZ551">
            <v>315.74</v>
          </cell>
          <cell r="DA551">
            <v>3992</v>
          </cell>
          <cell r="DB551">
            <v>11.73</v>
          </cell>
          <cell r="DC551">
            <v>368</v>
          </cell>
          <cell r="DD551">
            <v>111</v>
          </cell>
        </row>
        <row r="552">
          <cell r="A552">
            <v>39265</v>
          </cell>
          <cell r="C552">
            <v>32.5</v>
          </cell>
          <cell r="D552" t="str">
            <v>#N/A N/A</v>
          </cell>
          <cell r="E552">
            <v>14.93</v>
          </cell>
          <cell r="L552">
            <v>1771.35</v>
          </cell>
          <cell r="M552">
            <v>2632.3</v>
          </cell>
          <cell r="N552">
            <v>6590.6</v>
          </cell>
          <cell r="O552">
            <v>3966</v>
          </cell>
          <cell r="Q552">
            <v>540</v>
          </cell>
          <cell r="R552">
            <v>339.75</v>
          </cell>
          <cell r="S552">
            <v>583.25</v>
          </cell>
          <cell r="T552">
            <v>871</v>
          </cell>
          <cell r="U552">
            <v>18146.3</v>
          </cell>
          <cell r="V552">
            <v>21772.73</v>
          </cell>
          <cell r="W552">
            <v>8939.49</v>
          </cell>
          <cell r="X552">
            <v>75.75</v>
          </cell>
          <cell r="Y552">
            <v>1020</v>
          </cell>
          <cell r="Z552">
            <v>1450</v>
          </cell>
          <cell r="AA552">
            <v>14664.26</v>
          </cell>
          <cell r="AB552">
            <v>6298.6</v>
          </cell>
          <cell r="AC552">
            <v>55371.210899999998</v>
          </cell>
          <cell r="AE552">
            <v>84.85</v>
          </cell>
          <cell r="AF552">
            <v>791.25</v>
          </cell>
          <cell r="AG552">
            <v>6304</v>
          </cell>
          <cell r="AH552">
            <v>980</v>
          </cell>
          <cell r="AI552">
            <v>1670</v>
          </cell>
          <cell r="AJ552">
            <v>784.61</v>
          </cell>
          <cell r="AL552">
            <v>1519.43</v>
          </cell>
          <cell r="AP552">
            <v>3836.2939999999999</v>
          </cell>
          <cell r="AV552">
            <v>62.01</v>
          </cell>
          <cell r="AZ552">
            <v>252.2</v>
          </cell>
          <cell r="BE552">
            <v>36065</v>
          </cell>
          <cell r="BG552">
            <v>70.3</v>
          </cell>
          <cell r="BH552">
            <v>368.62</v>
          </cell>
          <cell r="BY552">
            <v>505.41</v>
          </cell>
          <cell r="CD552">
            <v>403.53</v>
          </cell>
          <cell r="CE552">
            <v>396.12400000000002</v>
          </cell>
          <cell r="CF552">
            <v>439.89</v>
          </cell>
          <cell r="CG552">
            <v>1350</v>
          </cell>
          <cell r="CH552">
            <v>950</v>
          </cell>
          <cell r="CI552">
            <v>128</v>
          </cell>
          <cell r="CJ552">
            <v>310</v>
          </cell>
          <cell r="CK552">
            <v>1026</v>
          </cell>
          <cell r="CM552">
            <v>224.87</v>
          </cell>
          <cell r="CN552">
            <v>21.68</v>
          </cell>
          <cell r="CO552" t="str">
            <v>#N/A N/A</v>
          </cell>
          <cell r="CQ552">
            <v>6.24</v>
          </cell>
          <cell r="CR552">
            <v>138</v>
          </cell>
          <cell r="CS552">
            <v>2773</v>
          </cell>
          <cell r="CU552">
            <v>820</v>
          </cell>
          <cell r="CW552">
            <v>56.326219512195124</v>
          </cell>
          <cell r="CX552">
            <v>674.78399999999999</v>
          </cell>
          <cell r="CZ552">
            <v>316.7</v>
          </cell>
          <cell r="DA552">
            <v>4059.8</v>
          </cell>
          <cell r="DB552">
            <v>11.5</v>
          </cell>
          <cell r="DC552">
            <v>368</v>
          </cell>
          <cell r="DD552">
            <v>112</v>
          </cell>
        </row>
        <row r="553">
          <cell r="A553">
            <v>39266</v>
          </cell>
          <cell r="C553">
            <v>32.5</v>
          </cell>
          <cell r="D553" t="str">
            <v>#N/A N/A</v>
          </cell>
          <cell r="E553">
            <v>15.41</v>
          </cell>
          <cell r="L553">
            <v>1805.5</v>
          </cell>
          <cell r="M553">
            <v>2644.95</v>
          </cell>
          <cell r="N553">
            <v>6639.8</v>
          </cell>
          <cell r="O553">
            <v>3951</v>
          </cell>
          <cell r="Q553">
            <v>540</v>
          </cell>
          <cell r="R553">
            <v>328.5</v>
          </cell>
          <cell r="S553">
            <v>583</v>
          </cell>
          <cell r="T553">
            <v>855.75</v>
          </cell>
          <cell r="U553">
            <v>18149.900000000001</v>
          </cell>
          <cell r="V553">
            <v>22151.14</v>
          </cell>
          <cell r="W553">
            <v>8996.2000000000007</v>
          </cell>
          <cell r="X553">
            <v>76.900000000000006</v>
          </cell>
          <cell r="Y553">
            <v>1020</v>
          </cell>
          <cell r="Z553">
            <v>1450</v>
          </cell>
          <cell r="AA553">
            <v>14806.51</v>
          </cell>
          <cell r="AB553">
            <v>6333.8</v>
          </cell>
          <cell r="AC553">
            <v>55699.691400000003</v>
          </cell>
          <cell r="AE553">
            <v>85.15</v>
          </cell>
          <cell r="AF553">
            <v>796.85</v>
          </cell>
          <cell r="AG553">
            <v>6302</v>
          </cell>
          <cell r="AH553">
            <v>980</v>
          </cell>
          <cell r="AI553">
            <v>1670</v>
          </cell>
          <cell r="AJ553">
            <v>796.71</v>
          </cell>
          <cell r="AL553">
            <v>1524.87</v>
          </cell>
          <cell r="AP553">
            <v>3899.7240000000002</v>
          </cell>
          <cell r="AV553">
            <v>62.85</v>
          </cell>
          <cell r="AZ553">
            <v>253.4</v>
          </cell>
          <cell r="BE553">
            <v>36490</v>
          </cell>
          <cell r="BG553">
            <v>70.3</v>
          </cell>
          <cell r="BH553">
            <v>373.4</v>
          </cell>
          <cell r="BY553">
            <v>505.51</v>
          </cell>
          <cell r="CD553">
            <v>405.79</v>
          </cell>
          <cell r="CE553">
            <v>397.96600000000001</v>
          </cell>
          <cell r="CF553">
            <v>448.1</v>
          </cell>
          <cell r="CG553">
            <v>1350</v>
          </cell>
          <cell r="CH553">
            <v>950</v>
          </cell>
          <cell r="CI553">
            <v>128</v>
          </cell>
          <cell r="CJ553">
            <v>310</v>
          </cell>
          <cell r="CK553">
            <v>1026</v>
          </cell>
          <cell r="CM553">
            <v>226.44</v>
          </cell>
          <cell r="CN553">
            <v>21.21</v>
          </cell>
          <cell r="CO553" t="str">
            <v>#N/A N/A</v>
          </cell>
          <cell r="CQ553">
            <v>6.38</v>
          </cell>
          <cell r="CR553">
            <v>138</v>
          </cell>
          <cell r="CS553">
            <v>2774</v>
          </cell>
          <cell r="CU553">
            <v>820</v>
          </cell>
          <cell r="CW553">
            <v>56.631097560975611</v>
          </cell>
          <cell r="CX553">
            <v>674.09100000000001</v>
          </cell>
          <cell r="CZ553">
            <v>316.64</v>
          </cell>
          <cell r="DA553">
            <v>4056.9</v>
          </cell>
          <cell r="DB553">
            <v>11.67</v>
          </cell>
          <cell r="DC553">
            <v>368</v>
          </cell>
          <cell r="DD553">
            <v>111.1</v>
          </cell>
        </row>
        <row r="554">
          <cell r="A554">
            <v>39267</v>
          </cell>
          <cell r="C554">
            <v>32.5</v>
          </cell>
          <cell r="D554" t="str">
            <v>#N/A N/A</v>
          </cell>
          <cell r="E554">
            <v>15.43</v>
          </cell>
          <cell r="L554">
            <v>1838.41</v>
          </cell>
          <cell r="M554">
            <v>2644.95</v>
          </cell>
          <cell r="N554">
            <v>6673.1</v>
          </cell>
          <cell r="O554">
            <v>3940</v>
          </cell>
          <cell r="Q554">
            <v>540</v>
          </cell>
          <cell r="R554">
            <v>328.5</v>
          </cell>
          <cell r="S554">
            <v>583</v>
          </cell>
          <cell r="T554">
            <v>855.75</v>
          </cell>
          <cell r="U554">
            <v>18168.72</v>
          </cell>
          <cell r="V554">
            <v>22218.55</v>
          </cell>
          <cell r="W554">
            <v>9068.98</v>
          </cell>
          <cell r="X554">
            <v>75.650000000000006</v>
          </cell>
          <cell r="Y554">
            <v>1020</v>
          </cell>
          <cell r="Z554">
            <v>1450</v>
          </cell>
          <cell r="AA554">
            <v>14880.24</v>
          </cell>
          <cell r="AB554">
            <v>6332.6</v>
          </cell>
          <cell r="AC554">
            <v>55696.468800000002</v>
          </cell>
          <cell r="AE554">
            <v>85.25</v>
          </cell>
          <cell r="AF554">
            <v>796.85</v>
          </cell>
          <cell r="AG554">
            <v>6293</v>
          </cell>
          <cell r="AH554">
            <v>980</v>
          </cell>
          <cell r="AI554">
            <v>1670</v>
          </cell>
          <cell r="AJ554">
            <v>804.02</v>
          </cell>
          <cell r="AL554">
            <v>1524.87</v>
          </cell>
          <cell r="AP554">
            <v>3816.165</v>
          </cell>
          <cell r="AV554">
            <v>62.85</v>
          </cell>
          <cell r="AZ554">
            <v>254.4</v>
          </cell>
          <cell r="BE554">
            <v>36445</v>
          </cell>
          <cell r="BG554">
            <v>70.3</v>
          </cell>
          <cell r="BH554">
            <v>373.88</v>
          </cell>
          <cell r="BY554">
            <v>505.51</v>
          </cell>
          <cell r="CD554">
            <v>406.7</v>
          </cell>
          <cell r="CE554">
            <v>398.70600000000002</v>
          </cell>
          <cell r="CF554">
            <v>451.94</v>
          </cell>
          <cell r="CG554">
            <v>1350</v>
          </cell>
          <cell r="CH554">
            <v>950</v>
          </cell>
          <cell r="CI554">
            <v>128</v>
          </cell>
          <cell r="CJ554">
            <v>310</v>
          </cell>
          <cell r="CK554">
            <v>1035</v>
          </cell>
          <cell r="CM554">
            <v>226.44</v>
          </cell>
          <cell r="CN554">
            <v>20.81</v>
          </cell>
          <cell r="CO554" t="str">
            <v>#N/A N/A</v>
          </cell>
          <cell r="CQ554">
            <v>6.38</v>
          </cell>
          <cell r="CR554">
            <v>135</v>
          </cell>
          <cell r="CS554">
            <v>2889.5</v>
          </cell>
          <cell r="CU554">
            <v>820</v>
          </cell>
          <cell r="CW554">
            <v>56.631097560975611</v>
          </cell>
          <cell r="CX554">
            <v>674.28899999999999</v>
          </cell>
          <cell r="CZ554">
            <v>316.64</v>
          </cell>
          <cell r="DA554">
            <v>4109.8</v>
          </cell>
          <cell r="DB554">
            <v>11.67</v>
          </cell>
          <cell r="DC554">
            <v>368</v>
          </cell>
          <cell r="DD554">
            <v>111.1</v>
          </cell>
        </row>
        <row r="555">
          <cell r="A555">
            <v>39268</v>
          </cell>
          <cell r="C555">
            <v>32.5</v>
          </cell>
          <cell r="D555" t="str">
            <v>#N/A N/A</v>
          </cell>
          <cell r="E555">
            <v>15.29</v>
          </cell>
          <cell r="L555">
            <v>1847.79</v>
          </cell>
          <cell r="M555">
            <v>2656.65</v>
          </cell>
          <cell r="N555">
            <v>6635.2</v>
          </cell>
          <cell r="O555">
            <v>3934</v>
          </cell>
          <cell r="Q555">
            <v>540</v>
          </cell>
          <cell r="R555">
            <v>332.5</v>
          </cell>
          <cell r="S555">
            <v>604</v>
          </cell>
          <cell r="T555">
            <v>860</v>
          </cell>
          <cell r="U555">
            <v>18221.48</v>
          </cell>
          <cell r="V555">
            <v>22252.99</v>
          </cell>
          <cell r="W555">
            <v>9148.7800000000007</v>
          </cell>
          <cell r="X555">
            <v>76.05</v>
          </cell>
          <cell r="Y555">
            <v>1020</v>
          </cell>
          <cell r="Z555">
            <v>1450</v>
          </cell>
          <cell r="AA555">
            <v>14861.89</v>
          </cell>
          <cell r="AB555">
            <v>6392.2</v>
          </cell>
          <cell r="AC555">
            <v>55932.339800000002</v>
          </cell>
          <cell r="AE555">
            <v>85.45</v>
          </cell>
          <cell r="AF555">
            <v>796.85</v>
          </cell>
          <cell r="AG555">
            <v>6251</v>
          </cell>
          <cell r="AH555">
            <v>980</v>
          </cell>
          <cell r="AI555">
            <v>1670</v>
          </cell>
          <cell r="AJ555">
            <v>802.87</v>
          </cell>
          <cell r="AL555">
            <v>1525.4</v>
          </cell>
          <cell r="AP555">
            <v>3615.8719999999998</v>
          </cell>
          <cell r="AV555">
            <v>63.83</v>
          </cell>
          <cell r="AZ555">
            <v>256.5</v>
          </cell>
          <cell r="BE555">
            <v>36310</v>
          </cell>
          <cell r="BG555">
            <v>70.3</v>
          </cell>
          <cell r="BH555">
            <v>380.32</v>
          </cell>
          <cell r="BY555">
            <v>509.36</v>
          </cell>
          <cell r="CD555">
            <v>406.05</v>
          </cell>
          <cell r="CE555">
            <v>397.935</v>
          </cell>
          <cell r="CF555">
            <v>453.73</v>
          </cell>
          <cell r="CG555">
            <v>1350</v>
          </cell>
          <cell r="CH555">
            <v>950</v>
          </cell>
          <cell r="CI555">
            <v>130</v>
          </cell>
          <cell r="CJ555">
            <v>315</v>
          </cell>
          <cell r="CK555">
            <v>1038</v>
          </cell>
          <cell r="CM555">
            <v>228.43</v>
          </cell>
          <cell r="CN555">
            <v>21.59</v>
          </cell>
          <cell r="CO555" t="str">
            <v>#N/A N/A</v>
          </cell>
          <cell r="CQ555">
            <v>6.29</v>
          </cell>
          <cell r="CR555">
            <v>135</v>
          </cell>
          <cell r="CS555">
            <v>2843.5</v>
          </cell>
          <cell r="CU555">
            <v>820</v>
          </cell>
          <cell r="CW555">
            <v>56.631097560975611</v>
          </cell>
          <cell r="CX555">
            <v>673.101</v>
          </cell>
          <cell r="CZ555">
            <v>318.52</v>
          </cell>
          <cell r="DA555">
            <v>4109.1000000000004</v>
          </cell>
          <cell r="DB555">
            <v>11.75</v>
          </cell>
          <cell r="DC555">
            <v>368</v>
          </cell>
          <cell r="DD555">
            <v>110.4</v>
          </cell>
        </row>
        <row r="556">
          <cell r="A556">
            <v>39269</v>
          </cell>
          <cell r="C556">
            <v>38</v>
          </cell>
          <cell r="D556" t="str">
            <v>#N/A N/A</v>
          </cell>
          <cell r="E556">
            <v>15.58</v>
          </cell>
          <cell r="L556">
            <v>1861.01</v>
          </cell>
          <cell r="M556">
            <v>2666.51</v>
          </cell>
          <cell r="N556">
            <v>6690.1</v>
          </cell>
          <cell r="O556">
            <v>3924</v>
          </cell>
          <cell r="Q556">
            <v>540</v>
          </cell>
          <cell r="R556">
            <v>341.5</v>
          </cell>
          <cell r="S556">
            <v>610</v>
          </cell>
          <cell r="T556">
            <v>869.25</v>
          </cell>
          <cell r="U556">
            <v>18140.939999999999</v>
          </cell>
          <cell r="V556">
            <v>22531.74</v>
          </cell>
          <cell r="W556">
            <v>9188.31</v>
          </cell>
          <cell r="X556">
            <v>76.150000000000006</v>
          </cell>
          <cell r="Y556">
            <v>1040</v>
          </cell>
          <cell r="Z556">
            <v>1470</v>
          </cell>
          <cell r="AA556">
            <v>14964.12</v>
          </cell>
          <cell r="AB556">
            <v>6383</v>
          </cell>
          <cell r="AC556">
            <v>56443.730499999998</v>
          </cell>
          <cell r="AE556">
            <v>85.65</v>
          </cell>
          <cell r="AF556">
            <v>796.85</v>
          </cell>
          <cell r="AG556">
            <v>6201</v>
          </cell>
          <cell r="AH556">
            <v>980</v>
          </cell>
          <cell r="AI556">
            <v>1650</v>
          </cell>
          <cell r="AJ556">
            <v>811.06</v>
          </cell>
          <cell r="AL556">
            <v>1530.44</v>
          </cell>
          <cell r="AP556">
            <v>3781.348</v>
          </cell>
          <cell r="AV556">
            <v>65.2</v>
          </cell>
          <cell r="AZ556">
            <v>253.2</v>
          </cell>
          <cell r="BE556">
            <v>35475</v>
          </cell>
          <cell r="BG556">
            <v>67.2</v>
          </cell>
          <cell r="BH556">
            <v>389.97</v>
          </cell>
          <cell r="BY556">
            <v>514.65</v>
          </cell>
          <cell r="CD556">
            <v>407.96</v>
          </cell>
          <cell r="CE556">
            <v>399.678</v>
          </cell>
          <cell r="CF556">
            <v>456.81</v>
          </cell>
          <cell r="CG556">
            <v>1350</v>
          </cell>
          <cell r="CH556">
            <v>975</v>
          </cell>
          <cell r="CI556">
            <v>130</v>
          </cell>
          <cell r="CJ556">
            <v>315</v>
          </cell>
          <cell r="CK556">
            <v>1040</v>
          </cell>
          <cell r="CM556">
            <v>230.96</v>
          </cell>
          <cell r="CN556">
            <v>21.89</v>
          </cell>
          <cell r="CO556" t="str">
            <v>#N/A N/A</v>
          </cell>
          <cell r="CQ556">
            <v>6.15</v>
          </cell>
          <cell r="CR556">
            <v>135</v>
          </cell>
          <cell r="CS556">
            <v>2862</v>
          </cell>
          <cell r="CU556">
            <v>820</v>
          </cell>
          <cell r="CW556">
            <v>56.859756097560982</v>
          </cell>
          <cell r="CX556">
            <v>674.53650000000005</v>
          </cell>
          <cell r="CZ556">
            <v>320.86</v>
          </cell>
          <cell r="DA556">
            <v>4107.6000000000004</v>
          </cell>
          <cell r="DB556">
            <v>11.88</v>
          </cell>
          <cell r="DC556">
            <v>368</v>
          </cell>
          <cell r="DD556">
            <v>109.75</v>
          </cell>
        </row>
        <row r="557">
          <cell r="A557">
            <v>39270</v>
          </cell>
          <cell r="C557">
            <v>38</v>
          </cell>
          <cell r="D557" t="str">
            <v>#N/A N/A</v>
          </cell>
          <cell r="E557">
            <v>15.58</v>
          </cell>
          <cell r="L557">
            <v>1861.01</v>
          </cell>
          <cell r="M557">
            <v>2666.51</v>
          </cell>
          <cell r="N557">
            <v>6690.1</v>
          </cell>
          <cell r="O557">
            <v>3924</v>
          </cell>
          <cell r="Q557">
            <v>540</v>
          </cell>
          <cell r="R557">
            <v>341.5</v>
          </cell>
          <cell r="S557">
            <v>610</v>
          </cell>
          <cell r="T557">
            <v>869.25</v>
          </cell>
          <cell r="U557">
            <v>18140.939999999999</v>
          </cell>
          <cell r="V557">
            <v>22531.74</v>
          </cell>
          <cell r="W557">
            <v>9188.31</v>
          </cell>
          <cell r="X557">
            <v>76.150000000000006</v>
          </cell>
          <cell r="Y557">
            <v>1040</v>
          </cell>
          <cell r="Z557">
            <v>1470</v>
          </cell>
          <cell r="AA557">
            <v>14964.12</v>
          </cell>
          <cell r="AB557">
            <v>6383</v>
          </cell>
          <cell r="AC557">
            <v>56443.730499999998</v>
          </cell>
          <cell r="AE557">
            <v>85.65</v>
          </cell>
          <cell r="AF557">
            <v>796.85</v>
          </cell>
          <cell r="AG557">
            <v>6201</v>
          </cell>
          <cell r="AH557">
            <v>980</v>
          </cell>
          <cell r="AI557">
            <v>1650</v>
          </cell>
          <cell r="AJ557">
            <v>811.06</v>
          </cell>
          <cell r="AL557">
            <v>1530.44</v>
          </cell>
          <cell r="AP557">
            <v>3781.348</v>
          </cell>
          <cell r="AV557">
            <v>65.2</v>
          </cell>
          <cell r="AZ557">
            <v>253.2</v>
          </cell>
          <cell r="BE557">
            <v>35475</v>
          </cell>
          <cell r="BG557">
            <v>67.2</v>
          </cell>
          <cell r="BH557">
            <v>389.97</v>
          </cell>
          <cell r="BY557">
            <v>514.65</v>
          </cell>
          <cell r="CD557">
            <v>407.96</v>
          </cell>
          <cell r="CE557">
            <v>399.678</v>
          </cell>
          <cell r="CF557">
            <v>456.81</v>
          </cell>
          <cell r="CG557">
            <v>1350</v>
          </cell>
          <cell r="CH557">
            <v>975</v>
          </cell>
          <cell r="CI557">
            <v>130</v>
          </cell>
          <cell r="CJ557">
            <v>315</v>
          </cell>
          <cell r="CK557">
            <v>1040</v>
          </cell>
          <cell r="CM557">
            <v>230.96</v>
          </cell>
          <cell r="CN557">
            <v>21.89</v>
          </cell>
          <cell r="CO557" t="str">
            <v>#N/A N/A</v>
          </cell>
          <cell r="CQ557">
            <v>6.15</v>
          </cell>
          <cell r="CR557">
            <v>135</v>
          </cell>
          <cell r="CS557">
            <v>2862</v>
          </cell>
          <cell r="CU557">
            <v>820</v>
          </cell>
          <cell r="CW557">
            <v>56.859756097560982</v>
          </cell>
          <cell r="CX557">
            <v>674.53650000000005</v>
          </cell>
          <cell r="CZ557">
            <v>320.86</v>
          </cell>
          <cell r="DA557">
            <v>4107.6000000000004</v>
          </cell>
          <cell r="DB557">
            <v>11.88</v>
          </cell>
          <cell r="DC557">
            <v>368</v>
          </cell>
          <cell r="DD557">
            <v>109.75</v>
          </cell>
        </row>
        <row r="558">
          <cell r="A558">
            <v>39271</v>
          </cell>
          <cell r="C558">
            <v>38</v>
          </cell>
          <cell r="D558" t="str">
            <v>#N/A N/A</v>
          </cell>
          <cell r="E558">
            <v>15.58</v>
          </cell>
          <cell r="L558">
            <v>1861.01</v>
          </cell>
          <cell r="M558">
            <v>2666.51</v>
          </cell>
          <cell r="N558">
            <v>6690.1</v>
          </cell>
          <cell r="O558">
            <v>3924</v>
          </cell>
          <cell r="Q558">
            <v>540</v>
          </cell>
          <cell r="R558">
            <v>341.5</v>
          </cell>
          <cell r="S558">
            <v>610</v>
          </cell>
          <cell r="T558">
            <v>869.25</v>
          </cell>
          <cell r="U558">
            <v>18140.939999999999</v>
          </cell>
          <cell r="V558">
            <v>22531.74</v>
          </cell>
          <cell r="W558">
            <v>9188.31</v>
          </cell>
          <cell r="X558">
            <v>76.150000000000006</v>
          </cell>
          <cell r="Y558">
            <v>1040</v>
          </cell>
          <cell r="Z558">
            <v>1470</v>
          </cell>
          <cell r="AA558">
            <v>14964.12</v>
          </cell>
          <cell r="AB558">
            <v>6383</v>
          </cell>
          <cell r="AC558">
            <v>56443.730499999998</v>
          </cell>
          <cell r="AE558">
            <v>85.65</v>
          </cell>
          <cell r="AF558">
            <v>796.85</v>
          </cell>
          <cell r="AG558">
            <v>6201</v>
          </cell>
          <cell r="AH558">
            <v>980</v>
          </cell>
          <cell r="AI558">
            <v>1650</v>
          </cell>
          <cell r="AJ558">
            <v>811.06</v>
          </cell>
          <cell r="AL558">
            <v>1530.44</v>
          </cell>
          <cell r="AP558">
            <v>3781.348</v>
          </cell>
          <cell r="AV558">
            <v>65.2</v>
          </cell>
          <cell r="AZ558">
            <v>253.2</v>
          </cell>
          <cell r="BE558">
            <v>35475</v>
          </cell>
          <cell r="BG558">
            <v>67.2</v>
          </cell>
          <cell r="BH558">
            <v>389.97</v>
          </cell>
          <cell r="BY558">
            <v>514.65</v>
          </cell>
          <cell r="CD558">
            <v>407.96</v>
          </cell>
          <cell r="CE558">
            <v>399.678</v>
          </cell>
          <cell r="CF558">
            <v>456.81</v>
          </cell>
          <cell r="CG558">
            <v>1350</v>
          </cell>
          <cell r="CH558">
            <v>975</v>
          </cell>
          <cell r="CI558">
            <v>130</v>
          </cell>
          <cell r="CJ558">
            <v>315</v>
          </cell>
          <cell r="CK558">
            <v>1040</v>
          </cell>
          <cell r="CM558">
            <v>230.96</v>
          </cell>
          <cell r="CN558">
            <v>21.89</v>
          </cell>
          <cell r="CO558" t="str">
            <v>#N/A N/A</v>
          </cell>
          <cell r="CQ558">
            <v>6.15</v>
          </cell>
          <cell r="CR558">
            <v>135</v>
          </cell>
          <cell r="CS558">
            <v>2862</v>
          </cell>
          <cell r="CU558">
            <v>820</v>
          </cell>
          <cell r="CW558">
            <v>56.859756097560982</v>
          </cell>
          <cell r="CX558">
            <v>674.53650000000005</v>
          </cell>
          <cell r="CZ558">
            <v>320.86</v>
          </cell>
          <cell r="DA558">
            <v>4107.6000000000004</v>
          </cell>
          <cell r="DB558">
            <v>11.88</v>
          </cell>
          <cell r="DC558">
            <v>368</v>
          </cell>
          <cell r="DD558">
            <v>109.75</v>
          </cell>
        </row>
        <row r="559">
          <cell r="A559">
            <v>39272</v>
          </cell>
          <cell r="C559">
            <v>38</v>
          </cell>
          <cell r="D559" t="str">
            <v>#N/A N/A</v>
          </cell>
          <cell r="E559">
            <v>16.18</v>
          </cell>
          <cell r="L559">
            <v>1883.59</v>
          </cell>
          <cell r="M559">
            <v>2670.02</v>
          </cell>
          <cell r="N559">
            <v>6712.7</v>
          </cell>
          <cell r="O559">
            <v>3914</v>
          </cell>
          <cell r="Q559">
            <v>540</v>
          </cell>
          <cell r="R559">
            <v>339.25</v>
          </cell>
          <cell r="S559">
            <v>599.5</v>
          </cell>
          <cell r="T559">
            <v>875.5</v>
          </cell>
          <cell r="U559">
            <v>18261.98</v>
          </cell>
          <cell r="V559">
            <v>22817.43</v>
          </cell>
          <cell r="W559">
            <v>9369.84</v>
          </cell>
          <cell r="X559">
            <v>76.150000000000006</v>
          </cell>
          <cell r="Y559">
            <v>1040</v>
          </cell>
          <cell r="Z559">
            <v>1470</v>
          </cell>
          <cell r="AA559">
            <v>15045.73</v>
          </cell>
          <cell r="AB559">
            <v>6429.5</v>
          </cell>
          <cell r="AC559">
            <v>56443.730499999998</v>
          </cell>
          <cell r="AE559">
            <v>85.8</v>
          </cell>
          <cell r="AF559">
            <v>796.85</v>
          </cell>
          <cell r="AG559">
            <v>6220</v>
          </cell>
          <cell r="AH559">
            <v>980</v>
          </cell>
          <cell r="AI559">
            <v>1650</v>
          </cell>
          <cell r="AJ559">
            <v>813.59</v>
          </cell>
          <cell r="AL559">
            <v>1531.85</v>
          </cell>
          <cell r="AP559">
            <v>3883.2159999999999</v>
          </cell>
          <cell r="AV559">
            <v>65.66</v>
          </cell>
          <cell r="AZ559">
            <v>256</v>
          </cell>
          <cell r="BE559">
            <v>34555</v>
          </cell>
          <cell r="BG559">
            <v>67.2</v>
          </cell>
          <cell r="BH559">
            <v>400.41</v>
          </cell>
          <cell r="BY559">
            <v>520.53</v>
          </cell>
          <cell r="CD559">
            <v>409.42</v>
          </cell>
          <cell r="CE559">
            <v>400.75400000000002</v>
          </cell>
          <cell r="CF559">
            <v>464.34</v>
          </cell>
          <cell r="CG559">
            <v>1350</v>
          </cell>
          <cell r="CH559">
            <v>975</v>
          </cell>
          <cell r="CI559">
            <v>130</v>
          </cell>
          <cell r="CJ559">
            <v>315</v>
          </cell>
          <cell r="CK559">
            <v>1046</v>
          </cell>
          <cell r="CM559">
            <v>234.46</v>
          </cell>
          <cell r="CN559">
            <v>21.41</v>
          </cell>
          <cell r="CO559" t="str">
            <v>#N/A N/A</v>
          </cell>
          <cell r="CQ559">
            <v>6.45</v>
          </cell>
          <cell r="CR559">
            <v>135</v>
          </cell>
          <cell r="CS559">
            <v>2950</v>
          </cell>
          <cell r="CU559">
            <v>820</v>
          </cell>
          <cell r="CW559">
            <v>57.850609756097562</v>
          </cell>
          <cell r="CX559">
            <v>674.28899999999999</v>
          </cell>
          <cell r="CZ559">
            <v>321.23</v>
          </cell>
          <cell r="DA559">
            <v>4129.8999999999996</v>
          </cell>
          <cell r="DB559">
            <v>11.77</v>
          </cell>
          <cell r="DC559">
            <v>368</v>
          </cell>
          <cell r="DD559">
            <v>109.4</v>
          </cell>
        </row>
        <row r="560">
          <cell r="A560">
            <v>39273</v>
          </cell>
          <cell r="C560">
            <v>38</v>
          </cell>
          <cell r="D560" t="str">
            <v>#N/A N/A</v>
          </cell>
          <cell r="E560">
            <v>16.82</v>
          </cell>
          <cell r="L560">
            <v>1894.53</v>
          </cell>
          <cell r="M560">
            <v>2639.16</v>
          </cell>
          <cell r="N560">
            <v>6630.9</v>
          </cell>
          <cell r="O560">
            <v>3899</v>
          </cell>
          <cell r="Q560">
            <v>540</v>
          </cell>
          <cell r="R560">
            <v>345.5</v>
          </cell>
          <cell r="S560">
            <v>601.75</v>
          </cell>
          <cell r="T560">
            <v>893.5</v>
          </cell>
          <cell r="U560">
            <v>18252.669999999998</v>
          </cell>
          <cell r="V560">
            <v>22885.84</v>
          </cell>
          <cell r="W560">
            <v>9384.73</v>
          </cell>
          <cell r="X560">
            <v>76.849999999999994</v>
          </cell>
          <cell r="Y560">
            <v>1040</v>
          </cell>
          <cell r="Z560">
            <v>1470</v>
          </cell>
          <cell r="AA560">
            <v>15009.88</v>
          </cell>
          <cell r="AB560">
            <v>6397.8</v>
          </cell>
          <cell r="AC560">
            <v>55882.699200000003</v>
          </cell>
          <cell r="AE560">
            <v>86.45</v>
          </cell>
          <cell r="AF560">
            <v>798.7</v>
          </cell>
          <cell r="AG560">
            <v>6301</v>
          </cell>
          <cell r="AH560">
            <v>980</v>
          </cell>
          <cell r="AI560">
            <v>1650</v>
          </cell>
          <cell r="AJ560">
            <v>814.85</v>
          </cell>
          <cell r="AL560">
            <v>1510.12</v>
          </cell>
          <cell r="AP560">
            <v>3853.0210000000002</v>
          </cell>
          <cell r="AV560">
            <v>64.790000000000006</v>
          </cell>
          <cell r="AZ560">
            <v>254.9</v>
          </cell>
          <cell r="BE560">
            <v>32805</v>
          </cell>
          <cell r="BG560">
            <v>67.2</v>
          </cell>
          <cell r="BH560">
            <v>398.03</v>
          </cell>
          <cell r="BY560">
            <v>516.54999999999995</v>
          </cell>
          <cell r="CD560">
            <v>406.4</v>
          </cell>
          <cell r="CE560">
            <v>397.60199999999998</v>
          </cell>
          <cell r="CF560">
            <v>466.22</v>
          </cell>
          <cell r="CG560">
            <v>1350</v>
          </cell>
          <cell r="CH560">
            <v>975</v>
          </cell>
          <cell r="CI560">
            <v>130</v>
          </cell>
          <cell r="CJ560">
            <v>315</v>
          </cell>
          <cell r="CK560">
            <v>1057</v>
          </cell>
          <cell r="CM560">
            <v>236.94</v>
          </cell>
          <cell r="CN560">
            <v>21.09</v>
          </cell>
          <cell r="CO560" t="str">
            <v>#N/A N/A</v>
          </cell>
          <cell r="CQ560">
            <v>6.44</v>
          </cell>
          <cell r="CR560">
            <v>135</v>
          </cell>
          <cell r="CS560">
            <v>2941</v>
          </cell>
          <cell r="CU560">
            <v>820</v>
          </cell>
          <cell r="CW560">
            <v>57.240853658536587</v>
          </cell>
          <cell r="CX560">
            <v>678.69449999999995</v>
          </cell>
          <cell r="CZ560">
            <v>323.04000000000002</v>
          </cell>
          <cell r="DA560">
            <v>4076.5</v>
          </cell>
          <cell r="DB560">
            <v>12.01</v>
          </cell>
          <cell r="DC560">
            <v>368</v>
          </cell>
          <cell r="DD560">
            <v>111.15</v>
          </cell>
        </row>
        <row r="561">
          <cell r="A561">
            <v>39274</v>
          </cell>
          <cell r="C561">
            <v>38</v>
          </cell>
          <cell r="D561" t="str">
            <v>#N/A N/A</v>
          </cell>
          <cell r="E561">
            <v>16.77</v>
          </cell>
          <cell r="L561">
            <v>1889.96</v>
          </cell>
          <cell r="M561">
            <v>2651.79</v>
          </cell>
          <cell r="N561">
            <v>6615.1</v>
          </cell>
          <cell r="O561">
            <v>3893</v>
          </cell>
          <cell r="Q561">
            <v>540</v>
          </cell>
          <cell r="R561">
            <v>343</v>
          </cell>
          <cell r="S561">
            <v>622</v>
          </cell>
          <cell r="T561">
            <v>896</v>
          </cell>
          <cell r="U561">
            <v>18049.509999999998</v>
          </cell>
          <cell r="V561">
            <v>22607.02</v>
          </cell>
          <cell r="W561">
            <v>9290.9500000000007</v>
          </cell>
          <cell r="X561">
            <v>77.45</v>
          </cell>
          <cell r="Y561">
            <v>1040</v>
          </cell>
          <cell r="Z561">
            <v>1470</v>
          </cell>
          <cell r="AA561">
            <v>14910.62</v>
          </cell>
          <cell r="AB561">
            <v>6363.2</v>
          </cell>
          <cell r="AC561">
            <v>56356.128900000003</v>
          </cell>
          <cell r="AE561">
            <v>87.55</v>
          </cell>
          <cell r="AF561">
            <v>798.7</v>
          </cell>
          <cell r="AG561">
            <v>6484</v>
          </cell>
          <cell r="AH561">
            <v>980</v>
          </cell>
          <cell r="AI561">
            <v>1650</v>
          </cell>
          <cell r="AJ561">
            <v>820.02</v>
          </cell>
          <cell r="AL561">
            <v>1518.76</v>
          </cell>
          <cell r="AP561">
            <v>3865.723</v>
          </cell>
          <cell r="AV561">
            <v>65.489999999999995</v>
          </cell>
          <cell r="AZ561">
            <v>251.7</v>
          </cell>
          <cell r="BE561">
            <v>33570</v>
          </cell>
          <cell r="BG561">
            <v>67.2</v>
          </cell>
          <cell r="BH561">
            <v>395.13</v>
          </cell>
          <cell r="BY561">
            <v>516</v>
          </cell>
          <cell r="CD561">
            <v>406.81</v>
          </cell>
          <cell r="CE561">
            <v>398.14100000000002</v>
          </cell>
          <cell r="CF561">
            <v>461.65</v>
          </cell>
          <cell r="CG561">
            <v>1350</v>
          </cell>
          <cell r="CH561">
            <v>975</v>
          </cell>
          <cell r="CI561">
            <v>130</v>
          </cell>
          <cell r="CJ561">
            <v>315</v>
          </cell>
          <cell r="CK561">
            <v>1059</v>
          </cell>
          <cell r="CM561">
            <v>230.63</v>
          </cell>
          <cell r="CN561">
            <v>19.13</v>
          </cell>
          <cell r="CO561" t="str">
            <v>#N/A N/A</v>
          </cell>
          <cell r="CQ561">
            <v>6.66</v>
          </cell>
          <cell r="CR561">
            <v>133</v>
          </cell>
          <cell r="CS561">
            <v>2995</v>
          </cell>
          <cell r="CU561">
            <v>820</v>
          </cell>
          <cell r="CW561">
            <v>58.079268292682933</v>
          </cell>
          <cell r="CX561">
            <v>681.4665</v>
          </cell>
          <cell r="CZ561">
            <v>322.87</v>
          </cell>
          <cell r="DA561">
            <v>4119.7</v>
          </cell>
          <cell r="DB561">
            <v>12.02</v>
          </cell>
          <cell r="DC561">
            <v>368</v>
          </cell>
          <cell r="DD561">
            <v>111.85</v>
          </cell>
        </row>
        <row r="562">
          <cell r="A562">
            <v>39275</v>
          </cell>
          <cell r="C562">
            <v>38</v>
          </cell>
          <cell r="D562" t="str">
            <v>#N/A N/A</v>
          </cell>
          <cell r="E562">
            <v>16.77</v>
          </cell>
          <cell r="L562">
            <v>1909.75</v>
          </cell>
          <cell r="M562">
            <v>2701.73</v>
          </cell>
          <cell r="N562">
            <v>6697.7</v>
          </cell>
          <cell r="O562">
            <v>3883</v>
          </cell>
          <cell r="Q562">
            <v>540</v>
          </cell>
          <cell r="R562">
            <v>351.5</v>
          </cell>
          <cell r="S562">
            <v>621.5</v>
          </cell>
          <cell r="T562">
            <v>914.5</v>
          </cell>
          <cell r="U562">
            <v>17984.14</v>
          </cell>
          <cell r="V562">
            <v>22809.02</v>
          </cell>
          <cell r="W562">
            <v>9354.41</v>
          </cell>
          <cell r="X562">
            <v>77.05</v>
          </cell>
          <cell r="Y562">
            <v>1040</v>
          </cell>
          <cell r="Z562">
            <v>1470</v>
          </cell>
          <cell r="AA562">
            <v>15092.04</v>
          </cell>
          <cell r="AB562">
            <v>6400.1</v>
          </cell>
          <cell r="AC562">
            <v>57613.050799999997</v>
          </cell>
          <cell r="AE562">
            <v>87.15</v>
          </cell>
          <cell r="AF562">
            <v>798.7</v>
          </cell>
          <cell r="AG562">
            <v>6656</v>
          </cell>
          <cell r="AH562">
            <v>980</v>
          </cell>
          <cell r="AI562">
            <v>1650</v>
          </cell>
          <cell r="AJ562">
            <v>828.22</v>
          </cell>
          <cell r="AL562">
            <v>1547.7</v>
          </cell>
          <cell r="AP562">
            <v>3915.991</v>
          </cell>
          <cell r="AV562">
            <v>67.5</v>
          </cell>
          <cell r="AZ562">
            <v>254.5</v>
          </cell>
          <cell r="BE562">
            <v>33395</v>
          </cell>
          <cell r="BG562">
            <v>67.2</v>
          </cell>
          <cell r="BH562">
            <v>395.19</v>
          </cell>
          <cell r="BY562">
            <v>530.96</v>
          </cell>
          <cell r="CD562">
            <v>412.16</v>
          </cell>
          <cell r="CE562">
            <v>403.31299999999999</v>
          </cell>
          <cell r="CF562">
            <v>465.31</v>
          </cell>
          <cell r="CG562">
            <v>1350</v>
          </cell>
          <cell r="CH562">
            <v>975</v>
          </cell>
          <cell r="CI562">
            <v>130</v>
          </cell>
          <cell r="CJ562">
            <v>315</v>
          </cell>
          <cell r="CK562">
            <v>1061</v>
          </cell>
          <cell r="CM562">
            <v>226.63</v>
          </cell>
          <cell r="CN562">
            <v>19.100000000000001</v>
          </cell>
          <cell r="CO562" t="str">
            <v>#N/A N/A</v>
          </cell>
          <cell r="CQ562">
            <v>6.25</v>
          </cell>
          <cell r="CR562">
            <v>133</v>
          </cell>
          <cell r="CS562">
            <v>2995.5</v>
          </cell>
          <cell r="CU562">
            <v>820</v>
          </cell>
          <cell r="CW562">
            <v>57.850609756097562</v>
          </cell>
          <cell r="CX562">
            <v>682.30799999999999</v>
          </cell>
          <cell r="CZ562">
            <v>322.95999999999998</v>
          </cell>
          <cell r="DA562">
            <v>4077.7</v>
          </cell>
          <cell r="DB562">
            <v>11.95</v>
          </cell>
          <cell r="DC562">
            <v>368</v>
          </cell>
          <cell r="DD562">
            <v>111.4</v>
          </cell>
        </row>
        <row r="563">
          <cell r="A563">
            <v>39276</v>
          </cell>
          <cell r="C563">
            <v>38</v>
          </cell>
          <cell r="D563" t="str">
            <v>#N/A N/A</v>
          </cell>
          <cell r="E563">
            <v>16.670000000000002</v>
          </cell>
          <cell r="L563">
            <v>1962.93</v>
          </cell>
          <cell r="M563">
            <v>2707</v>
          </cell>
          <cell r="N563">
            <v>6716.7</v>
          </cell>
          <cell r="O563">
            <v>3883</v>
          </cell>
          <cell r="Q563">
            <v>540</v>
          </cell>
          <cell r="R563">
            <v>354.75</v>
          </cell>
          <cell r="S563">
            <v>620.75</v>
          </cell>
          <cell r="T563">
            <v>921.75</v>
          </cell>
          <cell r="U563">
            <v>18238.95</v>
          </cell>
          <cell r="V563">
            <v>23099.29</v>
          </cell>
          <cell r="W563">
            <v>9471.2999999999993</v>
          </cell>
          <cell r="X563">
            <v>76.95</v>
          </cell>
          <cell r="Y563">
            <v>1090</v>
          </cell>
          <cell r="Z563">
            <v>1480</v>
          </cell>
          <cell r="AA563">
            <v>15272.72</v>
          </cell>
          <cell r="AB563">
            <v>6425.4</v>
          </cell>
          <cell r="AC563">
            <v>57644.160199999998</v>
          </cell>
          <cell r="AE563">
            <v>88.05</v>
          </cell>
          <cell r="AF563">
            <v>798.7</v>
          </cell>
          <cell r="AG563">
            <v>6706</v>
          </cell>
          <cell r="AH563">
            <v>1000</v>
          </cell>
          <cell r="AI563">
            <v>1680</v>
          </cell>
          <cell r="AJ563">
            <v>825.4</v>
          </cell>
          <cell r="AL563">
            <v>1552.5</v>
          </cell>
          <cell r="AP563">
            <v>3914.395</v>
          </cell>
          <cell r="AV563">
            <v>68.599999999999994</v>
          </cell>
          <cell r="AZ563">
            <v>254.9</v>
          </cell>
          <cell r="BE563">
            <v>32705</v>
          </cell>
          <cell r="BG563">
            <v>67</v>
          </cell>
          <cell r="BH563">
            <v>400.5</v>
          </cell>
          <cell r="BY563">
            <v>529.89</v>
          </cell>
          <cell r="CD563">
            <v>414.66</v>
          </cell>
          <cell r="CE563">
            <v>405.41699999999997</v>
          </cell>
          <cell r="CF563">
            <v>475.28</v>
          </cell>
          <cell r="CG563">
            <v>1360</v>
          </cell>
          <cell r="CH563">
            <v>980</v>
          </cell>
          <cell r="CI563">
            <v>130</v>
          </cell>
          <cell r="CJ563">
            <v>315</v>
          </cell>
          <cell r="CK563">
            <v>1063</v>
          </cell>
          <cell r="CM563">
            <v>222.48</v>
          </cell>
          <cell r="CN563">
            <v>19.73</v>
          </cell>
          <cell r="CO563" t="str">
            <v>#N/A N/A</v>
          </cell>
          <cell r="CQ563">
            <v>6.27</v>
          </cell>
          <cell r="CR563">
            <v>133</v>
          </cell>
          <cell r="CS563">
            <v>3044.5</v>
          </cell>
          <cell r="CU563">
            <v>845</v>
          </cell>
          <cell r="CW563">
            <v>58.155487804878049</v>
          </cell>
          <cell r="CX563">
            <v>682.65449999999998</v>
          </cell>
          <cell r="CZ563">
            <v>325.08999999999997</v>
          </cell>
          <cell r="DA563">
            <v>4087.3</v>
          </cell>
          <cell r="DB563">
            <v>12.37</v>
          </cell>
          <cell r="DC563">
            <v>368</v>
          </cell>
          <cell r="DD563">
            <v>109.75</v>
          </cell>
        </row>
        <row r="564">
          <cell r="A564">
            <v>39277</v>
          </cell>
          <cell r="C564">
            <v>38</v>
          </cell>
          <cell r="D564" t="str">
            <v>#N/A N/A</v>
          </cell>
          <cell r="E564">
            <v>16.670000000000002</v>
          </cell>
          <cell r="L564">
            <v>1962.93</v>
          </cell>
          <cell r="M564">
            <v>2707</v>
          </cell>
          <cell r="N564">
            <v>6716.7</v>
          </cell>
          <cell r="O564">
            <v>3883</v>
          </cell>
          <cell r="Q564">
            <v>540</v>
          </cell>
          <cell r="R564">
            <v>354.75</v>
          </cell>
          <cell r="S564">
            <v>620.75</v>
          </cell>
          <cell r="T564">
            <v>921.75</v>
          </cell>
          <cell r="U564">
            <v>18238.95</v>
          </cell>
          <cell r="V564">
            <v>23099.29</v>
          </cell>
          <cell r="W564">
            <v>9471.2999999999993</v>
          </cell>
          <cell r="X564">
            <v>76.95</v>
          </cell>
          <cell r="Y564">
            <v>1090</v>
          </cell>
          <cell r="Z564">
            <v>1480</v>
          </cell>
          <cell r="AA564">
            <v>15272.72</v>
          </cell>
          <cell r="AB564">
            <v>6425.4</v>
          </cell>
          <cell r="AC564">
            <v>57644.160199999998</v>
          </cell>
          <cell r="AE564">
            <v>88.05</v>
          </cell>
          <cell r="AF564">
            <v>798.7</v>
          </cell>
          <cell r="AG564">
            <v>6706</v>
          </cell>
          <cell r="AH564">
            <v>1000</v>
          </cell>
          <cell r="AI564">
            <v>1680</v>
          </cell>
          <cell r="AJ564">
            <v>825.4</v>
          </cell>
          <cell r="AL564">
            <v>1552.5</v>
          </cell>
          <cell r="AP564">
            <v>3914.395</v>
          </cell>
          <cell r="AV564">
            <v>68.599999999999994</v>
          </cell>
          <cell r="AZ564">
            <v>254.9</v>
          </cell>
          <cell r="BE564">
            <v>32705</v>
          </cell>
          <cell r="BG564">
            <v>67</v>
          </cell>
          <cell r="BH564">
            <v>400.5</v>
          </cell>
          <cell r="BY564">
            <v>529.89</v>
          </cell>
          <cell r="CD564">
            <v>414.66</v>
          </cell>
          <cell r="CE564">
            <v>405.41699999999997</v>
          </cell>
          <cell r="CF564">
            <v>475.28</v>
          </cell>
          <cell r="CG564">
            <v>1360</v>
          </cell>
          <cell r="CH564">
            <v>980</v>
          </cell>
          <cell r="CI564">
            <v>130</v>
          </cell>
          <cell r="CJ564">
            <v>315</v>
          </cell>
          <cell r="CK564">
            <v>1063</v>
          </cell>
          <cell r="CM564">
            <v>222.48</v>
          </cell>
          <cell r="CN564">
            <v>19.73</v>
          </cell>
          <cell r="CO564" t="str">
            <v>#N/A N/A</v>
          </cell>
          <cell r="CQ564">
            <v>6.27</v>
          </cell>
          <cell r="CR564">
            <v>133</v>
          </cell>
          <cell r="CS564">
            <v>3044.5</v>
          </cell>
          <cell r="CU564">
            <v>845</v>
          </cell>
          <cell r="CW564">
            <v>58.155487804878049</v>
          </cell>
          <cell r="CX564">
            <v>682.65449999999998</v>
          </cell>
          <cell r="CZ564">
            <v>325.08999999999997</v>
          </cell>
          <cell r="DA564">
            <v>4087.3</v>
          </cell>
          <cell r="DB564">
            <v>12.37</v>
          </cell>
          <cell r="DC564">
            <v>368</v>
          </cell>
          <cell r="DD564">
            <v>109.75</v>
          </cell>
        </row>
        <row r="565">
          <cell r="A565">
            <v>39278</v>
          </cell>
          <cell r="C565">
            <v>38</v>
          </cell>
          <cell r="D565" t="str">
            <v>#N/A N/A</v>
          </cell>
          <cell r="E565">
            <v>16.670000000000002</v>
          </cell>
          <cell r="L565">
            <v>1962.93</v>
          </cell>
          <cell r="M565">
            <v>2707</v>
          </cell>
          <cell r="N565">
            <v>6716.7</v>
          </cell>
          <cell r="O565">
            <v>3883</v>
          </cell>
          <cell r="Q565">
            <v>540</v>
          </cell>
          <cell r="R565">
            <v>354.75</v>
          </cell>
          <cell r="S565">
            <v>620.75</v>
          </cell>
          <cell r="T565">
            <v>921.75</v>
          </cell>
          <cell r="U565">
            <v>18238.95</v>
          </cell>
          <cell r="V565">
            <v>23099.29</v>
          </cell>
          <cell r="W565">
            <v>9471.2999999999993</v>
          </cell>
          <cell r="X565">
            <v>76.95</v>
          </cell>
          <cell r="Y565">
            <v>1090</v>
          </cell>
          <cell r="Z565">
            <v>1480</v>
          </cell>
          <cell r="AA565">
            <v>15272.72</v>
          </cell>
          <cell r="AB565">
            <v>6425.4</v>
          </cell>
          <cell r="AC565">
            <v>57644.160199999998</v>
          </cell>
          <cell r="AE565">
            <v>88.05</v>
          </cell>
          <cell r="AF565">
            <v>798.7</v>
          </cell>
          <cell r="AG565">
            <v>6706</v>
          </cell>
          <cell r="AH565">
            <v>1000</v>
          </cell>
          <cell r="AI565">
            <v>1680</v>
          </cell>
          <cell r="AJ565">
            <v>825.4</v>
          </cell>
          <cell r="AL565">
            <v>1552.5</v>
          </cell>
          <cell r="AP565">
            <v>3914.395</v>
          </cell>
          <cell r="AV565">
            <v>68.599999999999994</v>
          </cell>
          <cell r="AZ565">
            <v>254.9</v>
          </cell>
          <cell r="BE565">
            <v>32705</v>
          </cell>
          <cell r="BG565">
            <v>67</v>
          </cell>
          <cell r="BH565">
            <v>400.5</v>
          </cell>
          <cell r="BY565">
            <v>529.89</v>
          </cell>
          <cell r="CD565">
            <v>414.66</v>
          </cell>
          <cell r="CE565">
            <v>405.41699999999997</v>
          </cell>
          <cell r="CF565">
            <v>475.28</v>
          </cell>
          <cell r="CG565">
            <v>1360</v>
          </cell>
          <cell r="CH565">
            <v>980</v>
          </cell>
          <cell r="CI565">
            <v>130</v>
          </cell>
          <cell r="CJ565">
            <v>315</v>
          </cell>
          <cell r="CK565">
            <v>1063</v>
          </cell>
          <cell r="CM565">
            <v>222.48</v>
          </cell>
          <cell r="CN565">
            <v>19.73</v>
          </cell>
          <cell r="CO565" t="str">
            <v>#N/A N/A</v>
          </cell>
          <cell r="CQ565">
            <v>6.27</v>
          </cell>
          <cell r="CR565">
            <v>133</v>
          </cell>
          <cell r="CS565">
            <v>3044.5</v>
          </cell>
          <cell r="CU565">
            <v>845</v>
          </cell>
          <cell r="CW565">
            <v>58.155487804878049</v>
          </cell>
          <cell r="CX565">
            <v>682.65449999999998</v>
          </cell>
          <cell r="CZ565">
            <v>325.08999999999997</v>
          </cell>
          <cell r="DA565">
            <v>4087.3</v>
          </cell>
          <cell r="DB565">
            <v>12.37</v>
          </cell>
          <cell r="DC565">
            <v>368</v>
          </cell>
          <cell r="DD565">
            <v>109.75</v>
          </cell>
        </row>
        <row r="566">
          <cell r="A566">
            <v>39279</v>
          </cell>
          <cell r="C566">
            <v>38</v>
          </cell>
          <cell r="D566" t="str">
            <v>#N/A N/A</v>
          </cell>
          <cell r="E566">
            <v>16.77</v>
          </cell>
          <cell r="L566">
            <v>1949.51</v>
          </cell>
          <cell r="M566">
            <v>2697.33</v>
          </cell>
          <cell r="N566">
            <v>6697.7</v>
          </cell>
          <cell r="O566">
            <v>3895</v>
          </cell>
          <cell r="Q566">
            <v>540</v>
          </cell>
          <cell r="R566">
            <v>334.75</v>
          </cell>
          <cell r="S566">
            <v>601.75</v>
          </cell>
          <cell r="T566">
            <v>871.75</v>
          </cell>
          <cell r="U566">
            <v>18238.95</v>
          </cell>
          <cell r="V566">
            <v>22953.94</v>
          </cell>
          <cell r="W566">
            <v>9417.32</v>
          </cell>
          <cell r="X566">
            <v>76.75</v>
          </cell>
          <cell r="Y566">
            <v>1090</v>
          </cell>
          <cell r="Z566">
            <v>1480</v>
          </cell>
          <cell r="AA566">
            <v>15311.22</v>
          </cell>
          <cell r="AB566">
            <v>6418.4</v>
          </cell>
          <cell r="AC566">
            <v>57374.398399999998</v>
          </cell>
          <cell r="AE566">
            <v>89.45</v>
          </cell>
          <cell r="AF566">
            <v>798.7</v>
          </cell>
          <cell r="AG566">
            <v>6692</v>
          </cell>
          <cell r="AH566">
            <v>1000</v>
          </cell>
          <cell r="AI566">
            <v>1680</v>
          </cell>
          <cell r="AJ566">
            <v>819.91</v>
          </cell>
          <cell r="AL566">
            <v>1549.52</v>
          </cell>
          <cell r="AP566">
            <v>3821.9160000000002</v>
          </cell>
          <cell r="AV566">
            <v>67.650000000000006</v>
          </cell>
          <cell r="AZ566">
            <v>254.9</v>
          </cell>
          <cell r="BE566">
            <v>32105</v>
          </cell>
          <cell r="BG566">
            <v>67</v>
          </cell>
          <cell r="BH566">
            <v>394.74</v>
          </cell>
          <cell r="BY566">
            <v>530.91</v>
          </cell>
          <cell r="CD566">
            <v>414.29</v>
          </cell>
          <cell r="CE566">
            <v>405.233</v>
          </cell>
          <cell r="CF566">
            <v>471.01</v>
          </cell>
          <cell r="CG566">
            <v>1360</v>
          </cell>
          <cell r="CH566">
            <v>980</v>
          </cell>
          <cell r="CI566">
            <v>130</v>
          </cell>
          <cell r="CJ566">
            <v>315</v>
          </cell>
          <cell r="CK566">
            <v>1062</v>
          </cell>
          <cell r="CM566">
            <v>212.62</v>
          </cell>
          <cell r="CN566">
            <v>19.37</v>
          </cell>
          <cell r="CO566" t="str">
            <v>#N/A N/A</v>
          </cell>
          <cell r="CQ566">
            <v>6.33</v>
          </cell>
          <cell r="CR566">
            <v>133</v>
          </cell>
          <cell r="CS566">
            <v>3112</v>
          </cell>
          <cell r="CU566">
            <v>845</v>
          </cell>
          <cell r="CW566">
            <v>58.003048780487809</v>
          </cell>
          <cell r="CX566">
            <v>682.06049999999993</v>
          </cell>
          <cell r="CZ566">
            <v>320.64</v>
          </cell>
          <cell r="DA566">
            <v>4050.8</v>
          </cell>
          <cell r="DB566">
            <v>12.18</v>
          </cell>
          <cell r="DC566">
            <v>368</v>
          </cell>
          <cell r="DD566">
            <v>111.75</v>
          </cell>
        </row>
        <row r="567">
          <cell r="A567">
            <v>39280</v>
          </cell>
          <cell r="C567">
            <v>38</v>
          </cell>
          <cell r="D567" t="str">
            <v>#N/A N/A</v>
          </cell>
          <cell r="E567">
            <v>16.600000000000001</v>
          </cell>
          <cell r="L567">
            <v>1949.51</v>
          </cell>
          <cell r="M567">
            <v>2712.29</v>
          </cell>
          <cell r="N567">
            <v>6659.1</v>
          </cell>
          <cell r="O567">
            <v>3891</v>
          </cell>
          <cell r="Q567">
            <v>540</v>
          </cell>
          <cell r="R567">
            <v>322.5</v>
          </cell>
          <cell r="S567">
            <v>601.25</v>
          </cell>
          <cell r="T567">
            <v>833.75</v>
          </cell>
          <cell r="U567">
            <v>18217.27</v>
          </cell>
          <cell r="V567">
            <v>23057.3</v>
          </cell>
          <cell r="W567">
            <v>9509.73</v>
          </cell>
          <cell r="X567">
            <v>74.45</v>
          </cell>
          <cell r="Y567">
            <v>1090</v>
          </cell>
          <cell r="Z567">
            <v>1480</v>
          </cell>
          <cell r="AA567">
            <v>15289.82</v>
          </cell>
          <cell r="AB567">
            <v>6418.2</v>
          </cell>
          <cell r="AC567">
            <v>57659.648399999998</v>
          </cell>
          <cell r="AE567">
            <v>87.85</v>
          </cell>
          <cell r="AF567">
            <v>799</v>
          </cell>
          <cell r="AG567">
            <v>6637</v>
          </cell>
          <cell r="AH567">
            <v>1000</v>
          </cell>
          <cell r="AI567">
            <v>1680</v>
          </cell>
          <cell r="AJ567">
            <v>819.91</v>
          </cell>
          <cell r="AL567">
            <v>1549.37</v>
          </cell>
          <cell r="AP567">
            <v>3896.1909999999998</v>
          </cell>
          <cell r="AV567">
            <v>67.7</v>
          </cell>
          <cell r="AZ567">
            <v>249.6</v>
          </cell>
          <cell r="BE567">
            <v>32065</v>
          </cell>
          <cell r="BG567">
            <v>67</v>
          </cell>
          <cell r="BH567">
            <v>393.79</v>
          </cell>
          <cell r="BY567">
            <v>546.59</v>
          </cell>
          <cell r="CD567">
            <v>413.79</v>
          </cell>
          <cell r="CE567">
            <v>404.69600000000003</v>
          </cell>
          <cell r="CF567">
            <v>472.11</v>
          </cell>
          <cell r="CG567">
            <v>1360</v>
          </cell>
          <cell r="CH567">
            <v>980</v>
          </cell>
          <cell r="CI567">
            <v>130</v>
          </cell>
          <cell r="CJ567">
            <v>315</v>
          </cell>
          <cell r="CK567">
            <v>1065</v>
          </cell>
          <cell r="CM567">
            <v>210.07</v>
          </cell>
          <cell r="CN567">
            <v>19.37</v>
          </cell>
          <cell r="CO567" t="str">
            <v>#N/A N/A</v>
          </cell>
          <cell r="CQ567">
            <v>6.34</v>
          </cell>
          <cell r="CR567">
            <v>133</v>
          </cell>
          <cell r="CS567">
            <v>3236</v>
          </cell>
          <cell r="CU567">
            <v>845</v>
          </cell>
          <cell r="CW567">
            <v>57.621951219512198</v>
          </cell>
          <cell r="CX567">
            <v>682.30799999999999</v>
          </cell>
          <cell r="CZ567">
            <v>318.58999999999997</v>
          </cell>
          <cell r="DA567">
            <v>4055.8</v>
          </cell>
          <cell r="DB567">
            <v>12.12</v>
          </cell>
          <cell r="DC567">
            <v>368</v>
          </cell>
          <cell r="DD567">
            <v>112.45</v>
          </cell>
        </row>
        <row r="568">
          <cell r="A568">
            <v>39281</v>
          </cell>
          <cell r="C568">
            <v>38</v>
          </cell>
          <cell r="D568" t="str">
            <v>#N/A N/A</v>
          </cell>
          <cell r="E568">
            <v>14.17</v>
          </cell>
          <cell r="L568">
            <v>1930.7</v>
          </cell>
          <cell r="M568">
            <v>2699.49</v>
          </cell>
          <cell r="N568">
            <v>6567.1</v>
          </cell>
          <cell r="O568">
            <v>3904</v>
          </cell>
          <cell r="Q568">
            <v>540</v>
          </cell>
          <cell r="R568">
            <v>327</v>
          </cell>
          <cell r="S568">
            <v>623.5</v>
          </cell>
          <cell r="T568">
            <v>851.25</v>
          </cell>
          <cell r="U568">
            <v>18015.580000000002</v>
          </cell>
          <cell r="V568">
            <v>22841.919999999998</v>
          </cell>
          <cell r="W568">
            <v>9485.35</v>
          </cell>
          <cell r="X568">
            <v>73.45</v>
          </cell>
          <cell r="Y568">
            <v>1090</v>
          </cell>
          <cell r="Z568">
            <v>1480</v>
          </cell>
          <cell r="AA568">
            <v>15301.17</v>
          </cell>
          <cell r="AB568">
            <v>6367.2</v>
          </cell>
          <cell r="AC568">
            <v>57555.851600000002</v>
          </cell>
          <cell r="AE568">
            <v>87.15</v>
          </cell>
          <cell r="AF568">
            <v>799</v>
          </cell>
          <cell r="AG568">
            <v>6582</v>
          </cell>
          <cell r="AH568">
            <v>1000</v>
          </cell>
          <cell r="AI568">
            <v>1680</v>
          </cell>
          <cell r="AJ568">
            <v>818.92</v>
          </cell>
          <cell r="AL568">
            <v>1546.17</v>
          </cell>
          <cell r="AP568">
            <v>3930.06</v>
          </cell>
          <cell r="AV568">
            <v>66.75</v>
          </cell>
          <cell r="AZ568">
            <v>249.3</v>
          </cell>
          <cell r="BE568">
            <v>32815</v>
          </cell>
          <cell r="BG568">
            <v>67</v>
          </cell>
          <cell r="BH568">
            <v>389.94</v>
          </cell>
          <cell r="BY568">
            <v>539.27</v>
          </cell>
          <cell r="CD568">
            <v>411.71</v>
          </cell>
          <cell r="CE568">
            <v>402.75099999999998</v>
          </cell>
          <cell r="CF568">
            <v>466.87</v>
          </cell>
          <cell r="CG568">
            <v>1360</v>
          </cell>
          <cell r="CH568">
            <v>980</v>
          </cell>
          <cell r="CI568">
            <v>130</v>
          </cell>
          <cell r="CJ568">
            <v>315</v>
          </cell>
          <cell r="CK568">
            <v>1068</v>
          </cell>
          <cell r="CM568">
            <v>219.53</v>
          </cell>
          <cell r="CN568">
            <v>19.18</v>
          </cell>
          <cell r="CO568" t="str">
            <v>#N/A N/A</v>
          </cell>
          <cell r="CQ568">
            <v>6.26</v>
          </cell>
          <cell r="CR568">
            <v>129</v>
          </cell>
          <cell r="CS568">
            <v>3262</v>
          </cell>
          <cell r="CU568">
            <v>845</v>
          </cell>
          <cell r="CW568">
            <v>58.460365853658537</v>
          </cell>
          <cell r="CX568">
            <v>683.34749999999997</v>
          </cell>
          <cell r="CZ568">
            <v>323.60000000000002</v>
          </cell>
          <cell r="DA568">
            <v>4082.6</v>
          </cell>
          <cell r="DB568">
            <v>12.44</v>
          </cell>
          <cell r="DC568">
            <v>368</v>
          </cell>
          <cell r="DD568">
            <v>114</v>
          </cell>
        </row>
        <row r="569">
          <cell r="A569">
            <v>39282</v>
          </cell>
          <cell r="C569">
            <v>28</v>
          </cell>
          <cell r="D569" t="str">
            <v>#N/A N/A</v>
          </cell>
          <cell r="E569">
            <v>16.32</v>
          </cell>
          <cell r="L569">
            <v>1937.9</v>
          </cell>
          <cell r="M569">
            <v>2720.04</v>
          </cell>
          <cell r="N569">
            <v>6640.2</v>
          </cell>
          <cell r="O569">
            <v>3906</v>
          </cell>
          <cell r="Q569">
            <v>540</v>
          </cell>
          <cell r="R569">
            <v>321.25</v>
          </cell>
          <cell r="S569">
            <v>620</v>
          </cell>
          <cell r="T569">
            <v>856</v>
          </cell>
          <cell r="U569">
            <v>18116.57</v>
          </cell>
          <cell r="V569">
            <v>23016.2</v>
          </cell>
          <cell r="W569">
            <v>9473.31</v>
          </cell>
          <cell r="X569">
            <v>75.650000000000006</v>
          </cell>
          <cell r="Y569">
            <v>1090</v>
          </cell>
          <cell r="Z569">
            <v>1480</v>
          </cell>
          <cell r="AA569">
            <v>15550.13</v>
          </cell>
          <cell r="AB569">
            <v>6419</v>
          </cell>
          <cell r="AC569">
            <v>58124.570299999999</v>
          </cell>
          <cell r="AE569">
            <v>89.05</v>
          </cell>
          <cell r="AF569">
            <v>799</v>
          </cell>
          <cell r="AG569">
            <v>6567</v>
          </cell>
          <cell r="AH569">
            <v>1000</v>
          </cell>
          <cell r="AI569">
            <v>1680</v>
          </cell>
          <cell r="AJ569">
            <v>819.32</v>
          </cell>
          <cell r="AL569">
            <v>1553.08</v>
          </cell>
          <cell r="AP569">
            <v>3912.9409999999998</v>
          </cell>
          <cell r="AV569">
            <v>67.430000000000007</v>
          </cell>
          <cell r="AZ569">
            <v>251.1</v>
          </cell>
          <cell r="BE569">
            <v>34095</v>
          </cell>
          <cell r="BG569">
            <v>67</v>
          </cell>
          <cell r="BH569">
            <v>389.71</v>
          </cell>
          <cell r="BY569">
            <v>543.54</v>
          </cell>
          <cell r="CD569">
            <v>414.62</v>
          </cell>
          <cell r="CE569">
            <v>405.44400000000002</v>
          </cell>
          <cell r="CF569">
            <v>469.45</v>
          </cell>
          <cell r="CG569">
            <v>1360</v>
          </cell>
          <cell r="CH569">
            <v>980</v>
          </cell>
          <cell r="CI569">
            <v>130</v>
          </cell>
          <cell r="CJ569">
            <v>315</v>
          </cell>
          <cell r="CK569">
            <v>1057</v>
          </cell>
          <cell r="CM569">
            <v>219.14</v>
          </cell>
          <cell r="CN569">
            <v>18.899999999999999</v>
          </cell>
          <cell r="CO569" t="str">
            <v>#N/A N/A</v>
          </cell>
          <cell r="CQ569">
            <v>6.5</v>
          </cell>
          <cell r="CR569">
            <v>129</v>
          </cell>
          <cell r="CS569">
            <v>3363</v>
          </cell>
          <cell r="CU569">
            <v>845</v>
          </cell>
          <cell r="CW569">
            <v>61.661585365853661</v>
          </cell>
          <cell r="CX569">
            <v>684.04049999999995</v>
          </cell>
          <cell r="CZ569">
            <v>325.99</v>
          </cell>
          <cell r="DA569">
            <v>4170</v>
          </cell>
          <cell r="DB569">
            <v>12.72</v>
          </cell>
          <cell r="DC569">
            <v>368</v>
          </cell>
          <cell r="DD569">
            <v>114.25</v>
          </cell>
        </row>
        <row r="570">
          <cell r="A570">
            <v>39283</v>
          </cell>
          <cell r="C570">
            <v>28</v>
          </cell>
          <cell r="D570" t="str">
            <v>#N/A N/A</v>
          </cell>
          <cell r="E570">
            <v>16.16</v>
          </cell>
          <cell r="L570">
            <v>1983.54</v>
          </cell>
          <cell r="M570">
            <v>2687.6</v>
          </cell>
          <cell r="N570">
            <v>6585.2</v>
          </cell>
          <cell r="O570">
            <v>3906</v>
          </cell>
          <cell r="Q570">
            <v>540</v>
          </cell>
          <cell r="R570">
            <v>318.25</v>
          </cell>
          <cell r="S570">
            <v>616.25</v>
          </cell>
          <cell r="T570">
            <v>850.25</v>
          </cell>
          <cell r="U570">
            <v>18157.93</v>
          </cell>
          <cell r="V570">
            <v>23291.9</v>
          </cell>
          <cell r="W570">
            <v>9585.9</v>
          </cell>
          <cell r="X570">
            <v>76.099999999999994</v>
          </cell>
          <cell r="Y570">
            <v>1180</v>
          </cell>
          <cell r="Z570">
            <v>1480</v>
          </cell>
          <cell r="AA570">
            <v>15565.55</v>
          </cell>
          <cell r="AB570">
            <v>6456.7</v>
          </cell>
          <cell r="AC570">
            <v>57442.738299999997</v>
          </cell>
          <cell r="AE570">
            <v>89.65</v>
          </cell>
          <cell r="AF570">
            <v>799</v>
          </cell>
          <cell r="AG570">
            <v>6601</v>
          </cell>
          <cell r="AH570">
            <v>1000</v>
          </cell>
          <cell r="AI570">
            <v>1680</v>
          </cell>
          <cell r="AJ570">
            <v>825.33</v>
          </cell>
          <cell r="AL570">
            <v>1534.1</v>
          </cell>
          <cell r="AP570">
            <v>4058.8530000000001</v>
          </cell>
          <cell r="AV570">
            <v>67.87</v>
          </cell>
          <cell r="AZ570">
            <v>257.5</v>
          </cell>
          <cell r="BE570">
            <v>35245</v>
          </cell>
          <cell r="BG570">
            <v>66.5</v>
          </cell>
          <cell r="BH570">
            <v>393.29</v>
          </cell>
          <cell r="BY570">
            <v>536.87</v>
          </cell>
          <cell r="CD570">
            <v>411.98</v>
          </cell>
          <cell r="CE570">
            <v>402.33</v>
          </cell>
          <cell r="CF570">
            <v>477.83</v>
          </cell>
          <cell r="CG570">
            <v>1365</v>
          </cell>
          <cell r="CH570">
            <v>1020</v>
          </cell>
          <cell r="CI570">
            <v>131</v>
          </cell>
          <cell r="CJ570">
            <v>315</v>
          </cell>
          <cell r="CK570">
            <v>1051</v>
          </cell>
          <cell r="CM570">
            <v>216.46</v>
          </cell>
          <cell r="CN570">
            <v>19.62</v>
          </cell>
          <cell r="CO570" t="str">
            <v>#N/A N/A</v>
          </cell>
          <cell r="CQ570">
            <v>6.45</v>
          </cell>
          <cell r="CR570">
            <v>129</v>
          </cell>
          <cell r="CS570">
            <v>3518</v>
          </cell>
          <cell r="CU570">
            <v>845</v>
          </cell>
          <cell r="CW570">
            <v>62.728658536585371</v>
          </cell>
          <cell r="CX570">
            <v>683.79300000000001</v>
          </cell>
          <cell r="CZ570">
            <v>324.44</v>
          </cell>
          <cell r="DA570">
            <v>4258.3</v>
          </cell>
          <cell r="DB570">
            <v>12.66</v>
          </cell>
          <cell r="DC570">
            <v>368</v>
          </cell>
          <cell r="DD570">
            <v>114</v>
          </cell>
        </row>
        <row r="571">
          <cell r="A571">
            <v>39284</v>
          </cell>
          <cell r="C571">
            <v>28</v>
          </cell>
          <cell r="D571" t="str">
            <v>#N/A N/A</v>
          </cell>
          <cell r="E571">
            <v>16.16</v>
          </cell>
          <cell r="L571">
            <v>1983.54</v>
          </cell>
          <cell r="M571">
            <v>2687.6</v>
          </cell>
          <cell r="N571">
            <v>6585.2</v>
          </cell>
          <cell r="O571">
            <v>3906</v>
          </cell>
          <cell r="Q571">
            <v>540</v>
          </cell>
          <cell r="R571">
            <v>318.25</v>
          </cell>
          <cell r="S571">
            <v>616.25</v>
          </cell>
          <cell r="T571">
            <v>850.25</v>
          </cell>
          <cell r="U571">
            <v>18157.93</v>
          </cell>
          <cell r="V571">
            <v>23291.9</v>
          </cell>
          <cell r="W571">
            <v>9585.9</v>
          </cell>
          <cell r="X571">
            <v>76.099999999999994</v>
          </cell>
          <cell r="Y571">
            <v>1180</v>
          </cell>
          <cell r="Z571">
            <v>1480</v>
          </cell>
          <cell r="AA571">
            <v>15565.55</v>
          </cell>
          <cell r="AB571">
            <v>6456.7</v>
          </cell>
          <cell r="AC571">
            <v>57442.738299999997</v>
          </cell>
          <cell r="AE571">
            <v>89.65</v>
          </cell>
          <cell r="AF571">
            <v>799</v>
          </cell>
          <cell r="AG571">
            <v>6601</v>
          </cell>
          <cell r="AH571">
            <v>1000</v>
          </cell>
          <cell r="AI571">
            <v>1680</v>
          </cell>
          <cell r="AJ571">
            <v>825.33</v>
          </cell>
          <cell r="AL571">
            <v>1534.1</v>
          </cell>
          <cell r="AP571">
            <v>4058.8530000000001</v>
          </cell>
          <cell r="AV571">
            <v>67.87</v>
          </cell>
          <cell r="AZ571">
            <v>257.5</v>
          </cell>
          <cell r="BE571">
            <v>35245</v>
          </cell>
          <cell r="BG571">
            <v>66.5</v>
          </cell>
          <cell r="BH571">
            <v>393.29</v>
          </cell>
          <cell r="BY571">
            <v>536.87</v>
          </cell>
          <cell r="CD571">
            <v>411.98</v>
          </cell>
          <cell r="CE571">
            <v>402.33</v>
          </cell>
          <cell r="CF571">
            <v>477.83</v>
          </cell>
          <cell r="CG571">
            <v>1365</v>
          </cell>
          <cell r="CH571">
            <v>1020</v>
          </cell>
          <cell r="CI571">
            <v>131</v>
          </cell>
          <cell r="CJ571">
            <v>315</v>
          </cell>
          <cell r="CK571">
            <v>1051</v>
          </cell>
          <cell r="CM571">
            <v>216.46</v>
          </cell>
          <cell r="CN571">
            <v>19.62</v>
          </cell>
          <cell r="CO571" t="str">
            <v>#N/A N/A</v>
          </cell>
          <cell r="CQ571">
            <v>6.45</v>
          </cell>
          <cell r="CR571">
            <v>129</v>
          </cell>
          <cell r="CS571">
            <v>3518</v>
          </cell>
          <cell r="CU571">
            <v>845</v>
          </cell>
          <cell r="CW571">
            <v>62.728658536585371</v>
          </cell>
          <cell r="CX571">
            <v>683.79300000000001</v>
          </cell>
          <cell r="CZ571">
            <v>324.44</v>
          </cell>
          <cell r="DA571">
            <v>4258.3</v>
          </cell>
          <cell r="DB571">
            <v>12.66</v>
          </cell>
          <cell r="DC571">
            <v>368</v>
          </cell>
          <cell r="DD571">
            <v>114</v>
          </cell>
        </row>
        <row r="572">
          <cell r="A572">
            <v>39285</v>
          </cell>
          <cell r="C572">
            <v>28</v>
          </cell>
          <cell r="D572" t="str">
            <v>#N/A N/A</v>
          </cell>
          <cell r="E572">
            <v>16.16</v>
          </cell>
          <cell r="L572">
            <v>1983.54</v>
          </cell>
          <cell r="M572">
            <v>2687.6</v>
          </cell>
          <cell r="N572">
            <v>6585.2</v>
          </cell>
          <cell r="O572">
            <v>3906</v>
          </cell>
          <cell r="Q572">
            <v>540</v>
          </cell>
          <cell r="R572">
            <v>318.25</v>
          </cell>
          <cell r="S572">
            <v>616.25</v>
          </cell>
          <cell r="T572">
            <v>850.25</v>
          </cell>
          <cell r="U572">
            <v>18157.93</v>
          </cell>
          <cell r="V572">
            <v>23291.9</v>
          </cell>
          <cell r="W572">
            <v>9585.9</v>
          </cell>
          <cell r="X572">
            <v>76.099999999999994</v>
          </cell>
          <cell r="Y572">
            <v>1180</v>
          </cell>
          <cell r="Z572">
            <v>1480</v>
          </cell>
          <cell r="AA572">
            <v>15565.55</v>
          </cell>
          <cell r="AB572">
            <v>6456.7</v>
          </cell>
          <cell r="AC572">
            <v>57442.738299999997</v>
          </cell>
          <cell r="AE572">
            <v>89.65</v>
          </cell>
          <cell r="AF572">
            <v>799</v>
          </cell>
          <cell r="AG572">
            <v>6601</v>
          </cell>
          <cell r="AH572">
            <v>1000</v>
          </cell>
          <cell r="AI572">
            <v>1680</v>
          </cell>
          <cell r="AJ572">
            <v>825.33</v>
          </cell>
          <cell r="AL572">
            <v>1534.1</v>
          </cell>
          <cell r="AP572">
            <v>4058.8530000000001</v>
          </cell>
          <cell r="AV572">
            <v>67.87</v>
          </cell>
          <cell r="AZ572">
            <v>257.5</v>
          </cell>
          <cell r="BE572">
            <v>35245</v>
          </cell>
          <cell r="BG572">
            <v>66.5</v>
          </cell>
          <cell r="BH572">
            <v>393.29</v>
          </cell>
          <cell r="BY572">
            <v>536.87</v>
          </cell>
          <cell r="CD572">
            <v>411.98</v>
          </cell>
          <cell r="CE572">
            <v>402.33</v>
          </cell>
          <cell r="CF572">
            <v>477.83</v>
          </cell>
          <cell r="CG572">
            <v>1365</v>
          </cell>
          <cell r="CH572">
            <v>1020</v>
          </cell>
          <cell r="CI572">
            <v>131</v>
          </cell>
          <cell r="CJ572">
            <v>315</v>
          </cell>
          <cell r="CK572">
            <v>1051</v>
          </cell>
          <cell r="CM572">
            <v>216.46</v>
          </cell>
          <cell r="CN572">
            <v>19.62</v>
          </cell>
          <cell r="CO572" t="str">
            <v>#N/A N/A</v>
          </cell>
          <cell r="CQ572">
            <v>6.45</v>
          </cell>
          <cell r="CR572">
            <v>129</v>
          </cell>
          <cell r="CS572">
            <v>3518</v>
          </cell>
          <cell r="CU572">
            <v>845</v>
          </cell>
          <cell r="CW572">
            <v>62.728658536585371</v>
          </cell>
          <cell r="CX572">
            <v>683.79300000000001</v>
          </cell>
          <cell r="CZ572">
            <v>324.44</v>
          </cell>
          <cell r="DA572">
            <v>4258.3</v>
          </cell>
          <cell r="DB572">
            <v>12.66</v>
          </cell>
          <cell r="DC572">
            <v>368</v>
          </cell>
          <cell r="DD572">
            <v>114</v>
          </cell>
        </row>
        <row r="573">
          <cell r="A573">
            <v>39286</v>
          </cell>
          <cell r="C573">
            <v>28</v>
          </cell>
          <cell r="D573" t="str">
            <v>#N/A N/A</v>
          </cell>
          <cell r="E573">
            <v>16.239999999999998</v>
          </cell>
          <cell r="L573">
            <v>1993.05</v>
          </cell>
          <cell r="M573">
            <v>2690.58</v>
          </cell>
          <cell r="N573">
            <v>6624.4</v>
          </cell>
          <cell r="O573">
            <v>3921</v>
          </cell>
          <cell r="Q573">
            <v>540</v>
          </cell>
          <cell r="R573">
            <v>310</v>
          </cell>
          <cell r="S573">
            <v>620.25</v>
          </cell>
          <cell r="T573">
            <v>816.25</v>
          </cell>
          <cell r="U573">
            <v>17963.64</v>
          </cell>
          <cell r="V573">
            <v>23365.56</v>
          </cell>
          <cell r="W573">
            <v>9621.57</v>
          </cell>
          <cell r="X573">
            <v>75.95</v>
          </cell>
          <cell r="Y573">
            <v>1180</v>
          </cell>
          <cell r="Z573">
            <v>1480</v>
          </cell>
          <cell r="AA573">
            <v>15732.2</v>
          </cell>
          <cell r="AB573">
            <v>6427.8</v>
          </cell>
          <cell r="AC573">
            <v>58036.769500000002</v>
          </cell>
          <cell r="AE573">
            <v>88.45</v>
          </cell>
          <cell r="AF573">
            <v>799</v>
          </cell>
          <cell r="AG573">
            <v>6659</v>
          </cell>
          <cell r="AH573">
            <v>1000</v>
          </cell>
          <cell r="AI573">
            <v>1680</v>
          </cell>
          <cell r="AJ573">
            <v>818.79</v>
          </cell>
          <cell r="AL573">
            <v>1541.57</v>
          </cell>
          <cell r="AP573">
            <v>4213.3609999999999</v>
          </cell>
          <cell r="AV573">
            <v>69.400000000000006</v>
          </cell>
          <cell r="AZ573">
            <v>256.60000000000002</v>
          </cell>
          <cell r="BE573">
            <v>33460</v>
          </cell>
          <cell r="BG573">
            <v>66.5</v>
          </cell>
          <cell r="BH573">
            <v>398.08</v>
          </cell>
          <cell r="BY573">
            <v>533.94000000000005</v>
          </cell>
          <cell r="CD573">
            <v>413.22</v>
          </cell>
          <cell r="CE573">
            <v>403.21899999999999</v>
          </cell>
          <cell r="CF573">
            <v>480.51</v>
          </cell>
          <cell r="CG573">
            <v>1365</v>
          </cell>
          <cell r="CH573">
            <v>1020</v>
          </cell>
          <cell r="CI573">
            <v>131</v>
          </cell>
          <cell r="CJ573">
            <v>315</v>
          </cell>
          <cell r="CK573">
            <v>1048</v>
          </cell>
          <cell r="CM573">
            <v>210.41</v>
          </cell>
          <cell r="CN573">
            <v>19.420000000000002</v>
          </cell>
          <cell r="CO573" t="str">
            <v>#N/A N/A</v>
          </cell>
          <cell r="CQ573">
            <v>5.97</v>
          </cell>
          <cell r="CR573">
            <v>129</v>
          </cell>
          <cell r="CS573">
            <v>3402</v>
          </cell>
          <cell r="CU573">
            <v>845</v>
          </cell>
          <cell r="CW573">
            <v>61.814024390243908</v>
          </cell>
          <cell r="CX573">
            <v>683.69399999999996</v>
          </cell>
          <cell r="CZ573">
            <v>319.08999999999997</v>
          </cell>
          <cell r="DA573">
            <v>4189.6000000000004</v>
          </cell>
          <cell r="DB573">
            <v>12.46</v>
          </cell>
          <cell r="DC573">
            <v>368</v>
          </cell>
          <cell r="DD573">
            <v>112.35</v>
          </cell>
        </row>
        <row r="574">
          <cell r="A574">
            <v>39287</v>
          </cell>
          <cell r="C574">
            <v>28</v>
          </cell>
          <cell r="D574" t="str">
            <v>#N/A N/A</v>
          </cell>
          <cell r="E574">
            <v>16.09</v>
          </cell>
          <cell r="L574">
            <v>1992.26</v>
          </cell>
          <cell r="M574">
            <v>2639.86</v>
          </cell>
          <cell r="N574">
            <v>6498.7</v>
          </cell>
          <cell r="O574">
            <v>3911</v>
          </cell>
          <cell r="Q574">
            <v>540</v>
          </cell>
          <cell r="R574">
            <v>311.5</v>
          </cell>
          <cell r="S574">
            <v>642</v>
          </cell>
          <cell r="T574">
            <v>820.25</v>
          </cell>
          <cell r="U574">
            <v>18002.03</v>
          </cell>
          <cell r="V574">
            <v>23472.880000000001</v>
          </cell>
          <cell r="W574">
            <v>9744.06</v>
          </cell>
          <cell r="X574">
            <v>74.650000000000006</v>
          </cell>
          <cell r="Y574">
            <v>1180</v>
          </cell>
          <cell r="Z574">
            <v>1480</v>
          </cell>
          <cell r="AA574">
            <v>15794.92</v>
          </cell>
          <cell r="AB574">
            <v>6455.5</v>
          </cell>
          <cell r="AC574">
            <v>55794.570299999999</v>
          </cell>
          <cell r="AE574">
            <v>86.95</v>
          </cell>
          <cell r="AF574">
            <v>799.26</v>
          </cell>
          <cell r="AG574">
            <v>6720</v>
          </cell>
          <cell r="AH574">
            <v>1000</v>
          </cell>
          <cell r="AI574">
            <v>1680</v>
          </cell>
          <cell r="AJ574">
            <v>813.47</v>
          </cell>
          <cell r="AL574">
            <v>1511.04</v>
          </cell>
          <cell r="AP574">
            <v>4210.3289999999997</v>
          </cell>
          <cell r="AV574">
            <v>67.95</v>
          </cell>
          <cell r="AZ574">
            <v>251.9</v>
          </cell>
          <cell r="BE574">
            <v>32260</v>
          </cell>
          <cell r="BG574">
            <v>66.5</v>
          </cell>
          <cell r="BH574">
            <v>390.31</v>
          </cell>
          <cell r="BY574">
            <v>523.74</v>
          </cell>
          <cell r="CD574">
            <v>407.75</v>
          </cell>
          <cell r="CE574">
            <v>397.55</v>
          </cell>
          <cell r="CF574">
            <v>484.17</v>
          </cell>
          <cell r="CG574">
            <v>1365</v>
          </cell>
          <cell r="CH574">
            <v>1020</v>
          </cell>
          <cell r="CI574">
            <v>131</v>
          </cell>
          <cell r="CJ574">
            <v>315</v>
          </cell>
          <cell r="CK574">
            <v>1035</v>
          </cell>
          <cell r="CM574">
            <v>204.77</v>
          </cell>
          <cell r="CN574">
            <v>19.07</v>
          </cell>
          <cell r="CO574" t="str">
            <v>#N/A N/A</v>
          </cell>
          <cell r="CQ574">
            <v>5.65</v>
          </cell>
          <cell r="CR574">
            <v>129</v>
          </cell>
          <cell r="CS574">
            <v>3390</v>
          </cell>
          <cell r="CU574">
            <v>845</v>
          </cell>
          <cell r="CW574">
            <v>61.204268292682933</v>
          </cell>
          <cell r="CX574">
            <v>683.99099999999999</v>
          </cell>
          <cell r="CZ574">
            <v>317.89</v>
          </cell>
          <cell r="DA574">
            <v>4160</v>
          </cell>
          <cell r="DB574">
            <v>12.55</v>
          </cell>
          <cell r="DC574">
            <v>368</v>
          </cell>
          <cell r="DD574">
            <v>115.75</v>
          </cell>
        </row>
        <row r="575">
          <cell r="A575">
            <v>39288</v>
          </cell>
          <cell r="C575">
            <v>28</v>
          </cell>
          <cell r="D575" t="str">
            <v>#N/A N/A</v>
          </cell>
          <cell r="E575">
            <v>16.010000000000002</v>
          </cell>
          <cell r="L575">
            <v>2004.22</v>
          </cell>
          <cell r="M575">
            <v>2648.17</v>
          </cell>
          <cell r="N575">
            <v>6454.3</v>
          </cell>
          <cell r="O575">
            <v>3916</v>
          </cell>
          <cell r="Q575">
            <v>540</v>
          </cell>
          <cell r="R575">
            <v>311.5</v>
          </cell>
          <cell r="S575">
            <v>634</v>
          </cell>
          <cell r="T575">
            <v>815</v>
          </cell>
          <cell r="U575">
            <v>17858.419999999998</v>
          </cell>
          <cell r="V575">
            <v>23362.18</v>
          </cell>
          <cell r="W575">
            <v>9740.1299999999992</v>
          </cell>
          <cell r="X575">
            <v>72.55</v>
          </cell>
          <cell r="Y575">
            <v>1180</v>
          </cell>
          <cell r="Z575">
            <v>1480</v>
          </cell>
          <cell r="AA575">
            <v>15699.33</v>
          </cell>
          <cell r="AB575">
            <v>6378</v>
          </cell>
          <cell r="AC575">
            <v>56001.300799999997</v>
          </cell>
          <cell r="AE575">
            <v>86.3</v>
          </cell>
          <cell r="AF575">
            <v>799.26</v>
          </cell>
          <cell r="AG575">
            <v>6780</v>
          </cell>
          <cell r="AH575">
            <v>1000</v>
          </cell>
          <cell r="AI575">
            <v>1680</v>
          </cell>
          <cell r="AJ575">
            <v>819.6</v>
          </cell>
          <cell r="AL575">
            <v>1518.09</v>
          </cell>
          <cell r="AP575">
            <v>4323.9660000000003</v>
          </cell>
          <cell r="AV575">
            <v>68.95</v>
          </cell>
          <cell r="AZ575">
            <v>249.9</v>
          </cell>
          <cell r="BE575">
            <v>31445</v>
          </cell>
          <cell r="BG575">
            <v>66.5</v>
          </cell>
          <cell r="BH575">
            <v>393.22</v>
          </cell>
          <cell r="BY575">
            <v>524.26</v>
          </cell>
          <cell r="CD575">
            <v>405.65</v>
          </cell>
          <cell r="CE575">
            <v>395.61599999999999</v>
          </cell>
          <cell r="CF575">
            <v>482.92</v>
          </cell>
          <cell r="CG575">
            <v>1365</v>
          </cell>
          <cell r="CH575">
            <v>1020</v>
          </cell>
          <cell r="CI575">
            <v>131</v>
          </cell>
          <cell r="CJ575">
            <v>315</v>
          </cell>
          <cell r="CK575">
            <v>1032</v>
          </cell>
          <cell r="CM575">
            <v>208.79</v>
          </cell>
          <cell r="CN575">
            <v>19.53</v>
          </cell>
          <cell r="CO575" t="str">
            <v>#N/A N/A</v>
          </cell>
          <cell r="CQ575">
            <v>5.57</v>
          </cell>
          <cell r="CR575">
            <v>129</v>
          </cell>
          <cell r="CS575">
            <v>3179</v>
          </cell>
          <cell r="CU575">
            <v>845</v>
          </cell>
          <cell r="CW575">
            <v>59.375</v>
          </cell>
          <cell r="CX575">
            <v>678.84299999999996</v>
          </cell>
          <cell r="CZ575">
            <v>319.13</v>
          </cell>
          <cell r="DA575">
            <v>4059.4</v>
          </cell>
          <cell r="DB575">
            <v>12.38</v>
          </cell>
          <cell r="DC575">
            <v>368</v>
          </cell>
          <cell r="DD575">
            <v>114.2</v>
          </cell>
        </row>
        <row r="576">
          <cell r="A576">
            <v>39289</v>
          </cell>
          <cell r="C576">
            <v>28</v>
          </cell>
          <cell r="D576" t="str">
            <v>#N/A N/A</v>
          </cell>
          <cell r="E576">
            <v>15.91</v>
          </cell>
          <cell r="L576">
            <v>1963.54</v>
          </cell>
          <cell r="M576">
            <v>2599.34</v>
          </cell>
          <cell r="N576">
            <v>6251.2</v>
          </cell>
          <cell r="O576">
            <v>3926</v>
          </cell>
          <cell r="Q576">
            <v>540</v>
          </cell>
          <cell r="R576">
            <v>317.5</v>
          </cell>
          <cell r="S576">
            <v>651</v>
          </cell>
          <cell r="T576">
            <v>821.5</v>
          </cell>
          <cell r="U576">
            <v>17702.09</v>
          </cell>
          <cell r="V576">
            <v>23211.69</v>
          </cell>
          <cell r="W576">
            <v>9566.42</v>
          </cell>
          <cell r="X576">
            <v>75.099999999999994</v>
          </cell>
          <cell r="Y576">
            <v>1180</v>
          </cell>
          <cell r="Z576">
            <v>1480</v>
          </cell>
          <cell r="AA576">
            <v>15776.31</v>
          </cell>
          <cell r="AB576">
            <v>6301.4</v>
          </cell>
          <cell r="AC576">
            <v>53893.148399999998</v>
          </cell>
          <cell r="AE576">
            <v>88.25</v>
          </cell>
          <cell r="AF576">
            <v>799.26</v>
          </cell>
          <cell r="AG576">
            <v>6838</v>
          </cell>
          <cell r="AH576">
            <v>1000</v>
          </cell>
          <cell r="AI576">
            <v>1680</v>
          </cell>
          <cell r="AJ576">
            <v>817.28</v>
          </cell>
          <cell r="AL576">
            <v>1482.66</v>
          </cell>
          <cell r="AP576">
            <v>4346.4579999999996</v>
          </cell>
          <cell r="AV576">
            <v>65.400000000000006</v>
          </cell>
          <cell r="AZ576">
            <v>259.3</v>
          </cell>
          <cell r="BE576">
            <v>31265</v>
          </cell>
          <cell r="BG576">
            <v>66.5</v>
          </cell>
          <cell r="BH576">
            <v>387.22</v>
          </cell>
          <cell r="BY576">
            <v>512.6</v>
          </cell>
          <cell r="CD576">
            <v>396.66</v>
          </cell>
          <cell r="CE576">
            <v>386.88299999999998</v>
          </cell>
          <cell r="CF576">
            <v>476.43</v>
          </cell>
          <cell r="CG576">
            <v>1365</v>
          </cell>
          <cell r="CH576">
            <v>1020</v>
          </cell>
          <cell r="CI576">
            <v>131</v>
          </cell>
          <cell r="CJ576">
            <v>315</v>
          </cell>
          <cell r="CK576">
            <v>1031</v>
          </cell>
          <cell r="CM576">
            <v>207.59</v>
          </cell>
          <cell r="CN576">
            <v>20.46</v>
          </cell>
          <cell r="CO576" t="str">
            <v>#N/A N/A</v>
          </cell>
          <cell r="CQ576">
            <v>5.84</v>
          </cell>
          <cell r="CR576">
            <v>129</v>
          </cell>
          <cell r="CS576">
            <v>3080</v>
          </cell>
          <cell r="CU576">
            <v>845</v>
          </cell>
          <cell r="CW576">
            <v>61.356707317073173</v>
          </cell>
          <cell r="CX576">
            <v>681.07050000000004</v>
          </cell>
          <cell r="CZ576">
            <v>316.67</v>
          </cell>
          <cell r="DA576">
            <v>4022.5</v>
          </cell>
          <cell r="DB576">
            <v>12.53</v>
          </cell>
          <cell r="DC576">
            <v>368</v>
          </cell>
          <cell r="DD576">
            <v>111.4</v>
          </cell>
        </row>
        <row r="577">
          <cell r="A577">
            <v>39290</v>
          </cell>
          <cell r="C577">
            <v>28</v>
          </cell>
          <cell r="D577" t="str">
            <v>#N/A N/A</v>
          </cell>
          <cell r="E577">
            <v>15.88</v>
          </cell>
          <cell r="L577">
            <v>1883.22</v>
          </cell>
          <cell r="M577">
            <v>2562.2399999999998</v>
          </cell>
          <cell r="N577">
            <v>6215.2</v>
          </cell>
          <cell r="O577">
            <v>3956</v>
          </cell>
          <cell r="Q577">
            <v>540</v>
          </cell>
          <cell r="R577">
            <v>321</v>
          </cell>
          <cell r="S577">
            <v>653.25</v>
          </cell>
          <cell r="T577">
            <v>815.5</v>
          </cell>
          <cell r="U577">
            <v>17283.810000000001</v>
          </cell>
          <cell r="V577">
            <v>22570.41</v>
          </cell>
          <cell r="W577">
            <v>9162.2800000000007</v>
          </cell>
          <cell r="X577">
            <v>73.349999999999994</v>
          </cell>
          <cell r="Y577">
            <v>1180</v>
          </cell>
          <cell r="Z577">
            <v>1480</v>
          </cell>
          <cell r="AA577">
            <v>15234.57</v>
          </cell>
          <cell r="AB577">
            <v>6127.3</v>
          </cell>
          <cell r="AC577">
            <v>52922.230499999998</v>
          </cell>
          <cell r="AE577">
            <v>86.65</v>
          </cell>
          <cell r="AF577">
            <v>799.26</v>
          </cell>
          <cell r="AG577">
            <v>6890</v>
          </cell>
          <cell r="AH577">
            <v>1000</v>
          </cell>
          <cell r="AI577">
            <v>1670</v>
          </cell>
          <cell r="AJ577">
            <v>792.06</v>
          </cell>
          <cell r="AL577">
            <v>1458.95</v>
          </cell>
          <cell r="AP577">
            <v>4345.357</v>
          </cell>
          <cell r="AV577">
            <v>64.150000000000006</v>
          </cell>
          <cell r="AZ577">
            <v>254.6</v>
          </cell>
          <cell r="BE577">
            <v>30520</v>
          </cell>
          <cell r="BG577">
            <v>67.150000000000006</v>
          </cell>
          <cell r="BH577">
            <v>384.21</v>
          </cell>
          <cell r="BY577">
            <v>502.28</v>
          </cell>
          <cell r="CD577">
            <v>390.07</v>
          </cell>
          <cell r="CE577">
            <v>381.10700000000003</v>
          </cell>
          <cell r="CF577">
            <v>457.12</v>
          </cell>
          <cell r="CG577">
            <v>1375</v>
          </cell>
          <cell r="CH577">
            <v>1025</v>
          </cell>
          <cell r="CI577">
            <v>131</v>
          </cell>
          <cell r="CJ577">
            <v>315</v>
          </cell>
          <cell r="CK577">
            <v>1037</v>
          </cell>
          <cell r="CM577">
            <v>210.17</v>
          </cell>
          <cell r="CN577">
            <v>20.239999999999998</v>
          </cell>
          <cell r="CO577" t="str">
            <v>#N/A N/A</v>
          </cell>
          <cell r="CQ577">
            <v>5.8</v>
          </cell>
          <cell r="CR577">
            <v>129</v>
          </cell>
          <cell r="CS577">
            <v>2966</v>
          </cell>
          <cell r="CU577">
            <v>845</v>
          </cell>
          <cell r="CW577">
            <v>60.594512195121958</v>
          </cell>
          <cell r="CX577">
            <v>675.03150000000005</v>
          </cell>
          <cell r="CZ577">
            <v>319.61</v>
          </cell>
          <cell r="DA577">
            <v>4002.9</v>
          </cell>
          <cell r="DB577">
            <v>12.13</v>
          </cell>
          <cell r="DC577">
            <v>368</v>
          </cell>
          <cell r="DD577">
            <v>112.7</v>
          </cell>
        </row>
        <row r="578">
          <cell r="A578">
            <v>39291</v>
          </cell>
          <cell r="C578">
            <v>28</v>
          </cell>
          <cell r="D578" t="str">
            <v>#N/A N/A</v>
          </cell>
          <cell r="E578">
            <v>15.88</v>
          </cell>
          <cell r="L578">
            <v>1883.22</v>
          </cell>
          <cell r="M578">
            <v>2562.2399999999998</v>
          </cell>
          <cell r="N578">
            <v>6215.2</v>
          </cell>
          <cell r="O578">
            <v>3956</v>
          </cell>
          <cell r="Q578">
            <v>540</v>
          </cell>
          <cell r="R578">
            <v>321</v>
          </cell>
          <cell r="S578">
            <v>653.25</v>
          </cell>
          <cell r="T578">
            <v>815.5</v>
          </cell>
          <cell r="U578">
            <v>17283.810000000001</v>
          </cell>
          <cell r="V578">
            <v>22570.41</v>
          </cell>
          <cell r="W578">
            <v>9162.2800000000007</v>
          </cell>
          <cell r="X578">
            <v>73.349999999999994</v>
          </cell>
          <cell r="Y578">
            <v>1180</v>
          </cell>
          <cell r="Z578">
            <v>1480</v>
          </cell>
          <cell r="AA578">
            <v>15234.57</v>
          </cell>
          <cell r="AB578">
            <v>6127.3</v>
          </cell>
          <cell r="AC578">
            <v>52922.230499999998</v>
          </cell>
          <cell r="AE578">
            <v>86.65</v>
          </cell>
          <cell r="AF578">
            <v>799.26</v>
          </cell>
          <cell r="AG578">
            <v>6890</v>
          </cell>
          <cell r="AH578">
            <v>1000</v>
          </cell>
          <cell r="AI578">
            <v>1670</v>
          </cell>
          <cell r="AJ578">
            <v>792.06</v>
          </cell>
          <cell r="AL578">
            <v>1458.95</v>
          </cell>
          <cell r="AP578">
            <v>4345.357</v>
          </cell>
          <cell r="AV578">
            <v>64.150000000000006</v>
          </cell>
          <cell r="AZ578">
            <v>254.6</v>
          </cell>
          <cell r="BE578">
            <v>30520</v>
          </cell>
          <cell r="BG578">
            <v>67.150000000000006</v>
          </cell>
          <cell r="BH578">
            <v>384.21</v>
          </cell>
          <cell r="BY578">
            <v>502.28</v>
          </cell>
          <cell r="CD578">
            <v>390.07</v>
          </cell>
          <cell r="CE578">
            <v>381.10700000000003</v>
          </cell>
          <cell r="CF578">
            <v>457.12</v>
          </cell>
          <cell r="CG578">
            <v>1375</v>
          </cell>
          <cell r="CH578">
            <v>1025</v>
          </cell>
          <cell r="CI578">
            <v>131</v>
          </cell>
          <cell r="CJ578">
            <v>315</v>
          </cell>
          <cell r="CK578">
            <v>1037</v>
          </cell>
          <cell r="CM578">
            <v>210.17</v>
          </cell>
          <cell r="CN578">
            <v>20.239999999999998</v>
          </cell>
          <cell r="CO578" t="str">
            <v>#N/A N/A</v>
          </cell>
          <cell r="CQ578">
            <v>5.8</v>
          </cell>
          <cell r="CR578">
            <v>129</v>
          </cell>
          <cell r="CS578">
            <v>2966</v>
          </cell>
          <cell r="CU578">
            <v>845</v>
          </cell>
          <cell r="CW578">
            <v>60.594512195121958</v>
          </cell>
          <cell r="CX578">
            <v>675.03150000000005</v>
          </cell>
          <cell r="CZ578">
            <v>319.61</v>
          </cell>
          <cell r="DA578">
            <v>4002.9</v>
          </cell>
          <cell r="DB578">
            <v>12.13</v>
          </cell>
          <cell r="DC578">
            <v>368</v>
          </cell>
          <cell r="DD578">
            <v>112.7</v>
          </cell>
        </row>
        <row r="579">
          <cell r="A579">
            <v>39292</v>
          </cell>
          <cell r="C579">
            <v>28</v>
          </cell>
          <cell r="D579" t="str">
            <v>#N/A N/A</v>
          </cell>
          <cell r="E579">
            <v>15.88</v>
          </cell>
          <cell r="L579">
            <v>1883.22</v>
          </cell>
          <cell r="M579">
            <v>2562.2399999999998</v>
          </cell>
          <cell r="N579">
            <v>6215.2</v>
          </cell>
          <cell r="O579">
            <v>3956</v>
          </cell>
          <cell r="Q579">
            <v>540</v>
          </cell>
          <cell r="R579">
            <v>321</v>
          </cell>
          <cell r="S579">
            <v>653.25</v>
          </cell>
          <cell r="T579">
            <v>815.5</v>
          </cell>
          <cell r="U579">
            <v>17283.810000000001</v>
          </cell>
          <cell r="V579">
            <v>22570.41</v>
          </cell>
          <cell r="W579">
            <v>9162.2800000000007</v>
          </cell>
          <cell r="X579">
            <v>73.349999999999994</v>
          </cell>
          <cell r="Y579">
            <v>1180</v>
          </cell>
          <cell r="Z579">
            <v>1480</v>
          </cell>
          <cell r="AA579">
            <v>15234.57</v>
          </cell>
          <cell r="AB579">
            <v>6127.3</v>
          </cell>
          <cell r="AC579">
            <v>52922.230499999998</v>
          </cell>
          <cell r="AE579">
            <v>86.65</v>
          </cell>
          <cell r="AF579">
            <v>799.26</v>
          </cell>
          <cell r="AG579">
            <v>6890</v>
          </cell>
          <cell r="AH579">
            <v>1000</v>
          </cell>
          <cell r="AI579">
            <v>1670</v>
          </cell>
          <cell r="AJ579">
            <v>792.06</v>
          </cell>
          <cell r="AL579">
            <v>1458.95</v>
          </cell>
          <cell r="AP579">
            <v>4345.357</v>
          </cell>
          <cell r="AV579">
            <v>64.150000000000006</v>
          </cell>
          <cell r="AZ579">
            <v>254.6</v>
          </cell>
          <cell r="BE579">
            <v>30520</v>
          </cell>
          <cell r="BG579">
            <v>67.150000000000006</v>
          </cell>
          <cell r="BH579">
            <v>384.21</v>
          </cell>
          <cell r="BY579">
            <v>502.28</v>
          </cell>
          <cell r="CD579">
            <v>390.07</v>
          </cell>
          <cell r="CE579">
            <v>381.10700000000003</v>
          </cell>
          <cell r="CF579">
            <v>457.12</v>
          </cell>
          <cell r="CG579">
            <v>1375</v>
          </cell>
          <cell r="CH579">
            <v>1025</v>
          </cell>
          <cell r="CI579">
            <v>131</v>
          </cell>
          <cell r="CJ579">
            <v>315</v>
          </cell>
          <cell r="CK579">
            <v>1037</v>
          </cell>
          <cell r="CM579">
            <v>210.17</v>
          </cell>
          <cell r="CN579">
            <v>20.239999999999998</v>
          </cell>
          <cell r="CO579" t="str">
            <v>#N/A N/A</v>
          </cell>
          <cell r="CQ579">
            <v>5.8</v>
          </cell>
          <cell r="CR579">
            <v>129</v>
          </cell>
          <cell r="CS579">
            <v>2966</v>
          </cell>
          <cell r="CU579">
            <v>845</v>
          </cell>
          <cell r="CW579">
            <v>60.594512195121958</v>
          </cell>
          <cell r="CX579">
            <v>675.03150000000005</v>
          </cell>
          <cell r="CZ579">
            <v>319.61</v>
          </cell>
          <cell r="DA579">
            <v>4002.9</v>
          </cell>
          <cell r="DB579">
            <v>12.13</v>
          </cell>
          <cell r="DC579">
            <v>368</v>
          </cell>
          <cell r="DD579">
            <v>112.7</v>
          </cell>
        </row>
        <row r="580">
          <cell r="A580">
            <v>39293</v>
          </cell>
          <cell r="C580">
            <v>28</v>
          </cell>
          <cell r="D580" t="str">
            <v>#N/A N/A</v>
          </cell>
          <cell r="E580">
            <v>16.100000000000001</v>
          </cell>
          <cell r="L580">
            <v>1906.71</v>
          </cell>
          <cell r="M580">
            <v>2583.2800000000002</v>
          </cell>
          <cell r="N580">
            <v>6206.1</v>
          </cell>
          <cell r="O580">
            <v>3971</v>
          </cell>
          <cell r="Q580">
            <v>540</v>
          </cell>
          <cell r="R580">
            <v>323.5</v>
          </cell>
          <cell r="S580">
            <v>637.5</v>
          </cell>
          <cell r="T580">
            <v>822.75</v>
          </cell>
          <cell r="U580">
            <v>17289.3</v>
          </cell>
          <cell r="V580">
            <v>22739.9</v>
          </cell>
          <cell r="W580">
            <v>9072.57</v>
          </cell>
          <cell r="X580">
            <v>73.150000000000006</v>
          </cell>
          <cell r="Y580">
            <v>1180</v>
          </cell>
          <cell r="Z580">
            <v>1480</v>
          </cell>
          <cell r="AA580">
            <v>15260.91</v>
          </cell>
          <cell r="AB580">
            <v>6146.5</v>
          </cell>
          <cell r="AC580">
            <v>54572.609400000001</v>
          </cell>
          <cell r="AE580">
            <v>86.9</v>
          </cell>
          <cell r="AF580">
            <v>799.26</v>
          </cell>
          <cell r="AG580">
            <v>6936</v>
          </cell>
          <cell r="AH580">
            <v>1000</v>
          </cell>
          <cell r="AI580">
            <v>1670</v>
          </cell>
          <cell r="AJ580">
            <v>794.19</v>
          </cell>
          <cell r="AL580">
            <v>1473.91</v>
          </cell>
          <cell r="AP580">
            <v>4440.7690000000002</v>
          </cell>
          <cell r="AV580">
            <v>66.599999999999994</v>
          </cell>
          <cell r="AZ580">
            <v>259.3</v>
          </cell>
          <cell r="BE580">
            <v>30230</v>
          </cell>
          <cell r="BG580">
            <v>67.150000000000006</v>
          </cell>
          <cell r="BH580">
            <v>394.17</v>
          </cell>
          <cell r="BY580">
            <v>510.88</v>
          </cell>
          <cell r="CD580">
            <v>392.35</v>
          </cell>
          <cell r="CE580">
            <v>383.22699999999998</v>
          </cell>
          <cell r="CF580">
            <v>458.69</v>
          </cell>
          <cell r="CG580">
            <v>1375</v>
          </cell>
          <cell r="CH580">
            <v>1025</v>
          </cell>
          <cell r="CI580">
            <v>131</v>
          </cell>
          <cell r="CJ580">
            <v>315</v>
          </cell>
          <cell r="CK580">
            <v>1029</v>
          </cell>
          <cell r="CM580">
            <v>208.56</v>
          </cell>
          <cell r="CN580">
            <v>20.7</v>
          </cell>
          <cell r="CO580" t="str">
            <v>#N/A N/A</v>
          </cell>
          <cell r="CQ580">
            <v>6.31</v>
          </cell>
          <cell r="CR580">
            <v>129</v>
          </cell>
          <cell r="CS580">
            <v>2911.5</v>
          </cell>
          <cell r="CU580">
            <v>845</v>
          </cell>
          <cell r="CW580">
            <v>60.594512195121958</v>
          </cell>
          <cell r="CX580">
            <v>677.35800000000006</v>
          </cell>
          <cell r="CZ580">
            <v>320.99</v>
          </cell>
          <cell r="DA580">
            <v>4023.8</v>
          </cell>
          <cell r="DB580">
            <v>12.3</v>
          </cell>
          <cell r="DC580">
            <v>368</v>
          </cell>
          <cell r="DD580">
            <v>112.95</v>
          </cell>
        </row>
        <row r="581">
          <cell r="A581">
            <v>39294</v>
          </cell>
          <cell r="C581">
            <v>28</v>
          </cell>
          <cell r="D581" t="str">
            <v>#N/A N/A</v>
          </cell>
          <cell r="E581">
            <v>16.32</v>
          </cell>
          <cell r="L581">
            <v>1933.27</v>
          </cell>
          <cell r="M581">
            <v>2545.5700000000002</v>
          </cell>
          <cell r="N581">
            <v>6360.1</v>
          </cell>
          <cell r="O581">
            <v>4022</v>
          </cell>
          <cell r="Q581">
            <v>540</v>
          </cell>
          <cell r="R581">
            <v>325.75</v>
          </cell>
          <cell r="S581">
            <v>630</v>
          </cell>
          <cell r="T581">
            <v>834</v>
          </cell>
          <cell r="U581">
            <v>17248.89</v>
          </cell>
          <cell r="V581">
            <v>23184.94</v>
          </cell>
          <cell r="W581">
            <v>9287.25</v>
          </cell>
          <cell r="X581">
            <v>72.150000000000006</v>
          </cell>
          <cell r="Y581">
            <v>1180</v>
          </cell>
          <cell r="Z581">
            <v>1480</v>
          </cell>
          <cell r="AA581">
            <v>15550.99</v>
          </cell>
          <cell r="AB581">
            <v>6187.5</v>
          </cell>
          <cell r="AC581">
            <v>54182.5</v>
          </cell>
          <cell r="AE581">
            <v>86.95</v>
          </cell>
          <cell r="AF581">
            <v>799.81</v>
          </cell>
          <cell r="AG581">
            <v>6967</v>
          </cell>
          <cell r="AH581">
            <v>1000</v>
          </cell>
          <cell r="AI581">
            <v>1670</v>
          </cell>
          <cell r="AJ581">
            <v>811.52</v>
          </cell>
          <cell r="AL581">
            <v>1455.27</v>
          </cell>
          <cell r="AP581">
            <v>4471.0320000000002</v>
          </cell>
          <cell r="AV581">
            <v>65.97</v>
          </cell>
          <cell r="AZ581">
            <v>260.3</v>
          </cell>
          <cell r="BE581">
            <v>31485</v>
          </cell>
          <cell r="BG581">
            <v>67.150000000000006</v>
          </cell>
          <cell r="BH581">
            <v>395.16</v>
          </cell>
          <cell r="BY581">
            <v>499.08</v>
          </cell>
          <cell r="CD581">
            <v>393.34</v>
          </cell>
          <cell r="CE581">
            <v>383.61599999999999</v>
          </cell>
          <cell r="CF581">
            <v>467.97</v>
          </cell>
          <cell r="CG581">
            <v>1375</v>
          </cell>
          <cell r="CH581">
            <v>1025</v>
          </cell>
          <cell r="CI581">
            <v>131</v>
          </cell>
          <cell r="CJ581">
            <v>315</v>
          </cell>
          <cell r="CK581">
            <v>999</v>
          </cell>
          <cell r="CM581">
            <v>214.08</v>
          </cell>
          <cell r="CN581">
            <v>21.23</v>
          </cell>
          <cell r="CO581" t="str">
            <v>#N/A N/A</v>
          </cell>
          <cell r="CQ581">
            <v>6.53</v>
          </cell>
          <cell r="CR581">
            <v>129</v>
          </cell>
          <cell r="CS581">
            <v>3106</v>
          </cell>
          <cell r="CU581">
            <v>845</v>
          </cell>
          <cell r="CW581">
            <v>60.28963414634147</v>
          </cell>
          <cell r="CX581">
            <v>677.80349999999999</v>
          </cell>
          <cell r="CZ581">
            <v>324.10000000000002</v>
          </cell>
          <cell r="DA581">
            <v>4107.7</v>
          </cell>
          <cell r="DB581">
            <v>12.4</v>
          </cell>
          <cell r="DC581">
            <v>368</v>
          </cell>
          <cell r="DD581">
            <v>114.3</v>
          </cell>
        </row>
        <row r="582">
          <cell r="A582">
            <v>39295</v>
          </cell>
          <cell r="C582">
            <v>28</v>
          </cell>
          <cell r="D582" t="str">
            <v>#N/A N/A</v>
          </cell>
          <cell r="E582">
            <v>16.57</v>
          </cell>
          <cell r="L582">
            <v>1856.45</v>
          </cell>
          <cell r="M582">
            <v>2553.16</v>
          </cell>
          <cell r="N582">
            <v>6250.6</v>
          </cell>
          <cell r="O582">
            <v>4037</v>
          </cell>
          <cell r="Q582">
            <v>540</v>
          </cell>
          <cell r="R582">
            <v>319</v>
          </cell>
          <cell r="S582">
            <v>636</v>
          </cell>
          <cell r="T582">
            <v>832.5</v>
          </cell>
          <cell r="U582">
            <v>16870.98</v>
          </cell>
          <cell r="V582">
            <v>22455.360000000001</v>
          </cell>
          <cell r="W582">
            <v>8891.8799999999992</v>
          </cell>
          <cell r="X582">
            <v>73.95</v>
          </cell>
          <cell r="Y582">
            <v>1180</v>
          </cell>
          <cell r="Z582">
            <v>1480</v>
          </cell>
          <cell r="AA582">
            <v>14935.77</v>
          </cell>
          <cell r="AB582">
            <v>5989.4</v>
          </cell>
          <cell r="AC582">
            <v>54233.871099999997</v>
          </cell>
          <cell r="AE582">
            <v>87.65</v>
          </cell>
          <cell r="AF582">
            <v>799.81</v>
          </cell>
          <cell r="AG582">
            <v>6993</v>
          </cell>
          <cell r="AH582">
            <v>1000</v>
          </cell>
          <cell r="AI582">
            <v>1670</v>
          </cell>
          <cell r="AJ582">
            <v>789.46</v>
          </cell>
          <cell r="AL582">
            <v>1465.81</v>
          </cell>
          <cell r="AP582">
            <v>4300.5630000000001</v>
          </cell>
          <cell r="AV582">
            <v>64.400000000000006</v>
          </cell>
          <cell r="AZ582">
            <v>257</v>
          </cell>
          <cell r="BE582">
            <v>30820</v>
          </cell>
          <cell r="BG582">
            <v>67.150000000000006</v>
          </cell>
          <cell r="BH582">
            <v>384.95</v>
          </cell>
          <cell r="BY582">
            <v>500.92</v>
          </cell>
          <cell r="CD582">
            <v>389.87</v>
          </cell>
          <cell r="CE582">
            <v>381.29399999999998</v>
          </cell>
          <cell r="CF582">
            <v>447.49</v>
          </cell>
          <cell r="CG582">
            <v>1375</v>
          </cell>
          <cell r="CH582">
            <v>1025</v>
          </cell>
          <cell r="CI582">
            <v>131</v>
          </cell>
          <cell r="CJ582">
            <v>315</v>
          </cell>
          <cell r="CK582">
            <v>977</v>
          </cell>
          <cell r="CM582">
            <v>202.96</v>
          </cell>
          <cell r="CN582">
            <v>20.66</v>
          </cell>
          <cell r="CO582" t="str">
            <v>#N/A N/A</v>
          </cell>
          <cell r="CQ582">
            <v>6.2</v>
          </cell>
          <cell r="CR582">
            <v>123</v>
          </cell>
          <cell r="CS582">
            <v>3151</v>
          </cell>
          <cell r="CU582">
            <v>845</v>
          </cell>
          <cell r="CW582">
            <v>60.518292682926834</v>
          </cell>
          <cell r="CX582">
            <v>676.71450000000004</v>
          </cell>
          <cell r="CZ582">
            <v>319.87</v>
          </cell>
          <cell r="DA582">
            <v>4051.2</v>
          </cell>
          <cell r="DB582">
            <v>12.52</v>
          </cell>
          <cell r="DC582">
            <v>368.3</v>
          </cell>
          <cell r="DD582">
            <v>113.1</v>
          </cell>
        </row>
        <row r="583">
          <cell r="A583">
            <v>39296</v>
          </cell>
          <cell r="C583">
            <v>28</v>
          </cell>
          <cell r="D583" t="str">
            <v>#N/A N/A</v>
          </cell>
          <cell r="E583">
            <v>16.25</v>
          </cell>
          <cell r="L583">
            <v>1853.07</v>
          </cell>
          <cell r="M583">
            <v>2575.98</v>
          </cell>
          <cell r="N583">
            <v>6300.3</v>
          </cell>
          <cell r="O583">
            <v>4037</v>
          </cell>
          <cell r="Q583">
            <v>540</v>
          </cell>
          <cell r="R583">
            <v>324</v>
          </cell>
          <cell r="S583">
            <v>641.75</v>
          </cell>
          <cell r="T583">
            <v>838.25</v>
          </cell>
          <cell r="U583">
            <v>16984.11</v>
          </cell>
          <cell r="V583">
            <v>22443.25</v>
          </cell>
          <cell r="W583">
            <v>8950.57</v>
          </cell>
          <cell r="X583">
            <v>72.05</v>
          </cell>
          <cell r="Y583">
            <v>1180</v>
          </cell>
          <cell r="Z583">
            <v>1480</v>
          </cell>
          <cell r="AA583">
            <v>14985.7</v>
          </cell>
          <cell r="AB583">
            <v>6050.3</v>
          </cell>
          <cell r="AC583">
            <v>54690.921900000001</v>
          </cell>
          <cell r="AE583">
            <v>86.25</v>
          </cell>
          <cell r="AF583">
            <v>799.81</v>
          </cell>
          <cell r="AG583">
            <v>7000</v>
          </cell>
          <cell r="AH583">
            <v>1000</v>
          </cell>
          <cell r="AI583">
            <v>1670</v>
          </cell>
          <cell r="AJ583">
            <v>786.52</v>
          </cell>
          <cell r="AL583">
            <v>1472.2</v>
          </cell>
          <cell r="AP583">
            <v>4407.7299999999996</v>
          </cell>
          <cell r="AV583">
            <v>64.33</v>
          </cell>
          <cell r="AZ583">
            <v>260.39999999999998</v>
          </cell>
          <cell r="BE583">
            <v>29940</v>
          </cell>
          <cell r="BG583">
            <v>67.150000000000006</v>
          </cell>
          <cell r="BH583">
            <v>384.35</v>
          </cell>
          <cell r="BY583">
            <v>500.13</v>
          </cell>
          <cell r="CD583">
            <v>392.02</v>
          </cell>
          <cell r="CE583">
            <v>383.38200000000001</v>
          </cell>
          <cell r="CF583">
            <v>448.29</v>
          </cell>
          <cell r="CG583">
            <v>1375</v>
          </cell>
          <cell r="CH583">
            <v>1025</v>
          </cell>
          <cell r="CI583">
            <v>131</v>
          </cell>
          <cell r="CJ583">
            <v>315</v>
          </cell>
          <cell r="CK583">
            <v>964</v>
          </cell>
          <cell r="CM583">
            <v>203.62</v>
          </cell>
          <cell r="CN583">
            <v>20.54</v>
          </cell>
          <cell r="CO583" t="str">
            <v>#N/A N/A</v>
          </cell>
          <cell r="CQ583">
            <v>6.34</v>
          </cell>
          <cell r="CR583">
            <v>123</v>
          </cell>
          <cell r="CS583">
            <v>3263</v>
          </cell>
          <cell r="CU583">
            <v>845</v>
          </cell>
          <cell r="CW583">
            <v>60.594512195121958</v>
          </cell>
          <cell r="CX583">
            <v>677.952</v>
          </cell>
          <cell r="CZ583">
            <v>320.18</v>
          </cell>
          <cell r="DA583">
            <v>4038</v>
          </cell>
          <cell r="DB583">
            <v>12.26</v>
          </cell>
          <cell r="DC583">
            <v>366.3</v>
          </cell>
          <cell r="DD583">
            <v>116.2</v>
          </cell>
        </row>
        <row r="584">
          <cell r="A584">
            <v>39297</v>
          </cell>
          <cell r="C584">
            <v>28</v>
          </cell>
          <cell r="D584" t="str">
            <v>#N/A N/A</v>
          </cell>
          <cell r="E584">
            <v>16.73</v>
          </cell>
          <cell r="L584">
            <v>1876.8</v>
          </cell>
          <cell r="M584">
            <v>2511.25</v>
          </cell>
          <cell r="N584">
            <v>6224.3</v>
          </cell>
          <cell r="O584">
            <v>4042</v>
          </cell>
          <cell r="Q584">
            <v>540</v>
          </cell>
          <cell r="R584">
            <v>326.5</v>
          </cell>
          <cell r="S584">
            <v>650</v>
          </cell>
          <cell r="T584">
            <v>844.75</v>
          </cell>
          <cell r="U584">
            <v>16979.86</v>
          </cell>
          <cell r="V584">
            <v>22538.44</v>
          </cell>
          <cell r="W584">
            <v>9057.82</v>
          </cell>
          <cell r="X584">
            <v>73.25</v>
          </cell>
          <cell r="Y584">
            <v>1205</v>
          </cell>
          <cell r="Z584">
            <v>1500</v>
          </cell>
          <cell r="AA584">
            <v>15138.4</v>
          </cell>
          <cell r="AB584">
            <v>6055.9</v>
          </cell>
          <cell r="AC584">
            <v>52846.378900000003</v>
          </cell>
          <cell r="AE584">
            <v>86.65</v>
          </cell>
          <cell r="AF584">
            <v>799.81</v>
          </cell>
          <cell r="AG584">
            <v>7007</v>
          </cell>
          <cell r="AH584">
            <v>1005</v>
          </cell>
          <cell r="AI584">
            <v>1690</v>
          </cell>
          <cell r="AJ584">
            <v>798.86</v>
          </cell>
          <cell r="AL584">
            <v>1433.06</v>
          </cell>
          <cell r="AP584">
            <v>4560.7740000000003</v>
          </cell>
          <cell r="AV584">
            <v>62.03</v>
          </cell>
          <cell r="AZ584">
            <v>260.7</v>
          </cell>
          <cell r="BE584">
            <v>29190</v>
          </cell>
          <cell r="BG584">
            <v>71.849999999999994</v>
          </cell>
          <cell r="BH584">
            <v>383.61</v>
          </cell>
          <cell r="BY584">
            <v>487.63</v>
          </cell>
          <cell r="CD584">
            <v>386.86</v>
          </cell>
          <cell r="CE584">
            <v>377.82600000000002</v>
          </cell>
          <cell r="CF584">
            <v>453.04</v>
          </cell>
          <cell r="CG584">
            <v>1390</v>
          </cell>
          <cell r="CH584">
            <v>1040</v>
          </cell>
          <cell r="CI584">
            <v>131</v>
          </cell>
          <cell r="CJ584">
            <v>315</v>
          </cell>
          <cell r="CK584">
            <v>949</v>
          </cell>
          <cell r="CM584">
            <v>202.9</v>
          </cell>
          <cell r="CN584">
            <v>20.54</v>
          </cell>
          <cell r="CO584" t="str">
            <v>#N/A N/A</v>
          </cell>
          <cell r="CQ584">
            <v>6.13</v>
          </cell>
          <cell r="CR584">
            <v>123</v>
          </cell>
          <cell r="CS584">
            <v>3366</v>
          </cell>
          <cell r="CU584">
            <v>860</v>
          </cell>
          <cell r="CW584">
            <v>60.899390243902445</v>
          </cell>
          <cell r="CX584">
            <v>682.40700000000004</v>
          </cell>
          <cell r="CZ584">
            <v>318.17</v>
          </cell>
          <cell r="DA584">
            <v>3945.1</v>
          </cell>
          <cell r="DB584">
            <v>12.24</v>
          </cell>
          <cell r="DC584">
            <v>367.05</v>
          </cell>
          <cell r="DD584">
            <v>117.65</v>
          </cell>
        </row>
        <row r="585">
          <cell r="A585">
            <v>39298</v>
          </cell>
          <cell r="C585">
            <v>28</v>
          </cell>
          <cell r="D585" t="str">
            <v>#N/A N/A</v>
          </cell>
          <cell r="E585">
            <v>16.73</v>
          </cell>
          <cell r="L585">
            <v>1876.8</v>
          </cell>
          <cell r="M585">
            <v>2511.25</v>
          </cell>
          <cell r="N585">
            <v>6224.3</v>
          </cell>
          <cell r="O585">
            <v>4042</v>
          </cell>
          <cell r="Q585">
            <v>540</v>
          </cell>
          <cell r="R585">
            <v>326.5</v>
          </cell>
          <cell r="S585">
            <v>650</v>
          </cell>
          <cell r="T585">
            <v>844.75</v>
          </cell>
          <cell r="U585">
            <v>16979.86</v>
          </cell>
          <cell r="V585">
            <v>22538.44</v>
          </cell>
          <cell r="W585">
            <v>9057.82</v>
          </cell>
          <cell r="X585">
            <v>73.25</v>
          </cell>
          <cell r="Y585">
            <v>1205</v>
          </cell>
          <cell r="Z585">
            <v>1500</v>
          </cell>
          <cell r="AA585">
            <v>15138.4</v>
          </cell>
          <cell r="AB585">
            <v>6055.9</v>
          </cell>
          <cell r="AC585">
            <v>52846.378900000003</v>
          </cell>
          <cell r="AE585">
            <v>86.65</v>
          </cell>
          <cell r="AF585">
            <v>799.81</v>
          </cell>
          <cell r="AG585">
            <v>7007</v>
          </cell>
          <cell r="AH585">
            <v>1005</v>
          </cell>
          <cell r="AI585">
            <v>1690</v>
          </cell>
          <cell r="AJ585">
            <v>798.86</v>
          </cell>
          <cell r="AL585">
            <v>1433.06</v>
          </cell>
          <cell r="AP585">
            <v>4560.7740000000003</v>
          </cell>
          <cell r="AV585">
            <v>62.03</v>
          </cell>
          <cell r="AZ585">
            <v>260.7</v>
          </cell>
          <cell r="BE585">
            <v>29190</v>
          </cell>
          <cell r="BG585">
            <v>71.849999999999994</v>
          </cell>
          <cell r="BH585">
            <v>383.61</v>
          </cell>
          <cell r="BY585">
            <v>487.63</v>
          </cell>
          <cell r="CD585">
            <v>386.86</v>
          </cell>
          <cell r="CE585">
            <v>377.82600000000002</v>
          </cell>
          <cell r="CF585">
            <v>453.04</v>
          </cell>
          <cell r="CG585">
            <v>1390</v>
          </cell>
          <cell r="CH585">
            <v>1040</v>
          </cell>
          <cell r="CI585">
            <v>131</v>
          </cell>
          <cell r="CJ585">
            <v>315</v>
          </cell>
          <cell r="CK585">
            <v>949</v>
          </cell>
          <cell r="CM585">
            <v>202.9</v>
          </cell>
          <cell r="CN585">
            <v>20.54</v>
          </cell>
          <cell r="CO585" t="str">
            <v>#N/A N/A</v>
          </cell>
          <cell r="CQ585">
            <v>6.13</v>
          </cell>
          <cell r="CR585">
            <v>123</v>
          </cell>
          <cell r="CS585">
            <v>3366</v>
          </cell>
          <cell r="CU585">
            <v>860</v>
          </cell>
          <cell r="CW585">
            <v>60.899390243902445</v>
          </cell>
          <cell r="CX585">
            <v>682.40700000000004</v>
          </cell>
          <cell r="CZ585">
            <v>318.17</v>
          </cell>
          <cell r="DA585">
            <v>3945.1</v>
          </cell>
          <cell r="DB585">
            <v>12.24</v>
          </cell>
          <cell r="DC585">
            <v>367.05</v>
          </cell>
          <cell r="DD585">
            <v>117.65</v>
          </cell>
        </row>
        <row r="586">
          <cell r="A586">
            <v>39299</v>
          </cell>
          <cell r="C586">
            <v>28</v>
          </cell>
          <cell r="D586" t="str">
            <v>#N/A N/A</v>
          </cell>
          <cell r="E586">
            <v>16.73</v>
          </cell>
          <cell r="L586">
            <v>1876.8</v>
          </cell>
          <cell r="M586">
            <v>2511.25</v>
          </cell>
          <cell r="N586">
            <v>6224.3</v>
          </cell>
          <cell r="O586">
            <v>4042</v>
          </cell>
          <cell r="Q586">
            <v>540</v>
          </cell>
          <cell r="R586">
            <v>326.5</v>
          </cell>
          <cell r="S586">
            <v>650</v>
          </cell>
          <cell r="T586">
            <v>844.75</v>
          </cell>
          <cell r="U586">
            <v>16979.86</v>
          </cell>
          <cell r="V586">
            <v>22538.44</v>
          </cell>
          <cell r="W586">
            <v>9057.82</v>
          </cell>
          <cell r="X586">
            <v>73.25</v>
          </cell>
          <cell r="Y586">
            <v>1205</v>
          </cell>
          <cell r="Z586">
            <v>1500</v>
          </cell>
          <cell r="AA586">
            <v>15138.4</v>
          </cell>
          <cell r="AB586">
            <v>6055.9</v>
          </cell>
          <cell r="AC586">
            <v>52846.378900000003</v>
          </cell>
          <cell r="AE586">
            <v>86.65</v>
          </cell>
          <cell r="AF586">
            <v>799.81</v>
          </cell>
          <cell r="AG586">
            <v>7007</v>
          </cell>
          <cell r="AH586">
            <v>1005</v>
          </cell>
          <cell r="AI586">
            <v>1690</v>
          </cell>
          <cell r="AJ586">
            <v>798.86</v>
          </cell>
          <cell r="AL586">
            <v>1433.06</v>
          </cell>
          <cell r="AP586">
            <v>4560.7740000000003</v>
          </cell>
          <cell r="AV586">
            <v>62.03</v>
          </cell>
          <cell r="AZ586">
            <v>260.7</v>
          </cell>
          <cell r="BE586">
            <v>29190</v>
          </cell>
          <cell r="BG586">
            <v>71.849999999999994</v>
          </cell>
          <cell r="BH586">
            <v>383.61</v>
          </cell>
          <cell r="BY586">
            <v>487.63</v>
          </cell>
          <cell r="CD586">
            <v>386.86</v>
          </cell>
          <cell r="CE586">
            <v>377.82600000000002</v>
          </cell>
          <cell r="CF586">
            <v>453.04</v>
          </cell>
          <cell r="CG586">
            <v>1390</v>
          </cell>
          <cell r="CH586">
            <v>1040</v>
          </cell>
          <cell r="CI586">
            <v>131</v>
          </cell>
          <cell r="CJ586">
            <v>315</v>
          </cell>
          <cell r="CK586">
            <v>949</v>
          </cell>
          <cell r="CM586">
            <v>202.9</v>
          </cell>
          <cell r="CN586">
            <v>20.54</v>
          </cell>
          <cell r="CO586" t="str">
            <v>#N/A N/A</v>
          </cell>
          <cell r="CQ586">
            <v>6.13</v>
          </cell>
          <cell r="CR586">
            <v>123</v>
          </cell>
          <cell r="CS586">
            <v>3366</v>
          </cell>
          <cell r="CU586">
            <v>860</v>
          </cell>
          <cell r="CW586">
            <v>60.899390243902445</v>
          </cell>
          <cell r="CX586">
            <v>682.40700000000004</v>
          </cell>
          <cell r="CZ586">
            <v>318.17</v>
          </cell>
          <cell r="DA586">
            <v>3945.1</v>
          </cell>
          <cell r="DB586">
            <v>12.24</v>
          </cell>
          <cell r="DC586">
            <v>367.05</v>
          </cell>
          <cell r="DD586">
            <v>117.65</v>
          </cell>
        </row>
        <row r="587">
          <cell r="A587">
            <v>39300</v>
          </cell>
          <cell r="C587">
            <v>28</v>
          </cell>
          <cell r="D587" t="str">
            <v>#N/A N/A</v>
          </cell>
          <cell r="E587">
            <v>17.239999999999998</v>
          </cell>
          <cell r="L587">
            <v>1855.05</v>
          </cell>
          <cell r="M587">
            <v>2547.33</v>
          </cell>
          <cell r="N587">
            <v>6189.1</v>
          </cell>
          <cell r="O587">
            <v>4032</v>
          </cell>
          <cell r="Q587">
            <v>540</v>
          </cell>
          <cell r="R587">
            <v>325.75</v>
          </cell>
          <cell r="S587">
            <v>664</v>
          </cell>
          <cell r="T587">
            <v>834.25</v>
          </cell>
          <cell r="U587">
            <v>16914.46</v>
          </cell>
          <cell r="V587">
            <v>21936.73</v>
          </cell>
          <cell r="W587">
            <v>8941.73</v>
          </cell>
          <cell r="X587">
            <v>72.349999999999994</v>
          </cell>
          <cell r="Y587">
            <v>1205</v>
          </cell>
          <cell r="Z587">
            <v>1500</v>
          </cell>
          <cell r="AA587">
            <v>14903.03</v>
          </cell>
          <cell r="AB587">
            <v>5949.5</v>
          </cell>
          <cell r="AC587">
            <v>53091.101600000002</v>
          </cell>
          <cell r="AE587">
            <v>85.55</v>
          </cell>
          <cell r="AF587">
            <v>799.81</v>
          </cell>
          <cell r="AG587">
            <v>6990</v>
          </cell>
          <cell r="AH587">
            <v>1005</v>
          </cell>
          <cell r="AI587">
            <v>1690</v>
          </cell>
          <cell r="AJ587">
            <v>795.85</v>
          </cell>
          <cell r="AL587">
            <v>1467.67</v>
          </cell>
          <cell r="AP587">
            <v>4628.1080000000002</v>
          </cell>
          <cell r="AV587">
            <v>64.349999999999994</v>
          </cell>
          <cell r="AZ587">
            <v>257.2</v>
          </cell>
          <cell r="BE587">
            <v>29205</v>
          </cell>
          <cell r="BG587">
            <v>71.849999999999994</v>
          </cell>
          <cell r="BH587">
            <v>379.94</v>
          </cell>
          <cell r="BY587">
            <v>495.19</v>
          </cell>
          <cell r="CD587">
            <v>388.89</v>
          </cell>
          <cell r="CE587">
            <v>380.834</v>
          </cell>
          <cell r="CF587">
            <v>442.52</v>
          </cell>
          <cell r="CG587">
            <v>1390</v>
          </cell>
          <cell r="CH587">
            <v>1040</v>
          </cell>
          <cell r="CI587">
            <v>131</v>
          </cell>
          <cell r="CJ587">
            <v>315</v>
          </cell>
          <cell r="CK587">
            <v>928</v>
          </cell>
          <cell r="CM587">
            <v>192.59</v>
          </cell>
          <cell r="CN587">
            <v>19.940000000000001</v>
          </cell>
          <cell r="CO587" t="str">
            <v>#N/A N/A</v>
          </cell>
          <cell r="CQ587">
            <v>6.11</v>
          </cell>
          <cell r="CR587">
            <v>123</v>
          </cell>
          <cell r="CS587">
            <v>3151</v>
          </cell>
          <cell r="CU587">
            <v>860</v>
          </cell>
          <cell r="CW587">
            <v>60.28963414634147</v>
          </cell>
          <cell r="CX587">
            <v>682.50599999999997</v>
          </cell>
          <cell r="CZ587">
            <v>312.29000000000002</v>
          </cell>
          <cell r="DA587">
            <v>3938.3</v>
          </cell>
          <cell r="DB587">
            <v>12.16</v>
          </cell>
          <cell r="DC587">
            <v>366.6</v>
          </cell>
          <cell r="DD587">
            <v>118.4</v>
          </cell>
        </row>
        <row r="588">
          <cell r="A588">
            <v>39301</v>
          </cell>
          <cell r="C588">
            <v>28</v>
          </cell>
          <cell r="D588" t="str">
            <v>#N/A N/A</v>
          </cell>
          <cell r="E588">
            <v>17.2</v>
          </cell>
          <cell r="L588">
            <v>1859.82</v>
          </cell>
          <cell r="M588">
            <v>2561.6</v>
          </cell>
          <cell r="N588">
            <v>6308.8</v>
          </cell>
          <cell r="O588">
            <v>4038</v>
          </cell>
          <cell r="Q588">
            <v>540</v>
          </cell>
          <cell r="R588">
            <v>335.25</v>
          </cell>
          <cell r="S588">
            <v>662.5</v>
          </cell>
          <cell r="T588">
            <v>847</v>
          </cell>
          <cell r="U588">
            <v>16921.77</v>
          </cell>
          <cell r="V588">
            <v>21907.99</v>
          </cell>
          <cell r="W588">
            <v>8862.31</v>
          </cell>
          <cell r="X588">
            <v>70.95</v>
          </cell>
          <cell r="Y588">
            <v>1205</v>
          </cell>
          <cell r="Z588">
            <v>1500</v>
          </cell>
          <cell r="AA588">
            <v>14932.77</v>
          </cell>
          <cell r="AB588">
            <v>6013.6</v>
          </cell>
          <cell r="AC588">
            <v>53802.480499999998</v>
          </cell>
          <cell r="AE588">
            <v>83.15</v>
          </cell>
          <cell r="AF588">
            <v>800</v>
          </cell>
          <cell r="AG588">
            <v>6966</v>
          </cell>
          <cell r="AH588">
            <v>1005</v>
          </cell>
          <cell r="AI588">
            <v>1690</v>
          </cell>
          <cell r="AJ588">
            <v>800.83</v>
          </cell>
          <cell r="AL588">
            <v>1476.71</v>
          </cell>
          <cell r="AP588">
            <v>4651.2250000000004</v>
          </cell>
          <cell r="AV588">
            <v>64.56</v>
          </cell>
          <cell r="AZ588">
            <v>255.3</v>
          </cell>
          <cell r="BE588">
            <v>28750</v>
          </cell>
          <cell r="BG588">
            <v>71.849999999999994</v>
          </cell>
          <cell r="BH588">
            <v>383</v>
          </cell>
          <cell r="BY588">
            <v>493.54</v>
          </cell>
          <cell r="CD588">
            <v>391.19</v>
          </cell>
          <cell r="CE588">
            <v>383.13600000000002</v>
          </cell>
          <cell r="CF588">
            <v>440.91</v>
          </cell>
          <cell r="CG588">
            <v>1390</v>
          </cell>
          <cell r="CH588">
            <v>1040</v>
          </cell>
          <cell r="CI588">
            <v>135</v>
          </cell>
          <cell r="CJ588">
            <v>315</v>
          </cell>
          <cell r="CK588">
            <v>904</v>
          </cell>
          <cell r="CM588">
            <v>194.42</v>
          </cell>
          <cell r="CN588">
            <v>19.47</v>
          </cell>
          <cell r="CO588" t="str">
            <v>#N/A N/A</v>
          </cell>
          <cell r="CQ588">
            <v>6.38</v>
          </cell>
          <cell r="CR588">
            <v>123</v>
          </cell>
          <cell r="CS588">
            <v>3213</v>
          </cell>
          <cell r="CU588">
            <v>860</v>
          </cell>
          <cell r="CW588">
            <v>58.460365853658537</v>
          </cell>
          <cell r="CX588">
            <v>680.17949999999996</v>
          </cell>
          <cell r="CZ588">
            <v>312.76</v>
          </cell>
          <cell r="DA588">
            <v>3938.3</v>
          </cell>
          <cell r="DB588">
            <v>11.91</v>
          </cell>
          <cell r="DC588">
            <v>363.55</v>
          </cell>
          <cell r="DD588">
            <v>117.45</v>
          </cell>
        </row>
        <row r="589">
          <cell r="A589">
            <v>39302</v>
          </cell>
          <cell r="C589">
            <v>28</v>
          </cell>
          <cell r="D589" t="str">
            <v>#N/A N/A</v>
          </cell>
          <cell r="E589">
            <v>17.78</v>
          </cell>
          <cell r="L589">
            <v>1903.41</v>
          </cell>
          <cell r="M589">
            <v>2612.98</v>
          </cell>
          <cell r="N589">
            <v>6393.9</v>
          </cell>
          <cell r="O589">
            <v>4049</v>
          </cell>
          <cell r="Q589">
            <v>540</v>
          </cell>
          <cell r="R589">
            <v>341</v>
          </cell>
          <cell r="S589">
            <v>679</v>
          </cell>
          <cell r="T589">
            <v>862</v>
          </cell>
          <cell r="U589">
            <v>17029.28</v>
          </cell>
          <cell r="V589">
            <v>22536.67</v>
          </cell>
          <cell r="W589">
            <v>9099.4599999999991</v>
          </cell>
          <cell r="X589">
            <v>70.849999999999994</v>
          </cell>
          <cell r="Y589">
            <v>1205</v>
          </cell>
          <cell r="Z589">
            <v>1500</v>
          </cell>
          <cell r="AA589">
            <v>15307.98</v>
          </cell>
          <cell r="AB589">
            <v>6124.7</v>
          </cell>
          <cell r="AC589">
            <v>55241.371099999997</v>
          </cell>
          <cell r="AE589">
            <v>83.55</v>
          </cell>
          <cell r="AF589">
            <v>800</v>
          </cell>
          <cell r="AG589">
            <v>6917</v>
          </cell>
          <cell r="AH589">
            <v>1005</v>
          </cell>
          <cell r="AI589">
            <v>1690</v>
          </cell>
          <cell r="AJ589">
            <v>807.96</v>
          </cell>
          <cell r="AL589">
            <v>1497.49</v>
          </cell>
          <cell r="AP589">
            <v>4663.1620000000003</v>
          </cell>
          <cell r="AV589">
            <v>66.209999999999994</v>
          </cell>
          <cell r="AZ589">
            <v>253.7</v>
          </cell>
          <cell r="BE589">
            <v>27865</v>
          </cell>
          <cell r="BG589">
            <v>71.849999999999994</v>
          </cell>
          <cell r="BH589">
            <v>396.56</v>
          </cell>
          <cell r="BY589">
            <v>505.49</v>
          </cell>
          <cell r="CD589">
            <v>398.05</v>
          </cell>
          <cell r="CE589">
            <v>389.42599999999999</v>
          </cell>
          <cell r="CF589">
            <v>453.34</v>
          </cell>
          <cell r="CG589">
            <v>1390</v>
          </cell>
          <cell r="CH589">
            <v>1040</v>
          </cell>
          <cell r="CI589">
            <v>135</v>
          </cell>
          <cell r="CJ589">
            <v>315</v>
          </cell>
          <cell r="CK589">
            <v>889</v>
          </cell>
          <cell r="CM589">
            <v>193.77</v>
          </cell>
          <cell r="CN589">
            <v>19.98</v>
          </cell>
          <cell r="CO589" t="str">
            <v>#N/A N/A</v>
          </cell>
          <cell r="CQ589">
            <v>6.29</v>
          </cell>
          <cell r="CR589">
            <v>120</v>
          </cell>
          <cell r="CS589">
            <v>3121.5</v>
          </cell>
          <cell r="CU589">
            <v>860</v>
          </cell>
          <cell r="CW589">
            <v>57.698170731707322</v>
          </cell>
          <cell r="CX589">
            <v>683.54550000000006</v>
          </cell>
          <cell r="CZ589">
            <v>313.05</v>
          </cell>
          <cell r="DA589">
            <v>3903.6</v>
          </cell>
          <cell r="DB589">
            <v>11.88</v>
          </cell>
          <cell r="DC589">
            <v>363.95</v>
          </cell>
          <cell r="DD589">
            <v>118.5</v>
          </cell>
        </row>
        <row r="590">
          <cell r="A590">
            <v>39303</v>
          </cell>
          <cell r="C590">
            <v>28</v>
          </cell>
          <cell r="D590" t="str">
            <v>#N/A N/A</v>
          </cell>
          <cell r="E590">
            <v>17.91</v>
          </cell>
          <cell r="L590">
            <v>1908.68</v>
          </cell>
          <cell r="M590">
            <v>2556.4899999999998</v>
          </cell>
          <cell r="N590">
            <v>6271.2</v>
          </cell>
          <cell r="O590">
            <v>4057</v>
          </cell>
          <cell r="Q590">
            <v>540</v>
          </cell>
          <cell r="R590">
            <v>332.25</v>
          </cell>
          <cell r="S590">
            <v>673.5</v>
          </cell>
          <cell r="T590">
            <v>862</v>
          </cell>
          <cell r="U590">
            <v>17170.599999999999</v>
          </cell>
          <cell r="V590">
            <v>22439.360000000001</v>
          </cell>
          <cell r="W590">
            <v>9182.6</v>
          </cell>
          <cell r="X590">
            <v>70.849999999999994</v>
          </cell>
          <cell r="Y590">
            <v>1205</v>
          </cell>
          <cell r="Z590">
            <v>1500</v>
          </cell>
          <cell r="AA590">
            <v>15100.15</v>
          </cell>
          <cell r="AB590">
            <v>6187.7</v>
          </cell>
          <cell r="AC590">
            <v>53430.839800000002</v>
          </cell>
          <cell r="AE590">
            <v>83.55</v>
          </cell>
          <cell r="AF590">
            <v>800</v>
          </cell>
          <cell r="AG590">
            <v>6936</v>
          </cell>
          <cell r="AH590">
            <v>1005</v>
          </cell>
          <cell r="AI590">
            <v>1690</v>
          </cell>
          <cell r="AJ590">
            <v>812.69</v>
          </cell>
          <cell r="AL590">
            <v>1453.09</v>
          </cell>
          <cell r="AP590">
            <v>4754.0950000000003</v>
          </cell>
          <cell r="AV590">
            <v>63</v>
          </cell>
          <cell r="AZ590">
            <v>255.1</v>
          </cell>
          <cell r="BE590">
            <v>26695</v>
          </cell>
          <cell r="BG590">
            <v>71.849999999999994</v>
          </cell>
          <cell r="BH590">
            <v>390.31</v>
          </cell>
          <cell r="BY590">
            <v>502.16</v>
          </cell>
          <cell r="CD590">
            <v>389.71</v>
          </cell>
          <cell r="CE590">
            <v>380.94499999999999</v>
          </cell>
          <cell r="CF590">
            <v>454.11</v>
          </cell>
          <cell r="CG590">
            <v>1390</v>
          </cell>
          <cell r="CH590">
            <v>1040</v>
          </cell>
          <cell r="CI590">
            <v>135</v>
          </cell>
          <cell r="CJ590">
            <v>315</v>
          </cell>
          <cell r="CK590">
            <v>872</v>
          </cell>
          <cell r="CM590">
            <v>193.4</v>
          </cell>
          <cell r="CN590">
            <v>19.78</v>
          </cell>
          <cell r="CO590" t="str">
            <v>#N/A N/A</v>
          </cell>
          <cell r="CQ590">
            <v>6.45</v>
          </cell>
          <cell r="CR590">
            <v>120</v>
          </cell>
          <cell r="CS590">
            <v>3026.5</v>
          </cell>
          <cell r="CU590">
            <v>860</v>
          </cell>
          <cell r="CW590">
            <v>57.698170731707322</v>
          </cell>
          <cell r="CX590">
            <v>677.75400000000002</v>
          </cell>
          <cell r="CZ590">
            <v>311.04000000000002</v>
          </cell>
          <cell r="DA590">
            <v>3826</v>
          </cell>
          <cell r="DB590">
            <v>11.98</v>
          </cell>
          <cell r="DC590">
            <v>362.2</v>
          </cell>
          <cell r="DD590">
            <v>119.5</v>
          </cell>
        </row>
        <row r="591">
          <cell r="A591">
            <v>39304</v>
          </cell>
          <cell r="C591">
            <v>28</v>
          </cell>
          <cell r="D591" t="str">
            <v>#N/A N/A</v>
          </cell>
          <cell r="E591">
            <v>18.09</v>
          </cell>
          <cell r="L591">
            <v>1828.49</v>
          </cell>
          <cell r="M591">
            <v>2544.89</v>
          </cell>
          <cell r="N591">
            <v>6038.3</v>
          </cell>
          <cell r="O591">
            <v>4057</v>
          </cell>
          <cell r="Q591">
            <v>540</v>
          </cell>
          <cell r="R591">
            <v>333</v>
          </cell>
          <cell r="S591">
            <v>667</v>
          </cell>
          <cell r="T591">
            <v>856</v>
          </cell>
          <cell r="U591">
            <v>16764.09</v>
          </cell>
          <cell r="V591">
            <v>21792.71</v>
          </cell>
          <cell r="W591">
            <v>8931.31</v>
          </cell>
          <cell r="X591">
            <v>70.650000000000006</v>
          </cell>
          <cell r="Y591">
            <v>1260</v>
          </cell>
          <cell r="Z591">
            <v>1520</v>
          </cell>
          <cell r="AA591">
            <v>14868.25</v>
          </cell>
          <cell r="AB591">
            <v>5965.2</v>
          </cell>
          <cell r="AC591">
            <v>52638.128900000003</v>
          </cell>
          <cell r="AE591">
            <v>83.35</v>
          </cell>
          <cell r="AF591">
            <v>800</v>
          </cell>
          <cell r="AG591">
            <v>7011</v>
          </cell>
          <cell r="AH591">
            <v>1005</v>
          </cell>
          <cell r="AI591">
            <v>1690</v>
          </cell>
          <cell r="AJ591">
            <v>788.41</v>
          </cell>
          <cell r="AL591">
            <v>1453.64</v>
          </cell>
          <cell r="AP591">
            <v>4749.3689999999997</v>
          </cell>
          <cell r="AV591">
            <v>62.15</v>
          </cell>
          <cell r="AZ591">
            <v>250.4</v>
          </cell>
          <cell r="BE591">
            <v>26365</v>
          </cell>
          <cell r="BG591">
            <v>71.849999999999994</v>
          </cell>
          <cell r="BH591">
            <v>380.18</v>
          </cell>
          <cell r="BY591">
            <v>504.28</v>
          </cell>
          <cell r="CD591">
            <v>383.15</v>
          </cell>
          <cell r="CE591">
            <v>375.19099999999997</v>
          </cell>
          <cell r="CF591">
            <v>437.32</v>
          </cell>
          <cell r="CG591">
            <v>1395</v>
          </cell>
          <cell r="CH591">
            <v>1050</v>
          </cell>
          <cell r="CI591">
            <v>135</v>
          </cell>
          <cell r="CJ591">
            <v>315</v>
          </cell>
          <cell r="CK591">
            <v>856</v>
          </cell>
          <cell r="CM591">
            <v>195.48</v>
          </cell>
          <cell r="CN591">
            <v>19.3</v>
          </cell>
          <cell r="CO591" t="str">
            <v>#N/A N/A</v>
          </cell>
          <cell r="CQ591">
            <v>6.63</v>
          </cell>
          <cell r="CR591">
            <v>120</v>
          </cell>
          <cell r="CS591">
            <v>2982.25</v>
          </cell>
          <cell r="CU591">
            <v>860</v>
          </cell>
          <cell r="CW591">
            <v>57.088414634146346</v>
          </cell>
          <cell r="CX591">
            <v>677.45699999999999</v>
          </cell>
          <cell r="CZ591">
            <v>310.91000000000003</v>
          </cell>
          <cell r="DA591">
            <v>3795.6</v>
          </cell>
          <cell r="DB591">
            <v>11.51</v>
          </cell>
          <cell r="DC591">
            <v>358.2</v>
          </cell>
          <cell r="DD591">
            <v>120.6</v>
          </cell>
        </row>
        <row r="592">
          <cell r="A592">
            <v>39305</v>
          </cell>
          <cell r="C592">
            <v>28</v>
          </cell>
          <cell r="D592" t="str">
            <v>#N/A N/A</v>
          </cell>
          <cell r="E592">
            <v>18.09</v>
          </cell>
          <cell r="L592">
            <v>1828.49</v>
          </cell>
          <cell r="M592">
            <v>2544.89</v>
          </cell>
          <cell r="N592">
            <v>6038.3</v>
          </cell>
          <cell r="O592">
            <v>4057</v>
          </cell>
          <cell r="Q592">
            <v>540</v>
          </cell>
          <cell r="R592">
            <v>333</v>
          </cell>
          <cell r="S592">
            <v>667</v>
          </cell>
          <cell r="T592">
            <v>856</v>
          </cell>
          <cell r="U592">
            <v>16764.09</v>
          </cell>
          <cell r="V592">
            <v>21792.71</v>
          </cell>
          <cell r="W592">
            <v>8931.31</v>
          </cell>
          <cell r="X592">
            <v>70.650000000000006</v>
          </cell>
          <cell r="Y592">
            <v>1260</v>
          </cell>
          <cell r="Z592">
            <v>1520</v>
          </cell>
          <cell r="AA592">
            <v>14868.25</v>
          </cell>
          <cell r="AB592">
            <v>5965.2</v>
          </cell>
          <cell r="AC592">
            <v>52638.128900000003</v>
          </cell>
          <cell r="AE592">
            <v>83.35</v>
          </cell>
          <cell r="AF592">
            <v>800</v>
          </cell>
          <cell r="AG592">
            <v>7011</v>
          </cell>
          <cell r="AH592">
            <v>1005</v>
          </cell>
          <cell r="AI592">
            <v>1690</v>
          </cell>
          <cell r="AJ592">
            <v>788.41</v>
          </cell>
          <cell r="AL592">
            <v>1453.64</v>
          </cell>
          <cell r="AP592">
            <v>4749.3689999999997</v>
          </cell>
          <cell r="AV592">
            <v>62.15</v>
          </cell>
          <cell r="AZ592">
            <v>250.4</v>
          </cell>
          <cell r="BE592">
            <v>26365</v>
          </cell>
          <cell r="BG592">
            <v>71.849999999999994</v>
          </cell>
          <cell r="BH592">
            <v>380.18</v>
          </cell>
          <cell r="BY592">
            <v>504.28</v>
          </cell>
          <cell r="CD592">
            <v>383.15</v>
          </cell>
          <cell r="CE592">
            <v>375.19099999999997</v>
          </cell>
          <cell r="CF592">
            <v>437.32</v>
          </cell>
          <cell r="CG592">
            <v>1395</v>
          </cell>
          <cell r="CH592">
            <v>1050</v>
          </cell>
          <cell r="CI592">
            <v>135</v>
          </cell>
          <cell r="CJ592">
            <v>315</v>
          </cell>
          <cell r="CK592">
            <v>856</v>
          </cell>
          <cell r="CM592">
            <v>195.48</v>
          </cell>
          <cell r="CN592">
            <v>19.3</v>
          </cell>
          <cell r="CO592" t="str">
            <v>#N/A N/A</v>
          </cell>
          <cell r="CQ592">
            <v>6.63</v>
          </cell>
          <cell r="CR592">
            <v>120</v>
          </cell>
          <cell r="CS592">
            <v>2982.25</v>
          </cell>
          <cell r="CU592">
            <v>860</v>
          </cell>
          <cell r="CW592">
            <v>57.088414634146346</v>
          </cell>
          <cell r="CX592">
            <v>677.45699999999999</v>
          </cell>
          <cell r="CZ592">
            <v>310.91000000000003</v>
          </cell>
          <cell r="DA592">
            <v>3795.6</v>
          </cell>
          <cell r="DB592">
            <v>11.51</v>
          </cell>
          <cell r="DC592">
            <v>358.2</v>
          </cell>
          <cell r="DD592">
            <v>120.6</v>
          </cell>
        </row>
        <row r="593">
          <cell r="A593">
            <v>39306</v>
          </cell>
          <cell r="C593">
            <v>28</v>
          </cell>
          <cell r="D593" t="str">
            <v>#N/A N/A</v>
          </cell>
          <cell r="E593">
            <v>18.09</v>
          </cell>
          <cell r="L593">
            <v>1828.49</v>
          </cell>
          <cell r="M593">
            <v>2544.89</v>
          </cell>
          <cell r="N593">
            <v>6038.3</v>
          </cell>
          <cell r="O593">
            <v>4057</v>
          </cell>
          <cell r="Q593">
            <v>540</v>
          </cell>
          <cell r="R593">
            <v>333</v>
          </cell>
          <cell r="S593">
            <v>667</v>
          </cell>
          <cell r="T593">
            <v>856</v>
          </cell>
          <cell r="U593">
            <v>16764.09</v>
          </cell>
          <cell r="V593">
            <v>21792.71</v>
          </cell>
          <cell r="W593">
            <v>8931.31</v>
          </cell>
          <cell r="X593">
            <v>70.650000000000006</v>
          </cell>
          <cell r="Y593">
            <v>1260</v>
          </cell>
          <cell r="Z593">
            <v>1520</v>
          </cell>
          <cell r="AA593">
            <v>14868.25</v>
          </cell>
          <cell r="AB593">
            <v>5965.2</v>
          </cell>
          <cell r="AC593">
            <v>52638.128900000003</v>
          </cell>
          <cell r="AE593">
            <v>83.35</v>
          </cell>
          <cell r="AF593">
            <v>800</v>
          </cell>
          <cell r="AG593">
            <v>7011</v>
          </cell>
          <cell r="AH593">
            <v>1005</v>
          </cell>
          <cell r="AI593">
            <v>1690</v>
          </cell>
          <cell r="AJ593">
            <v>788.41</v>
          </cell>
          <cell r="AL593">
            <v>1453.64</v>
          </cell>
          <cell r="AP593">
            <v>4749.3689999999997</v>
          </cell>
          <cell r="AV593">
            <v>62.15</v>
          </cell>
          <cell r="AZ593">
            <v>250.4</v>
          </cell>
          <cell r="BE593">
            <v>26365</v>
          </cell>
          <cell r="BG593">
            <v>71.849999999999994</v>
          </cell>
          <cell r="BH593">
            <v>380.18</v>
          </cell>
          <cell r="BY593">
            <v>504.28</v>
          </cell>
          <cell r="CD593">
            <v>383.15</v>
          </cell>
          <cell r="CE593">
            <v>375.19099999999997</v>
          </cell>
          <cell r="CF593">
            <v>437.32</v>
          </cell>
          <cell r="CG593">
            <v>1395</v>
          </cell>
          <cell r="CH593">
            <v>1050</v>
          </cell>
          <cell r="CI593">
            <v>135</v>
          </cell>
          <cell r="CJ593">
            <v>315</v>
          </cell>
          <cell r="CK593">
            <v>856</v>
          </cell>
          <cell r="CM593">
            <v>195.48</v>
          </cell>
          <cell r="CN593">
            <v>19.3</v>
          </cell>
          <cell r="CO593" t="str">
            <v>#N/A N/A</v>
          </cell>
          <cell r="CQ593">
            <v>6.63</v>
          </cell>
          <cell r="CR593">
            <v>120</v>
          </cell>
          <cell r="CS593">
            <v>2982.25</v>
          </cell>
          <cell r="CU593">
            <v>860</v>
          </cell>
          <cell r="CW593">
            <v>57.088414634146346</v>
          </cell>
          <cell r="CX593">
            <v>677.45699999999999</v>
          </cell>
          <cell r="CZ593">
            <v>310.91000000000003</v>
          </cell>
          <cell r="DA593">
            <v>3795.6</v>
          </cell>
          <cell r="DB593">
            <v>11.51</v>
          </cell>
          <cell r="DC593">
            <v>358.2</v>
          </cell>
          <cell r="DD593">
            <v>120.6</v>
          </cell>
        </row>
        <row r="594">
          <cell r="A594">
            <v>39307</v>
          </cell>
          <cell r="C594">
            <v>28</v>
          </cell>
          <cell r="D594" t="str">
            <v>#N/A N/A</v>
          </cell>
          <cell r="E594">
            <v>18.05</v>
          </cell>
          <cell r="L594">
            <v>1849.26</v>
          </cell>
          <cell r="M594">
            <v>2542.2399999999998</v>
          </cell>
          <cell r="N594">
            <v>6219</v>
          </cell>
          <cell r="O594">
            <v>4053</v>
          </cell>
          <cell r="Q594">
            <v>540</v>
          </cell>
          <cell r="R594">
            <v>331</v>
          </cell>
          <cell r="S594">
            <v>666.5</v>
          </cell>
          <cell r="T594">
            <v>866</v>
          </cell>
          <cell r="U594">
            <v>16800.05</v>
          </cell>
          <cell r="V594">
            <v>21891.1</v>
          </cell>
          <cell r="W594">
            <v>8938.9599999999991</v>
          </cell>
          <cell r="X594">
            <v>71.45</v>
          </cell>
          <cell r="Y594">
            <v>1260</v>
          </cell>
          <cell r="Z594">
            <v>1520</v>
          </cell>
          <cell r="AA594">
            <v>15017.21</v>
          </cell>
          <cell r="AB594">
            <v>6027.5</v>
          </cell>
          <cell r="AC594">
            <v>52434.011700000003</v>
          </cell>
          <cell r="AE594">
            <v>84.15</v>
          </cell>
          <cell r="AF594">
            <v>800</v>
          </cell>
          <cell r="AG594">
            <v>7066</v>
          </cell>
          <cell r="AH594">
            <v>1005</v>
          </cell>
          <cell r="AI594">
            <v>1690</v>
          </cell>
          <cell r="AJ594">
            <v>786.2</v>
          </cell>
          <cell r="AL594">
            <v>1452.92</v>
          </cell>
          <cell r="AP594">
            <v>4820.0640000000003</v>
          </cell>
          <cell r="AV594">
            <v>62.3</v>
          </cell>
          <cell r="AZ594">
            <v>249.8</v>
          </cell>
          <cell r="BE594">
            <v>27155</v>
          </cell>
          <cell r="BG594">
            <v>71.849999999999994</v>
          </cell>
          <cell r="BH594">
            <v>373.65</v>
          </cell>
          <cell r="BY594">
            <v>501.71</v>
          </cell>
          <cell r="CD594">
            <v>385.35</v>
          </cell>
          <cell r="CE594">
            <v>377.17</v>
          </cell>
          <cell r="CF594">
            <v>440.93</v>
          </cell>
          <cell r="CG594">
            <v>1395</v>
          </cell>
          <cell r="CH594">
            <v>1050</v>
          </cell>
          <cell r="CI594">
            <v>135</v>
          </cell>
          <cell r="CJ594">
            <v>315</v>
          </cell>
          <cell r="CK594">
            <v>850</v>
          </cell>
          <cell r="CM594">
            <v>193.75</v>
          </cell>
          <cell r="CN594">
            <v>19.32</v>
          </cell>
          <cell r="CO594" t="str">
            <v>#N/A N/A</v>
          </cell>
          <cell r="CQ594">
            <v>7.15</v>
          </cell>
          <cell r="CR594">
            <v>120</v>
          </cell>
          <cell r="CS594">
            <v>3071</v>
          </cell>
          <cell r="CU594">
            <v>860</v>
          </cell>
          <cell r="CW594">
            <v>57.31707317073171</v>
          </cell>
          <cell r="CX594">
            <v>674.19</v>
          </cell>
          <cell r="CZ594">
            <v>311.57</v>
          </cell>
          <cell r="DA594">
            <v>3838.8</v>
          </cell>
          <cell r="DB594">
            <v>11.47</v>
          </cell>
          <cell r="DC594">
            <v>358.15</v>
          </cell>
          <cell r="DD594">
            <v>120.75</v>
          </cell>
        </row>
        <row r="595">
          <cell r="A595">
            <v>39308</v>
          </cell>
          <cell r="C595">
            <v>28</v>
          </cell>
          <cell r="D595" t="str">
            <v>#N/A N/A</v>
          </cell>
          <cell r="E595">
            <v>17.47</v>
          </cell>
          <cell r="L595">
            <v>1817.89</v>
          </cell>
          <cell r="M595">
            <v>2499.12</v>
          </cell>
          <cell r="N595">
            <v>6143.5</v>
          </cell>
          <cell r="O595">
            <v>4055</v>
          </cell>
          <cell r="Q595">
            <v>540</v>
          </cell>
          <cell r="R595">
            <v>327.5</v>
          </cell>
          <cell r="S595">
            <v>692.5</v>
          </cell>
          <cell r="T595">
            <v>851</v>
          </cell>
          <cell r="U595">
            <v>16844.61</v>
          </cell>
          <cell r="V595">
            <v>22007.32</v>
          </cell>
          <cell r="W595">
            <v>8910.99</v>
          </cell>
          <cell r="X595">
            <v>71.75</v>
          </cell>
          <cell r="Y595">
            <v>1260</v>
          </cell>
          <cell r="Z595">
            <v>1520</v>
          </cell>
          <cell r="AA595">
            <v>15000.91</v>
          </cell>
          <cell r="AB595">
            <v>5982.5</v>
          </cell>
          <cell r="AC595">
            <v>50911.75</v>
          </cell>
          <cell r="AE595">
            <v>83.85</v>
          </cell>
          <cell r="AF595">
            <v>800</v>
          </cell>
          <cell r="AG595">
            <v>7143</v>
          </cell>
          <cell r="AH595">
            <v>1005</v>
          </cell>
          <cell r="AI595">
            <v>1690</v>
          </cell>
          <cell r="AJ595">
            <v>766.92</v>
          </cell>
          <cell r="AL595">
            <v>1426.54</v>
          </cell>
          <cell r="AP595">
            <v>4872.7849999999999</v>
          </cell>
          <cell r="AV595">
            <v>60.4</v>
          </cell>
          <cell r="AZ595">
            <v>248.9</v>
          </cell>
          <cell r="BE595">
            <v>27040</v>
          </cell>
          <cell r="BG595">
            <v>71.849999999999994</v>
          </cell>
          <cell r="BH595">
            <v>375.08</v>
          </cell>
          <cell r="BY595">
            <v>490.5</v>
          </cell>
          <cell r="CD595">
            <v>379.81</v>
          </cell>
          <cell r="CE595">
            <v>371.74900000000002</v>
          </cell>
          <cell r="CF595">
            <v>438.17</v>
          </cell>
          <cell r="CG595">
            <v>1395</v>
          </cell>
          <cell r="CH595">
            <v>1050</v>
          </cell>
          <cell r="CI595">
            <v>135</v>
          </cell>
          <cell r="CJ595">
            <v>315</v>
          </cell>
          <cell r="CK595">
            <v>835</v>
          </cell>
          <cell r="CM595">
            <v>197.38</v>
          </cell>
          <cell r="CN595">
            <v>19.46</v>
          </cell>
          <cell r="CO595" t="str">
            <v>#N/A N/A</v>
          </cell>
          <cell r="CQ595">
            <v>6.86</v>
          </cell>
          <cell r="CR595">
            <v>120</v>
          </cell>
          <cell r="CS595">
            <v>3080</v>
          </cell>
          <cell r="CU595">
            <v>860</v>
          </cell>
          <cell r="CW595">
            <v>56.935975609756099</v>
          </cell>
          <cell r="CX595">
            <v>671.96249999999998</v>
          </cell>
          <cell r="CZ595">
            <v>311.27</v>
          </cell>
          <cell r="DA595">
            <v>3772.9</v>
          </cell>
          <cell r="DB595">
            <v>11.4</v>
          </cell>
          <cell r="DC595">
            <v>354.7</v>
          </cell>
          <cell r="DD595">
            <v>119.15</v>
          </cell>
        </row>
        <row r="596">
          <cell r="A596">
            <v>39309</v>
          </cell>
          <cell r="C596">
            <v>28</v>
          </cell>
          <cell r="D596" t="str">
            <v>#N/A N/A</v>
          </cell>
          <cell r="E596">
            <v>17.3</v>
          </cell>
          <cell r="L596">
            <v>1817.89</v>
          </cell>
          <cell r="M596">
            <v>2458.83</v>
          </cell>
          <cell r="N596">
            <v>6109.3</v>
          </cell>
          <cell r="O596">
            <v>4069</v>
          </cell>
          <cell r="Q596">
            <v>540</v>
          </cell>
          <cell r="R596">
            <v>328</v>
          </cell>
          <cell r="S596">
            <v>678.5</v>
          </cell>
          <cell r="T596">
            <v>839</v>
          </cell>
          <cell r="U596">
            <v>16475.61</v>
          </cell>
          <cell r="V596">
            <v>21375.72</v>
          </cell>
          <cell r="W596">
            <v>8593.0400000000009</v>
          </cell>
          <cell r="X596">
            <v>72.25</v>
          </cell>
          <cell r="Y596">
            <v>1260</v>
          </cell>
          <cell r="Z596">
            <v>1520</v>
          </cell>
          <cell r="AA596">
            <v>15000.91</v>
          </cell>
          <cell r="AB596">
            <v>5801.5</v>
          </cell>
          <cell r="AC596">
            <v>49285.300799999997</v>
          </cell>
          <cell r="AE596">
            <v>83.45</v>
          </cell>
          <cell r="AF596">
            <v>800</v>
          </cell>
          <cell r="AG596">
            <v>7231</v>
          </cell>
          <cell r="AH596">
            <v>1005</v>
          </cell>
          <cell r="AI596">
            <v>1690</v>
          </cell>
          <cell r="AJ596">
            <v>766.92</v>
          </cell>
          <cell r="AL596">
            <v>1406.7</v>
          </cell>
          <cell r="AP596">
            <v>4869.8829999999998</v>
          </cell>
          <cell r="AV596">
            <v>58.47</v>
          </cell>
          <cell r="AZ596">
            <v>244.7</v>
          </cell>
          <cell r="BE596">
            <v>26250</v>
          </cell>
          <cell r="BG596">
            <v>71.849999999999994</v>
          </cell>
          <cell r="BH596">
            <v>367.24</v>
          </cell>
          <cell r="BY596">
            <v>478.24</v>
          </cell>
          <cell r="CD596">
            <v>373.77</v>
          </cell>
          <cell r="CE596">
            <v>366.15199999999999</v>
          </cell>
          <cell r="CF596">
            <v>428.97</v>
          </cell>
          <cell r="CG596">
            <v>1395</v>
          </cell>
          <cell r="CH596">
            <v>1050</v>
          </cell>
          <cell r="CI596">
            <v>135</v>
          </cell>
          <cell r="CJ596">
            <v>315</v>
          </cell>
          <cell r="CK596">
            <v>827</v>
          </cell>
          <cell r="CM596">
            <v>200.88</v>
          </cell>
          <cell r="CN596">
            <v>19.5</v>
          </cell>
          <cell r="CO596" t="str">
            <v>#N/A N/A</v>
          </cell>
          <cell r="CQ596">
            <v>7.31</v>
          </cell>
          <cell r="CR596">
            <v>105</v>
          </cell>
          <cell r="CS596">
            <v>3013</v>
          </cell>
          <cell r="CU596">
            <v>860</v>
          </cell>
          <cell r="CW596">
            <v>56.935975609756099</v>
          </cell>
          <cell r="CX596">
            <v>666.61649999999997</v>
          </cell>
          <cell r="CZ596">
            <v>311.88</v>
          </cell>
          <cell r="DA596">
            <v>3717.1</v>
          </cell>
          <cell r="DB596">
            <v>11.45</v>
          </cell>
          <cell r="DC596">
            <v>350.5</v>
          </cell>
          <cell r="DD596">
            <v>119.2</v>
          </cell>
        </row>
        <row r="597">
          <cell r="A597">
            <v>39310</v>
          </cell>
          <cell r="C597">
            <v>28</v>
          </cell>
          <cell r="D597" t="str">
            <v>#N/A N/A</v>
          </cell>
          <cell r="E597">
            <v>17.29</v>
          </cell>
          <cell r="L597">
            <v>1691.98</v>
          </cell>
          <cell r="M597">
            <v>2451.0700000000002</v>
          </cell>
          <cell r="N597">
            <v>5858.9</v>
          </cell>
          <cell r="O597">
            <v>4076</v>
          </cell>
          <cell r="Q597">
            <v>540</v>
          </cell>
          <cell r="R597">
            <v>321.5</v>
          </cell>
          <cell r="S597">
            <v>673</v>
          </cell>
          <cell r="T597">
            <v>799.25</v>
          </cell>
          <cell r="U597">
            <v>16148.49</v>
          </cell>
          <cell r="V597">
            <v>20672.39</v>
          </cell>
          <cell r="W597">
            <v>8201.3700000000008</v>
          </cell>
          <cell r="X597">
            <v>72.400000000000006</v>
          </cell>
          <cell r="Y597">
            <v>1260</v>
          </cell>
          <cell r="Z597">
            <v>1520</v>
          </cell>
          <cell r="AA597">
            <v>14358.21</v>
          </cell>
          <cell r="AB597">
            <v>5712.2</v>
          </cell>
          <cell r="AC597">
            <v>48015.550799999997</v>
          </cell>
          <cell r="AE597">
            <v>83.55</v>
          </cell>
          <cell r="AF597">
            <v>800</v>
          </cell>
          <cell r="AG597">
            <v>7319</v>
          </cell>
          <cell r="AH597">
            <v>1005</v>
          </cell>
          <cell r="AI597">
            <v>1690</v>
          </cell>
          <cell r="AJ597">
            <v>689.07</v>
          </cell>
          <cell r="AL597">
            <v>1411.27</v>
          </cell>
          <cell r="AP597">
            <v>4765.4480000000003</v>
          </cell>
          <cell r="AV597">
            <v>56.28</v>
          </cell>
          <cell r="AZ597">
            <v>242.9</v>
          </cell>
          <cell r="BE597">
            <v>24885</v>
          </cell>
          <cell r="BG597">
            <v>71.849999999999994</v>
          </cell>
          <cell r="BH597">
            <v>355.48</v>
          </cell>
          <cell r="BY597">
            <v>477.71</v>
          </cell>
          <cell r="CD597">
            <v>366.99</v>
          </cell>
          <cell r="CE597">
            <v>360.96800000000002</v>
          </cell>
          <cell r="CF597">
            <v>403.52</v>
          </cell>
          <cell r="CG597">
            <v>1395</v>
          </cell>
          <cell r="CH597">
            <v>1050</v>
          </cell>
          <cell r="CI597">
            <v>135</v>
          </cell>
          <cell r="CJ597">
            <v>315</v>
          </cell>
          <cell r="CK597">
            <v>819</v>
          </cell>
          <cell r="CM597">
            <v>197.83</v>
          </cell>
          <cell r="CN597">
            <v>19.46</v>
          </cell>
          <cell r="CO597" t="str">
            <v>#N/A N/A</v>
          </cell>
          <cell r="CQ597">
            <v>6.97</v>
          </cell>
          <cell r="CR597">
            <v>105</v>
          </cell>
          <cell r="CS597">
            <v>2851</v>
          </cell>
          <cell r="CU597">
            <v>860</v>
          </cell>
          <cell r="CW597">
            <v>56.631097560975611</v>
          </cell>
          <cell r="CX597">
            <v>663.2505000000001</v>
          </cell>
          <cell r="CZ597">
            <v>301.27</v>
          </cell>
          <cell r="DA597">
            <v>3490.4</v>
          </cell>
          <cell r="DB597">
            <v>11.25</v>
          </cell>
          <cell r="DC597">
            <v>327.85</v>
          </cell>
          <cell r="DD597">
            <v>111.3</v>
          </cell>
        </row>
        <row r="598">
          <cell r="A598">
            <v>39311</v>
          </cell>
          <cell r="C598">
            <v>28</v>
          </cell>
          <cell r="D598" t="str">
            <v>#N/A N/A</v>
          </cell>
          <cell r="E598">
            <v>17.37</v>
          </cell>
          <cell r="L598">
            <v>1638.07</v>
          </cell>
          <cell r="M598">
            <v>2505.0300000000002</v>
          </cell>
          <cell r="N598">
            <v>6064.2</v>
          </cell>
          <cell r="O598">
            <v>4120</v>
          </cell>
          <cell r="Q598">
            <v>540</v>
          </cell>
          <cell r="R598">
            <v>328.5</v>
          </cell>
          <cell r="S598">
            <v>672</v>
          </cell>
          <cell r="T598">
            <v>811.5</v>
          </cell>
          <cell r="U598">
            <v>15273.68</v>
          </cell>
          <cell r="V598">
            <v>20387.13</v>
          </cell>
          <cell r="W598">
            <v>8090.29</v>
          </cell>
          <cell r="X598">
            <v>72.349999999999994</v>
          </cell>
          <cell r="Y598">
            <v>1300</v>
          </cell>
          <cell r="Z598">
            <v>1520</v>
          </cell>
          <cell r="AA598">
            <v>14141.52</v>
          </cell>
          <cell r="AB598">
            <v>5670.3</v>
          </cell>
          <cell r="AC598">
            <v>48558.761700000003</v>
          </cell>
          <cell r="AE598">
            <v>83.45</v>
          </cell>
          <cell r="AF598">
            <v>800</v>
          </cell>
          <cell r="AG598">
            <v>7313</v>
          </cell>
          <cell r="AH598">
            <v>1020</v>
          </cell>
          <cell r="AI598">
            <v>1690</v>
          </cell>
          <cell r="AJ598">
            <v>673.48</v>
          </cell>
          <cell r="AL598">
            <v>1445.94</v>
          </cell>
          <cell r="AP598">
            <v>4656.5739999999996</v>
          </cell>
          <cell r="AV598">
            <v>58.5</v>
          </cell>
          <cell r="AZ598">
            <v>232.9</v>
          </cell>
          <cell r="BE598">
            <v>25805</v>
          </cell>
          <cell r="BG598">
            <v>70</v>
          </cell>
          <cell r="BH598">
            <v>354.17</v>
          </cell>
          <cell r="BY598">
            <v>487.81</v>
          </cell>
          <cell r="CD598">
            <v>372.66</v>
          </cell>
          <cell r="CE598">
            <v>367.06099999999998</v>
          </cell>
          <cell r="CF598">
            <v>395.18</v>
          </cell>
          <cell r="CG598">
            <v>1395</v>
          </cell>
          <cell r="CH598">
            <v>1050</v>
          </cell>
          <cell r="CI598">
            <v>135</v>
          </cell>
          <cell r="CJ598">
            <v>315</v>
          </cell>
          <cell r="CK598">
            <v>817</v>
          </cell>
          <cell r="CM598">
            <v>203.88</v>
          </cell>
          <cell r="CN598">
            <v>19.09</v>
          </cell>
          <cell r="CO598" t="str">
            <v>#N/A N/A</v>
          </cell>
          <cell r="CQ598">
            <v>7.15</v>
          </cell>
          <cell r="CR598">
            <v>105</v>
          </cell>
          <cell r="CS598">
            <v>2937</v>
          </cell>
          <cell r="CU598">
            <v>910</v>
          </cell>
          <cell r="CW598">
            <v>55.411585365853661</v>
          </cell>
          <cell r="CX598">
            <v>667.95299999999997</v>
          </cell>
          <cell r="CZ598">
            <v>306.14999999999998</v>
          </cell>
          <cell r="DA598">
            <v>3593.5</v>
          </cell>
          <cell r="DB598">
            <v>11.31</v>
          </cell>
          <cell r="DC598">
            <v>329.75</v>
          </cell>
          <cell r="DD598">
            <v>115.55</v>
          </cell>
        </row>
        <row r="599">
          <cell r="A599">
            <v>39312</v>
          </cell>
          <cell r="C599">
            <v>28</v>
          </cell>
          <cell r="D599" t="str">
            <v>#N/A N/A</v>
          </cell>
          <cell r="E599">
            <v>17.37</v>
          </cell>
          <cell r="L599">
            <v>1638.07</v>
          </cell>
          <cell r="M599">
            <v>2505.0300000000002</v>
          </cell>
          <cell r="N599">
            <v>6064.2</v>
          </cell>
          <cell r="O599">
            <v>4120</v>
          </cell>
          <cell r="Q599">
            <v>540</v>
          </cell>
          <cell r="R599">
            <v>328.5</v>
          </cell>
          <cell r="S599">
            <v>672</v>
          </cell>
          <cell r="T599">
            <v>811.5</v>
          </cell>
          <cell r="U599">
            <v>15273.68</v>
          </cell>
          <cell r="V599">
            <v>20387.13</v>
          </cell>
          <cell r="W599">
            <v>8090.29</v>
          </cell>
          <cell r="X599">
            <v>72.349999999999994</v>
          </cell>
          <cell r="Y599">
            <v>1300</v>
          </cell>
          <cell r="Z599">
            <v>1520</v>
          </cell>
          <cell r="AA599">
            <v>14141.52</v>
          </cell>
          <cell r="AB599">
            <v>5670.3</v>
          </cell>
          <cell r="AC599">
            <v>48558.761700000003</v>
          </cell>
          <cell r="AE599">
            <v>83.45</v>
          </cell>
          <cell r="AF599">
            <v>800</v>
          </cell>
          <cell r="AG599">
            <v>7313</v>
          </cell>
          <cell r="AH599">
            <v>1020</v>
          </cell>
          <cell r="AI599">
            <v>1690</v>
          </cell>
          <cell r="AJ599">
            <v>673.48</v>
          </cell>
          <cell r="AL599">
            <v>1445.94</v>
          </cell>
          <cell r="AP599">
            <v>4656.5739999999996</v>
          </cell>
          <cell r="AV599">
            <v>58.5</v>
          </cell>
          <cell r="AZ599">
            <v>232.9</v>
          </cell>
          <cell r="BE599">
            <v>25805</v>
          </cell>
          <cell r="BG599">
            <v>70</v>
          </cell>
          <cell r="BH599">
            <v>354.17</v>
          </cell>
          <cell r="BY599">
            <v>487.81</v>
          </cell>
          <cell r="CD599">
            <v>372.66</v>
          </cell>
          <cell r="CE599">
            <v>367.06099999999998</v>
          </cell>
          <cell r="CF599">
            <v>395.18</v>
          </cell>
          <cell r="CG599">
            <v>1395</v>
          </cell>
          <cell r="CH599">
            <v>1050</v>
          </cell>
          <cell r="CI599">
            <v>135</v>
          </cell>
          <cell r="CJ599">
            <v>315</v>
          </cell>
          <cell r="CK599">
            <v>817</v>
          </cell>
          <cell r="CM599">
            <v>203.88</v>
          </cell>
          <cell r="CN599">
            <v>19.09</v>
          </cell>
          <cell r="CO599" t="str">
            <v>#N/A N/A</v>
          </cell>
          <cell r="CQ599">
            <v>7.15</v>
          </cell>
          <cell r="CR599">
            <v>105</v>
          </cell>
          <cell r="CS599">
            <v>2937</v>
          </cell>
          <cell r="CU599">
            <v>910</v>
          </cell>
          <cell r="CW599">
            <v>55.411585365853661</v>
          </cell>
          <cell r="CX599">
            <v>667.95299999999997</v>
          </cell>
          <cell r="CZ599">
            <v>306.14999999999998</v>
          </cell>
          <cell r="DA599">
            <v>3593.5</v>
          </cell>
          <cell r="DB599">
            <v>11.31</v>
          </cell>
          <cell r="DC599">
            <v>329.75</v>
          </cell>
          <cell r="DD599">
            <v>115.55</v>
          </cell>
        </row>
        <row r="600">
          <cell r="A600">
            <v>39313</v>
          </cell>
          <cell r="C600">
            <v>28</v>
          </cell>
          <cell r="D600" t="str">
            <v>#N/A N/A</v>
          </cell>
          <cell r="E600">
            <v>17.37</v>
          </cell>
          <cell r="L600">
            <v>1638.07</v>
          </cell>
          <cell r="M600">
            <v>2505.0300000000002</v>
          </cell>
          <cell r="N600">
            <v>6064.2</v>
          </cell>
          <cell r="O600">
            <v>4120</v>
          </cell>
          <cell r="Q600">
            <v>540</v>
          </cell>
          <cell r="R600">
            <v>328.5</v>
          </cell>
          <cell r="S600">
            <v>672</v>
          </cell>
          <cell r="T600">
            <v>811.5</v>
          </cell>
          <cell r="U600">
            <v>15273.68</v>
          </cell>
          <cell r="V600">
            <v>20387.13</v>
          </cell>
          <cell r="W600">
            <v>8090.29</v>
          </cell>
          <cell r="X600">
            <v>72.349999999999994</v>
          </cell>
          <cell r="Y600">
            <v>1300</v>
          </cell>
          <cell r="Z600">
            <v>1520</v>
          </cell>
          <cell r="AA600">
            <v>14141.52</v>
          </cell>
          <cell r="AB600">
            <v>5670.3</v>
          </cell>
          <cell r="AC600">
            <v>48558.761700000003</v>
          </cell>
          <cell r="AE600">
            <v>83.45</v>
          </cell>
          <cell r="AF600">
            <v>800</v>
          </cell>
          <cell r="AG600">
            <v>7313</v>
          </cell>
          <cell r="AH600">
            <v>1020</v>
          </cell>
          <cell r="AI600">
            <v>1690</v>
          </cell>
          <cell r="AJ600">
            <v>673.48</v>
          </cell>
          <cell r="AL600">
            <v>1445.94</v>
          </cell>
          <cell r="AP600">
            <v>4656.5739999999996</v>
          </cell>
          <cell r="AV600">
            <v>58.5</v>
          </cell>
          <cell r="AZ600">
            <v>232.9</v>
          </cell>
          <cell r="BE600">
            <v>25805</v>
          </cell>
          <cell r="BG600">
            <v>70</v>
          </cell>
          <cell r="BH600">
            <v>354.17</v>
          </cell>
          <cell r="BY600">
            <v>487.81</v>
          </cell>
          <cell r="CD600">
            <v>372.66</v>
          </cell>
          <cell r="CE600">
            <v>367.06099999999998</v>
          </cell>
          <cell r="CF600">
            <v>395.18</v>
          </cell>
          <cell r="CG600">
            <v>1395</v>
          </cell>
          <cell r="CH600">
            <v>1050</v>
          </cell>
          <cell r="CI600">
            <v>135</v>
          </cell>
          <cell r="CJ600">
            <v>315</v>
          </cell>
          <cell r="CK600">
            <v>817</v>
          </cell>
          <cell r="CM600">
            <v>203.88</v>
          </cell>
          <cell r="CN600">
            <v>19.09</v>
          </cell>
          <cell r="CO600" t="str">
            <v>#N/A N/A</v>
          </cell>
          <cell r="CQ600">
            <v>7.15</v>
          </cell>
          <cell r="CR600">
            <v>105</v>
          </cell>
          <cell r="CS600">
            <v>2937</v>
          </cell>
          <cell r="CU600">
            <v>910</v>
          </cell>
          <cell r="CW600">
            <v>55.411585365853661</v>
          </cell>
          <cell r="CX600">
            <v>667.95299999999997</v>
          </cell>
          <cell r="CZ600">
            <v>306.14999999999998</v>
          </cell>
          <cell r="DA600">
            <v>3593.5</v>
          </cell>
          <cell r="DB600">
            <v>11.31</v>
          </cell>
          <cell r="DC600">
            <v>329.75</v>
          </cell>
          <cell r="DD600">
            <v>115.55</v>
          </cell>
        </row>
        <row r="601">
          <cell r="A601">
            <v>39314</v>
          </cell>
          <cell r="C601">
            <v>28</v>
          </cell>
          <cell r="D601" t="str">
            <v>#N/A N/A</v>
          </cell>
          <cell r="E601">
            <v>17.16</v>
          </cell>
          <cell r="L601">
            <v>1731.27</v>
          </cell>
          <cell r="M601">
            <v>2508.59</v>
          </cell>
          <cell r="N601">
            <v>6078.7</v>
          </cell>
          <cell r="O601">
            <v>4134</v>
          </cell>
          <cell r="Q601">
            <v>540</v>
          </cell>
          <cell r="R601">
            <v>331.75</v>
          </cell>
          <cell r="S601">
            <v>675</v>
          </cell>
          <cell r="T601">
            <v>811.75</v>
          </cell>
          <cell r="U601">
            <v>15732.48</v>
          </cell>
          <cell r="V601">
            <v>21595.63</v>
          </cell>
          <cell r="W601">
            <v>8515.6</v>
          </cell>
          <cell r="X601">
            <v>72.25</v>
          </cell>
          <cell r="Y601">
            <v>1300</v>
          </cell>
          <cell r="Z601">
            <v>1520</v>
          </cell>
          <cell r="AA601">
            <v>14427.55</v>
          </cell>
          <cell r="AB601">
            <v>5926.5</v>
          </cell>
          <cell r="AC601">
            <v>49206.359400000001</v>
          </cell>
          <cell r="AE601">
            <v>84.15</v>
          </cell>
          <cell r="AF601">
            <v>800</v>
          </cell>
          <cell r="AG601">
            <v>7289</v>
          </cell>
          <cell r="AH601">
            <v>1020</v>
          </cell>
          <cell r="AI601">
            <v>1690</v>
          </cell>
          <cell r="AJ601">
            <v>721.59</v>
          </cell>
          <cell r="AL601">
            <v>1445.55</v>
          </cell>
          <cell r="AP601">
            <v>4904.8549999999996</v>
          </cell>
          <cell r="AV601">
            <v>58.64</v>
          </cell>
          <cell r="AZ601">
            <v>235</v>
          </cell>
          <cell r="BE601">
            <v>25880</v>
          </cell>
          <cell r="BG601">
            <v>70</v>
          </cell>
          <cell r="BH601">
            <v>368.91</v>
          </cell>
          <cell r="BY601">
            <v>492.14</v>
          </cell>
          <cell r="CD601">
            <v>375.99</v>
          </cell>
          <cell r="CE601">
            <v>369.32</v>
          </cell>
          <cell r="CF601">
            <v>419.26</v>
          </cell>
          <cell r="CG601">
            <v>1395</v>
          </cell>
          <cell r="CH601">
            <v>1050</v>
          </cell>
          <cell r="CI601">
            <v>135</v>
          </cell>
          <cell r="CJ601">
            <v>315</v>
          </cell>
          <cell r="CK601">
            <v>815</v>
          </cell>
          <cell r="CM601">
            <v>193.65</v>
          </cell>
          <cell r="CN601">
            <v>19.309999999999999</v>
          </cell>
          <cell r="CO601" t="str">
            <v>#N/A N/A</v>
          </cell>
          <cell r="CQ601">
            <v>6.45</v>
          </cell>
          <cell r="CR601">
            <v>105</v>
          </cell>
          <cell r="CS601">
            <v>2975</v>
          </cell>
          <cell r="CU601">
            <v>910</v>
          </cell>
          <cell r="CW601">
            <v>55.564024390243908</v>
          </cell>
          <cell r="CX601">
            <v>666.66600000000005</v>
          </cell>
          <cell r="CZ601">
            <v>301.99</v>
          </cell>
          <cell r="DA601">
            <v>3599.7</v>
          </cell>
          <cell r="DB601">
            <v>11.51</v>
          </cell>
          <cell r="DC601">
            <v>331.95</v>
          </cell>
          <cell r="DD601">
            <v>114.85</v>
          </cell>
        </row>
        <row r="602">
          <cell r="A602">
            <v>39315</v>
          </cell>
          <cell r="C602">
            <v>28</v>
          </cell>
          <cell r="D602" t="str">
            <v>#N/A N/A</v>
          </cell>
          <cell r="E602">
            <v>16.7</v>
          </cell>
          <cell r="L602">
            <v>1736.18</v>
          </cell>
          <cell r="M602">
            <v>2521.3000000000002</v>
          </cell>
          <cell r="N602">
            <v>6086.1</v>
          </cell>
          <cell r="O602">
            <v>4158</v>
          </cell>
          <cell r="Q602">
            <v>540</v>
          </cell>
          <cell r="R602">
            <v>338.5</v>
          </cell>
          <cell r="S602">
            <v>691.5</v>
          </cell>
          <cell r="T602">
            <v>815.75</v>
          </cell>
          <cell r="U602">
            <v>15901.34</v>
          </cell>
          <cell r="V602">
            <v>21729.35</v>
          </cell>
          <cell r="W602">
            <v>8479.08</v>
          </cell>
          <cell r="X602">
            <v>70.8</v>
          </cell>
          <cell r="Y602">
            <v>1300</v>
          </cell>
          <cell r="Z602">
            <v>1520</v>
          </cell>
          <cell r="AA602">
            <v>13989.11</v>
          </cell>
          <cell r="AB602">
            <v>5978.6</v>
          </cell>
          <cell r="AC602">
            <v>49815.078099999999</v>
          </cell>
          <cell r="AE602">
            <v>83.85</v>
          </cell>
          <cell r="AF602">
            <v>800</v>
          </cell>
          <cell r="AG602">
            <v>7243</v>
          </cell>
          <cell r="AH602">
            <v>1020</v>
          </cell>
          <cell r="AI602">
            <v>1690</v>
          </cell>
          <cell r="AJ602">
            <v>727.88</v>
          </cell>
          <cell r="AL602">
            <v>1447.12</v>
          </cell>
          <cell r="AP602">
            <v>4955.2070000000003</v>
          </cell>
          <cell r="AV602">
            <v>58.18</v>
          </cell>
          <cell r="AZ602">
            <v>237.3</v>
          </cell>
          <cell r="BE602">
            <v>26975</v>
          </cell>
          <cell r="BG602">
            <v>70</v>
          </cell>
          <cell r="BH602">
            <v>368.67</v>
          </cell>
          <cell r="BY602">
            <v>492.03</v>
          </cell>
          <cell r="CD602">
            <v>377.25</v>
          </cell>
          <cell r="CE602">
            <v>370.75200000000001</v>
          </cell>
          <cell r="CF602">
            <v>419.3</v>
          </cell>
          <cell r="CG602">
            <v>1395</v>
          </cell>
          <cell r="CH602">
            <v>1050</v>
          </cell>
          <cell r="CI602">
            <v>135</v>
          </cell>
          <cell r="CJ602">
            <v>315</v>
          </cell>
          <cell r="CK602">
            <v>807</v>
          </cell>
          <cell r="CM602">
            <v>186.37</v>
          </cell>
          <cell r="CN602">
            <v>19.100000000000001</v>
          </cell>
          <cell r="CO602" t="str">
            <v>#N/A N/A</v>
          </cell>
          <cell r="CQ602">
            <v>5.92</v>
          </cell>
          <cell r="CR602">
            <v>105</v>
          </cell>
          <cell r="CS602">
            <v>2938</v>
          </cell>
          <cell r="CU602">
            <v>910</v>
          </cell>
          <cell r="CW602">
            <v>55.259146341463421</v>
          </cell>
          <cell r="CX602">
            <v>667.21050000000002</v>
          </cell>
          <cell r="CZ602">
            <v>299.77</v>
          </cell>
          <cell r="DA602">
            <v>3591.4</v>
          </cell>
          <cell r="DB602">
            <v>11.43</v>
          </cell>
          <cell r="DC602">
            <v>323.5</v>
          </cell>
          <cell r="DD602">
            <v>114.25</v>
          </cell>
        </row>
        <row r="603">
          <cell r="A603">
            <v>39316</v>
          </cell>
          <cell r="C603">
            <v>28</v>
          </cell>
          <cell r="D603" t="str">
            <v>#N/A N/A</v>
          </cell>
          <cell r="E603">
            <v>16.559999999999999</v>
          </cell>
          <cell r="L603">
            <v>1759.5</v>
          </cell>
          <cell r="M603">
            <v>2552.8000000000002</v>
          </cell>
          <cell r="N603">
            <v>6196</v>
          </cell>
          <cell r="O603">
            <v>4189</v>
          </cell>
          <cell r="Q603">
            <v>540</v>
          </cell>
          <cell r="R603">
            <v>347.5</v>
          </cell>
          <cell r="S603">
            <v>718.5</v>
          </cell>
          <cell r="T603">
            <v>831.25</v>
          </cell>
          <cell r="U603">
            <v>15900.64</v>
          </cell>
          <cell r="V603">
            <v>22346.880000000001</v>
          </cell>
          <cell r="W603">
            <v>8493.4599999999991</v>
          </cell>
          <cell r="X603">
            <v>69.25</v>
          </cell>
          <cell r="Y603">
            <v>1300</v>
          </cell>
          <cell r="Z603">
            <v>1520</v>
          </cell>
          <cell r="AA603">
            <v>14248.66</v>
          </cell>
          <cell r="AB603">
            <v>5997.4</v>
          </cell>
          <cell r="AC603">
            <v>51744.558599999997</v>
          </cell>
          <cell r="AE603">
            <v>82.9</v>
          </cell>
          <cell r="AF603">
            <v>800</v>
          </cell>
          <cell r="AG603">
            <v>7211</v>
          </cell>
          <cell r="AH603">
            <v>1020</v>
          </cell>
          <cell r="AI603">
            <v>1690</v>
          </cell>
          <cell r="AJ603">
            <v>741.43</v>
          </cell>
          <cell r="AL603">
            <v>1464.07</v>
          </cell>
          <cell r="AP603">
            <v>4980.0749999999998</v>
          </cell>
          <cell r="AV603">
            <v>60.76</v>
          </cell>
          <cell r="AZ603">
            <v>234.4</v>
          </cell>
          <cell r="BE603">
            <v>27937</v>
          </cell>
          <cell r="BG603">
            <v>70</v>
          </cell>
          <cell r="BH603">
            <v>378.23</v>
          </cell>
          <cell r="BY603">
            <v>496.48</v>
          </cell>
          <cell r="CD603">
            <v>382.32</v>
          </cell>
          <cell r="CE603">
            <v>375.27199999999999</v>
          </cell>
          <cell r="CF603">
            <v>426.51</v>
          </cell>
          <cell r="CG603">
            <v>1395</v>
          </cell>
          <cell r="CH603">
            <v>1050</v>
          </cell>
          <cell r="CI603">
            <v>135</v>
          </cell>
          <cell r="CJ603">
            <v>315</v>
          </cell>
          <cell r="CK603">
            <v>817</v>
          </cell>
          <cell r="CM603">
            <v>188.9</v>
          </cell>
          <cell r="CN603">
            <v>19.100000000000001</v>
          </cell>
          <cell r="CO603" t="str">
            <v>#N/A N/A</v>
          </cell>
          <cell r="CQ603">
            <v>5.85</v>
          </cell>
          <cell r="CR603">
            <v>105</v>
          </cell>
          <cell r="CS603">
            <v>3043</v>
          </cell>
          <cell r="CU603">
            <v>910</v>
          </cell>
          <cell r="CW603">
            <v>54.19207317073171</v>
          </cell>
          <cell r="CX603">
            <v>669.83399999999995</v>
          </cell>
          <cell r="CZ603">
            <v>300.63</v>
          </cell>
          <cell r="DA603">
            <v>3684.1</v>
          </cell>
          <cell r="DB603">
            <v>11.42</v>
          </cell>
          <cell r="DC603">
            <v>323</v>
          </cell>
          <cell r="DD603">
            <v>114.45</v>
          </cell>
        </row>
        <row r="604">
          <cell r="A604">
            <v>39317</v>
          </cell>
          <cell r="C604">
            <v>28</v>
          </cell>
          <cell r="D604" t="str">
            <v>#N/A N/A</v>
          </cell>
          <cell r="E604">
            <v>16.489999999999998</v>
          </cell>
          <cell r="L604">
            <v>1799.72</v>
          </cell>
          <cell r="M604">
            <v>2541.6999999999998</v>
          </cell>
          <cell r="N604">
            <v>6196.9</v>
          </cell>
          <cell r="O604">
            <v>4207</v>
          </cell>
          <cell r="Q604">
            <v>540</v>
          </cell>
          <cell r="R604">
            <v>345.25</v>
          </cell>
          <cell r="S604">
            <v>722.5</v>
          </cell>
          <cell r="T604">
            <v>842</v>
          </cell>
          <cell r="U604">
            <v>16316.32</v>
          </cell>
          <cell r="V604">
            <v>22966.97</v>
          </cell>
          <cell r="W604">
            <v>8732.84</v>
          </cell>
          <cell r="X604">
            <v>69.75</v>
          </cell>
          <cell r="Y604">
            <v>1300</v>
          </cell>
          <cell r="Z604">
            <v>1520</v>
          </cell>
          <cell r="AA604">
            <v>14163.98</v>
          </cell>
          <cell r="AB604">
            <v>6149.7</v>
          </cell>
          <cell r="AC604">
            <v>51848.230499999998</v>
          </cell>
          <cell r="AE604">
            <v>82.45</v>
          </cell>
          <cell r="AF604">
            <v>800</v>
          </cell>
          <cell r="AG604">
            <v>7237</v>
          </cell>
          <cell r="AH604">
            <v>1020</v>
          </cell>
          <cell r="AI604">
            <v>1690</v>
          </cell>
          <cell r="AJ604">
            <v>756.27</v>
          </cell>
          <cell r="AL604">
            <v>1462.5</v>
          </cell>
          <cell r="AP604">
            <v>5032.4939999999997</v>
          </cell>
          <cell r="AV604">
            <v>60.87</v>
          </cell>
          <cell r="AZ604">
            <v>237.7</v>
          </cell>
          <cell r="BE604">
            <v>27590</v>
          </cell>
          <cell r="BG604">
            <v>70</v>
          </cell>
          <cell r="BH604">
            <v>389.18</v>
          </cell>
          <cell r="BY604">
            <v>492.8</v>
          </cell>
          <cell r="CD604">
            <v>384.83</v>
          </cell>
          <cell r="CE604">
            <v>377.31299999999999</v>
          </cell>
          <cell r="CF604">
            <v>437.06</v>
          </cell>
          <cell r="CG604">
            <v>1395</v>
          </cell>
          <cell r="CH604">
            <v>1050</v>
          </cell>
          <cell r="CI604">
            <v>135</v>
          </cell>
          <cell r="CJ604">
            <v>315</v>
          </cell>
          <cell r="CK604">
            <v>830</v>
          </cell>
          <cell r="CM604">
            <v>192.32</v>
          </cell>
          <cell r="CN604">
            <v>18.690000000000001</v>
          </cell>
          <cell r="CO604" t="str">
            <v>#N/A N/A</v>
          </cell>
          <cell r="CQ604">
            <v>5.75</v>
          </cell>
          <cell r="CR604">
            <v>105</v>
          </cell>
          <cell r="CS604">
            <v>3196</v>
          </cell>
          <cell r="CU604">
            <v>910</v>
          </cell>
          <cell r="CW604">
            <v>54.496951219512198</v>
          </cell>
          <cell r="CX604">
            <v>671.31900000000007</v>
          </cell>
          <cell r="CZ604">
            <v>303.10000000000002</v>
          </cell>
          <cell r="DA604">
            <v>3726.3</v>
          </cell>
          <cell r="DB604">
            <v>11.43</v>
          </cell>
          <cell r="DC604">
            <v>327.85</v>
          </cell>
          <cell r="DD604">
            <v>115.85</v>
          </cell>
        </row>
        <row r="605">
          <cell r="A605">
            <v>39318</v>
          </cell>
          <cell r="C605">
            <v>28</v>
          </cell>
          <cell r="D605" t="str">
            <v>#N/A N/A</v>
          </cell>
          <cell r="E605">
            <v>16.39</v>
          </cell>
          <cell r="L605">
            <v>1791.33</v>
          </cell>
          <cell r="M605">
            <v>2576.69</v>
          </cell>
          <cell r="N605">
            <v>6220.1</v>
          </cell>
          <cell r="O605">
            <v>4232</v>
          </cell>
          <cell r="Q605">
            <v>540</v>
          </cell>
          <cell r="R605">
            <v>341.5</v>
          </cell>
          <cell r="S605">
            <v>725.75</v>
          </cell>
          <cell r="T605">
            <v>849</v>
          </cell>
          <cell r="U605">
            <v>16248.97</v>
          </cell>
          <cell r="V605">
            <v>22921.89</v>
          </cell>
          <cell r="W605">
            <v>8690.09</v>
          </cell>
          <cell r="X605">
            <v>70.650000000000006</v>
          </cell>
          <cell r="Y605">
            <v>1280</v>
          </cell>
          <cell r="Z605">
            <v>1525</v>
          </cell>
          <cell r="AA605">
            <v>14424.87</v>
          </cell>
          <cell r="AB605">
            <v>6087.2</v>
          </cell>
          <cell r="AC605">
            <v>52997.558599999997</v>
          </cell>
          <cell r="AE605">
            <v>82.5</v>
          </cell>
          <cell r="AF605">
            <v>800</v>
          </cell>
          <cell r="AG605">
            <v>7277</v>
          </cell>
          <cell r="AH605">
            <v>1030</v>
          </cell>
          <cell r="AI605">
            <v>1690</v>
          </cell>
          <cell r="AJ605">
            <v>754.16</v>
          </cell>
          <cell r="AL605">
            <v>1479.37</v>
          </cell>
          <cell r="AP605">
            <v>5107.6679999999997</v>
          </cell>
          <cell r="AV605">
            <v>62.14</v>
          </cell>
          <cell r="AZ605">
            <v>236</v>
          </cell>
          <cell r="BE605">
            <v>27470</v>
          </cell>
          <cell r="BG605">
            <v>68.25</v>
          </cell>
          <cell r="BH605">
            <v>394.99</v>
          </cell>
          <cell r="BY605">
            <v>495.72</v>
          </cell>
          <cell r="CD605">
            <v>387.82</v>
          </cell>
          <cell r="CE605">
            <v>380.38600000000002</v>
          </cell>
          <cell r="CF605">
            <v>436.7</v>
          </cell>
          <cell r="CG605">
            <v>1395</v>
          </cell>
          <cell r="CH605">
            <v>1050</v>
          </cell>
          <cell r="CI605">
            <v>135</v>
          </cell>
          <cell r="CJ605">
            <v>315</v>
          </cell>
          <cell r="CK605">
            <v>833</v>
          </cell>
          <cell r="CM605">
            <v>198.14</v>
          </cell>
          <cell r="CN605">
            <v>18.690000000000001</v>
          </cell>
          <cell r="CO605" t="str">
            <v>#N/A N/A</v>
          </cell>
          <cell r="CQ605">
            <v>5.71</v>
          </cell>
          <cell r="CR605">
            <v>105</v>
          </cell>
          <cell r="CS605">
            <v>3316</v>
          </cell>
          <cell r="CU605">
            <v>910</v>
          </cell>
          <cell r="CW605">
            <v>55.411585365853661</v>
          </cell>
          <cell r="CX605">
            <v>676.6155</v>
          </cell>
          <cell r="CZ605">
            <v>305.64</v>
          </cell>
          <cell r="DA605">
            <v>3757.5</v>
          </cell>
          <cell r="DB605">
            <v>11.44</v>
          </cell>
          <cell r="DC605">
            <v>331.8</v>
          </cell>
          <cell r="DD605">
            <v>114.65</v>
          </cell>
        </row>
        <row r="606">
          <cell r="A606">
            <v>39319</v>
          </cell>
          <cell r="C606">
            <v>28</v>
          </cell>
          <cell r="D606" t="str">
            <v>#N/A N/A</v>
          </cell>
          <cell r="E606">
            <v>16.39</v>
          </cell>
          <cell r="L606">
            <v>1791.33</v>
          </cell>
          <cell r="M606">
            <v>2576.69</v>
          </cell>
          <cell r="N606">
            <v>6220.1</v>
          </cell>
          <cell r="O606">
            <v>4232</v>
          </cell>
          <cell r="Q606">
            <v>540</v>
          </cell>
          <cell r="R606">
            <v>341.5</v>
          </cell>
          <cell r="S606">
            <v>725.75</v>
          </cell>
          <cell r="T606">
            <v>849</v>
          </cell>
          <cell r="U606">
            <v>16248.97</v>
          </cell>
          <cell r="V606">
            <v>22921.89</v>
          </cell>
          <cell r="W606">
            <v>8690.09</v>
          </cell>
          <cell r="X606">
            <v>70.650000000000006</v>
          </cell>
          <cell r="Y606">
            <v>1280</v>
          </cell>
          <cell r="Z606">
            <v>1525</v>
          </cell>
          <cell r="AA606">
            <v>14424.87</v>
          </cell>
          <cell r="AB606">
            <v>6087.2</v>
          </cell>
          <cell r="AC606">
            <v>52997.558599999997</v>
          </cell>
          <cell r="AE606">
            <v>82.5</v>
          </cell>
          <cell r="AF606">
            <v>800</v>
          </cell>
          <cell r="AG606">
            <v>7277</v>
          </cell>
          <cell r="AH606">
            <v>1030</v>
          </cell>
          <cell r="AI606">
            <v>1690</v>
          </cell>
          <cell r="AJ606">
            <v>754.16</v>
          </cell>
          <cell r="AL606">
            <v>1479.37</v>
          </cell>
          <cell r="AP606">
            <v>5107.6679999999997</v>
          </cell>
          <cell r="AV606">
            <v>62.14</v>
          </cell>
          <cell r="AZ606">
            <v>236</v>
          </cell>
          <cell r="BE606">
            <v>27470</v>
          </cell>
          <cell r="BG606">
            <v>68.25</v>
          </cell>
          <cell r="BH606">
            <v>394.99</v>
          </cell>
          <cell r="BY606">
            <v>495.72</v>
          </cell>
          <cell r="CD606">
            <v>387.82</v>
          </cell>
          <cell r="CE606">
            <v>380.38600000000002</v>
          </cell>
          <cell r="CF606">
            <v>436.7</v>
          </cell>
          <cell r="CG606">
            <v>1395</v>
          </cell>
          <cell r="CH606">
            <v>1050</v>
          </cell>
          <cell r="CI606">
            <v>135</v>
          </cell>
          <cell r="CJ606">
            <v>315</v>
          </cell>
          <cell r="CK606">
            <v>833</v>
          </cell>
          <cell r="CM606">
            <v>198.14</v>
          </cell>
          <cell r="CN606">
            <v>18.690000000000001</v>
          </cell>
          <cell r="CO606" t="str">
            <v>#N/A N/A</v>
          </cell>
          <cell r="CQ606">
            <v>5.71</v>
          </cell>
          <cell r="CR606">
            <v>105</v>
          </cell>
          <cell r="CS606">
            <v>3316</v>
          </cell>
          <cell r="CU606">
            <v>910</v>
          </cell>
          <cell r="CW606">
            <v>55.411585365853661</v>
          </cell>
          <cell r="CX606">
            <v>676.6155</v>
          </cell>
          <cell r="CZ606">
            <v>305.64</v>
          </cell>
          <cell r="DA606">
            <v>3757.5</v>
          </cell>
          <cell r="DB606">
            <v>11.44</v>
          </cell>
          <cell r="DC606">
            <v>331.8</v>
          </cell>
          <cell r="DD606">
            <v>114.65</v>
          </cell>
        </row>
        <row r="607">
          <cell r="A607">
            <v>39320</v>
          </cell>
          <cell r="C607">
            <v>28</v>
          </cell>
          <cell r="D607" t="str">
            <v>#N/A N/A</v>
          </cell>
          <cell r="E607">
            <v>16.39</v>
          </cell>
          <cell r="L607">
            <v>1791.33</v>
          </cell>
          <cell r="M607">
            <v>2576.69</v>
          </cell>
          <cell r="N607">
            <v>6220.1</v>
          </cell>
          <cell r="O607">
            <v>4232</v>
          </cell>
          <cell r="Q607">
            <v>540</v>
          </cell>
          <cell r="R607">
            <v>341.5</v>
          </cell>
          <cell r="S607">
            <v>725.75</v>
          </cell>
          <cell r="T607">
            <v>849</v>
          </cell>
          <cell r="U607">
            <v>16248.97</v>
          </cell>
          <cell r="V607">
            <v>22921.89</v>
          </cell>
          <cell r="W607">
            <v>8690.09</v>
          </cell>
          <cell r="X607">
            <v>70.650000000000006</v>
          </cell>
          <cell r="Y607">
            <v>1280</v>
          </cell>
          <cell r="Z607">
            <v>1525</v>
          </cell>
          <cell r="AA607">
            <v>14424.87</v>
          </cell>
          <cell r="AB607">
            <v>6087.2</v>
          </cell>
          <cell r="AC607">
            <v>52997.558599999997</v>
          </cell>
          <cell r="AE607">
            <v>82.5</v>
          </cell>
          <cell r="AF607">
            <v>800</v>
          </cell>
          <cell r="AG607">
            <v>7277</v>
          </cell>
          <cell r="AH607">
            <v>1030</v>
          </cell>
          <cell r="AI607">
            <v>1690</v>
          </cell>
          <cell r="AJ607">
            <v>754.16</v>
          </cell>
          <cell r="AL607">
            <v>1479.37</v>
          </cell>
          <cell r="AP607">
            <v>5107.6679999999997</v>
          </cell>
          <cell r="AV607">
            <v>62.14</v>
          </cell>
          <cell r="AZ607">
            <v>236</v>
          </cell>
          <cell r="BE607">
            <v>27470</v>
          </cell>
          <cell r="BG607">
            <v>68.25</v>
          </cell>
          <cell r="BH607">
            <v>394.99</v>
          </cell>
          <cell r="BY607">
            <v>495.72</v>
          </cell>
          <cell r="CD607">
            <v>387.82</v>
          </cell>
          <cell r="CE607">
            <v>380.38600000000002</v>
          </cell>
          <cell r="CF607">
            <v>436.7</v>
          </cell>
          <cell r="CG607">
            <v>1395</v>
          </cell>
          <cell r="CH607">
            <v>1050</v>
          </cell>
          <cell r="CI607">
            <v>135</v>
          </cell>
          <cell r="CJ607">
            <v>315</v>
          </cell>
          <cell r="CK607">
            <v>833</v>
          </cell>
          <cell r="CM607">
            <v>198.14</v>
          </cell>
          <cell r="CN607">
            <v>18.690000000000001</v>
          </cell>
          <cell r="CO607" t="str">
            <v>#N/A N/A</v>
          </cell>
          <cell r="CQ607">
            <v>5.71</v>
          </cell>
          <cell r="CR607">
            <v>105</v>
          </cell>
          <cell r="CS607">
            <v>3316</v>
          </cell>
          <cell r="CU607">
            <v>910</v>
          </cell>
          <cell r="CW607">
            <v>55.411585365853661</v>
          </cell>
          <cell r="CX607">
            <v>676.6155</v>
          </cell>
          <cell r="CZ607">
            <v>305.64</v>
          </cell>
          <cell r="DA607">
            <v>3757.5</v>
          </cell>
          <cell r="DB607">
            <v>11.44</v>
          </cell>
          <cell r="DC607">
            <v>331.8</v>
          </cell>
          <cell r="DD607">
            <v>114.65</v>
          </cell>
        </row>
        <row r="608">
          <cell r="A608">
            <v>39321</v>
          </cell>
          <cell r="C608">
            <v>28</v>
          </cell>
          <cell r="D608" t="str">
            <v>#N/A N/A</v>
          </cell>
          <cell r="E608">
            <v>16.43</v>
          </cell>
          <cell r="L608">
            <v>1803.03</v>
          </cell>
          <cell r="M608">
            <v>2561.25</v>
          </cell>
          <cell r="N608">
            <v>6220.1</v>
          </cell>
          <cell r="O608">
            <v>4276</v>
          </cell>
          <cell r="Q608">
            <v>540</v>
          </cell>
          <cell r="R608">
            <v>335.75</v>
          </cell>
          <cell r="S608">
            <v>722.25</v>
          </cell>
          <cell r="T608">
            <v>856.5</v>
          </cell>
          <cell r="U608">
            <v>16301.39</v>
          </cell>
          <cell r="V608">
            <v>23577.73</v>
          </cell>
          <cell r="W608">
            <v>8718.31</v>
          </cell>
          <cell r="X608">
            <v>72.05</v>
          </cell>
          <cell r="Y608">
            <v>1280</v>
          </cell>
          <cell r="Z608">
            <v>1525</v>
          </cell>
          <cell r="AA608">
            <v>14842.38</v>
          </cell>
          <cell r="AB608">
            <v>6184.9</v>
          </cell>
          <cell r="AC608">
            <v>53078.148399999998</v>
          </cell>
          <cell r="AE608">
            <v>83.35</v>
          </cell>
          <cell r="AF608">
            <v>800</v>
          </cell>
          <cell r="AG608">
            <v>7277</v>
          </cell>
          <cell r="AH608">
            <v>1030</v>
          </cell>
          <cell r="AI608">
            <v>1690</v>
          </cell>
          <cell r="AJ608">
            <v>760.63</v>
          </cell>
          <cell r="AL608">
            <v>1466.79</v>
          </cell>
          <cell r="AP608">
            <v>5150.1180000000004</v>
          </cell>
          <cell r="AV608">
            <v>60.85</v>
          </cell>
          <cell r="AZ608">
            <v>240.5</v>
          </cell>
          <cell r="BE608">
            <v>27470</v>
          </cell>
          <cell r="BG608">
            <v>68.25</v>
          </cell>
          <cell r="BH608">
            <v>401.11</v>
          </cell>
          <cell r="BY608">
            <v>487.55</v>
          </cell>
          <cell r="CD608">
            <v>387.56</v>
          </cell>
          <cell r="CE608">
            <v>379.36900000000003</v>
          </cell>
          <cell r="CF608">
            <v>447.01</v>
          </cell>
          <cell r="CG608">
            <v>1395</v>
          </cell>
          <cell r="CH608">
            <v>1050</v>
          </cell>
          <cell r="CI608">
            <v>135</v>
          </cell>
          <cell r="CJ608">
            <v>315</v>
          </cell>
          <cell r="CK608">
            <v>833</v>
          </cell>
          <cell r="CM608">
            <v>203.93</v>
          </cell>
          <cell r="CN608">
            <v>18.37</v>
          </cell>
          <cell r="CO608" t="str">
            <v>#N/A N/A</v>
          </cell>
          <cell r="CQ608">
            <v>5.34</v>
          </cell>
          <cell r="CR608">
            <v>105</v>
          </cell>
          <cell r="CS608">
            <v>3316</v>
          </cell>
          <cell r="CU608">
            <v>910</v>
          </cell>
          <cell r="CW608">
            <v>55.716463414634148</v>
          </cell>
          <cell r="CX608">
            <v>675.72450000000003</v>
          </cell>
          <cell r="CZ608">
            <v>305.58999999999997</v>
          </cell>
          <cell r="DA608">
            <v>3757.5</v>
          </cell>
          <cell r="DB608">
            <v>11.52</v>
          </cell>
          <cell r="DC608">
            <v>332.15</v>
          </cell>
          <cell r="DD608">
            <v>113.1</v>
          </cell>
        </row>
        <row r="609">
          <cell r="A609">
            <v>39322</v>
          </cell>
          <cell r="C609">
            <v>28</v>
          </cell>
          <cell r="D609" t="str">
            <v>#N/A N/A</v>
          </cell>
          <cell r="E609">
            <v>16.25</v>
          </cell>
          <cell r="L609">
            <v>1829.31</v>
          </cell>
          <cell r="M609">
            <v>2500.64</v>
          </cell>
          <cell r="N609">
            <v>6102.2</v>
          </cell>
          <cell r="O609">
            <v>4313</v>
          </cell>
          <cell r="Q609">
            <v>540</v>
          </cell>
          <cell r="R609">
            <v>327.25</v>
          </cell>
          <cell r="S609">
            <v>720.5</v>
          </cell>
          <cell r="T609">
            <v>855.25</v>
          </cell>
          <cell r="U609">
            <v>16287.49</v>
          </cell>
          <cell r="V609">
            <v>23363.759999999998</v>
          </cell>
          <cell r="W609">
            <v>8727.5499999999993</v>
          </cell>
          <cell r="X609">
            <v>72.25</v>
          </cell>
          <cell r="Y609">
            <v>1280</v>
          </cell>
          <cell r="Z609">
            <v>1525</v>
          </cell>
          <cell r="AA609">
            <v>14919.19</v>
          </cell>
          <cell r="AB609">
            <v>6177.3</v>
          </cell>
          <cell r="AC609">
            <v>51645.328099999999</v>
          </cell>
          <cell r="AE609">
            <v>84</v>
          </cell>
          <cell r="AF609">
            <v>800</v>
          </cell>
          <cell r="AG609">
            <v>7381</v>
          </cell>
          <cell r="AH609">
            <v>1030</v>
          </cell>
          <cell r="AI609">
            <v>1690</v>
          </cell>
          <cell r="AJ609">
            <v>760.43</v>
          </cell>
          <cell r="AL609">
            <v>1432.36</v>
          </cell>
          <cell r="AP609">
            <v>5194.6890000000003</v>
          </cell>
          <cell r="AV609">
            <v>59.55</v>
          </cell>
          <cell r="AZ609">
            <v>245.4</v>
          </cell>
          <cell r="BE609">
            <v>27395</v>
          </cell>
          <cell r="BG609">
            <v>68.25</v>
          </cell>
          <cell r="BH609">
            <v>398.83</v>
          </cell>
          <cell r="BY609">
            <v>476.08</v>
          </cell>
          <cell r="CD609">
            <v>381</v>
          </cell>
          <cell r="CE609">
            <v>372.60899999999998</v>
          </cell>
          <cell r="CF609">
            <v>448.25</v>
          </cell>
          <cell r="CG609">
            <v>1395</v>
          </cell>
          <cell r="CH609">
            <v>1050</v>
          </cell>
          <cell r="CI609">
            <v>135</v>
          </cell>
          <cell r="CJ609">
            <v>315</v>
          </cell>
          <cell r="CK609">
            <v>829</v>
          </cell>
          <cell r="CM609">
            <v>201.54</v>
          </cell>
          <cell r="CN609">
            <v>18.79</v>
          </cell>
          <cell r="CO609" t="str">
            <v>#N/A N/A</v>
          </cell>
          <cell r="CQ609">
            <v>5.56</v>
          </cell>
          <cell r="CR609">
            <v>105</v>
          </cell>
          <cell r="CS609">
            <v>3254</v>
          </cell>
          <cell r="CU609">
            <v>910</v>
          </cell>
          <cell r="CW609">
            <v>56.935975609756099</v>
          </cell>
          <cell r="CX609">
            <v>674.88299999999992</v>
          </cell>
          <cell r="CZ609">
            <v>304.44</v>
          </cell>
          <cell r="DA609">
            <v>3724</v>
          </cell>
          <cell r="DB609">
            <v>11.58</v>
          </cell>
          <cell r="DC609">
            <v>327.75</v>
          </cell>
          <cell r="DD609">
            <v>113.65</v>
          </cell>
        </row>
        <row r="610">
          <cell r="A610">
            <v>39323</v>
          </cell>
          <cell r="C610">
            <v>28</v>
          </cell>
          <cell r="D610" t="str">
            <v>#N/A N/A</v>
          </cell>
          <cell r="E610">
            <v>16.07</v>
          </cell>
          <cell r="L610">
            <v>1826.19</v>
          </cell>
          <cell r="M610">
            <v>2563.16</v>
          </cell>
          <cell r="N610">
            <v>6132.2</v>
          </cell>
          <cell r="O610">
            <v>4343</v>
          </cell>
          <cell r="Q610">
            <v>540</v>
          </cell>
          <cell r="R610">
            <v>322.75</v>
          </cell>
          <cell r="S610">
            <v>742</v>
          </cell>
          <cell r="T610">
            <v>858.5</v>
          </cell>
          <cell r="U610">
            <v>16012.83</v>
          </cell>
          <cell r="V610">
            <v>23020.6</v>
          </cell>
          <cell r="W610">
            <v>8643.32</v>
          </cell>
          <cell r="X610">
            <v>72.55</v>
          </cell>
          <cell r="Y610">
            <v>1280</v>
          </cell>
          <cell r="Z610">
            <v>1525</v>
          </cell>
          <cell r="AA610">
            <v>14993.04</v>
          </cell>
          <cell r="AB610">
            <v>6101.4</v>
          </cell>
          <cell r="AC610">
            <v>52734.640599999999</v>
          </cell>
          <cell r="AE610">
            <v>84.1</v>
          </cell>
          <cell r="AF610">
            <v>800</v>
          </cell>
          <cell r="AG610">
            <v>7474</v>
          </cell>
          <cell r="AH610">
            <v>1030</v>
          </cell>
          <cell r="AI610">
            <v>1690</v>
          </cell>
          <cell r="AJ610">
            <v>758.64</v>
          </cell>
          <cell r="AL610">
            <v>1463.76</v>
          </cell>
          <cell r="AP610">
            <v>5109.4269999999997</v>
          </cell>
          <cell r="AV610">
            <v>63.12</v>
          </cell>
          <cell r="AZ610">
            <v>240.5</v>
          </cell>
          <cell r="BE610">
            <v>27505</v>
          </cell>
          <cell r="BG610">
            <v>68.25</v>
          </cell>
          <cell r="BH610">
            <v>396.91</v>
          </cell>
          <cell r="BY610">
            <v>489.34</v>
          </cell>
          <cell r="CD610">
            <v>384.56</v>
          </cell>
          <cell r="CE610">
            <v>376.55200000000002</v>
          </cell>
          <cell r="CF610">
            <v>443.4</v>
          </cell>
          <cell r="CG610">
            <v>1395</v>
          </cell>
          <cell r="CH610">
            <v>1050</v>
          </cell>
          <cell r="CI610">
            <v>135</v>
          </cell>
          <cell r="CJ610">
            <v>315</v>
          </cell>
          <cell r="CK610">
            <v>818</v>
          </cell>
          <cell r="CM610">
            <v>210.08</v>
          </cell>
          <cell r="CN610">
            <v>18.79</v>
          </cell>
          <cell r="CO610" t="str">
            <v>#N/A N/A</v>
          </cell>
          <cell r="CQ610">
            <v>5.64</v>
          </cell>
          <cell r="CR610">
            <v>95</v>
          </cell>
          <cell r="CS610">
            <v>3183</v>
          </cell>
          <cell r="CU610">
            <v>910</v>
          </cell>
          <cell r="CW610">
            <v>56.631097560975611</v>
          </cell>
          <cell r="CX610">
            <v>676.26900000000001</v>
          </cell>
          <cell r="CZ610">
            <v>306.83</v>
          </cell>
          <cell r="DA610">
            <v>3745.4</v>
          </cell>
          <cell r="DB610">
            <v>11.51</v>
          </cell>
          <cell r="DC610">
            <v>331</v>
          </cell>
          <cell r="DD610">
            <v>112.65</v>
          </cell>
        </row>
        <row r="611">
          <cell r="A611">
            <v>39324</v>
          </cell>
          <cell r="C611">
            <v>28</v>
          </cell>
          <cell r="D611" t="str">
            <v>#N/A N/A</v>
          </cell>
          <cell r="E611">
            <v>15.66</v>
          </cell>
          <cell r="L611">
            <v>1841.7</v>
          </cell>
          <cell r="M611">
            <v>2565.3000000000002</v>
          </cell>
          <cell r="N611">
            <v>6212</v>
          </cell>
          <cell r="O611">
            <v>4350</v>
          </cell>
          <cell r="Q611">
            <v>520</v>
          </cell>
          <cell r="R611">
            <v>322.75</v>
          </cell>
          <cell r="S611">
            <v>770</v>
          </cell>
          <cell r="T611">
            <v>870.5</v>
          </cell>
          <cell r="U611">
            <v>16153.82</v>
          </cell>
          <cell r="V611">
            <v>23484.54</v>
          </cell>
          <cell r="W611">
            <v>8771.2099999999991</v>
          </cell>
          <cell r="X611">
            <v>73.8</v>
          </cell>
          <cell r="Y611">
            <v>1280</v>
          </cell>
          <cell r="Z611">
            <v>1525</v>
          </cell>
          <cell r="AA611">
            <v>15121.74</v>
          </cell>
          <cell r="AB611">
            <v>6138</v>
          </cell>
          <cell r="AC611">
            <v>52857.839800000002</v>
          </cell>
          <cell r="AE611">
            <v>85.15</v>
          </cell>
          <cell r="AF611">
            <v>800</v>
          </cell>
          <cell r="AG611">
            <v>7586</v>
          </cell>
          <cell r="AH611">
            <v>1030</v>
          </cell>
          <cell r="AI611">
            <v>1690</v>
          </cell>
          <cell r="AJ611">
            <v>765.6</v>
          </cell>
          <cell r="AL611">
            <v>1457.64</v>
          </cell>
          <cell r="AP611">
            <v>5167.884</v>
          </cell>
          <cell r="AV611">
            <v>62.4</v>
          </cell>
          <cell r="AZ611">
            <v>245.8</v>
          </cell>
          <cell r="BE611">
            <v>28025</v>
          </cell>
          <cell r="BG611">
            <v>68.25</v>
          </cell>
          <cell r="BH611">
            <v>398.73</v>
          </cell>
          <cell r="BY611">
            <v>490.09</v>
          </cell>
          <cell r="CD611">
            <v>385.82</v>
          </cell>
          <cell r="CE611">
            <v>377.39499999999998</v>
          </cell>
          <cell r="CF611">
            <v>449.69</v>
          </cell>
          <cell r="CG611">
            <v>1395</v>
          </cell>
          <cell r="CH611">
            <v>1050</v>
          </cell>
          <cell r="CI611">
            <v>135</v>
          </cell>
          <cell r="CJ611">
            <v>315</v>
          </cell>
          <cell r="CK611">
            <v>810</v>
          </cell>
          <cell r="CM611">
            <v>208.01</v>
          </cell>
          <cell r="CN611">
            <v>19.82</v>
          </cell>
          <cell r="CO611" t="str">
            <v>#N/A N/A</v>
          </cell>
          <cell r="CQ611">
            <v>5.54</v>
          </cell>
          <cell r="CR611">
            <v>95</v>
          </cell>
          <cell r="CS611">
            <v>3232</v>
          </cell>
          <cell r="CU611">
            <v>910</v>
          </cell>
          <cell r="CW611">
            <v>57.240853658536587</v>
          </cell>
          <cell r="CX611">
            <v>675.92250000000001</v>
          </cell>
          <cell r="CZ611">
            <v>307.20999999999998</v>
          </cell>
          <cell r="DA611">
            <v>3765.8</v>
          </cell>
          <cell r="DB611">
            <v>11.56</v>
          </cell>
          <cell r="DC611">
            <v>330.7</v>
          </cell>
          <cell r="DD611">
            <v>111.75</v>
          </cell>
        </row>
        <row r="612">
          <cell r="A612">
            <v>39325</v>
          </cell>
          <cell r="C612">
            <v>28</v>
          </cell>
          <cell r="D612" t="str">
            <v>#N/A N/A</v>
          </cell>
          <cell r="E612">
            <v>15.66</v>
          </cell>
          <cell r="L612">
            <v>1873.24</v>
          </cell>
          <cell r="M612">
            <v>2596.36</v>
          </cell>
          <cell r="N612">
            <v>6303.3</v>
          </cell>
          <cell r="O612">
            <v>4347</v>
          </cell>
          <cell r="Q612">
            <v>520</v>
          </cell>
          <cell r="R612">
            <v>324</v>
          </cell>
          <cell r="S612">
            <v>767</v>
          </cell>
          <cell r="T612">
            <v>868</v>
          </cell>
          <cell r="U612">
            <v>16569.09</v>
          </cell>
          <cell r="V612">
            <v>23984.14</v>
          </cell>
          <cell r="W612">
            <v>8982.16</v>
          </cell>
          <cell r="X612">
            <v>73.599999999999994</v>
          </cell>
          <cell r="Y612">
            <v>1280</v>
          </cell>
          <cell r="Z612">
            <v>1525</v>
          </cell>
          <cell r="AA612">
            <v>15318.6</v>
          </cell>
          <cell r="AB612">
            <v>6248.3</v>
          </cell>
          <cell r="AC612">
            <v>54637.238299999997</v>
          </cell>
          <cell r="AE612">
            <v>85.35</v>
          </cell>
          <cell r="AF612">
            <v>800</v>
          </cell>
          <cell r="AG612">
            <v>7702</v>
          </cell>
          <cell r="AH612">
            <v>1030</v>
          </cell>
          <cell r="AI612">
            <v>1700</v>
          </cell>
          <cell r="AJ612">
            <v>775.13</v>
          </cell>
          <cell r="AL612">
            <v>1473.99</v>
          </cell>
          <cell r="AP612">
            <v>5218.8249999999998</v>
          </cell>
          <cell r="AV612">
            <v>64.099999999999994</v>
          </cell>
          <cell r="AZ612">
            <v>248.6</v>
          </cell>
          <cell r="BE612">
            <v>29550</v>
          </cell>
          <cell r="BG612">
            <v>68.099999999999994</v>
          </cell>
          <cell r="BH612">
            <v>409.54</v>
          </cell>
          <cell r="BY612">
            <v>497.44</v>
          </cell>
          <cell r="CD612">
            <v>391.49</v>
          </cell>
          <cell r="CE612">
            <v>382.58</v>
          </cell>
          <cell r="CF612">
            <v>460.27</v>
          </cell>
          <cell r="CG612">
            <v>1400</v>
          </cell>
          <cell r="CH612">
            <v>1050</v>
          </cell>
          <cell r="CI612">
            <v>135</v>
          </cell>
          <cell r="CJ612">
            <v>315</v>
          </cell>
          <cell r="CK612">
            <v>810</v>
          </cell>
          <cell r="CM612">
            <v>205.19</v>
          </cell>
          <cell r="CN612">
            <v>19.82</v>
          </cell>
          <cell r="CO612" t="str">
            <v>#N/A N/A</v>
          </cell>
          <cell r="CQ612">
            <v>5.52</v>
          </cell>
          <cell r="CR612">
            <v>95</v>
          </cell>
          <cell r="CS612">
            <v>3171</v>
          </cell>
          <cell r="CU612">
            <v>920</v>
          </cell>
          <cell r="CW612">
            <v>57.240853658536587</v>
          </cell>
          <cell r="CX612">
            <v>674.98199999999997</v>
          </cell>
          <cell r="CZ612">
            <v>308.76</v>
          </cell>
          <cell r="DA612">
            <v>3813</v>
          </cell>
          <cell r="DB612">
            <v>11.54</v>
          </cell>
          <cell r="DC612">
            <v>333.5</v>
          </cell>
          <cell r="DD612">
            <v>112.65</v>
          </cell>
        </row>
        <row r="613">
          <cell r="A613">
            <v>39326</v>
          </cell>
          <cell r="C613">
            <v>28</v>
          </cell>
          <cell r="D613" t="str">
            <v>#N/A N/A</v>
          </cell>
          <cell r="E613">
            <v>15.66</v>
          </cell>
          <cell r="L613">
            <v>1873.24</v>
          </cell>
          <cell r="M613">
            <v>2596.36</v>
          </cell>
          <cell r="N613">
            <v>6303.3</v>
          </cell>
          <cell r="O613">
            <v>4347</v>
          </cell>
          <cell r="Q613">
            <v>520</v>
          </cell>
          <cell r="R613">
            <v>324</v>
          </cell>
          <cell r="S613">
            <v>767</v>
          </cell>
          <cell r="T613">
            <v>868</v>
          </cell>
          <cell r="U613">
            <v>16569.09</v>
          </cell>
          <cell r="V613">
            <v>23984.14</v>
          </cell>
          <cell r="W613">
            <v>8982.16</v>
          </cell>
          <cell r="X613">
            <v>73.599999999999994</v>
          </cell>
          <cell r="Y613">
            <v>1280</v>
          </cell>
          <cell r="Z613">
            <v>1525</v>
          </cell>
          <cell r="AA613">
            <v>15318.6</v>
          </cell>
          <cell r="AB613">
            <v>6248.3</v>
          </cell>
          <cell r="AC613">
            <v>54637.238299999997</v>
          </cell>
          <cell r="AE613">
            <v>85.35</v>
          </cell>
          <cell r="AF613">
            <v>800</v>
          </cell>
          <cell r="AG613">
            <v>7702</v>
          </cell>
          <cell r="AH613">
            <v>1030</v>
          </cell>
          <cell r="AI613">
            <v>1700</v>
          </cell>
          <cell r="AJ613">
            <v>775.13</v>
          </cell>
          <cell r="AL613">
            <v>1473.99</v>
          </cell>
          <cell r="AP613">
            <v>5218.8249999999998</v>
          </cell>
          <cell r="AV613">
            <v>64.099999999999994</v>
          </cell>
          <cell r="AZ613">
            <v>248.6</v>
          </cell>
          <cell r="BE613">
            <v>29550</v>
          </cell>
          <cell r="BG613">
            <v>68.099999999999994</v>
          </cell>
          <cell r="BH613">
            <v>409.54</v>
          </cell>
          <cell r="BY613">
            <v>497.44</v>
          </cell>
          <cell r="CD613">
            <v>391.49</v>
          </cell>
          <cell r="CE613">
            <v>382.58</v>
          </cell>
          <cell r="CF613">
            <v>460.27</v>
          </cell>
          <cell r="CG613">
            <v>1400</v>
          </cell>
          <cell r="CH613">
            <v>1050</v>
          </cell>
          <cell r="CI613">
            <v>135</v>
          </cell>
          <cell r="CJ613">
            <v>315</v>
          </cell>
          <cell r="CK613">
            <v>810</v>
          </cell>
          <cell r="CM613">
            <v>205.19</v>
          </cell>
          <cell r="CN613">
            <v>19.82</v>
          </cell>
          <cell r="CO613" t="str">
            <v>#N/A N/A</v>
          </cell>
          <cell r="CQ613">
            <v>5.52</v>
          </cell>
          <cell r="CR613">
            <v>95</v>
          </cell>
          <cell r="CS613">
            <v>3171</v>
          </cell>
          <cell r="CU613">
            <v>920</v>
          </cell>
          <cell r="CW613">
            <v>57.240853658536587</v>
          </cell>
          <cell r="CX613">
            <v>674.98199999999997</v>
          </cell>
          <cell r="CZ613">
            <v>308.76</v>
          </cell>
          <cell r="DA613">
            <v>3813</v>
          </cell>
          <cell r="DB613">
            <v>11.54</v>
          </cell>
          <cell r="DC613">
            <v>333.5</v>
          </cell>
          <cell r="DD613">
            <v>112.65</v>
          </cell>
        </row>
        <row r="614">
          <cell r="A614">
            <v>39327</v>
          </cell>
          <cell r="C614">
            <v>28</v>
          </cell>
          <cell r="D614" t="str">
            <v>#N/A N/A</v>
          </cell>
          <cell r="E614">
            <v>15.66</v>
          </cell>
          <cell r="L614">
            <v>1873.24</v>
          </cell>
          <cell r="M614">
            <v>2596.36</v>
          </cell>
          <cell r="N614">
            <v>6303.3</v>
          </cell>
          <cell r="O614">
            <v>4347</v>
          </cell>
          <cell r="Q614">
            <v>520</v>
          </cell>
          <cell r="R614">
            <v>324</v>
          </cell>
          <cell r="S614">
            <v>767</v>
          </cell>
          <cell r="T614">
            <v>868</v>
          </cell>
          <cell r="U614">
            <v>16569.09</v>
          </cell>
          <cell r="V614">
            <v>23984.14</v>
          </cell>
          <cell r="W614">
            <v>8982.16</v>
          </cell>
          <cell r="X614">
            <v>73.599999999999994</v>
          </cell>
          <cell r="Y614">
            <v>1280</v>
          </cell>
          <cell r="Z614">
            <v>1525</v>
          </cell>
          <cell r="AA614">
            <v>15318.6</v>
          </cell>
          <cell r="AB614">
            <v>6248.3</v>
          </cell>
          <cell r="AC614">
            <v>54637.238299999997</v>
          </cell>
          <cell r="AE614">
            <v>85.35</v>
          </cell>
          <cell r="AF614">
            <v>800</v>
          </cell>
          <cell r="AG614">
            <v>7702</v>
          </cell>
          <cell r="AH614">
            <v>1030</v>
          </cell>
          <cell r="AI614">
            <v>1700</v>
          </cell>
          <cell r="AJ614">
            <v>775.13</v>
          </cell>
          <cell r="AL614">
            <v>1473.99</v>
          </cell>
          <cell r="AP614">
            <v>5218.8249999999998</v>
          </cell>
          <cell r="AV614">
            <v>64.099999999999994</v>
          </cell>
          <cell r="AZ614">
            <v>248.6</v>
          </cell>
          <cell r="BE614">
            <v>29550</v>
          </cell>
          <cell r="BG614">
            <v>68.099999999999994</v>
          </cell>
          <cell r="BH614">
            <v>409.54</v>
          </cell>
          <cell r="BY614">
            <v>497.44</v>
          </cell>
          <cell r="CD614">
            <v>391.49</v>
          </cell>
          <cell r="CE614">
            <v>382.58</v>
          </cell>
          <cell r="CF614">
            <v>460.27</v>
          </cell>
          <cell r="CG614">
            <v>1400</v>
          </cell>
          <cell r="CH614">
            <v>1050</v>
          </cell>
          <cell r="CI614">
            <v>135</v>
          </cell>
          <cell r="CJ614">
            <v>315</v>
          </cell>
          <cell r="CK614">
            <v>810</v>
          </cell>
          <cell r="CM614">
            <v>205.19</v>
          </cell>
          <cell r="CN614">
            <v>19.82</v>
          </cell>
          <cell r="CO614" t="str">
            <v>#N/A N/A</v>
          </cell>
          <cell r="CQ614">
            <v>5.52</v>
          </cell>
          <cell r="CR614">
            <v>95</v>
          </cell>
          <cell r="CS614">
            <v>3171</v>
          </cell>
          <cell r="CU614">
            <v>920</v>
          </cell>
          <cell r="CW614">
            <v>57.240853658536587</v>
          </cell>
          <cell r="CX614">
            <v>674.98199999999997</v>
          </cell>
          <cell r="CZ614">
            <v>308.76</v>
          </cell>
          <cell r="DA614">
            <v>3813</v>
          </cell>
          <cell r="DB614">
            <v>11.54</v>
          </cell>
          <cell r="DC614">
            <v>333.5</v>
          </cell>
          <cell r="DD614">
            <v>112.65</v>
          </cell>
        </row>
        <row r="615">
          <cell r="A615">
            <v>39328</v>
          </cell>
          <cell r="C615">
            <v>28</v>
          </cell>
          <cell r="D615" t="str">
            <v>#N/A N/A</v>
          </cell>
          <cell r="E615">
            <v>15.59</v>
          </cell>
          <cell r="L615">
            <v>1881.81</v>
          </cell>
          <cell r="M615">
            <v>2596.36</v>
          </cell>
          <cell r="N615">
            <v>6315.2</v>
          </cell>
          <cell r="O615">
            <v>4364</v>
          </cell>
          <cell r="Q615">
            <v>520</v>
          </cell>
          <cell r="R615">
            <v>324</v>
          </cell>
          <cell r="S615">
            <v>767</v>
          </cell>
          <cell r="T615">
            <v>868</v>
          </cell>
          <cell r="U615">
            <v>16524.93</v>
          </cell>
          <cell r="V615">
            <v>23904.09</v>
          </cell>
          <cell r="W615">
            <v>8979.9599999999991</v>
          </cell>
          <cell r="X615">
            <v>74</v>
          </cell>
          <cell r="Y615">
            <v>1280</v>
          </cell>
          <cell r="Z615">
            <v>1525</v>
          </cell>
          <cell r="AA615">
            <v>15422.05</v>
          </cell>
          <cell r="AB615">
            <v>6272.5</v>
          </cell>
          <cell r="AC615">
            <v>54832.511700000003</v>
          </cell>
          <cell r="AE615">
            <v>85.35</v>
          </cell>
          <cell r="AF615">
            <v>800</v>
          </cell>
          <cell r="AG615">
            <v>7783</v>
          </cell>
          <cell r="AH615">
            <v>1030</v>
          </cell>
          <cell r="AI615">
            <v>1700</v>
          </cell>
          <cell r="AJ615">
            <v>778.89</v>
          </cell>
          <cell r="AL615">
            <v>1473.99</v>
          </cell>
          <cell r="AP615">
            <v>5321.0550000000003</v>
          </cell>
          <cell r="AV615">
            <v>64.099999999999994</v>
          </cell>
          <cell r="AZ615">
            <v>251</v>
          </cell>
          <cell r="BE615">
            <v>29540</v>
          </cell>
          <cell r="BG615">
            <v>68.099999999999994</v>
          </cell>
          <cell r="BH615">
            <v>425.1</v>
          </cell>
          <cell r="BY615">
            <v>497.44</v>
          </cell>
          <cell r="CD615">
            <v>391.91</v>
          </cell>
          <cell r="CE615">
            <v>382.84</v>
          </cell>
          <cell r="CF615">
            <v>461.74</v>
          </cell>
          <cell r="CG615">
            <v>1400</v>
          </cell>
          <cell r="CH615">
            <v>1050</v>
          </cell>
          <cell r="CI615">
            <v>135</v>
          </cell>
          <cell r="CJ615">
            <v>315</v>
          </cell>
          <cell r="CK615">
            <v>809</v>
          </cell>
          <cell r="CM615">
            <v>205.19</v>
          </cell>
          <cell r="CN615">
            <v>19.62</v>
          </cell>
          <cell r="CO615" t="str">
            <v>#N/A N/A</v>
          </cell>
          <cell r="CQ615">
            <v>5.52</v>
          </cell>
          <cell r="CR615">
            <v>95</v>
          </cell>
          <cell r="CS615">
            <v>3075</v>
          </cell>
          <cell r="CU615">
            <v>920</v>
          </cell>
          <cell r="CW615">
            <v>57.850609756097562</v>
          </cell>
          <cell r="CX615">
            <v>674.4375</v>
          </cell>
          <cell r="CZ615">
            <v>308.76</v>
          </cell>
          <cell r="DA615">
            <v>3756.8</v>
          </cell>
          <cell r="DB615">
            <v>11.54</v>
          </cell>
          <cell r="DC615">
            <v>333.5</v>
          </cell>
          <cell r="DD615">
            <v>112.65</v>
          </cell>
        </row>
        <row r="616">
          <cell r="A616">
            <v>39329</v>
          </cell>
          <cell r="C616">
            <v>28</v>
          </cell>
          <cell r="D616" t="str">
            <v>#N/A N/A</v>
          </cell>
          <cell r="E616">
            <v>15.38</v>
          </cell>
          <cell r="L616">
            <v>1874.74</v>
          </cell>
          <cell r="M616">
            <v>2630.24</v>
          </cell>
          <cell r="N616">
            <v>6376.8</v>
          </cell>
          <cell r="O616">
            <v>4396</v>
          </cell>
          <cell r="Q616">
            <v>520</v>
          </cell>
          <cell r="R616">
            <v>353.25</v>
          </cell>
          <cell r="S616">
            <v>805.5</v>
          </cell>
          <cell r="T616">
            <v>907.5</v>
          </cell>
          <cell r="U616">
            <v>16420.47</v>
          </cell>
          <cell r="V616">
            <v>23886.07</v>
          </cell>
          <cell r="W616">
            <v>8922.98</v>
          </cell>
          <cell r="X616">
            <v>73.099999999999994</v>
          </cell>
          <cell r="Y616">
            <v>1280</v>
          </cell>
          <cell r="Z616">
            <v>1525</v>
          </cell>
          <cell r="AA616">
            <v>15465.4</v>
          </cell>
          <cell r="AB616">
            <v>6297.1</v>
          </cell>
          <cell r="AC616">
            <v>55250.468800000002</v>
          </cell>
          <cell r="AE616">
            <v>85.45</v>
          </cell>
          <cell r="AF616">
            <v>800</v>
          </cell>
          <cell r="AG616">
            <v>7907</v>
          </cell>
          <cell r="AH616">
            <v>1030</v>
          </cell>
          <cell r="AI616">
            <v>1700</v>
          </cell>
          <cell r="AJ616">
            <v>775.76</v>
          </cell>
          <cell r="AL616">
            <v>1489.42</v>
          </cell>
          <cell r="AP616">
            <v>5294.0450000000001</v>
          </cell>
          <cell r="AV616">
            <v>64.7</v>
          </cell>
          <cell r="AZ616">
            <v>249.5</v>
          </cell>
          <cell r="BE616">
            <v>28440</v>
          </cell>
          <cell r="BG616">
            <v>68.099999999999994</v>
          </cell>
          <cell r="BH616">
            <v>423.05</v>
          </cell>
          <cell r="BY616">
            <v>508.39</v>
          </cell>
          <cell r="CD616">
            <v>394.19</v>
          </cell>
          <cell r="CE616">
            <v>385.35599999999999</v>
          </cell>
          <cell r="CF616">
            <v>460.23</v>
          </cell>
          <cell r="CG616">
            <v>1400</v>
          </cell>
          <cell r="CH616">
            <v>1050</v>
          </cell>
          <cell r="CI616">
            <v>135</v>
          </cell>
          <cell r="CJ616">
            <v>315</v>
          </cell>
          <cell r="CK616">
            <v>804</v>
          </cell>
          <cell r="CM616">
            <v>199.1</v>
          </cell>
          <cell r="CN616">
            <v>20.34</v>
          </cell>
          <cell r="CO616" t="str">
            <v>#N/A N/A</v>
          </cell>
          <cell r="CQ616">
            <v>5.29</v>
          </cell>
          <cell r="CR616">
            <v>95</v>
          </cell>
          <cell r="CS616">
            <v>3044</v>
          </cell>
          <cell r="CU616">
            <v>920</v>
          </cell>
          <cell r="CW616">
            <v>58.155487804878049</v>
          </cell>
          <cell r="CX616">
            <v>673.64549999999997</v>
          </cell>
          <cell r="CZ616">
            <v>311.2</v>
          </cell>
          <cell r="DA616">
            <v>3692.6</v>
          </cell>
          <cell r="DB616">
            <v>11.44</v>
          </cell>
          <cell r="DC616">
            <v>333.5</v>
          </cell>
          <cell r="DD616">
            <v>117.95</v>
          </cell>
        </row>
        <row r="617">
          <cell r="A617">
            <v>39330</v>
          </cell>
          <cell r="C617">
            <v>28</v>
          </cell>
          <cell r="D617" t="str">
            <v>#N/A N/A</v>
          </cell>
          <cell r="E617">
            <v>15.11</v>
          </cell>
          <cell r="L617">
            <v>1865.59</v>
          </cell>
          <cell r="M617">
            <v>2605.9499999999998</v>
          </cell>
          <cell r="N617">
            <v>6270.7</v>
          </cell>
          <cell r="O617">
            <v>4413</v>
          </cell>
          <cell r="Q617">
            <v>520</v>
          </cell>
          <cell r="R617">
            <v>345.75</v>
          </cell>
          <cell r="S617">
            <v>835.5</v>
          </cell>
          <cell r="T617">
            <v>903</v>
          </cell>
          <cell r="U617">
            <v>16158.45</v>
          </cell>
          <cell r="V617">
            <v>24069.17</v>
          </cell>
          <cell r="W617">
            <v>8913.85</v>
          </cell>
          <cell r="X617">
            <v>73.400000000000006</v>
          </cell>
          <cell r="Y617">
            <v>1280</v>
          </cell>
          <cell r="Z617">
            <v>1525</v>
          </cell>
          <cell r="AA617">
            <v>15446.15</v>
          </cell>
          <cell r="AB617">
            <v>6274.3</v>
          </cell>
          <cell r="AC617">
            <v>54407.828099999999</v>
          </cell>
          <cell r="AE617">
            <v>85.55</v>
          </cell>
          <cell r="AF617">
            <v>800</v>
          </cell>
          <cell r="AG617">
            <v>8090</v>
          </cell>
          <cell r="AH617">
            <v>1030</v>
          </cell>
          <cell r="AI617">
            <v>1700</v>
          </cell>
          <cell r="AJ617">
            <v>773.54</v>
          </cell>
          <cell r="AL617">
            <v>1472.29</v>
          </cell>
          <cell r="AP617">
            <v>5310.7160000000003</v>
          </cell>
          <cell r="AV617">
            <v>63.2</v>
          </cell>
          <cell r="AZ617">
            <v>251.2</v>
          </cell>
          <cell r="BE617">
            <v>27050</v>
          </cell>
          <cell r="BG617">
            <v>68.099999999999994</v>
          </cell>
          <cell r="BH617">
            <v>447.61</v>
          </cell>
          <cell r="BY617">
            <v>502.14</v>
          </cell>
          <cell r="CD617">
            <v>390.16</v>
          </cell>
          <cell r="CE617">
            <v>381.21</v>
          </cell>
          <cell r="CF617">
            <v>460.27</v>
          </cell>
          <cell r="CG617">
            <v>1400</v>
          </cell>
          <cell r="CH617">
            <v>1050</v>
          </cell>
          <cell r="CI617">
            <v>135</v>
          </cell>
          <cell r="CJ617">
            <v>320</v>
          </cell>
          <cell r="CK617">
            <v>795</v>
          </cell>
          <cell r="CM617">
            <v>199.65</v>
          </cell>
          <cell r="CN617">
            <v>20.34</v>
          </cell>
          <cell r="CO617" t="str">
            <v>#N/A N/A</v>
          </cell>
          <cell r="CQ617">
            <v>5.82</v>
          </cell>
          <cell r="CR617">
            <v>85</v>
          </cell>
          <cell r="CS617">
            <v>2970</v>
          </cell>
          <cell r="CU617">
            <v>920</v>
          </cell>
          <cell r="CW617">
            <v>58.155487804878049</v>
          </cell>
          <cell r="CX617">
            <v>676.66499999999996</v>
          </cell>
          <cell r="CZ617">
            <v>310.92</v>
          </cell>
          <cell r="DA617">
            <v>3612.7</v>
          </cell>
          <cell r="DB617">
            <v>11.48</v>
          </cell>
          <cell r="DC617">
            <v>333.5</v>
          </cell>
          <cell r="DD617">
            <v>116.05</v>
          </cell>
        </row>
        <row r="618">
          <cell r="A618">
            <v>39331</v>
          </cell>
          <cell r="C618">
            <v>28</v>
          </cell>
          <cell r="D618" t="str">
            <v>#N/A N/A</v>
          </cell>
          <cell r="E618">
            <v>14.79</v>
          </cell>
          <cell r="L618">
            <v>1888.81</v>
          </cell>
          <cell r="M618">
            <v>2614.3200000000002</v>
          </cell>
          <cell r="N618">
            <v>6313.3</v>
          </cell>
          <cell r="O618">
            <v>4429</v>
          </cell>
          <cell r="Q618">
            <v>520</v>
          </cell>
          <cell r="R618">
            <v>339.25</v>
          </cell>
          <cell r="S618">
            <v>824</v>
          </cell>
          <cell r="T618">
            <v>892.5</v>
          </cell>
          <cell r="U618">
            <v>16257</v>
          </cell>
          <cell r="V618">
            <v>24050.400000000001</v>
          </cell>
          <cell r="W618">
            <v>9017.08</v>
          </cell>
          <cell r="X618">
            <v>73.75</v>
          </cell>
          <cell r="Y618">
            <v>1280</v>
          </cell>
          <cell r="Z618">
            <v>1525</v>
          </cell>
          <cell r="AA618">
            <v>15616.31</v>
          </cell>
          <cell r="AB618">
            <v>6265.3</v>
          </cell>
          <cell r="AC618">
            <v>54569</v>
          </cell>
          <cell r="AE618">
            <v>87.05</v>
          </cell>
          <cell r="AF618">
            <v>800</v>
          </cell>
          <cell r="AG618">
            <v>8270</v>
          </cell>
          <cell r="AH618">
            <v>1030</v>
          </cell>
          <cell r="AI618">
            <v>1700</v>
          </cell>
          <cell r="AJ618">
            <v>776.9</v>
          </cell>
          <cell r="AL618">
            <v>1478.55</v>
          </cell>
          <cell r="AP618">
            <v>5393.66</v>
          </cell>
          <cell r="AV618">
            <v>64.36</v>
          </cell>
          <cell r="AZ618">
            <v>250.4</v>
          </cell>
          <cell r="BE618">
            <v>27080</v>
          </cell>
          <cell r="BG618">
            <v>68.099999999999994</v>
          </cell>
          <cell r="BH618">
            <v>458.35</v>
          </cell>
          <cell r="BY618">
            <v>505.61</v>
          </cell>
          <cell r="CD618">
            <v>392.11</v>
          </cell>
          <cell r="CE618">
            <v>382.98899999999998</v>
          </cell>
          <cell r="CF618">
            <v>464.2</v>
          </cell>
          <cell r="CG618">
            <v>1400</v>
          </cell>
          <cell r="CH618">
            <v>1050</v>
          </cell>
          <cell r="CI618">
            <v>135</v>
          </cell>
          <cell r="CJ618">
            <v>320</v>
          </cell>
          <cell r="CK618">
            <v>784</v>
          </cell>
          <cell r="CM618">
            <v>197.17</v>
          </cell>
          <cell r="CN618">
            <v>20.399999999999999</v>
          </cell>
          <cell r="CO618" t="str">
            <v>#N/A N/A</v>
          </cell>
          <cell r="CQ618">
            <v>6.02</v>
          </cell>
          <cell r="CR618">
            <v>85</v>
          </cell>
          <cell r="CS618">
            <v>2956</v>
          </cell>
          <cell r="CU618">
            <v>920</v>
          </cell>
          <cell r="CW618">
            <v>58.765243902439025</v>
          </cell>
          <cell r="CX618">
            <v>677.45699999999999</v>
          </cell>
          <cell r="CZ618">
            <v>311.76</v>
          </cell>
          <cell r="DA618">
            <v>3657.5</v>
          </cell>
          <cell r="DB618">
            <v>11.41</v>
          </cell>
          <cell r="DC618">
            <v>333.5</v>
          </cell>
          <cell r="DD618">
            <v>116.75</v>
          </cell>
        </row>
        <row r="619">
          <cell r="A619">
            <v>39332</v>
          </cell>
          <cell r="C619">
            <v>28</v>
          </cell>
          <cell r="D619" t="str">
            <v>#N/A N/A</v>
          </cell>
          <cell r="E619">
            <v>14.47</v>
          </cell>
          <cell r="L619">
            <v>1884.9</v>
          </cell>
          <cell r="M619">
            <v>2565.6999999999998</v>
          </cell>
          <cell r="N619">
            <v>6191.2</v>
          </cell>
          <cell r="O619">
            <v>4443</v>
          </cell>
          <cell r="Q619">
            <v>520</v>
          </cell>
          <cell r="R619">
            <v>347.5</v>
          </cell>
          <cell r="S619">
            <v>843.5</v>
          </cell>
          <cell r="T619">
            <v>905.25</v>
          </cell>
          <cell r="U619">
            <v>16122.16</v>
          </cell>
          <cell r="V619">
            <v>23982.61</v>
          </cell>
          <cell r="W619">
            <v>9018.08</v>
          </cell>
          <cell r="X619">
            <v>73.45</v>
          </cell>
          <cell r="Y619">
            <v>1280</v>
          </cell>
          <cell r="Z619">
            <v>1540</v>
          </cell>
          <cell r="AA619">
            <v>15590.42</v>
          </cell>
          <cell r="AB619">
            <v>6296.5</v>
          </cell>
          <cell r="AC619">
            <v>54569</v>
          </cell>
          <cell r="AE619">
            <v>87.95</v>
          </cell>
          <cell r="AF619">
            <v>800</v>
          </cell>
          <cell r="AG619">
            <v>8410</v>
          </cell>
          <cell r="AH619">
            <v>1040</v>
          </cell>
          <cell r="AI619">
            <v>1700</v>
          </cell>
          <cell r="AJ619">
            <v>775.85</v>
          </cell>
          <cell r="AL619">
            <v>1453.55</v>
          </cell>
          <cell r="AP619">
            <v>5277.1760000000004</v>
          </cell>
          <cell r="AV619">
            <v>62.67</v>
          </cell>
          <cell r="AZ619">
            <v>251.6</v>
          </cell>
          <cell r="BE619">
            <v>26760</v>
          </cell>
          <cell r="BG619">
            <v>67.25</v>
          </cell>
          <cell r="BH619">
            <v>452.65</v>
          </cell>
          <cell r="BY619">
            <v>492.95</v>
          </cell>
          <cell r="CD619">
            <v>387.26</v>
          </cell>
          <cell r="CE619">
            <v>377.93799999999999</v>
          </cell>
          <cell r="CF619">
            <v>464.14</v>
          </cell>
          <cell r="CG619">
            <v>1390</v>
          </cell>
          <cell r="CH619">
            <v>1060</v>
          </cell>
          <cell r="CI619">
            <v>135</v>
          </cell>
          <cell r="CJ619">
            <v>320</v>
          </cell>
          <cell r="CK619">
            <v>771</v>
          </cell>
          <cell r="CM619">
            <v>198.64</v>
          </cell>
          <cell r="CN619">
            <v>20.61</v>
          </cell>
          <cell r="CO619" t="str">
            <v>#N/A N/A</v>
          </cell>
          <cell r="CQ619">
            <v>5.53</v>
          </cell>
          <cell r="CR619">
            <v>85</v>
          </cell>
          <cell r="CS619">
            <v>2920</v>
          </cell>
          <cell r="CU619">
            <v>950</v>
          </cell>
          <cell r="CW619">
            <v>58.460365853658537</v>
          </cell>
          <cell r="CX619">
            <v>681.91199999999992</v>
          </cell>
          <cell r="CZ619">
            <v>312.32</v>
          </cell>
          <cell r="DA619">
            <v>3605.4</v>
          </cell>
          <cell r="DB619">
            <v>11.49</v>
          </cell>
          <cell r="DC619">
            <v>333.5</v>
          </cell>
          <cell r="DD619">
            <v>116.9</v>
          </cell>
        </row>
        <row r="620">
          <cell r="A620">
            <v>39333</v>
          </cell>
          <cell r="C620">
            <v>28</v>
          </cell>
          <cell r="D620" t="str">
            <v>#N/A N/A</v>
          </cell>
          <cell r="E620">
            <v>14.47</v>
          </cell>
          <cell r="L620">
            <v>1884.9</v>
          </cell>
          <cell r="M620">
            <v>2565.6999999999998</v>
          </cell>
          <cell r="N620">
            <v>6191.2</v>
          </cell>
          <cell r="O620">
            <v>4443</v>
          </cell>
          <cell r="Q620">
            <v>520</v>
          </cell>
          <cell r="R620">
            <v>347.5</v>
          </cell>
          <cell r="S620">
            <v>843.5</v>
          </cell>
          <cell r="T620">
            <v>905.25</v>
          </cell>
          <cell r="U620">
            <v>16122.16</v>
          </cell>
          <cell r="V620">
            <v>23982.61</v>
          </cell>
          <cell r="W620">
            <v>9018.08</v>
          </cell>
          <cell r="X620">
            <v>73.45</v>
          </cell>
          <cell r="Y620">
            <v>1280</v>
          </cell>
          <cell r="Z620">
            <v>1540</v>
          </cell>
          <cell r="AA620">
            <v>15590.42</v>
          </cell>
          <cell r="AB620">
            <v>6296.5</v>
          </cell>
          <cell r="AC620">
            <v>54569</v>
          </cell>
          <cell r="AE620">
            <v>87.95</v>
          </cell>
          <cell r="AF620">
            <v>800</v>
          </cell>
          <cell r="AG620">
            <v>8410</v>
          </cell>
          <cell r="AH620">
            <v>1040</v>
          </cell>
          <cell r="AI620">
            <v>1700</v>
          </cell>
          <cell r="AJ620">
            <v>775.85</v>
          </cell>
          <cell r="AL620">
            <v>1453.55</v>
          </cell>
          <cell r="AP620">
            <v>5277.1760000000004</v>
          </cell>
          <cell r="AV620">
            <v>62.67</v>
          </cell>
          <cell r="AZ620">
            <v>251.6</v>
          </cell>
          <cell r="BE620">
            <v>26760</v>
          </cell>
          <cell r="BG620">
            <v>67.25</v>
          </cell>
          <cell r="BH620">
            <v>452.65</v>
          </cell>
          <cell r="BY620">
            <v>492.95</v>
          </cell>
          <cell r="CD620">
            <v>387.26</v>
          </cell>
          <cell r="CE620">
            <v>377.93799999999999</v>
          </cell>
          <cell r="CF620">
            <v>464.14</v>
          </cell>
          <cell r="CG620">
            <v>1390</v>
          </cell>
          <cell r="CH620">
            <v>1060</v>
          </cell>
          <cell r="CI620">
            <v>135</v>
          </cell>
          <cell r="CJ620">
            <v>320</v>
          </cell>
          <cell r="CK620">
            <v>771</v>
          </cell>
          <cell r="CM620">
            <v>198.64</v>
          </cell>
          <cell r="CN620">
            <v>20.61</v>
          </cell>
          <cell r="CO620" t="str">
            <v>#N/A N/A</v>
          </cell>
          <cell r="CQ620">
            <v>5.53</v>
          </cell>
          <cell r="CR620">
            <v>85</v>
          </cell>
          <cell r="CS620">
            <v>2920</v>
          </cell>
          <cell r="CU620">
            <v>950</v>
          </cell>
          <cell r="CW620">
            <v>58.460365853658537</v>
          </cell>
          <cell r="CX620">
            <v>681.91199999999992</v>
          </cell>
          <cell r="CZ620">
            <v>312.32</v>
          </cell>
          <cell r="DA620">
            <v>3605.4</v>
          </cell>
          <cell r="DB620">
            <v>11.49</v>
          </cell>
          <cell r="DC620">
            <v>333.5</v>
          </cell>
          <cell r="DD620">
            <v>116.9</v>
          </cell>
        </row>
        <row r="621">
          <cell r="A621">
            <v>39334</v>
          </cell>
          <cell r="C621">
            <v>28</v>
          </cell>
          <cell r="D621" t="str">
            <v>#N/A N/A</v>
          </cell>
          <cell r="E621">
            <v>14.47</v>
          </cell>
          <cell r="L621">
            <v>1884.9</v>
          </cell>
          <cell r="M621">
            <v>2565.6999999999998</v>
          </cell>
          <cell r="N621">
            <v>6191.2</v>
          </cell>
          <cell r="O621">
            <v>4443</v>
          </cell>
          <cell r="Q621">
            <v>520</v>
          </cell>
          <cell r="R621">
            <v>347.5</v>
          </cell>
          <cell r="S621">
            <v>843.5</v>
          </cell>
          <cell r="T621">
            <v>905.25</v>
          </cell>
          <cell r="U621">
            <v>16122.16</v>
          </cell>
          <cell r="V621">
            <v>23982.61</v>
          </cell>
          <cell r="W621">
            <v>9018.08</v>
          </cell>
          <cell r="X621">
            <v>73.45</v>
          </cell>
          <cell r="Y621">
            <v>1280</v>
          </cell>
          <cell r="Z621">
            <v>1540</v>
          </cell>
          <cell r="AA621">
            <v>15590.42</v>
          </cell>
          <cell r="AB621">
            <v>6296.5</v>
          </cell>
          <cell r="AC621">
            <v>54569</v>
          </cell>
          <cell r="AE621">
            <v>87.95</v>
          </cell>
          <cell r="AF621">
            <v>800</v>
          </cell>
          <cell r="AG621">
            <v>8410</v>
          </cell>
          <cell r="AH621">
            <v>1040</v>
          </cell>
          <cell r="AI621">
            <v>1700</v>
          </cell>
          <cell r="AJ621">
            <v>775.85</v>
          </cell>
          <cell r="AL621">
            <v>1453.55</v>
          </cell>
          <cell r="AP621">
            <v>5277.1760000000004</v>
          </cell>
          <cell r="AV621">
            <v>62.67</v>
          </cell>
          <cell r="AZ621">
            <v>251.6</v>
          </cell>
          <cell r="BE621">
            <v>26760</v>
          </cell>
          <cell r="BG621">
            <v>67.25</v>
          </cell>
          <cell r="BH621">
            <v>452.65</v>
          </cell>
          <cell r="BY621">
            <v>492.95</v>
          </cell>
          <cell r="CD621">
            <v>387.26</v>
          </cell>
          <cell r="CE621">
            <v>377.93799999999999</v>
          </cell>
          <cell r="CF621">
            <v>464.14</v>
          </cell>
          <cell r="CG621">
            <v>1390</v>
          </cell>
          <cell r="CH621">
            <v>1060</v>
          </cell>
          <cell r="CI621">
            <v>135</v>
          </cell>
          <cell r="CJ621">
            <v>320</v>
          </cell>
          <cell r="CK621">
            <v>771</v>
          </cell>
          <cell r="CM621">
            <v>198.64</v>
          </cell>
          <cell r="CN621">
            <v>20.61</v>
          </cell>
          <cell r="CO621" t="str">
            <v>#N/A N/A</v>
          </cell>
          <cell r="CQ621">
            <v>5.53</v>
          </cell>
          <cell r="CR621">
            <v>85</v>
          </cell>
          <cell r="CS621">
            <v>2920</v>
          </cell>
          <cell r="CU621">
            <v>950</v>
          </cell>
          <cell r="CW621">
            <v>58.460365853658537</v>
          </cell>
          <cell r="CX621">
            <v>681.91199999999992</v>
          </cell>
          <cell r="CZ621">
            <v>312.32</v>
          </cell>
          <cell r="DA621">
            <v>3605.4</v>
          </cell>
          <cell r="DB621">
            <v>11.49</v>
          </cell>
          <cell r="DC621">
            <v>333.5</v>
          </cell>
          <cell r="DD621">
            <v>116.9</v>
          </cell>
        </row>
        <row r="622">
          <cell r="A622">
            <v>39335</v>
          </cell>
          <cell r="C622">
            <v>28</v>
          </cell>
          <cell r="D622" t="str">
            <v>#N/A N/A</v>
          </cell>
          <cell r="E622">
            <v>14.09</v>
          </cell>
          <cell r="L622">
            <v>1835.87</v>
          </cell>
          <cell r="M622">
            <v>2559.11</v>
          </cell>
          <cell r="N622">
            <v>6134.1</v>
          </cell>
          <cell r="O622">
            <v>4491</v>
          </cell>
          <cell r="Q622">
            <v>520</v>
          </cell>
          <cell r="R622">
            <v>346</v>
          </cell>
          <cell r="S622">
            <v>861</v>
          </cell>
          <cell r="T622">
            <v>918</v>
          </cell>
          <cell r="U622">
            <v>15764.97</v>
          </cell>
          <cell r="V622">
            <v>23999.7</v>
          </cell>
          <cell r="W622">
            <v>8937.58</v>
          </cell>
          <cell r="X622">
            <v>73.45</v>
          </cell>
          <cell r="Y622">
            <v>1280</v>
          </cell>
          <cell r="Z622">
            <v>1540</v>
          </cell>
          <cell r="AA622">
            <v>15596.83</v>
          </cell>
          <cell r="AB622">
            <v>6209.6</v>
          </cell>
          <cell r="AC622">
            <v>52652.570299999999</v>
          </cell>
          <cell r="AE622">
            <v>88.95</v>
          </cell>
          <cell r="AF622">
            <v>800</v>
          </cell>
          <cell r="AG622">
            <v>8477</v>
          </cell>
          <cell r="AH622">
            <v>1040</v>
          </cell>
          <cell r="AI622">
            <v>1700</v>
          </cell>
          <cell r="AJ622">
            <v>760.72</v>
          </cell>
          <cell r="AL622">
            <v>1451.7</v>
          </cell>
          <cell r="AP622">
            <v>5355.2870000000003</v>
          </cell>
          <cell r="AV622">
            <v>62.28</v>
          </cell>
          <cell r="AZ622">
            <v>244.6</v>
          </cell>
          <cell r="BE622">
            <v>26450</v>
          </cell>
          <cell r="BG622">
            <v>67.25</v>
          </cell>
          <cell r="BH622">
            <v>452.19</v>
          </cell>
          <cell r="BY622">
            <v>495.86</v>
          </cell>
          <cell r="CD622">
            <v>384.78</v>
          </cell>
          <cell r="CE622">
            <v>375.75400000000002</v>
          </cell>
          <cell r="CF622">
            <v>458.85</v>
          </cell>
          <cell r="CG622">
            <v>1390</v>
          </cell>
          <cell r="CH622">
            <v>1060</v>
          </cell>
          <cell r="CI622">
            <v>135</v>
          </cell>
          <cell r="CJ622">
            <v>320</v>
          </cell>
          <cell r="CK622">
            <v>765</v>
          </cell>
          <cell r="CM622">
            <v>197.86</v>
          </cell>
          <cell r="CN622">
            <v>20.45</v>
          </cell>
          <cell r="CO622" t="str">
            <v>#N/A N/A</v>
          </cell>
          <cell r="CQ622">
            <v>5.57</v>
          </cell>
          <cell r="CR622">
            <v>85</v>
          </cell>
          <cell r="CS622">
            <v>2905</v>
          </cell>
          <cell r="CU622">
            <v>950</v>
          </cell>
          <cell r="CW622">
            <v>58.307926829268297</v>
          </cell>
          <cell r="CX622">
            <v>683.00099999999998</v>
          </cell>
          <cell r="CZ622">
            <v>314.77999999999997</v>
          </cell>
          <cell r="DA622">
            <v>3580.3</v>
          </cell>
          <cell r="DB622">
            <v>11.34</v>
          </cell>
          <cell r="DC622">
            <v>333.5</v>
          </cell>
          <cell r="DD622">
            <v>120.05</v>
          </cell>
        </row>
        <row r="623">
          <cell r="A623">
            <v>39336</v>
          </cell>
          <cell r="C623">
            <v>28</v>
          </cell>
          <cell r="D623" t="str">
            <v>#N/A N/A</v>
          </cell>
          <cell r="E623">
            <v>13.52</v>
          </cell>
          <cell r="L623">
            <v>1847.36</v>
          </cell>
          <cell r="M623">
            <v>2597.4699999999998</v>
          </cell>
          <cell r="N623">
            <v>6280.7</v>
          </cell>
          <cell r="O623">
            <v>4503</v>
          </cell>
          <cell r="Q623">
            <v>520</v>
          </cell>
          <cell r="R623">
            <v>341.25</v>
          </cell>
          <cell r="S623">
            <v>890.5</v>
          </cell>
          <cell r="T623">
            <v>920.5</v>
          </cell>
          <cell r="U623">
            <v>15877.67</v>
          </cell>
          <cell r="V623">
            <v>23952.240000000002</v>
          </cell>
          <cell r="W623">
            <v>9003.1200000000008</v>
          </cell>
          <cell r="X623">
            <v>73.25</v>
          </cell>
          <cell r="Y623">
            <v>1280</v>
          </cell>
          <cell r="Z623">
            <v>1540</v>
          </cell>
          <cell r="AA623">
            <v>15542.77</v>
          </cell>
          <cell r="AB623">
            <v>6248.6</v>
          </cell>
          <cell r="AC623">
            <v>53920.570299999999</v>
          </cell>
          <cell r="AE623">
            <v>89.75</v>
          </cell>
          <cell r="AF623">
            <v>807.79</v>
          </cell>
          <cell r="AG623">
            <v>8468</v>
          </cell>
          <cell r="AH623">
            <v>1040</v>
          </cell>
          <cell r="AI623">
            <v>1700</v>
          </cell>
          <cell r="AJ623">
            <v>767.32</v>
          </cell>
          <cell r="AL623">
            <v>1471.49</v>
          </cell>
          <cell r="AP623">
            <v>5113.9679999999998</v>
          </cell>
          <cell r="AV623">
            <v>63.61</v>
          </cell>
          <cell r="AZ623">
            <v>245.9</v>
          </cell>
          <cell r="BE623">
            <v>26735</v>
          </cell>
          <cell r="BG623">
            <v>67.25</v>
          </cell>
          <cell r="BH623">
            <v>450.5</v>
          </cell>
          <cell r="BY623">
            <v>499.93</v>
          </cell>
          <cell r="CD623">
            <v>390.13</v>
          </cell>
          <cell r="CE623">
            <v>381.06299999999999</v>
          </cell>
          <cell r="CF623">
            <v>460.02</v>
          </cell>
          <cell r="CG623">
            <v>1390</v>
          </cell>
          <cell r="CH623">
            <v>1060</v>
          </cell>
          <cell r="CI623">
            <v>135</v>
          </cell>
          <cell r="CJ623">
            <v>320</v>
          </cell>
          <cell r="CK623">
            <v>769</v>
          </cell>
          <cell r="CM623">
            <v>198.11</v>
          </cell>
          <cell r="CN623">
            <v>20.67</v>
          </cell>
          <cell r="CO623" t="str">
            <v>#N/A N/A</v>
          </cell>
          <cell r="CQ623">
            <v>5.99</v>
          </cell>
          <cell r="CR623">
            <v>85</v>
          </cell>
          <cell r="CS623">
            <v>3082</v>
          </cell>
          <cell r="CU623">
            <v>950</v>
          </cell>
          <cell r="CW623">
            <v>57.850609756097562</v>
          </cell>
          <cell r="CX623">
            <v>684.53549999999996</v>
          </cell>
          <cell r="CZ623">
            <v>316.97000000000003</v>
          </cell>
          <cell r="DA623">
            <v>3694.2</v>
          </cell>
          <cell r="DB623">
            <v>11.41</v>
          </cell>
          <cell r="DC623">
            <v>333.5</v>
          </cell>
          <cell r="DD623">
            <v>119.5</v>
          </cell>
        </row>
        <row r="624">
          <cell r="A624">
            <v>39337</v>
          </cell>
          <cell r="C624">
            <v>28</v>
          </cell>
          <cell r="D624" t="str">
            <v>#N/A N/A</v>
          </cell>
          <cell r="E624">
            <v>12.73</v>
          </cell>
          <cell r="L624">
            <v>1813.52</v>
          </cell>
          <cell r="M624">
            <v>2592.0700000000002</v>
          </cell>
          <cell r="N624">
            <v>6306.2</v>
          </cell>
          <cell r="O624">
            <v>4503</v>
          </cell>
          <cell r="Q624">
            <v>520</v>
          </cell>
          <cell r="R624">
            <v>356.5</v>
          </cell>
          <cell r="S624">
            <v>860.5</v>
          </cell>
          <cell r="T624">
            <v>938.5</v>
          </cell>
          <cell r="U624">
            <v>15797.6</v>
          </cell>
          <cell r="V624">
            <v>24310.14</v>
          </cell>
          <cell r="W624">
            <v>9018.1200000000008</v>
          </cell>
          <cell r="X624">
            <v>74.650000000000006</v>
          </cell>
          <cell r="Y624">
            <v>1280</v>
          </cell>
          <cell r="Z624">
            <v>1540</v>
          </cell>
          <cell r="AA624">
            <v>15505.36</v>
          </cell>
          <cell r="AB624">
            <v>6236</v>
          </cell>
          <cell r="AC624">
            <v>53882.710899999998</v>
          </cell>
          <cell r="AE624">
            <v>90.75</v>
          </cell>
          <cell r="AF624">
            <v>807.79</v>
          </cell>
          <cell r="AG624">
            <v>8421</v>
          </cell>
          <cell r="AH624">
            <v>1040</v>
          </cell>
          <cell r="AI624">
            <v>1700</v>
          </cell>
          <cell r="AJ624">
            <v>757.83</v>
          </cell>
          <cell r="AL624">
            <v>1471.56</v>
          </cell>
          <cell r="AP624">
            <v>5172.6270000000004</v>
          </cell>
          <cell r="AV624">
            <v>62.89</v>
          </cell>
          <cell r="AZ624">
            <v>243.7</v>
          </cell>
          <cell r="BE624">
            <v>26845</v>
          </cell>
          <cell r="BG624">
            <v>67.25</v>
          </cell>
          <cell r="BH624">
            <v>461.44</v>
          </cell>
          <cell r="BY624">
            <v>490.21</v>
          </cell>
          <cell r="CD624">
            <v>391.11</v>
          </cell>
          <cell r="CE624">
            <v>382.06099999999998</v>
          </cell>
          <cell r="CF624">
            <v>460.13</v>
          </cell>
          <cell r="CG624">
            <v>1390</v>
          </cell>
          <cell r="CH624">
            <v>1060</v>
          </cell>
          <cell r="CI624">
            <v>135</v>
          </cell>
          <cell r="CJ624">
            <v>320</v>
          </cell>
          <cell r="CK624">
            <v>774</v>
          </cell>
          <cell r="CM624">
            <v>201.6</v>
          </cell>
          <cell r="CN624">
            <v>21.01</v>
          </cell>
          <cell r="CO624" t="str">
            <v>#N/A N/A</v>
          </cell>
          <cell r="CQ624">
            <v>6.13</v>
          </cell>
          <cell r="CR624">
            <v>85</v>
          </cell>
          <cell r="CS624">
            <v>3149</v>
          </cell>
          <cell r="CU624">
            <v>950</v>
          </cell>
          <cell r="CW624">
            <v>58.612804878048784</v>
          </cell>
          <cell r="CX624">
            <v>688.19849999999997</v>
          </cell>
          <cell r="CZ624">
            <v>321.19</v>
          </cell>
          <cell r="DA624">
            <v>3680.7</v>
          </cell>
          <cell r="DB624">
            <v>11.43</v>
          </cell>
          <cell r="DC624">
            <v>333.5</v>
          </cell>
          <cell r="DD624">
            <v>120.05</v>
          </cell>
        </row>
        <row r="625">
          <cell r="A625">
            <v>39338</v>
          </cell>
          <cell r="C625">
            <v>28</v>
          </cell>
          <cell r="D625" t="str">
            <v>#N/A N/A</v>
          </cell>
          <cell r="E625">
            <v>13.22</v>
          </cell>
          <cell r="L625">
            <v>1848.02</v>
          </cell>
          <cell r="M625">
            <v>2601.06</v>
          </cell>
          <cell r="N625">
            <v>6363.9</v>
          </cell>
          <cell r="O625">
            <v>4497</v>
          </cell>
          <cell r="Q625">
            <v>520</v>
          </cell>
          <cell r="R625">
            <v>346.75</v>
          </cell>
          <cell r="S625">
            <v>845</v>
          </cell>
          <cell r="T625">
            <v>941.25</v>
          </cell>
          <cell r="U625">
            <v>15821.19</v>
          </cell>
          <cell r="V625">
            <v>24537.02</v>
          </cell>
          <cell r="W625">
            <v>8927.42</v>
          </cell>
          <cell r="X625">
            <v>76</v>
          </cell>
          <cell r="Y625">
            <v>1280</v>
          </cell>
          <cell r="Z625">
            <v>1540</v>
          </cell>
          <cell r="AA625">
            <v>15614.44</v>
          </cell>
          <cell r="AB625">
            <v>6244.6</v>
          </cell>
          <cell r="AC625">
            <v>54908.179700000001</v>
          </cell>
          <cell r="AE625">
            <v>91.25</v>
          </cell>
          <cell r="AF625">
            <v>807.79</v>
          </cell>
          <cell r="AG625">
            <v>8340</v>
          </cell>
          <cell r="AH625">
            <v>1040</v>
          </cell>
          <cell r="AI625">
            <v>1700</v>
          </cell>
          <cell r="AJ625">
            <v>767.39</v>
          </cell>
          <cell r="AL625">
            <v>1483.95</v>
          </cell>
          <cell r="AP625">
            <v>5273.5919999999996</v>
          </cell>
          <cell r="AV625">
            <v>64.239999999999995</v>
          </cell>
          <cell r="AZ625">
            <v>244.9</v>
          </cell>
          <cell r="BE625">
            <v>27652</v>
          </cell>
          <cell r="BG625">
            <v>67.25</v>
          </cell>
          <cell r="BH625">
            <v>481.59</v>
          </cell>
          <cell r="BY625">
            <v>488.18</v>
          </cell>
          <cell r="CD625">
            <v>393.65</v>
          </cell>
          <cell r="CE625">
            <v>384.36500000000001</v>
          </cell>
          <cell r="CF625">
            <v>463.07</v>
          </cell>
          <cell r="CG625">
            <v>1390</v>
          </cell>
          <cell r="CH625">
            <v>1060</v>
          </cell>
          <cell r="CI625">
            <v>135</v>
          </cell>
          <cell r="CJ625">
            <v>320</v>
          </cell>
          <cell r="CK625">
            <v>801</v>
          </cell>
          <cell r="CM625">
            <v>204.64</v>
          </cell>
          <cell r="CN625">
            <v>20.79</v>
          </cell>
          <cell r="CO625" t="str">
            <v>#N/A N/A</v>
          </cell>
          <cell r="CQ625">
            <v>6.24</v>
          </cell>
          <cell r="CR625">
            <v>85</v>
          </cell>
          <cell r="CS625">
            <v>3235</v>
          </cell>
          <cell r="CU625">
            <v>950</v>
          </cell>
          <cell r="CW625">
            <v>59.375</v>
          </cell>
          <cell r="CX625">
            <v>687.85199999999998</v>
          </cell>
          <cell r="CZ625">
            <v>320.32</v>
          </cell>
          <cell r="DA625">
            <v>3753.3</v>
          </cell>
          <cell r="DB625">
            <v>11.49</v>
          </cell>
          <cell r="DC625">
            <v>333.5</v>
          </cell>
          <cell r="DD625">
            <v>119.3</v>
          </cell>
        </row>
        <row r="626">
          <cell r="A626">
            <v>39339</v>
          </cell>
          <cell r="C626">
            <v>28</v>
          </cell>
          <cell r="D626" t="str">
            <v>#N/A N/A</v>
          </cell>
          <cell r="E626">
            <v>13.9</v>
          </cell>
          <cell r="L626">
            <v>1870.02</v>
          </cell>
          <cell r="M626">
            <v>2602.1799999999998</v>
          </cell>
          <cell r="N626">
            <v>6289.3</v>
          </cell>
          <cell r="O626">
            <v>4480</v>
          </cell>
          <cell r="Q626">
            <v>520</v>
          </cell>
          <cell r="R626">
            <v>349</v>
          </cell>
          <cell r="S626">
            <v>846</v>
          </cell>
          <cell r="T626">
            <v>954.75</v>
          </cell>
          <cell r="U626">
            <v>16127.42</v>
          </cell>
          <cell r="V626">
            <v>24898.11</v>
          </cell>
          <cell r="W626">
            <v>9031.6299999999992</v>
          </cell>
          <cell r="X626">
            <v>76.349999999999994</v>
          </cell>
          <cell r="Y626">
            <v>1260</v>
          </cell>
          <cell r="Z626">
            <v>1550</v>
          </cell>
          <cell r="AA626">
            <v>15603.8</v>
          </cell>
          <cell r="AB626">
            <v>6315.7</v>
          </cell>
          <cell r="AC626">
            <v>54671</v>
          </cell>
          <cell r="AE626">
            <v>91.15</v>
          </cell>
          <cell r="AF626">
            <v>807.79</v>
          </cell>
          <cell r="AG626">
            <v>8302</v>
          </cell>
          <cell r="AH626">
            <v>1040</v>
          </cell>
          <cell r="AI626">
            <v>1710</v>
          </cell>
          <cell r="AJ626">
            <v>783.27</v>
          </cell>
          <cell r="AL626">
            <v>1484.25</v>
          </cell>
          <cell r="AP626">
            <v>5312.1819999999998</v>
          </cell>
          <cell r="AV626">
            <v>64.52</v>
          </cell>
          <cell r="AZ626">
            <v>245.3</v>
          </cell>
          <cell r="BE626">
            <v>28356</v>
          </cell>
          <cell r="BG626">
            <v>67.25</v>
          </cell>
          <cell r="BH626">
            <v>491.5</v>
          </cell>
          <cell r="BY626">
            <v>487</v>
          </cell>
          <cell r="CD626">
            <v>393.34</v>
          </cell>
          <cell r="CE626">
            <v>383.78800000000001</v>
          </cell>
          <cell r="CF626">
            <v>469.04</v>
          </cell>
          <cell r="CG626">
            <v>1390</v>
          </cell>
          <cell r="CH626">
            <v>1050</v>
          </cell>
          <cell r="CI626">
            <v>135</v>
          </cell>
          <cell r="CJ626">
            <v>320</v>
          </cell>
          <cell r="CK626">
            <v>805</v>
          </cell>
          <cell r="CM626">
            <v>203.64</v>
          </cell>
          <cell r="CN626">
            <v>20.55</v>
          </cell>
          <cell r="CO626" t="str">
            <v>#N/A N/A</v>
          </cell>
          <cell r="CQ626">
            <v>6.22</v>
          </cell>
          <cell r="CR626">
            <v>85</v>
          </cell>
          <cell r="CS626">
            <v>3280.75</v>
          </cell>
          <cell r="CU626">
            <v>1000</v>
          </cell>
          <cell r="CW626">
            <v>59.375</v>
          </cell>
          <cell r="CX626">
            <v>685.92149999999992</v>
          </cell>
          <cell r="CZ626">
            <v>320.92</v>
          </cell>
          <cell r="DA626">
            <v>3749.1</v>
          </cell>
          <cell r="DB626">
            <v>11.45</v>
          </cell>
          <cell r="DC626">
            <v>333.5</v>
          </cell>
          <cell r="DD626">
            <v>120.9</v>
          </cell>
        </row>
        <row r="627">
          <cell r="A627">
            <v>39340</v>
          </cell>
          <cell r="C627">
            <v>28</v>
          </cell>
          <cell r="D627" t="str">
            <v>#N/A N/A</v>
          </cell>
          <cell r="E627">
            <v>13.9</v>
          </cell>
          <cell r="L627">
            <v>1870.02</v>
          </cell>
          <cell r="M627">
            <v>2602.1799999999998</v>
          </cell>
          <cell r="N627">
            <v>6289.3</v>
          </cell>
          <cell r="O627">
            <v>4480</v>
          </cell>
          <cell r="Q627">
            <v>520</v>
          </cell>
          <cell r="R627">
            <v>349</v>
          </cell>
          <cell r="S627">
            <v>846</v>
          </cell>
          <cell r="T627">
            <v>954.75</v>
          </cell>
          <cell r="U627">
            <v>16127.42</v>
          </cell>
          <cell r="V627">
            <v>24898.11</v>
          </cell>
          <cell r="W627">
            <v>9031.6299999999992</v>
          </cell>
          <cell r="X627">
            <v>76.349999999999994</v>
          </cell>
          <cell r="Y627">
            <v>1260</v>
          </cell>
          <cell r="Z627">
            <v>1550</v>
          </cell>
          <cell r="AA627">
            <v>15603.8</v>
          </cell>
          <cell r="AB627">
            <v>6315.7</v>
          </cell>
          <cell r="AC627">
            <v>54671</v>
          </cell>
          <cell r="AE627">
            <v>91.15</v>
          </cell>
          <cell r="AF627">
            <v>807.79</v>
          </cell>
          <cell r="AG627">
            <v>8302</v>
          </cell>
          <cell r="AH627">
            <v>1040</v>
          </cell>
          <cell r="AI627">
            <v>1710</v>
          </cell>
          <cell r="AJ627">
            <v>783.27</v>
          </cell>
          <cell r="AL627">
            <v>1484.25</v>
          </cell>
          <cell r="AP627">
            <v>5312.1819999999998</v>
          </cell>
          <cell r="AV627">
            <v>64.52</v>
          </cell>
          <cell r="AZ627">
            <v>245.3</v>
          </cell>
          <cell r="BE627">
            <v>28356</v>
          </cell>
          <cell r="BG627">
            <v>67.25</v>
          </cell>
          <cell r="BH627">
            <v>491.5</v>
          </cell>
          <cell r="BY627">
            <v>487</v>
          </cell>
          <cell r="CD627">
            <v>393.34</v>
          </cell>
          <cell r="CE627">
            <v>383.78800000000001</v>
          </cell>
          <cell r="CF627">
            <v>469.04</v>
          </cell>
          <cell r="CG627">
            <v>1390</v>
          </cell>
          <cell r="CH627">
            <v>1050</v>
          </cell>
          <cell r="CI627">
            <v>135</v>
          </cell>
          <cell r="CJ627">
            <v>320</v>
          </cell>
          <cell r="CK627">
            <v>805</v>
          </cell>
          <cell r="CM627">
            <v>203.64</v>
          </cell>
          <cell r="CN627">
            <v>20.55</v>
          </cell>
          <cell r="CO627" t="str">
            <v>#N/A N/A</v>
          </cell>
          <cell r="CQ627">
            <v>6.22</v>
          </cell>
          <cell r="CR627">
            <v>85</v>
          </cell>
          <cell r="CS627">
            <v>3280.75</v>
          </cell>
          <cell r="CU627">
            <v>1000</v>
          </cell>
          <cell r="CW627">
            <v>59.375</v>
          </cell>
          <cell r="CX627">
            <v>685.92149999999992</v>
          </cell>
          <cell r="CZ627">
            <v>320.92</v>
          </cell>
          <cell r="DA627">
            <v>3749.1</v>
          </cell>
          <cell r="DB627">
            <v>11.45</v>
          </cell>
          <cell r="DC627">
            <v>333.5</v>
          </cell>
          <cell r="DD627">
            <v>120.9</v>
          </cell>
        </row>
        <row r="628">
          <cell r="A628">
            <v>39341</v>
          </cell>
          <cell r="C628">
            <v>28</v>
          </cell>
          <cell r="D628" t="str">
            <v>#N/A N/A</v>
          </cell>
          <cell r="E628">
            <v>13.9</v>
          </cell>
          <cell r="L628">
            <v>1870.02</v>
          </cell>
          <cell r="M628">
            <v>2602.1799999999998</v>
          </cell>
          <cell r="N628">
            <v>6289.3</v>
          </cell>
          <cell r="O628">
            <v>4480</v>
          </cell>
          <cell r="Q628">
            <v>520</v>
          </cell>
          <cell r="R628">
            <v>349</v>
          </cell>
          <cell r="S628">
            <v>846</v>
          </cell>
          <cell r="T628">
            <v>954.75</v>
          </cell>
          <cell r="U628">
            <v>16127.42</v>
          </cell>
          <cell r="V628">
            <v>24898.11</v>
          </cell>
          <cell r="W628">
            <v>9031.6299999999992</v>
          </cell>
          <cell r="X628">
            <v>76.349999999999994</v>
          </cell>
          <cell r="Y628">
            <v>1260</v>
          </cell>
          <cell r="Z628">
            <v>1550</v>
          </cell>
          <cell r="AA628">
            <v>15603.8</v>
          </cell>
          <cell r="AB628">
            <v>6315.7</v>
          </cell>
          <cell r="AC628">
            <v>54671</v>
          </cell>
          <cell r="AE628">
            <v>91.15</v>
          </cell>
          <cell r="AF628">
            <v>807.79</v>
          </cell>
          <cell r="AG628">
            <v>8302</v>
          </cell>
          <cell r="AH628">
            <v>1040</v>
          </cell>
          <cell r="AI628">
            <v>1710</v>
          </cell>
          <cell r="AJ628">
            <v>783.27</v>
          </cell>
          <cell r="AL628">
            <v>1484.25</v>
          </cell>
          <cell r="AP628">
            <v>5312.1819999999998</v>
          </cell>
          <cell r="AV628">
            <v>64.52</v>
          </cell>
          <cell r="AZ628">
            <v>245.3</v>
          </cell>
          <cell r="BE628">
            <v>28356</v>
          </cell>
          <cell r="BG628">
            <v>67.25</v>
          </cell>
          <cell r="BH628">
            <v>491.5</v>
          </cell>
          <cell r="BY628">
            <v>487</v>
          </cell>
          <cell r="CD628">
            <v>393.34</v>
          </cell>
          <cell r="CE628">
            <v>383.78800000000001</v>
          </cell>
          <cell r="CF628">
            <v>469.04</v>
          </cell>
          <cell r="CG628">
            <v>1390</v>
          </cell>
          <cell r="CH628">
            <v>1050</v>
          </cell>
          <cell r="CI628">
            <v>135</v>
          </cell>
          <cell r="CJ628">
            <v>320</v>
          </cell>
          <cell r="CK628">
            <v>805</v>
          </cell>
          <cell r="CM628">
            <v>203.64</v>
          </cell>
          <cell r="CN628">
            <v>20.55</v>
          </cell>
          <cell r="CO628" t="str">
            <v>#N/A N/A</v>
          </cell>
          <cell r="CQ628">
            <v>6.22</v>
          </cell>
          <cell r="CR628">
            <v>85</v>
          </cell>
          <cell r="CS628">
            <v>3280.75</v>
          </cell>
          <cell r="CU628">
            <v>1000</v>
          </cell>
          <cell r="CW628">
            <v>59.375</v>
          </cell>
          <cell r="CX628">
            <v>685.92149999999992</v>
          </cell>
          <cell r="CZ628">
            <v>320.92</v>
          </cell>
          <cell r="DA628">
            <v>3749.1</v>
          </cell>
          <cell r="DB628">
            <v>11.45</v>
          </cell>
          <cell r="DC628">
            <v>333.5</v>
          </cell>
          <cell r="DD628">
            <v>120.9</v>
          </cell>
        </row>
        <row r="629">
          <cell r="A629">
            <v>39342</v>
          </cell>
          <cell r="C629">
            <v>28</v>
          </cell>
          <cell r="D629" t="str">
            <v>#N/A N/A</v>
          </cell>
          <cell r="E629">
            <v>13.3</v>
          </cell>
          <cell r="L629">
            <v>1871.68</v>
          </cell>
          <cell r="M629">
            <v>2581.66</v>
          </cell>
          <cell r="N629">
            <v>6182.8</v>
          </cell>
          <cell r="O629">
            <v>4448</v>
          </cell>
          <cell r="Q629">
            <v>520</v>
          </cell>
          <cell r="R629">
            <v>352.25</v>
          </cell>
          <cell r="S629">
            <v>875</v>
          </cell>
          <cell r="T629">
            <v>968.5</v>
          </cell>
          <cell r="U629">
            <v>16127.42</v>
          </cell>
          <cell r="V629">
            <v>24599.34</v>
          </cell>
          <cell r="W629">
            <v>8899.91</v>
          </cell>
          <cell r="X629">
            <v>76.349999999999994</v>
          </cell>
          <cell r="Y629">
            <v>1260</v>
          </cell>
          <cell r="Z629">
            <v>1550</v>
          </cell>
          <cell r="AA629">
            <v>15504.43</v>
          </cell>
          <cell r="AB629">
            <v>6283.7</v>
          </cell>
          <cell r="AC629">
            <v>54340.539100000002</v>
          </cell>
          <cell r="AE629">
            <v>90.55</v>
          </cell>
          <cell r="AF629">
            <v>807.79</v>
          </cell>
          <cell r="AG629">
            <v>8296</v>
          </cell>
          <cell r="AH629">
            <v>1040</v>
          </cell>
          <cell r="AI629">
            <v>1710</v>
          </cell>
          <cell r="AJ629">
            <v>784.75</v>
          </cell>
          <cell r="AL629">
            <v>1476.65</v>
          </cell>
          <cell r="AP629">
            <v>5421.3919999999998</v>
          </cell>
          <cell r="AV629">
            <v>64.02</v>
          </cell>
          <cell r="AZ629">
            <v>245.3</v>
          </cell>
          <cell r="BE629">
            <v>28715</v>
          </cell>
          <cell r="BG629">
            <v>67.25</v>
          </cell>
          <cell r="BH629">
            <v>494.71</v>
          </cell>
          <cell r="BY629">
            <v>484.3</v>
          </cell>
          <cell r="CD629">
            <v>390.21</v>
          </cell>
          <cell r="CE629">
            <v>380.75200000000001</v>
          </cell>
          <cell r="CF629">
            <v>465.93</v>
          </cell>
          <cell r="CG629">
            <v>1390</v>
          </cell>
          <cell r="CH629">
            <v>1050</v>
          </cell>
          <cell r="CI629">
            <v>135</v>
          </cell>
          <cell r="CJ629">
            <v>320</v>
          </cell>
          <cell r="CK629">
            <v>809</v>
          </cell>
          <cell r="CM629">
            <v>204.42</v>
          </cell>
          <cell r="CN629">
            <v>20.76</v>
          </cell>
          <cell r="CO629" t="str">
            <v>#N/A N/A</v>
          </cell>
          <cell r="CQ629">
            <v>6.36</v>
          </cell>
          <cell r="CR629">
            <v>85</v>
          </cell>
          <cell r="CS629">
            <v>3210</v>
          </cell>
          <cell r="CU629">
            <v>1000</v>
          </cell>
          <cell r="CW629">
            <v>59.375</v>
          </cell>
          <cell r="CX629">
            <v>686.41650000000004</v>
          </cell>
          <cell r="CZ629">
            <v>324.87</v>
          </cell>
          <cell r="DA629">
            <v>3716.8</v>
          </cell>
          <cell r="DB629">
            <v>11.39</v>
          </cell>
          <cell r="DC629">
            <v>333.5</v>
          </cell>
          <cell r="DD629">
            <v>127.8</v>
          </cell>
        </row>
        <row r="630">
          <cell r="A630">
            <v>39343</v>
          </cell>
          <cell r="C630">
            <v>28</v>
          </cell>
          <cell r="D630" t="str">
            <v>#N/A N/A</v>
          </cell>
          <cell r="E630">
            <v>13.3</v>
          </cell>
          <cell r="L630">
            <v>1838.61</v>
          </cell>
          <cell r="M630">
            <v>2651.66</v>
          </cell>
          <cell r="N630">
            <v>6283.3</v>
          </cell>
          <cell r="O630">
            <v>4439</v>
          </cell>
          <cell r="Q630">
            <v>520</v>
          </cell>
          <cell r="R630">
            <v>352.25</v>
          </cell>
          <cell r="S630">
            <v>869</v>
          </cell>
          <cell r="T630">
            <v>969.5</v>
          </cell>
          <cell r="U630">
            <v>15801.8</v>
          </cell>
          <cell r="V630">
            <v>24576.85</v>
          </cell>
          <cell r="W630">
            <v>8899.91</v>
          </cell>
          <cell r="X630">
            <v>77.849999999999994</v>
          </cell>
          <cell r="Y630">
            <v>1260</v>
          </cell>
          <cell r="Z630">
            <v>1550</v>
          </cell>
          <cell r="AA630">
            <v>15669.12</v>
          </cell>
          <cell r="AB630">
            <v>6208</v>
          </cell>
          <cell r="AC630">
            <v>56666.300799999997</v>
          </cell>
          <cell r="AE630">
            <v>91.85</v>
          </cell>
          <cell r="AF630">
            <v>814.21</v>
          </cell>
          <cell r="AG630">
            <v>8313</v>
          </cell>
          <cell r="AH630">
            <v>1040</v>
          </cell>
          <cell r="AI630">
            <v>1710</v>
          </cell>
          <cell r="AJ630">
            <v>775.45</v>
          </cell>
          <cell r="AL630">
            <v>1519.78</v>
          </cell>
          <cell r="AP630">
            <v>5425.2079999999996</v>
          </cell>
          <cell r="AV630">
            <v>66.290000000000006</v>
          </cell>
          <cell r="AZ630">
            <v>252.5</v>
          </cell>
          <cell r="BE630">
            <v>30485</v>
          </cell>
          <cell r="BG630">
            <v>67.25</v>
          </cell>
          <cell r="BH630">
            <v>503.67</v>
          </cell>
          <cell r="BY630">
            <v>498.06</v>
          </cell>
          <cell r="CD630">
            <v>396.3</v>
          </cell>
          <cell r="CE630">
            <v>386.98399999999998</v>
          </cell>
          <cell r="CF630">
            <v>464.4</v>
          </cell>
          <cell r="CG630">
            <v>1390</v>
          </cell>
          <cell r="CH630">
            <v>1050</v>
          </cell>
          <cell r="CI630">
            <v>135</v>
          </cell>
          <cell r="CJ630">
            <v>320</v>
          </cell>
          <cell r="CK630">
            <v>833</v>
          </cell>
          <cell r="CM630">
            <v>206.03</v>
          </cell>
          <cell r="CN630">
            <v>20.75</v>
          </cell>
          <cell r="CO630" t="str">
            <v>#N/A N/A</v>
          </cell>
          <cell r="CQ630">
            <v>6.39</v>
          </cell>
          <cell r="CR630">
            <v>85</v>
          </cell>
          <cell r="CS630">
            <v>3214.5</v>
          </cell>
          <cell r="CU630">
            <v>1000</v>
          </cell>
          <cell r="CW630">
            <v>59.070121951219512</v>
          </cell>
          <cell r="CX630">
            <v>686.8125</v>
          </cell>
          <cell r="CZ630">
            <v>326.79000000000002</v>
          </cell>
          <cell r="DA630">
            <v>3777.3</v>
          </cell>
          <cell r="DB630">
            <v>11.23</v>
          </cell>
          <cell r="DC630">
            <v>333.5</v>
          </cell>
          <cell r="DD630">
            <v>130.4</v>
          </cell>
        </row>
        <row r="631">
          <cell r="A631">
            <v>39344</v>
          </cell>
          <cell r="C631">
            <v>28</v>
          </cell>
          <cell r="D631" t="str">
            <v>#N/A N/A</v>
          </cell>
          <cell r="E631">
            <v>13.51</v>
          </cell>
          <cell r="L631">
            <v>1902.65</v>
          </cell>
          <cell r="M631">
            <v>2666.48</v>
          </cell>
          <cell r="N631">
            <v>6460</v>
          </cell>
          <cell r="O631">
            <v>4429</v>
          </cell>
          <cell r="Q631">
            <v>520</v>
          </cell>
          <cell r="R631">
            <v>358.25</v>
          </cell>
          <cell r="S631">
            <v>845</v>
          </cell>
          <cell r="T631">
            <v>971</v>
          </cell>
          <cell r="U631">
            <v>16381.54</v>
          </cell>
          <cell r="V631">
            <v>25554.639999999999</v>
          </cell>
          <cell r="W631">
            <v>8926.3799999999992</v>
          </cell>
          <cell r="X631">
            <v>77.849999999999994</v>
          </cell>
          <cell r="Y631">
            <v>1260</v>
          </cell>
          <cell r="Z631">
            <v>1550</v>
          </cell>
          <cell r="AA631">
            <v>16322.75</v>
          </cell>
          <cell r="AB631">
            <v>6362</v>
          </cell>
          <cell r="AC631">
            <v>57264.218800000002</v>
          </cell>
          <cell r="AE631">
            <v>93.55</v>
          </cell>
          <cell r="AF631">
            <v>814.21</v>
          </cell>
          <cell r="AG631">
            <v>8429</v>
          </cell>
          <cell r="AH631">
            <v>1040</v>
          </cell>
          <cell r="AI631">
            <v>1710</v>
          </cell>
          <cell r="AJ631">
            <v>784.67</v>
          </cell>
          <cell r="AL631">
            <v>1529.03</v>
          </cell>
          <cell r="AP631">
            <v>5395.2650000000003</v>
          </cell>
          <cell r="AV631">
            <v>67.42</v>
          </cell>
          <cell r="AZ631">
            <v>256.89999999999998</v>
          </cell>
          <cell r="BE631">
            <v>33540</v>
          </cell>
          <cell r="BG631">
            <v>67.25</v>
          </cell>
          <cell r="BH631">
            <v>519.41</v>
          </cell>
          <cell r="BY631">
            <v>498.74</v>
          </cell>
          <cell r="CD631">
            <v>404.47</v>
          </cell>
          <cell r="CE631">
            <v>394.40499999999997</v>
          </cell>
          <cell r="CF631">
            <v>480.78</v>
          </cell>
          <cell r="CG631">
            <v>1390</v>
          </cell>
          <cell r="CH631">
            <v>1050</v>
          </cell>
          <cell r="CI631">
            <v>135</v>
          </cell>
          <cell r="CJ631">
            <v>320</v>
          </cell>
          <cell r="CK631">
            <v>899</v>
          </cell>
          <cell r="CM631">
            <v>209.34</v>
          </cell>
          <cell r="CN631">
            <v>21.15</v>
          </cell>
          <cell r="CO631" t="str">
            <v>#N/A N/A</v>
          </cell>
          <cell r="CQ631">
            <v>6.21</v>
          </cell>
          <cell r="CR631">
            <v>85</v>
          </cell>
          <cell r="CS631">
            <v>3292</v>
          </cell>
          <cell r="CU631">
            <v>1000</v>
          </cell>
          <cell r="CW631">
            <v>59.22256097560976</v>
          </cell>
          <cell r="CX631">
            <v>690.97050000000002</v>
          </cell>
          <cell r="CZ631">
            <v>329.57</v>
          </cell>
          <cell r="DA631">
            <v>3949.6</v>
          </cell>
          <cell r="DB631">
            <v>11.63</v>
          </cell>
          <cell r="DC631">
            <v>333.5</v>
          </cell>
          <cell r="DD631">
            <v>131.35</v>
          </cell>
        </row>
        <row r="632">
          <cell r="A632">
            <v>39345</v>
          </cell>
          <cell r="C632">
            <v>28</v>
          </cell>
          <cell r="D632" t="str">
            <v>#N/A N/A</v>
          </cell>
          <cell r="E632">
            <v>13.69</v>
          </cell>
          <cell r="L632">
            <v>1908.97</v>
          </cell>
          <cell r="M632">
            <v>2654.29</v>
          </cell>
          <cell r="N632">
            <v>6429</v>
          </cell>
          <cell r="O632">
            <v>4417</v>
          </cell>
          <cell r="Q632">
            <v>520</v>
          </cell>
          <cell r="R632">
            <v>369.25</v>
          </cell>
          <cell r="S632">
            <v>850</v>
          </cell>
          <cell r="T632">
            <v>988.5</v>
          </cell>
          <cell r="U632">
            <v>16413.79</v>
          </cell>
          <cell r="V632">
            <v>25701.13</v>
          </cell>
          <cell r="W632">
            <v>8983.0300000000007</v>
          </cell>
          <cell r="X632">
            <v>78.150000000000006</v>
          </cell>
          <cell r="Y632">
            <v>1260</v>
          </cell>
          <cell r="Z632">
            <v>1550</v>
          </cell>
          <cell r="AA632">
            <v>16347.95</v>
          </cell>
          <cell r="AB632">
            <v>6400.9</v>
          </cell>
          <cell r="AC632">
            <v>56906.441400000003</v>
          </cell>
          <cell r="AE632">
            <v>92.75</v>
          </cell>
          <cell r="AF632">
            <v>814.21</v>
          </cell>
          <cell r="AG632">
            <v>8619</v>
          </cell>
          <cell r="AH632">
            <v>1040</v>
          </cell>
          <cell r="AI632">
            <v>1710</v>
          </cell>
          <cell r="AJ632">
            <v>781.96</v>
          </cell>
          <cell r="AL632">
            <v>1518.75</v>
          </cell>
          <cell r="AP632">
            <v>5470.0649999999996</v>
          </cell>
          <cell r="AV632">
            <v>66.599999999999994</v>
          </cell>
          <cell r="AZ632">
            <v>253.8</v>
          </cell>
          <cell r="BE632">
            <v>32320</v>
          </cell>
          <cell r="BG632">
            <v>67.25</v>
          </cell>
          <cell r="BH632">
            <v>527.92999999999995</v>
          </cell>
          <cell r="BY632">
            <v>499.15</v>
          </cell>
          <cell r="CD632">
            <v>404.78</v>
          </cell>
          <cell r="CE632">
            <v>394.43200000000002</v>
          </cell>
          <cell r="CF632">
            <v>486.4</v>
          </cell>
          <cell r="CG632">
            <v>1390</v>
          </cell>
          <cell r="CH632">
            <v>1050</v>
          </cell>
          <cell r="CI632">
            <v>135</v>
          </cell>
          <cell r="CJ632">
            <v>320</v>
          </cell>
          <cell r="CK632">
            <v>934</v>
          </cell>
          <cell r="CM632">
            <v>213.51</v>
          </cell>
          <cell r="CN632">
            <v>21.61</v>
          </cell>
          <cell r="CO632" t="str">
            <v>#N/A N/A</v>
          </cell>
          <cell r="CQ632">
            <v>6</v>
          </cell>
          <cell r="CR632">
            <v>85</v>
          </cell>
          <cell r="CS632">
            <v>3301.25</v>
          </cell>
          <cell r="CU632">
            <v>1000</v>
          </cell>
          <cell r="CW632">
            <v>59.603658536585371</v>
          </cell>
          <cell r="CX632">
            <v>696.81150000000002</v>
          </cell>
          <cell r="CZ632">
            <v>333.32</v>
          </cell>
          <cell r="DA632">
            <v>3908</v>
          </cell>
          <cell r="DB632">
            <v>12</v>
          </cell>
          <cell r="DC632">
            <v>333.5</v>
          </cell>
          <cell r="DD632">
            <v>133.15</v>
          </cell>
        </row>
        <row r="633">
          <cell r="A633">
            <v>39346</v>
          </cell>
          <cell r="C633">
            <v>28</v>
          </cell>
          <cell r="D633" t="str">
            <v>#N/A N/A</v>
          </cell>
          <cell r="E633">
            <v>13.82</v>
          </cell>
          <cell r="L633">
            <v>1919.26</v>
          </cell>
          <cell r="M633">
            <v>2671.22</v>
          </cell>
          <cell r="N633">
            <v>6456.7</v>
          </cell>
          <cell r="O633">
            <v>4414</v>
          </cell>
          <cell r="Q633">
            <v>520</v>
          </cell>
          <cell r="R633">
            <v>376.5</v>
          </cell>
          <cell r="S633">
            <v>874</v>
          </cell>
          <cell r="T633">
            <v>979</v>
          </cell>
          <cell r="U633">
            <v>16312.61</v>
          </cell>
          <cell r="V633">
            <v>25843.78</v>
          </cell>
          <cell r="W633">
            <v>9105.2800000000007</v>
          </cell>
          <cell r="X633">
            <v>79.95</v>
          </cell>
          <cell r="Y633">
            <v>1240</v>
          </cell>
          <cell r="Z633">
            <v>1550</v>
          </cell>
          <cell r="AA633">
            <v>16564.23</v>
          </cell>
          <cell r="AB633">
            <v>6371.2</v>
          </cell>
          <cell r="AC633">
            <v>57798.789100000002</v>
          </cell>
          <cell r="AE633">
            <v>93.15</v>
          </cell>
          <cell r="AF633">
            <v>814.21</v>
          </cell>
          <cell r="AG633">
            <v>8956</v>
          </cell>
          <cell r="AH633">
            <v>1030</v>
          </cell>
          <cell r="AI633">
            <v>1720</v>
          </cell>
          <cell r="AJ633">
            <v>788.41</v>
          </cell>
          <cell r="AL633">
            <v>1525.75</v>
          </cell>
          <cell r="AP633">
            <v>5454.674</v>
          </cell>
          <cell r="AV633">
            <v>67.56</v>
          </cell>
          <cell r="AZ633">
            <v>251.3</v>
          </cell>
          <cell r="BE633">
            <v>31975</v>
          </cell>
          <cell r="BG633">
            <v>67.75</v>
          </cell>
          <cell r="BH633">
            <v>536.80999999999995</v>
          </cell>
          <cell r="BY633">
            <v>501.13</v>
          </cell>
          <cell r="CD633">
            <v>405.98</v>
          </cell>
          <cell r="CE633">
            <v>395.44799999999998</v>
          </cell>
          <cell r="CF633">
            <v>490.21</v>
          </cell>
          <cell r="CG633">
            <v>1390</v>
          </cell>
          <cell r="CH633">
            <v>1040</v>
          </cell>
          <cell r="CI633">
            <v>135</v>
          </cell>
          <cell r="CJ633">
            <v>320</v>
          </cell>
          <cell r="CK633">
            <v>944</v>
          </cell>
          <cell r="CM633">
            <v>211.45</v>
          </cell>
          <cell r="CN633">
            <v>21.61</v>
          </cell>
          <cell r="CO633" t="str">
            <v>#N/A N/A</v>
          </cell>
          <cell r="CQ633">
            <v>5.92</v>
          </cell>
          <cell r="CR633">
            <v>85</v>
          </cell>
          <cell r="CS633">
            <v>3434</v>
          </cell>
          <cell r="CU633">
            <v>1010</v>
          </cell>
          <cell r="CW633">
            <v>59.984756097560982</v>
          </cell>
          <cell r="CX633">
            <v>697.00950000000012</v>
          </cell>
          <cell r="CZ633">
            <v>333.15</v>
          </cell>
          <cell r="DA633">
            <v>3895.2</v>
          </cell>
          <cell r="DB633">
            <v>12.02</v>
          </cell>
          <cell r="DC633">
            <v>333.5</v>
          </cell>
          <cell r="DD633">
            <v>129.9</v>
          </cell>
        </row>
        <row r="634">
          <cell r="A634">
            <v>39347</v>
          </cell>
          <cell r="C634">
            <v>28</v>
          </cell>
          <cell r="D634" t="str">
            <v>#N/A N/A</v>
          </cell>
          <cell r="E634">
            <v>13.82</v>
          </cell>
          <cell r="L634">
            <v>1919.26</v>
          </cell>
          <cell r="M634">
            <v>2671.22</v>
          </cell>
          <cell r="N634">
            <v>6456.7</v>
          </cell>
          <cell r="O634">
            <v>4414</v>
          </cell>
          <cell r="Q634">
            <v>520</v>
          </cell>
          <cell r="R634">
            <v>376.5</v>
          </cell>
          <cell r="S634">
            <v>874</v>
          </cell>
          <cell r="T634">
            <v>979</v>
          </cell>
          <cell r="U634">
            <v>16312.61</v>
          </cell>
          <cell r="V634">
            <v>25843.78</v>
          </cell>
          <cell r="W634">
            <v>9105.2800000000007</v>
          </cell>
          <cell r="X634">
            <v>79.95</v>
          </cell>
          <cell r="Y634">
            <v>1240</v>
          </cell>
          <cell r="Z634">
            <v>1550</v>
          </cell>
          <cell r="AA634">
            <v>16564.23</v>
          </cell>
          <cell r="AB634">
            <v>6371.2</v>
          </cell>
          <cell r="AC634">
            <v>57798.789100000002</v>
          </cell>
          <cell r="AE634">
            <v>93.15</v>
          </cell>
          <cell r="AF634">
            <v>814.21</v>
          </cell>
          <cell r="AG634">
            <v>8956</v>
          </cell>
          <cell r="AH634">
            <v>1030</v>
          </cell>
          <cell r="AI634">
            <v>1720</v>
          </cell>
          <cell r="AJ634">
            <v>788.41</v>
          </cell>
          <cell r="AL634">
            <v>1525.75</v>
          </cell>
          <cell r="AP634">
            <v>5454.674</v>
          </cell>
          <cell r="AV634">
            <v>67.56</v>
          </cell>
          <cell r="AZ634">
            <v>251.3</v>
          </cell>
          <cell r="BE634">
            <v>31975</v>
          </cell>
          <cell r="BG634">
            <v>67.75</v>
          </cell>
          <cell r="BH634">
            <v>536.80999999999995</v>
          </cell>
          <cell r="BY634">
            <v>501.13</v>
          </cell>
          <cell r="CD634">
            <v>405.98</v>
          </cell>
          <cell r="CE634">
            <v>395.44799999999998</v>
          </cell>
          <cell r="CF634">
            <v>490.21</v>
          </cell>
          <cell r="CG634">
            <v>1390</v>
          </cell>
          <cell r="CH634">
            <v>1040</v>
          </cell>
          <cell r="CI634">
            <v>135</v>
          </cell>
          <cell r="CJ634">
            <v>320</v>
          </cell>
          <cell r="CK634">
            <v>944</v>
          </cell>
          <cell r="CM634">
            <v>211.45</v>
          </cell>
          <cell r="CN634">
            <v>21.61</v>
          </cell>
          <cell r="CO634" t="str">
            <v>#N/A N/A</v>
          </cell>
          <cell r="CQ634">
            <v>5.92</v>
          </cell>
          <cell r="CR634">
            <v>85</v>
          </cell>
          <cell r="CS634">
            <v>3434</v>
          </cell>
          <cell r="CU634">
            <v>1010</v>
          </cell>
          <cell r="CW634">
            <v>59.984756097560982</v>
          </cell>
          <cell r="CX634">
            <v>697.00950000000012</v>
          </cell>
          <cell r="CZ634">
            <v>333.15</v>
          </cell>
          <cell r="DA634">
            <v>3895.2</v>
          </cell>
          <cell r="DB634">
            <v>12.02</v>
          </cell>
          <cell r="DC634">
            <v>333.5</v>
          </cell>
          <cell r="DD634">
            <v>129.9</v>
          </cell>
        </row>
        <row r="635">
          <cell r="A635">
            <v>39348</v>
          </cell>
          <cell r="C635">
            <v>28</v>
          </cell>
          <cell r="D635" t="str">
            <v>#N/A N/A</v>
          </cell>
          <cell r="E635">
            <v>13.82</v>
          </cell>
          <cell r="L635">
            <v>1919.26</v>
          </cell>
          <cell r="M635">
            <v>2671.22</v>
          </cell>
          <cell r="N635">
            <v>6456.7</v>
          </cell>
          <cell r="O635">
            <v>4414</v>
          </cell>
          <cell r="Q635">
            <v>520</v>
          </cell>
          <cell r="R635">
            <v>376.5</v>
          </cell>
          <cell r="S635">
            <v>874</v>
          </cell>
          <cell r="T635">
            <v>979</v>
          </cell>
          <cell r="U635">
            <v>16312.61</v>
          </cell>
          <cell r="V635">
            <v>25843.78</v>
          </cell>
          <cell r="W635">
            <v>9105.2800000000007</v>
          </cell>
          <cell r="X635">
            <v>79.95</v>
          </cell>
          <cell r="Y635">
            <v>1240</v>
          </cell>
          <cell r="Z635">
            <v>1550</v>
          </cell>
          <cell r="AA635">
            <v>16564.23</v>
          </cell>
          <cell r="AB635">
            <v>6371.2</v>
          </cell>
          <cell r="AC635">
            <v>57798.789100000002</v>
          </cell>
          <cell r="AE635">
            <v>93.15</v>
          </cell>
          <cell r="AF635">
            <v>814.21</v>
          </cell>
          <cell r="AG635">
            <v>8956</v>
          </cell>
          <cell r="AH635">
            <v>1030</v>
          </cell>
          <cell r="AI635">
            <v>1720</v>
          </cell>
          <cell r="AJ635">
            <v>788.41</v>
          </cell>
          <cell r="AL635">
            <v>1525.75</v>
          </cell>
          <cell r="AP635">
            <v>5454.674</v>
          </cell>
          <cell r="AV635">
            <v>67.56</v>
          </cell>
          <cell r="AZ635">
            <v>251.3</v>
          </cell>
          <cell r="BE635">
            <v>31975</v>
          </cell>
          <cell r="BG635">
            <v>67.75</v>
          </cell>
          <cell r="BH635">
            <v>536.80999999999995</v>
          </cell>
          <cell r="BY635">
            <v>501.13</v>
          </cell>
          <cell r="CD635">
            <v>405.98</v>
          </cell>
          <cell r="CE635">
            <v>395.44799999999998</v>
          </cell>
          <cell r="CF635">
            <v>490.21</v>
          </cell>
          <cell r="CG635">
            <v>1390</v>
          </cell>
          <cell r="CH635">
            <v>1040</v>
          </cell>
          <cell r="CI635">
            <v>135</v>
          </cell>
          <cell r="CJ635">
            <v>320</v>
          </cell>
          <cell r="CK635">
            <v>944</v>
          </cell>
          <cell r="CM635">
            <v>211.45</v>
          </cell>
          <cell r="CN635">
            <v>21.61</v>
          </cell>
          <cell r="CO635" t="str">
            <v>#N/A N/A</v>
          </cell>
          <cell r="CQ635">
            <v>5.92</v>
          </cell>
          <cell r="CR635">
            <v>85</v>
          </cell>
          <cell r="CS635">
            <v>3434</v>
          </cell>
          <cell r="CU635">
            <v>1010</v>
          </cell>
          <cell r="CW635">
            <v>59.984756097560982</v>
          </cell>
          <cell r="CX635">
            <v>697.00950000000012</v>
          </cell>
          <cell r="CZ635">
            <v>333.15</v>
          </cell>
          <cell r="DA635">
            <v>3895.2</v>
          </cell>
          <cell r="DB635">
            <v>12.02</v>
          </cell>
          <cell r="DC635">
            <v>333.5</v>
          </cell>
          <cell r="DD635">
            <v>129.9</v>
          </cell>
        </row>
        <row r="636">
          <cell r="A636">
            <v>39349</v>
          </cell>
          <cell r="C636">
            <v>28</v>
          </cell>
          <cell r="D636" t="str">
            <v>#N/A N/A</v>
          </cell>
          <cell r="E636">
            <v>13.82</v>
          </cell>
          <cell r="L636">
            <v>1919.26</v>
          </cell>
          <cell r="M636">
            <v>2667.95</v>
          </cell>
          <cell r="N636">
            <v>6465.9</v>
          </cell>
          <cell r="O636">
            <v>4428</v>
          </cell>
          <cell r="Q636">
            <v>520</v>
          </cell>
          <cell r="R636">
            <v>373.5</v>
          </cell>
          <cell r="S636">
            <v>877.75</v>
          </cell>
          <cell r="T636">
            <v>978.75</v>
          </cell>
          <cell r="U636">
            <v>16312.61</v>
          </cell>
          <cell r="V636">
            <v>26551.94</v>
          </cell>
          <cell r="W636">
            <v>9105.2800000000007</v>
          </cell>
          <cell r="X636">
            <v>78.75</v>
          </cell>
          <cell r="Y636">
            <v>1240</v>
          </cell>
          <cell r="Z636">
            <v>1550</v>
          </cell>
          <cell r="AA636">
            <v>16845.830000000002</v>
          </cell>
          <cell r="AB636">
            <v>6461.1</v>
          </cell>
          <cell r="AC636">
            <v>58719.371099999997</v>
          </cell>
          <cell r="AE636">
            <v>92.6</v>
          </cell>
          <cell r="AF636">
            <v>814.21</v>
          </cell>
          <cell r="AG636">
            <v>9082</v>
          </cell>
          <cell r="AH636">
            <v>1030</v>
          </cell>
          <cell r="AI636">
            <v>1720</v>
          </cell>
          <cell r="AJ636">
            <v>788.41</v>
          </cell>
          <cell r="AL636">
            <v>1517.73</v>
          </cell>
          <cell r="AP636">
            <v>5485.0129999999999</v>
          </cell>
          <cell r="AV636">
            <v>68.099999999999994</v>
          </cell>
          <cell r="AZ636">
            <v>251.3</v>
          </cell>
          <cell r="BE636">
            <v>32785</v>
          </cell>
          <cell r="BG636">
            <v>67.75</v>
          </cell>
          <cell r="BH636">
            <v>547.64</v>
          </cell>
          <cell r="BY636">
            <v>495.28</v>
          </cell>
          <cell r="CD636">
            <v>405.94</v>
          </cell>
          <cell r="CE636">
            <v>394.892</v>
          </cell>
          <cell r="CF636">
            <v>497.69</v>
          </cell>
          <cell r="CG636">
            <v>1390</v>
          </cell>
          <cell r="CH636">
            <v>1040</v>
          </cell>
          <cell r="CI636">
            <v>135</v>
          </cell>
          <cell r="CJ636">
            <v>320</v>
          </cell>
          <cell r="CK636">
            <v>944</v>
          </cell>
          <cell r="CM636">
            <v>208.34</v>
          </cell>
          <cell r="CN636">
            <v>21.8</v>
          </cell>
          <cell r="CO636" t="str">
            <v>#N/A N/A</v>
          </cell>
          <cell r="CQ636">
            <v>6.13</v>
          </cell>
          <cell r="CR636">
            <v>85</v>
          </cell>
          <cell r="CS636">
            <v>3547</v>
          </cell>
          <cell r="CU636">
            <v>1010</v>
          </cell>
          <cell r="CW636">
            <v>60.594512195121958</v>
          </cell>
          <cell r="CX636">
            <v>697.30650000000003</v>
          </cell>
          <cell r="CZ636">
            <v>333.75</v>
          </cell>
          <cell r="DA636">
            <v>3959.8</v>
          </cell>
          <cell r="DB636">
            <v>11.68</v>
          </cell>
          <cell r="DC636">
            <v>333.5</v>
          </cell>
          <cell r="DD636">
            <v>132.4</v>
          </cell>
        </row>
        <row r="637">
          <cell r="A637">
            <v>39350</v>
          </cell>
          <cell r="C637">
            <v>28</v>
          </cell>
          <cell r="D637" t="str">
            <v>#N/A N/A</v>
          </cell>
          <cell r="E637">
            <v>13.82</v>
          </cell>
          <cell r="L637">
            <v>1919.26</v>
          </cell>
          <cell r="M637">
            <v>2683.45</v>
          </cell>
          <cell r="N637">
            <v>6396.9</v>
          </cell>
          <cell r="O637">
            <v>4406</v>
          </cell>
          <cell r="Q637">
            <v>520</v>
          </cell>
          <cell r="R637">
            <v>371.75</v>
          </cell>
          <cell r="S637">
            <v>887.25</v>
          </cell>
          <cell r="T637">
            <v>973</v>
          </cell>
          <cell r="U637">
            <v>16401.73</v>
          </cell>
          <cell r="V637">
            <v>26430.29</v>
          </cell>
          <cell r="W637">
            <v>9105.2800000000007</v>
          </cell>
          <cell r="X637">
            <v>77.849999999999994</v>
          </cell>
          <cell r="Y637">
            <v>1240</v>
          </cell>
          <cell r="Z637">
            <v>1550</v>
          </cell>
          <cell r="AA637">
            <v>16899.54</v>
          </cell>
          <cell r="AB637">
            <v>6490.9</v>
          </cell>
          <cell r="AC637">
            <v>58857.781300000002</v>
          </cell>
          <cell r="AE637">
            <v>91.85</v>
          </cell>
          <cell r="AF637">
            <v>820.07</v>
          </cell>
          <cell r="AG637">
            <v>9215</v>
          </cell>
          <cell r="AH637">
            <v>1030</v>
          </cell>
          <cell r="AI637">
            <v>1720</v>
          </cell>
          <cell r="AJ637">
            <v>788.41</v>
          </cell>
          <cell r="AL637">
            <v>1517.21</v>
          </cell>
          <cell r="AP637">
            <v>5425.88</v>
          </cell>
          <cell r="AV637">
            <v>67.38</v>
          </cell>
          <cell r="AZ637">
            <v>254.5</v>
          </cell>
          <cell r="BE637">
            <v>32255</v>
          </cell>
          <cell r="BG637">
            <v>67.75</v>
          </cell>
          <cell r="BH637">
            <v>533.66</v>
          </cell>
          <cell r="BY637">
            <v>497.2</v>
          </cell>
          <cell r="CD637">
            <v>405.31</v>
          </cell>
          <cell r="CE637">
            <v>394.38099999999997</v>
          </cell>
          <cell r="CF637">
            <v>496.98</v>
          </cell>
          <cell r="CG637">
            <v>1390</v>
          </cell>
          <cell r="CH637">
            <v>1040</v>
          </cell>
          <cell r="CI637">
            <v>135</v>
          </cell>
          <cell r="CJ637">
            <v>320</v>
          </cell>
          <cell r="CK637">
            <v>941</v>
          </cell>
          <cell r="CM637">
            <v>203.79</v>
          </cell>
          <cell r="CN637">
            <v>21.49</v>
          </cell>
          <cell r="CO637" t="str">
            <v>#N/A N/A</v>
          </cell>
          <cell r="CQ637">
            <v>6.52</v>
          </cell>
          <cell r="CR637">
            <v>85</v>
          </cell>
          <cell r="CS637">
            <v>3472</v>
          </cell>
          <cell r="CU637">
            <v>1010</v>
          </cell>
          <cell r="CW637">
            <v>60.746951219512198</v>
          </cell>
          <cell r="CX637">
            <v>700.12800000000004</v>
          </cell>
          <cell r="CZ637">
            <v>331.69</v>
          </cell>
          <cell r="DA637">
            <v>3952</v>
          </cell>
          <cell r="DB637">
            <v>12</v>
          </cell>
          <cell r="DC637">
            <v>333.5</v>
          </cell>
          <cell r="DD637">
            <v>133.1</v>
          </cell>
        </row>
        <row r="638">
          <cell r="A638">
            <v>39351</v>
          </cell>
          <cell r="C638">
            <v>28</v>
          </cell>
          <cell r="D638" t="str">
            <v>#N/A N/A</v>
          </cell>
          <cell r="E638">
            <v>13.67</v>
          </cell>
          <cell r="L638">
            <v>1919.26</v>
          </cell>
          <cell r="M638">
            <v>2699.03</v>
          </cell>
          <cell r="N638">
            <v>6433</v>
          </cell>
          <cell r="O638">
            <v>4401</v>
          </cell>
          <cell r="Q638">
            <v>520</v>
          </cell>
          <cell r="R638">
            <v>375</v>
          </cell>
          <cell r="S638">
            <v>917.25</v>
          </cell>
          <cell r="T638">
            <v>990.75</v>
          </cell>
          <cell r="U638">
            <v>16435.740000000002</v>
          </cell>
          <cell r="V638">
            <v>26430.29</v>
          </cell>
          <cell r="W638">
            <v>9257.4699999999993</v>
          </cell>
          <cell r="X638">
            <v>78.25</v>
          </cell>
          <cell r="Y638">
            <v>1240</v>
          </cell>
          <cell r="Z638">
            <v>1550</v>
          </cell>
          <cell r="AA638">
            <v>16921.39</v>
          </cell>
          <cell r="AB638">
            <v>6491.4</v>
          </cell>
          <cell r="AC638">
            <v>59714.828099999999</v>
          </cell>
          <cell r="AE638">
            <v>91.4</v>
          </cell>
          <cell r="AF638">
            <v>820.07</v>
          </cell>
          <cell r="AG638">
            <v>9259</v>
          </cell>
          <cell r="AH638">
            <v>1030</v>
          </cell>
          <cell r="AI638">
            <v>1720</v>
          </cell>
          <cell r="AJ638">
            <v>788.41</v>
          </cell>
          <cell r="AL638">
            <v>1525.42</v>
          </cell>
          <cell r="AP638">
            <v>5338.52</v>
          </cell>
          <cell r="AV638">
            <v>68.319999999999993</v>
          </cell>
          <cell r="AZ638">
            <v>256.5</v>
          </cell>
          <cell r="BE638">
            <v>32190</v>
          </cell>
          <cell r="BG638">
            <v>67.75</v>
          </cell>
          <cell r="BH638">
            <v>528.54</v>
          </cell>
          <cell r="BY638">
            <v>495.66</v>
          </cell>
          <cell r="CD638">
            <v>407.25</v>
          </cell>
          <cell r="CE638">
            <v>396.05099999999999</v>
          </cell>
          <cell r="CF638">
            <v>499.32</v>
          </cell>
          <cell r="CG638">
            <v>1390</v>
          </cell>
          <cell r="CH638">
            <v>1040</v>
          </cell>
          <cell r="CI638">
            <v>135</v>
          </cell>
          <cell r="CJ638">
            <v>320</v>
          </cell>
          <cell r="CK638">
            <v>944</v>
          </cell>
          <cell r="CM638">
            <v>202.74</v>
          </cell>
          <cell r="CN638">
            <v>21.32</v>
          </cell>
          <cell r="CO638" t="str">
            <v>#N/A N/A</v>
          </cell>
          <cell r="CQ638">
            <v>6.47</v>
          </cell>
          <cell r="CR638">
            <v>85</v>
          </cell>
          <cell r="CS638">
            <v>3527</v>
          </cell>
          <cell r="CU638">
            <v>1010</v>
          </cell>
          <cell r="CW638">
            <v>60.594512195121958</v>
          </cell>
          <cell r="CX638">
            <v>698.98950000000002</v>
          </cell>
          <cell r="CZ638">
            <v>331.92</v>
          </cell>
          <cell r="DA638">
            <v>3952.5</v>
          </cell>
          <cell r="DB638">
            <v>11.73</v>
          </cell>
          <cell r="DC638">
            <v>333.5</v>
          </cell>
          <cell r="DD638">
            <v>128.6</v>
          </cell>
        </row>
        <row r="639">
          <cell r="A639">
            <v>39352</v>
          </cell>
          <cell r="C639">
            <v>28</v>
          </cell>
          <cell r="D639" t="str">
            <v>#N/A N/A</v>
          </cell>
          <cell r="E639">
            <v>13.54</v>
          </cell>
          <cell r="L639">
            <v>1945.28</v>
          </cell>
          <cell r="M639">
            <v>2709.59</v>
          </cell>
          <cell r="N639">
            <v>6486.4</v>
          </cell>
          <cell r="O639">
            <v>4389</v>
          </cell>
          <cell r="Q639">
            <v>520</v>
          </cell>
          <cell r="R639">
            <v>386.75</v>
          </cell>
          <cell r="S639">
            <v>933</v>
          </cell>
          <cell r="T639">
            <v>1009</v>
          </cell>
          <cell r="U639">
            <v>16832.22</v>
          </cell>
          <cell r="V639">
            <v>27065.15</v>
          </cell>
          <cell r="W639">
            <v>9413.65</v>
          </cell>
          <cell r="X639">
            <v>77.75</v>
          </cell>
          <cell r="Y639">
            <v>1240</v>
          </cell>
          <cell r="Z639">
            <v>1550</v>
          </cell>
          <cell r="AA639">
            <v>17150.560000000001</v>
          </cell>
          <cell r="AB639">
            <v>6548</v>
          </cell>
          <cell r="AC639">
            <v>61052.441400000003</v>
          </cell>
          <cell r="AE639">
            <v>91.25</v>
          </cell>
          <cell r="AF639">
            <v>820.07</v>
          </cell>
          <cell r="AG639">
            <v>9370</v>
          </cell>
          <cell r="AH639">
            <v>1030</v>
          </cell>
          <cell r="AI639">
            <v>1720</v>
          </cell>
          <cell r="AJ639">
            <v>792.13</v>
          </cell>
          <cell r="AL639">
            <v>1531.38</v>
          </cell>
          <cell r="AP639">
            <v>5409.4030000000002</v>
          </cell>
          <cell r="AV639">
            <v>68.900000000000006</v>
          </cell>
          <cell r="AZ639">
            <v>255</v>
          </cell>
          <cell r="BE639">
            <v>31560</v>
          </cell>
          <cell r="BG639">
            <v>67.75</v>
          </cell>
          <cell r="BH639">
            <v>543.34</v>
          </cell>
          <cell r="BY639">
            <v>498.89</v>
          </cell>
          <cell r="CD639">
            <v>411.34</v>
          </cell>
          <cell r="CE639">
            <v>399.661</v>
          </cell>
          <cell r="CF639">
            <v>509.69</v>
          </cell>
          <cell r="CG639">
            <v>1390</v>
          </cell>
          <cell r="CH639">
            <v>1040</v>
          </cell>
          <cell r="CI639">
            <v>135</v>
          </cell>
          <cell r="CJ639">
            <v>320</v>
          </cell>
          <cell r="CK639">
            <v>932</v>
          </cell>
          <cell r="CM639">
            <v>209.39</v>
          </cell>
          <cell r="CN639">
            <v>21.35</v>
          </cell>
          <cell r="CO639" t="str">
            <v>#N/A N/A</v>
          </cell>
          <cell r="CQ639">
            <v>6.36</v>
          </cell>
          <cell r="CR639">
            <v>85</v>
          </cell>
          <cell r="CS639">
            <v>3498</v>
          </cell>
          <cell r="CU639">
            <v>1010</v>
          </cell>
          <cell r="CW639">
            <v>60.137195121951223</v>
          </cell>
          <cell r="CX639">
            <v>700.27650000000006</v>
          </cell>
          <cell r="CZ639">
            <v>336.71</v>
          </cell>
          <cell r="DA639">
            <v>3981.4</v>
          </cell>
          <cell r="DB639">
            <v>12.1</v>
          </cell>
          <cell r="DC639">
            <v>333.5</v>
          </cell>
          <cell r="DD639">
            <v>128.80000000000001</v>
          </cell>
        </row>
        <row r="640">
          <cell r="A640">
            <v>39353</v>
          </cell>
          <cell r="C640">
            <v>28</v>
          </cell>
          <cell r="D640" t="str">
            <v>#N/A N/A</v>
          </cell>
          <cell r="E640">
            <v>13.34</v>
          </cell>
          <cell r="L640">
            <v>1946.48</v>
          </cell>
          <cell r="M640">
            <v>2701.5</v>
          </cell>
          <cell r="N640">
            <v>6466.8</v>
          </cell>
          <cell r="O640">
            <v>4382</v>
          </cell>
          <cell r="Q640">
            <v>520</v>
          </cell>
          <cell r="R640">
            <v>373</v>
          </cell>
          <cell r="S640">
            <v>939</v>
          </cell>
          <cell r="T640">
            <v>991.25</v>
          </cell>
          <cell r="U640">
            <v>16785.689999999999</v>
          </cell>
          <cell r="V640">
            <v>27142.47</v>
          </cell>
          <cell r="W640">
            <v>9411.9500000000007</v>
          </cell>
          <cell r="X640">
            <v>79.599999999999994</v>
          </cell>
          <cell r="Y640">
            <v>1235</v>
          </cell>
          <cell r="Z640">
            <v>1570</v>
          </cell>
          <cell r="AA640">
            <v>17291.099999999999</v>
          </cell>
          <cell r="AB640">
            <v>6580.9</v>
          </cell>
          <cell r="AC640">
            <v>60465.058599999997</v>
          </cell>
          <cell r="AE640">
            <v>93.35</v>
          </cell>
          <cell r="AF640">
            <v>820.07</v>
          </cell>
          <cell r="AG640">
            <v>9474</v>
          </cell>
          <cell r="AH640">
            <v>1020</v>
          </cell>
          <cell r="AI640">
            <v>1730</v>
          </cell>
          <cell r="AJ640">
            <v>794.56</v>
          </cell>
          <cell r="AL640">
            <v>1526.75</v>
          </cell>
          <cell r="AP640">
            <v>5552.3010000000004</v>
          </cell>
          <cell r="AV640">
            <v>68.06</v>
          </cell>
          <cell r="AZ640">
            <v>255.8</v>
          </cell>
          <cell r="BE640">
            <v>30235</v>
          </cell>
          <cell r="BG640">
            <v>69.849999999999994</v>
          </cell>
          <cell r="BH640">
            <v>558.11</v>
          </cell>
          <cell r="BY640">
            <v>500.09</v>
          </cell>
          <cell r="CD640">
            <v>411.92</v>
          </cell>
          <cell r="CE640">
            <v>400.21800000000002</v>
          </cell>
          <cell r="CF640">
            <v>513.35</v>
          </cell>
          <cell r="CG640">
            <v>1395</v>
          </cell>
          <cell r="CH640">
            <v>1040</v>
          </cell>
          <cell r="CI640">
            <v>135</v>
          </cell>
          <cell r="CJ640">
            <v>320</v>
          </cell>
          <cell r="CK640">
            <v>920</v>
          </cell>
          <cell r="CM640">
            <v>206.83</v>
          </cell>
          <cell r="CN640">
            <v>21.76</v>
          </cell>
          <cell r="CO640" t="str">
            <v>#N/A N/A</v>
          </cell>
          <cell r="CQ640">
            <v>6.14</v>
          </cell>
          <cell r="CR640">
            <v>85</v>
          </cell>
          <cell r="CS640">
            <v>3448</v>
          </cell>
          <cell r="CU640">
            <v>1045</v>
          </cell>
          <cell r="CW640">
            <v>61.356707317073173</v>
          </cell>
          <cell r="CX640">
            <v>704.63250000000005</v>
          </cell>
          <cell r="CZ640">
            <v>333.67</v>
          </cell>
          <cell r="DA640">
            <v>3961.5</v>
          </cell>
          <cell r="DB640">
            <v>11.83</v>
          </cell>
          <cell r="DC640">
            <v>333.5</v>
          </cell>
          <cell r="DD640">
            <v>128.65</v>
          </cell>
        </row>
        <row r="641">
          <cell r="A641">
            <v>39354</v>
          </cell>
          <cell r="C641">
            <v>28</v>
          </cell>
          <cell r="D641" t="str">
            <v>#N/A N/A</v>
          </cell>
          <cell r="E641">
            <v>13.34</v>
          </cell>
          <cell r="L641">
            <v>1946.48</v>
          </cell>
          <cell r="M641">
            <v>2701.5</v>
          </cell>
          <cell r="N641">
            <v>6466.8</v>
          </cell>
          <cell r="O641">
            <v>4382</v>
          </cell>
          <cell r="Q641">
            <v>520</v>
          </cell>
          <cell r="R641">
            <v>373</v>
          </cell>
          <cell r="S641">
            <v>939</v>
          </cell>
          <cell r="T641">
            <v>991.25</v>
          </cell>
          <cell r="U641">
            <v>16785.689999999999</v>
          </cell>
          <cell r="V641">
            <v>27142.47</v>
          </cell>
          <cell r="W641">
            <v>9476.52</v>
          </cell>
          <cell r="X641">
            <v>79.599999999999994</v>
          </cell>
          <cell r="Y641">
            <v>1235</v>
          </cell>
          <cell r="Z641">
            <v>1570</v>
          </cell>
          <cell r="AA641">
            <v>17291.099999999999</v>
          </cell>
          <cell r="AB641">
            <v>6580.9</v>
          </cell>
          <cell r="AC641">
            <v>60465.058599999997</v>
          </cell>
          <cell r="AE641">
            <v>93.35</v>
          </cell>
          <cell r="AF641">
            <v>820.07</v>
          </cell>
          <cell r="AG641">
            <v>9474</v>
          </cell>
          <cell r="AH641">
            <v>1020</v>
          </cell>
          <cell r="AI641">
            <v>1730</v>
          </cell>
          <cell r="AJ641">
            <v>794.56</v>
          </cell>
          <cell r="AL641">
            <v>1526.75</v>
          </cell>
          <cell r="AP641">
            <v>5552.3010000000004</v>
          </cell>
          <cell r="AV641">
            <v>68.06</v>
          </cell>
          <cell r="AZ641">
            <v>255.8</v>
          </cell>
          <cell r="BE641">
            <v>30235</v>
          </cell>
          <cell r="BG641">
            <v>69.849999999999994</v>
          </cell>
          <cell r="BH641">
            <v>558.11</v>
          </cell>
          <cell r="BY641">
            <v>500.09</v>
          </cell>
          <cell r="CD641">
            <v>411.92</v>
          </cell>
          <cell r="CE641">
            <v>400.21800000000002</v>
          </cell>
          <cell r="CF641">
            <v>513.35</v>
          </cell>
          <cell r="CG641">
            <v>1395</v>
          </cell>
          <cell r="CH641">
            <v>1040</v>
          </cell>
          <cell r="CI641">
            <v>135</v>
          </cell>
          <cell r="CJ641">
            <v>320</v>
          </cell>
          <cell r="CK641">
            <v>920</v>
          </cell>
          <cell r="CM641">
            <v>206.83</v>
          </cell>
          <cell r="CN641">
            <v>21.76</v>
          </cell>
          <cell r="CO641" t="str">
            <v>#N/A N/A</v>
          </cell>
          <cell r="CQ641">
            <v>6.14</v>
          </cell>
          <cell r="CR641">
            <v>85</v>
          </cell>
          <cell r="CS641">
            <v>3448</v>
          </cell>
          <cell r="CU641">
            <v>1045</v>
          </cell>
          <cell r="CW641">
            <v>61.356707317073173</v>
          </cell>
          <cell r="CX641">
            <v>704.63250000000005</v>
          </cell>
          <cell r="CZ641">
            <v>333.67</v>
          </cell>
          <cell r="DA641">
            <v>3961.5</v>
          </cell>
          <cell r="DB641">
            <v>11.83</v>
          </cell>
          <cell r="DC641">
            <v>333.5</v>
          </cell>
          <cell r="DD641">
            <v>128.65</v>
          </cell>
        </row>
        <row r="642">
          <cell r="A642">
            <v>39355</v>
          </cell>
          <cell r="C642">
            <v>28</v>
          </cell>
          <cell r="D642" t="str">
            <v>#N/A N/A</v>
          </cell>
          <cell r="E642">
            <v>13.34</v>
          </cell>
          <cell r="L642">
            <v>1946.48</v>
          </cell>
          <cell r="M642">
            <v>2701.5</v>
          </cell>
          <cell r="N642">
            <v>6466.8</v>
          </cell>
          <cell r="O642">
            <v>4382</v>
          </cell>
          <cell r="Q642">
            <v>520</v>
          </cell>
          <cell r="R642">
            <v>373</v>
          </cell>
          <cell r="S642">
            <v>939</v>
          </cell>
          <cell r="T642">
            <v>991.25</v>
          </cell>
          <cell r="U642">
            <v>16785.689999999999</v>
          </cell>
          <cell r="V642">
            <v>27142.47</v>
          </cell>
          <cell r="W642">
            <v>9476.52</v>
          </cell>
          <cell r="X642">
            <v>79.599999999999994</v>
          </cell>
          <cell r="Y642">
            <v>1235</v>
          </cell>
          <cell r="Z642">
            <v>1570</v>
          </cell>
          <cell r="AA642">
            <v>17291.099999999999</v>
          </cell>
          <cell r="AB642">
            <v>6580.9</v>
          </cell>
          <cell r="AC642">
            <v>60465.058599999997</v>
          </cell>
          <cell r="AE642">
            <v>93.35</v>
          </cell>
          <cell r="AF642">
            <v>820.07</v>
          </cell>
          <cell r="AG642">
            <v>9474</v>
          </cell>
          <cell r="AH642">
            <v>1020</v>
          </cell>
          <cell r="AI642">
            <v>1730</v>
          </cell>
          <cell r="AJ642">
            <v>794.56</v>
          </cell>
          <cell r="AL642">
            <v>1526.75</v>
          </cell>
          <cell r="AP642">
            <v>5552.3010000000004</v>
          </cell>
          <cell r="AV642">
            <v>68.06</v>
          </cell>
          <cell r="AZ642">
            <v>255.8</v>
          </cell>
          <cell r="BE642">
            <v>30235</v>
          </cell>
          <cell r="BG642">
            <v>69.849999999999994</v>
          </cell>
          <cell r="BH642">
            <v>558.11</v>
          </cell>
          <cell r="BY642">
            <v>500.09</v>
          </cell>
          <cell r="CD642">
            <v>411.92</v>
          </cell>
          <cell r="CE642">
            <v>400.21800000000002</v>
          </cell>
          <cell r="CF642">
            <v>513.35</v>
          </cell>
          <cell r="CG642">
            <v>1395</v>
          </cell>
          <cell r="CH642">
            <v>1040</v>
          </cell>
          <cell r="CI642">
            <v>135</v>
          </cell>
          <cell r="CJ642">
            <v>320</v>
          </cell>
          <cell r="CK642">
            <v>920</v>
          </cell>
          <cell r="CM642">
            <v>206.83</v>
          </cell>
          <cell r="CN642">
            <v>21.76</v>
          </cell>
          <cell r="CO642" t="str">
            <v>#N/A N/A</v>
          </cell>
          <cell r="CQ642">
            <v>6.14</v>
          </cell>
          <cell r="CR642">
            <v>85</v>
          </cell>
          <cell r="CS642">
            <v>3448</v>
          </cell>
          <cell r="CU642">
            <v>1045</v>
          </cell>
          <cell r="CW642">
            <v>61.356707317073173</v>
          </cell>
          <cell r="CX642">
            <v>704.63250000000005</v>
          </cell>
          <cell r="CZ642">
            <v>333.67</v>
          </cell>
          <cell r="DA642">
            <v>3961.5</v>
          </cell>
          <cell r="DB642">
            <v>11.83</v>
          </cell>
          <cell r="DC642">
            <v>333.5</v>
          </cell>
          <cell r="DD642">
            <v>128.65</v>
          </cell>
        </row>
        <row r="643">
          <cell r="A643">
            <v>39356</v>
          </cell>
          <cell r="C643">
            <v>28</v>
          </cell>
          <cell r="D643" t="str">
            <v>#N/A N/A</v>
          </cell>
          <cell r="E643">
            <v>13.4</v>
          </cell>
          <cell r="L643">
            <v>1962.67</v>
          </cell>
          <cell r="M643">
            <v>2740.99</v>
          </cell>
          <cell r="N643">
            <v>6506.2</v>
          </cell>
          <cell r="O643">
            <v>4382</v>
          </cell>
          <cell r="Q643">
            <v>520</v>
          </cell>
          <cell r="R643">
            <v>368.75</v>
          </cell>
          <cell r="S643">
            <v>952.5</v>
          </cell>
          <cell r="T643">
            <v>991.5</v>
          </cell>
          <cell r="U643">
            <v>16845.96</v>
          </cell>
          <cell r="V643">
            <v>27142.47</v>
          </cell>
          <cell r="W643">
            <v>9488.5</v>
          </cell>
          <cell r="X643">
            <v>78.650000000000006</v>
          </cell>
          <cell r="Y643">
            <v>1235</v>
          </cell>
          <cell r="Z643">
            <v>1570</v>
          </cell>
          <cell r="AA643">
            <v>17328.62</v>
          </cell>
          <cell r="AB643">
            <v>6579.8</v>
          </cell>
          <cell r="AC643">
            <v>62340.339800000002</v>
          </cell>
          <cell r="AE643">
            <v>91.7</v>
          </cell>
          <cell r="AF643">
            <v>820.07</v>
          </cell>
          <cell r="AG643">
            <v>9537</v>
          </cell>
          <cell r="AH643">
            <v>1020</v>
          </cell>
          <cell r="AI643">
            <v>1730</v>
          </cell>
          <cell r="AJ643">
            <v>803.12</v>
          </cell>
          <cell r="AL643">
            <v>1547.04</v>
          </cell>
          <cell r="AP643">
            <v>5552.3010000000004</v>
          </cell>
          <cell r="AV643">
            <v>70.819999999999993</v>
          </cell>
          <cell r="AZ643">
            <v>252.5</v>
          </cell>
          <cell r="BE643">
            <v>30090</v>
          </cell>
          <cell r="BG643">
            <v>69.849999999999994</v>
          </cell>
          <cell r="BH643">
            <v>559.55999999999995</v>
          </cell>
          <cell r="BY643">
            <v>506.02</v>
          </cell>
          <cell r="CD643">
            <v>415.88</v>
          </cell>
          <cell r="CE643">
            <v>404.02</v>
          </cell>
          <cell r="CF643">
            <v>516.9</v>
          </cell>
          <cell r="CG643">
            <v>1395</v>
          </cell>
          <cell r="CH643">
            <v>1040</v>
          </cell>
          <cell r="CI643">
            <v>135</v>
          </cell>
          <cell r="CJ643">
            <v>320</v>
          </cell>
          <cell r="CK643">
            <v>902</v>
          </cell>
          <cell r="CM643">
            <v>198.13</v>
          </cell>
          <cell r="CN643">
            <v>21.7</v>
          </cell>
          <cell r="CO643" t="str">
            <v>#N/A N/A</v>
          </cell>
          <cell r="CQ643">
            <v>6.04</v>
          </cell>
          <cell r="CR643">
            <v>85</v>
          </cell>
          <cell r="CS643">
            <v>3500.5</v>
          </cell>
          <cell r="CU643">
            <v>1045</v>
          </cell>
          <cell r="CW643">
            <v>60.899390243902445</v>
          </cell>
          <cell r="CX643">
            <v>704.38499999999999</v>
          </cell>
          <cell r="CZ643">
            <v>332.32</v>
          </cell>
          <cell r="DA643">
            <v>3993.5</v>
          </cell>
          <cell r="DB643">
            <v>11.37</v>
          </cell>
          <cell r="DC643">
            <v>333.5</v>
          </cell>
          <cell r="DD643">
            <v>134.85</v>
          </cell>
        </row>
        <row r="644">
          <cell r="A644">
            <v>39357</v>
          </cell>
          <cell r="C644">
            <v>28</v>
          </cell>
          <cell r="D644" t="str">
            <v>#N/A N/A</v>
          </cell>
          <cell r="E644">
            <v>13.43</v>
          </cell>
          <cell r="L644">
            <v>2014.09</v>
          </cell>
          <cell r="M644">
            <v>2747.11</v>
          </cell>
          <cell r="N644">
            <v>6500.4</v>
          </cell>
          <cell r="O644">
            <v>4382</v>
          </cell>
          <cell r="Q644">
            <v>520</v>
          </cell>
          <cell r="R644">
            <v>348.75</v>
          </cell>
          <cell r="S644">
            <v>922.5</v>
          </cell>
          <cell r="T644">
            <v>943.75</v>
          </cell>
          <cell r="U644">
            <v>17046.78</v>
          </cell>
          <cell r="V644">
            <v>28199.75</v>
          </cell>
          <cell r="W644">
            <v>9623.25</v>
          </cell>
          <cell r="X644">
            <v>77.25</v>
          </cell>
          <cell r="Y644">
            <v>1235</v>
          </cell>
          <cell r="Z644">
            <v>1570</v>
          </cell>
          <cell r="AA644">
            <v>17328.62</v>
          </cell>
          <cell r="AB644">
            <v>6667.6</v>
          </cell>
          <cell r="AC644">
            <v>62017.121099999997</v>
          </cell>
          <cell r="AE644">
            <v>89.8</v>
          </cell>
          <cell r="AF644">
            <v>825.59</v>
          </cell>
          <cell r="AG644">
            <v>9566</v>
          </cell>
          <cell r="AH644">
            <v>1020</v>
          </cell>
          <cell r="AI644">
            <v>1730</v>
          </cell>
          <cell r="AJ644">
            <v>810.32</v>
          </cell>
          <cell r="AL644">
            <v>1546.63</v>
          </cell>
          <cell r="AP644">
            <v>5552.3010000000004</v>
          </cell>
          <cell r="AV644">
            <v>71.900000000000006</v>
          </cell>
          <cell r="AZ644">
            <v>254.7</v>
          </cell>
          <cell r="BE644">
            <v>30375</v>
          </cell>
          <cell r="BG644">
            <v>69.849999999999994</v>
          </cell>
          <cell r="BH644">
            <v>568.91999999999996</v>
          </cell>
          <cell r="BY644">
            <v>505.97</v>
          </cell>
          <cell r="CD644">
            <v>417.07</v>
          </cell>
          <cell r="CE644">
            <v>404.31799999999998</v>
          </cell>
          <cell r="CF644">
            <v>532.17999999999995</v>
          </cell>
          <cell r="CG644">
            <v>1395</v>
          </cell>
          <cell r="CH644">
            <v>1040</v>
          </cell>
          <cell r="CI644">
            <v>135</v>
          </cell>
          <cell r="CJ644">
            <v>320</v>
          </cell>
          <cell r="CK644">
            <v>873</v>
          </cell>
          <cell r="CM644">
            <v>198.28</v>
          </cell>
          <cell r="CN644">
            <v>21.61</v>
          </cell>
          <cell r="CO644" t="str">
            <v>#N/A N/A</v>
          </cell>
          <cell r="CQ644">
            <v>6.55</v>
          </cell>
          <cell r="CR644">
            <v>85</v>
          </cell>
          <cell r="CS644">
            <v>3590</v>
          </cell>
          <cell r="CU644">
            <v>1045</v>
          </cell>
          <cell r="CW644">
            <v>60.594512195121958</v>
          </cell>
          <cell r="CX644">
            <v>700.77149999999995</v>
          </cell>
          <cell r="CZ644">
            <v>328.62</v>
          </cell>
          <cell r="DA644">
            <v>3999.8</v>
          </cell>
          <cell r="DB644">
            <v>11.65</v>
          </cell>
          <cell r="DC644">
            <v>333.5</v>
          </cell>
          <cell r="DD644">
            <v>134.30000000000001</v>
          </cell>
        </row>
        <row r="645">
          <cell r="A645">
            <v>39358</v>
          </cell>
          <cell r="C645">
            <v>28</v>
          </cell>
          <cell r="D645" t="str">
            <v>#N/A N/A</v>
          </cell>
          <cell r="E645">
            <v>13.14</v>
          </cell>
          <cell r="L645">
            <v>2014.09</v>
          </cell>
          <cell r="M645">
            <v>2729.43</v>
          </cell>
          <cell r="N645">
            <v>6535.2</v>
          </cell>
          <cell r="O645">
            <v>4382</v>
          </cell>
          <cell r="Q645">
            <v>520</v>
          </cell>
          <cell r="R645">
            <v>344.5</v>
          </cell>
          <cell r="S645">
            <v>927</v>
          </cell>
          <cell r="T645">
            <v>951</v>
          </cell>
          <cell r="U645">
            <v>17199.89</v>
          </cell>
          <cell r="V645">
            <v>27479.94</v>
          </cell>
          <cell r="W645">
            <v>9700.07</v>
          </cell>
          <cell r="X645">
            <v>77.55</v>
          </cell>
          <cell r="Y645">
            <v>1235</v>
          </cell>
          <cell r="Z645">
            <v>1570</v>
          </cell>
          <cell r="AA645">
            <v>17847.04</v>
          </cell>
          <cell r="AB645">
            <v>6665.4</v>
          </cell>
          <cell r="AC645">
            <v>60098.570299999999</v>
          </cell>
          <cell r="AE645">
            <v>90.25</v>
          </cell>
          <cell r="AF645">
            <v>825.59</v>
          </cell>
          <cell r="AG645">
            <v>9561</v>
          </cell>
          <cell r="AH645">
            <v>1020</v>
          </cell>
          <cell r="AI645">
            <v>1730</v>
          </cell>
          <cell r="AJ645">
            <v>810.32</v>
          </cell>
          <cell r="AL645">
            <v>1539.59</v>
          </cell>
          <cell r="AP645">
            <v>5552.3010000000004</v>
          </cell>
          <cell r="AV645">
            <v>70.55</v>
          </cell>
          <cell r="AZ645">
            <v>255.1</v>
          </cell>
          <cell r="BE645">
            <v>31205</v>
          </cell>
          <cell r="BG645">
            <v>69.849999999999994</v>
          </cell>
          <cell r="BH645">
            <v>561.21</v>
          </cell>
          <cell r="BY645">
            <v>495.19</v>
          </cell>
          <cell r="CD645">
            <v>416.13</v>
          </cell>
          <cell r="CE645">
            <v>403.70800000000003</v>
          </cell>
          <cell r="CF645">
            <v>530.17999999999995</v>
          </cell>
          <cell r="CG645">
            <v>1395</v>
          </cell>
          <cell r="CH645">
            <v>1040</v>
          </cell>
          <cell r="CI645">
            <v>135</v>
          </cell>
          <cell r="CJ645">
            <v>320</v>
          </cell>
          <cell r="CK645">
            <v>852</v>
          </cell>
          <cell r="CM645">
            <v>199.59</v>
          </cell>
          <cell r="CN645">
            <v>21.61</v>
          </cell>
          <cell r="CO645" t="str">
            <v>#N/A N/A</v>
          </cell>
          <cell r="CQ645">
            <v>6.95</v>
          </cell>
          <cell r="CR645">
            <v>75</v>
          </cell>
          <cell r="CS645">
            <v>3739</v>
          </cell>
          <cell r="CU645">
            <v>1045</v>
          </cell>
          <cell r="CW645">
            <v>60.594512195121958</v>
          </cell>
          <cell r="CX645">
            <v>698.84100000000001</v>
          </cell>
          <cell r="CZ645">
            <v>328.23</v>
          </cell>
          <cell r="DA645">
            <v>4063.2</v>
          </cell>
          <cell r="DB645">
            <v>11.23</v>
          </cell>
          <cell r="DC645">
            <v>333.5</v>
          </cell>
          <cell r="DD645">
            <v>135.85</v>
          </cell>
        </row>
        <row r="646">
          <cell r="A646">
            <v>39359</v>
          </cell>
          <cell r="C646">
            <v>28</v>
          </cell>
          <cell r="D646" t="str">
            <v>#N/A N/A</v>
          </cell>
          <cell r="E646">
            <v>12.64</v>
          </cell>
          <cell r="L646">
            <v>2003.6</v>
          </cell>
          <cell r="M646">
            <v>2733.57</v>
          </cell>
          <cell r="N646">
            <v>6547.9</v>
          </cell>
          <cell r="O646">
            <v>4382</v>
          </cell>
          <cell r="Q646">
            <v>520</v>
          </cell>
          <cell r="R646">
            <v>342.25</v>
          </cell>
          <cell r="S646">
            <v>906</v>
          </cell>
          <cell r="T646">
            <v>954.25</v>
          </cell>
          <cell r="U646">
            <v>17092.490000000002</v>
          </cell>
          <cell r="V646">
            <v>26973.98</v>
          </cell>
          <cell r="W646">
            <v>9627.39</v>
          </cell>
          <cell r="X646">
            <v>77.900000000000006</v>
          </cell>
          <cell r="Y646">
            <v>1235</v>
          </cell>
          <cell r="Z646">
            <v>1570</v>
          </cell>
          <cell r="AA646">
            <v>17777.14</v>
          </cell>
          <cell r="AB646">
            <v>6579.9</v>
          </cell>
          <cell r="AC646">
            <v>60406.718800000002</v>
          </cell>
          <cell r="AE646">
            <v>90.45</v>
          </cell>
          <cell r="AF646">
            <v>825.59</v>
          </cell>
          <cell r="AG646">
            <v>9513</v>
          </cell>
          <cell r="AH646">
            <v>1020</v>
          </cell>
          <cell r="AI646">
            <v>1730</v>
          </cell>
          <cell r="AJ646">
            <v>814.72</v>
          </cell>
          <cell r="AL646">
            <v>1542.84</v>
          </cell>
          <cell r="AP646">
            <v>5552.3010000000004</v>
          </cell>
          <cell r="AV646">
            <v>70.930000000000007</v>
          </cell>
          <cell r="AZ646">
            <v>257.39999999999998</v>
          </cell>
          <cell r="BE646">
            <v>30490</v>
          </cell>
          <cell r="BG646">
            <v>69.849999999999994</v>
          </cell>
          <cell r="BH646">
            <v>548.58000000000004</v>
          </cell>
          <cell r="BY646">
            <v>493.99</v>
          </cell>
          <cell r="CD646">
            <v>416.05</v>
          </cell>
          <cell r="CE646">
            <v>403.90600000000001</v>
          </cell>
          <cell r="CF646">
            <v>522.41</v>
          </cell>
          <cell r="CG646">
            <v>1395</v>
          </cell>
          <cell r="CH646">
            <v>1040</v>
          </cell>
          <cell r="CI646">
            <v>135</v>
          </cell>
          <cell r="CJ646">
            <v>320</v>
          </cell>
          <cell r="CK646">
            <v>842</v>
          </cell>
          <cell r="CM646">
            <v>205.22</v>
          </cell>
          <cell r="CN646">
            <v>21.51</v>
          </cell>
          <cell r="CO646" t="str">
            <v>#N/A N/A</v>
          </cell>
          <cell r="CQ646">
            <v>6.91</v>
          </cell>
          <cell r="CR646">
            <v>75</v>
          </cell>
          <cell r="CS646">
            <v>3712</v>
          </cell>
          <cell r="CU646">
            <v>1045</v>
          </cell>
          <cell r="CW646">
            <v>61.204268292682933</v>
          </cell>
          <cell r="CX646">
            <v>699.58349999999996</v>
          </cell>
          <cell r="CZ646">
            <v>330.24</v>
          </cell>
          <cell r="DA646">
            <v>3993.8</v>
          </cell>
          <cell r="DB646">
            <v>11.36</v>
          </cell>
          <cell r="DC646">
            <v>333.5</v>
          </cell>
          <cell r="DD646">
            <v>135.19999999999999</v>
          </cell>
        </row>
        <row r="647">
          <cell r="A647">
            <v>39360</v>
          </cell>
          <cell r="C647">
            <v>28</v>
          </cell>
          <cell r="D647" t="str">
            <v>#N/A N/A</v>
          </cell>
          <cell r="E647">
            <v>12.3</v>
          </cell>
          <cell r="L647">
            <v>1996.03</v>
          </cell>
          <cell r="M647">
            <v>2780.32</v>
          </cell>
          <cell r="N647">
            <v>6595.8</v>
          </cell>
          <cell r="O647">
            <v>4382</v>
          </cell>
          <cell r="Q647">
            <v>520</v>
          </cell>
          <cell r="R647">
            <v>342.25</v>
          </cell>
          <cell r="S647">
            <v>890</v>
          </cell>
          <cell r="T647">
            <v>940.5</v>
          </cell>
          <cell r="U647">
            <v>17065.04</v>
          </cell>
          <cell r="V647">
            <v>27831.52</v>
          </cell>
          <cell r="W647">
            <v>9617.26</v>
          </cell>
          <cell r="X647">
            <v>78.55</v>
          </cell>
          <cell r="Y647">
            <v>1205</v>
          </cell>
          <cell r="Z647">
            <v>1570</v>
          </cell>
          <cell r="AA647">
            <v>17773.36</v>
          </cell>
          <cell r="AB647">
            <v>6617.3</v>
          </cell>
          <cell r="AC647">
            <v>62318.718800000002</v>
          </cell>
          <cell r="AE647">
            <v>92.45</v>
          </cell>
          <cell r="AF647">
            <v>825.59</v>
          </cell>
          <cell r="AG647">
            <v>9535</v>
          </cell>
          <cell r="AH647">
            <v>1015</v>
          </cell>
          <cell r="AI647">
            <v>1730</v>
          </cell>
          <cell r="AJ647">
            <v>813.51</v>
          </cell>
          <cell r="AL647">
            <v>1557.59</v>
          </cell>
          <cell r="AP647">
            <v>5552.3010000000004</v>
          </cell>
          <cell r="AV647">
            <v>71.94</v>
          </cell>
          <cell r="AZ647">
            <v>256.8</v>
          </cell>
          <cell r="BE647">
            <v>31090</v>
          </cell>
          <cell r="BG647">
            <v>71.25</v>
          </cell>
          <cell r="BH647">
            <v>556.87</v>
          </cell>
          <cell r="BY647">
            <v>498.85</v>
          </cell>
          <cell r="CD647">
            <v>420.18</v>
          </cell>
          <cell r="CE647">
            <v>407.608</v>
          </cell>
          <cell r="CF647">
            <v>527.67999999999995</v>
          </cell>
          <cell r="CG647">
            <v>1405</v>
          </cell>
          <cell r="CH647">
            <v>1035</v>
          </cell>
          <cell r="CI647">
            <v>135</v>
          </cell>
          <cell r="CJ647">
            <v>320</v>
          </cell>
          <cell r="CK647">
            <v>829</v>
          </cell>
          <cell r="CM647">
            <v>204.93</v>
          </cell>
          <cell r="CN647">
            <v>21.61</v>
          </cell>
          <cell r="CO647" t="str">
            <v>#N/A N/A</v>
          </cell>
          <cell r="CQ647">
            <v>6.74</v>
          </cell>
          <cell r="CR647">
            <v>75</v>
          </cell>
          <cell r="CS647">
            <v>3801</v>
          </cell>
          <cell r="CU647">
            <v>1090</v>
          </cell>
          <cell r="CW647">
            <v>62.423780487804883</v>
          </cell>
          <cell r="CX647">
            <v>699.78149999999994</v>
          </cell>
          <cell r="CZ647">
            <v>329.21</v>
          </cell>
          <cell r="DA647">
            <v>4017.4</v>
          </cell>
          <cell r="DB647">
            <v>11.19</v>
          </cell>
          <cell r="DC647">
            <v>333.5</v>
          </cell>
          <cell r="DD647">
            <v>137</v>
          </cell>
        </row>
        <row r="648">
          <cell r="A648">
            <v>39361</v>
          </cell>
          <cell r="C648">
            <v>28</v>
          </cell>
          <cell r="D648" t="str">
            <v>#N/A N/A</v>
          </cell>
          <cell r="E648">
            <v>12.3</v>
          </cell>
          <cell r="L648">
            <v>1996.03</v>
          </cell>
          <cell r="M648">
            <v>2780.32</v>
          </cell>
          <cell r="N648">
            <v>6595.8</v>
          </cell>
          <cell r="O648">
            <v>4382</v>
          </cell>
          <cell r="Q648">
            <v>520</v>
          </cell>
          <cell r="R648">
            <v>342.25</v>
          </cell>
          <cell r="S648">
            <v>890</v>
          </cell>
          <cell r="T648">
            <v>940.5</v>
          </cell>
          <cell r="U648">
            <v>17065.04</v>
          </cell>
          <cell r="V648">
            <v>27831.52</v>
          </cell>
          <cell r="W648">
            <v>9617.26</v>
          </cell>
          <cell r="X648">
            <v>78.55</v>
          </cell>
          <cell r="Y648">
            <v>1205</v>
          </cell>
          <cell r="Z648">
            <v>1570</v>
          </cell>
          <cell r="AA648">
            <v>17773.36</v>
          </cell>
          <cell r="AB648">
            <v>6617.3</v>
          </cell>
          <cell r="AC648">
            <v>62318.718800000002</v>
          </cell>
          <cell r="AE648">
            <v>92.45</v>
          </cell>
          <cell r="AF648">
            <v>825.59</v>
          </cell>
          <cell r="AG648">
            <v>9535</v>
          </cell>
          <cell r="AH648">
            <v>1015</v>
          </cell>
          <cell r="AI648">
            <v>1730</v>
          </cell>
          <cell r="AJ648">
            <v>813.51</v>
          </cell>
          <cell r="AL648">
            <v>1557.59</v>
          </cell>
          <cell r="AP648">
            <v>5552.3010000000004</v>
          </cell>
          <cell r="AV648">
            <v>71.94</v>
          </cell>
          <cell r="AZ648">
            <v>256.8</v>
          </cell>
          <cell r="BE648">
            <v>31090</v>
          </cell>
          <cell r="BG648">
            <v>71.25</v>
          </cell>
          <cell r="BH648">
            <v>556.87</v>
          </cell>
          <cell r="BY648">
            <v>498.85</v>
          </cell>
          <cell r="CD648">
            <v>420.18</v>
          </cell>
          <cell r="CE648">
            <v>407.608</v>
          </cell>
          <cell r="CF648">
            <v>527.67999999999995</v>
          </cell>
          <cell r="CG648">
            <v>1405</v>
          </cell>
          <cell r="CH648">
            <v>1035</v>
          </cell>
          <cell r="CI648">
            <v>135</v>
          </cell>
          <cell r="CJ648">
            <v>320</v>
          </cell>
          <cell r="CK648">
            <v>829</v>
          </cell>
          <cell r="CM648">
            <v>204.93</v>
          </cell>
          <cell r="CN648">
            <v>21.61</v>
          </cell>
          <cell r="CO648" t="str">
            <v>#N/A N/A</v>
          </cell>
          <cell r="CQ648">
            <v>6.74</v>
          </cell>
          <cell r="CR648">
            <v>75</v>
          </cell>
          <cell r="CS648">
            <v>3801</v>
          </cell>
          <cell r="CU648">
            <v>1090</v>
          </cell>
          <cell r="CW648">
            <v>62.423780487804883</v>
          </cell>
          <cell r="CX648">
            <v>699.78149999999994</v>
          </cell>
          <cell r="CZ648">
            <v>329.21</v>
          </cell>
          <cell r="DA648">
            <v>4017.4</v>
          </cell>
          <cell r="DB648">
            <v>11.19</v>
          </cell>
          <cell r="DC648">
            <v>333.5</v>
          </cell>
          <cell r="DD648">
            <v>137</v>
          </cell>
        </row>
        <row r="649">
          <cell r="A649">
            <v>39362</v>
          </cell>
          <cell r="C649">
            <v>28</v>
          </cell>
          <cell r="D649" t="str">
            <v>#N/A N/A</v>
          </cell>
          <cell r="E649">
            <v>12.3</v>
          </cell>
          <cell r="L649">
            <v>1996.03</v>
          </cell>
          <cell r="M649">
            <v>2780.32</v>
          </cell>
          <cell r="N649">
            <v>6595.8</v>
          </cell>
          <cell r="O649">
            <v>4382</v>
          </cell>
          <cell r="Q649">
            <v>520</v>
          </cell>
          <cell r="R649">
            <v>342.25</v>
          </cell>
          <cell r="S649">
            <v>890</v>
          </cell>
          <cell r="T649">
            <v>940.5</v>
          </cell>
          <cell r="U649">
            <v>17065.04</v>
          </cell>
          <cell r="V649">
            <v>27831.52</v>
          </cell>
          <cell r="W649">
            <v>9617.26</v>
          </cell>
          <cell r="X649">
            <v>78.55</v>
          </cell>
          <cell r="Y649">
            <v>1205</v>
          </cell>
          <cell r="Z649">
            <v>1570</v>
          </cell>
          <cell r="AA649">
            <v>17773.36</v>
          </cell>
          <cell r="AB649">
            <v>6617.3</v>
          </cell>
          <cell r="AC649">
            <v>62318.718800000002</v>
          </cell>
          <cell r="AE649">
            <v>92.45</v>
          </cell>
          <cell r="AF649">
            <v>825.59</v>
          </cell>
          <cell r="AG649">
            <v>9535</v>
          </cell>
          <cell r="AH649">
            <v>1015</v>
          </cell>
          <cell r="AI649">
            <v>1730</v>
          </cell>
          <cell r="AJ649">
            <v>813.51</v>
          </cell>
          <cell r="AL649">
            <v>1557.59</v>
          </cell>
          <cell r="AP649">
            <v>5552.3010000000004</v>
          </cell>
          <cell r="AV649">
            <v>71.94</v>
          </cell>
          <cell r="AZ649">
            <v>256.8</v>
          </cell>
          <cell r="BE649">
            <v>31090</v>
          </cell>
          <cell r="BG649">
            <v>71.25</v>
          </cell>
          <cell r="BH649">
            <v>556.87</v>
          </cell>
          <cell r="BY649">
            <v>498.85</v>
          </cell>
          <cell r="CD649">
            <v>420.18</v>
          </cell>
          <cell r="CE649">
            <v>407.608</v>
          </cell>
          <cell r="CF649">
            <v>527.67999999999995</v>
          </cell>
          <cell r="CG649">
            <v>1405</v>
          </cell>
          <cell r="CH649">
            <v>1035</v>
          </cell>
          <cell r="CI649">
            <v>135</v>
          </cell>
          <cell r="CJ649">
            <v>320</v>
          </cell>
          <cell r="CK649">
            <v>829</v>
          </cell>
          <cell r="CM649">
            <v>204.93</v>
          </cell>
          <cell r="CN649">
            <v>21.61</v>
          </cell>
          <cell r="CO649" t="str">
            <v>#N/A N/A</v>
          </cell>
          <cell r="CQ649">
            <v>6.74</v>
          </cell>
          <cell r="CR649">
            <v>75</v>
          </cell>
          <cell r="CS649">
            <v>3801</v>
          </cell>
          <cell r="CU649">
            <v>1090</v>
          </cell>
          <cell r="CW649">
            <v>62.423780487804883</v>
          </cell>
          <cell r="CX649">
            <v>699.78149999999994</v>
          </cell>
          <cell r="CZ649">
            <v>329.21</v>
          </cell>
          <cell r="DA649">
            <v>4017.4</v>
          </cell>
          <cell r="DB649">
            <v>11.19</v>
          </cell>
          <cell r="DC649">
            <v>333.5</v>
          </cell>
          <cell r="DD649">
            <v>137</v>
          </cell>
        </row>
        <row r="650">
          <cell r="A650">
            <v>39363</v>
          </cell>
          <cell r="C650">
            <v>28</v>
          </cell>
          <cell r="D650" t="str">
            <v>#N/A N/A</v>
          </cell>
          <cell r="E650">
            <v>12.3</v>
          </cell>
          <cell r="L650">
            <v>2012.82</v>
          </cell>
          <cell r="M650">
            <v>2787.37</v>
          </cell>
          <cell r="N650">
            <v>6540.9</v>
          </cell>
          <cell r="O650">
            <v>4387</v>
          </cell>
          <cell r="Q650">
            <v>520</v>
          </cell>
          <cell r="R650">
            <v>339.75</v>
          </cell>
          <cell r="S650">
            <v>860</v>
          </cell>
          <cell r="T650">
            <v>925.5</v>
          </cell>
          <cell r="U650">
            <v>17065.04</v>
          </cell>
          <cell r="V650">
            <v>27770.29</v>
          </cell>
          <cell r="W650">
            <v>9717.17</v>
          </cell>
          <cell r="X650">
            <v>79.349999999999994</v>
          </cell>
          <cell r="Y650">
            <v>1205</v>
          </cell>
          <cell r="Z650">
            <v>1570</v>
          </cell>
          <cell r="AA650">
            <v>17491.39</v>
          </cell>
          <cell r="AB650">
            <v>6667.2</v>
          </cell>
          <cell r="AC650">
            <v>62660.851600000002</v>
          </cell>
          <cell r="AE650">
            <v>92.6</v>
          </cell>
          <cell r="AF650">
            <v>825.59</v>
          </cell>
          <cell r="AG650">
            <v>9665</v>
          </cell>
          <cell r="AH650">
            <v>1015</v>
          </cell>
          <cell r="AI650">
            <v>1730</v>
          </cell>
          <cell r="AJ650">
            <v>816.47</v>
          </cell>
          <cell r="AL650">
            <v>1552.58</v>
          </cell>
          <cell r="AP650">
            <v>5692.7550000000001</v>
          </cell>
          <cell r="AV650">
            <v>71.2</v>
          </cell>
          <cell r="AZ650">
            <v>256.8</v>
          </cell>
          <cell r="BE650">
            <v>29805</v>
          </cell>
          <cell r="BG650">
            <v>71.25</v>
          </cell>
          <cell r="BH650">
            <v>561.16</v>
          </cell>
          <cell r="BY650">
            <v>501.15</v>
          </cell>
          <cell r="CD650">
            <v>418.38</v>
          </cell>
          <cell r="CE650">
            <v>405.50900000000001</v>
          </cell>
          <cell r="CF650">
            <v>529.83000000000004</v>
          </cell>
          <cell r="CG650">
            <v>1405</v>
          </cell>
          <cell r="CH650">
            <v>1035</v>
          </cell>
          <cell r="CI650">
            <v>135</v>
          </cell>
          <cell r="CJ650">
            <v>320</v>
          </cell>
          <cell r="CK650">
            <v>819</v>
          </cell>
          <cell r="CM650">
            <v>200.02</v>
          </cell>
          <cell r="CN650">
            <v>21.62</v>
          </cell>
          <cell r="CO650" t="str">
            <v>#N/A N/A</v>
          </cell>
          <cell r="CQ650">
            <v>6.71</v>
          </cell>
          <cell r="CR650">
            <v>75</v>
          </cell>
          <cell r="CS650">
            <v>3778</v>
          </cell>
          <cell r="CU650">
            <v>1090</v>
          </cell>
          <cell r="CW650">
            <v>62.423780487804883</v>
          </cell>
          <cell r="CX650">
            <v>695.673</v>
          </cell>
          <cell r="CZ650">
            <v>323.39</v>
          </cell>
          <cell r="DA650">
            <v>3902.8</v>
          </cell>
          <cell r="DB650">
            <v>11.48</v>
          </cell>
          <cell r="DC650">
            <v>333.5</v>
          </cell>
          <cell r="DD650">
            <v>138.75</v>
          </cell>
        </row>
        <row r="651">
          <cell r="A651">
            <v>39364</v>
          </cell>
          <cell r="C651">
            <v>28</v>
          </cell>
          <cell r="D651" t="str">
            <v>#N/A N/A</v>
          </cell>
          <cell r="E651">
            <v>12.42</v>
          </cell>
          <cell r="L651">
            <v>2014.13</v>
          </cell>
          <cell r="M651">
            <v>2803.91</v>
          </cell>
          <cell r="N651">
            <v>6615.4</v>
          </cell>
          <cell r="O651">
            <v>4382</v>
          </cell>
          <cell r="Q651">
            <v>520</v>
          </cell>
          <cell r="R651">
            <v>342.5</v>
          </cell>
          <cell r="S651">
            <v>845.5</v>
          </cell>
          <cell r="T651">
            <v>950.25</v>
          </cell>
          <cell r="U651">
            <v>17159.900000000001</v>
          </cell>
          <cell r="V651">
            <v>28228.04</v>
          </cell>
          <cell r="W651">
            <v>9639.83</v>
          </cell>
          <cell r="X651">
            <v>77.75</v>
          </cell>
          <cell r="Y651">
            <v>1205</v>
          </cell>
          <cell r="Z651">
            <v>1570</v>
          </cell>
          <cell r="AA651">
            <v>18280.240000000002</v>
          </cell>
          <cell r="AB651">
            <v>6687.7</v>
          </cell>
          <cell r="AC651">
            <v>63548.691400000003</v>
          </cell>
          <cell r="AE651">
            <v>91.05</v>
          </cell>
          <cell r="AF651">
            <v>828.66</v>
          </cell>
          <cell r="AG651">
            <v>9860</v>
          </cell>
          <cell r="AH651">
            <v>1015</v>
          </cell>
          <cell r="AI651">
            <v>1730</v>
          </cell>
          <cell r="AJ651">
            <v>812.8</v>
          </cell>
          <cell r="AL651">
            <v>1565.15</v>
          </cell>
          <cell r="AP651">
            <v>5715.8919999999998</v>
          </cell>
          <cell r="AV651">
            <v>72</v>
          </cell>
          <cell r="AZ651">
            <v>257.2</v>
          </cell>
          <cell r="BE651">
            <v>30350</v>
          </cell>
          <cell r="BG651">
            <v>71.25</v>
          </cell>
          <cell r="BH651">
            <v>557.91</v>
          </cell>
          <cell r="BY651">
            <v>496.68</v>
          </cell>
          <cell r="CD651">
            <v>421.51</v>
          </cell>
          <cell r="CE651">
            <v>408.48899999999998</v>
          </cell>
          <cell r="CF651">
            <v>533.42999999999995</v>
          </cell>
          <cell r="CG651">
            <v>1405</v>
          </cell>
          <cell r="CH651">
            <v>1035</v>
          </cell>
          <cell r="CI651">
            <v>135</v>
          </cell>
          <cell r="CJ651">
            <v>320</v>
          </cell>
          <cell r="CK651">
            <v>817</v>
          </cell>
          <cell r="CM651">
            <v>202.02</v>
          </cell>
          <cell r="CN651">
            <v>21.63</v>
          </cell>
          <cell r="CO651" t="str">
            <v>#N/A N/A</v>
          </cell>
          <cell r="CQ651">
            <v>6.6</v>
          </cell>
          <cell r="CR651">
            <v>75</v>
          </cell>
          <cell r="CS651">
            <v>3938</v>
          </cell>
          <cell r="CU651">
            <v>1090</v>
          </cell>
          <cell r="CW651">
            <v>62.118902439024396</v>
          </cell>
          <cell r="CX651">
            <v>697.60350000000005</v>
          </cell>
          <cell r="CZ651">
            <v>325.88</v>
          </cell>
          <cell r="DA651">
            <v>3966.3</v>
          </cell>
          <cell r="DB651">
            <v>11.73</v>
          </cell>
          <cell r="DC651">
            <v>333.5</v>
          </cell>
          <cell r="DD651">
            <v>133.75</v>
          </cell>
        </row>
        <row r="652">
          <cell r="A652">
            <v>39365</v>
          </cell>
          <cell r="C652">
            <v>28</v>
          </cell>
          <cell r="D652" t="str">
            <v>#N/A N/A</v>
          </cell>
          <cell r="E652">
            <v>13.05</v>
          </cell>
          <cell r="L652">
            <v>2041.12</v>
          </cell>
          <cell r="M652">
            <v>2811.61</v>
          </cell>
          <cell r="N652">
            <v>6633</v>
          </cell>
          <cell r="O652">
            <v>4382</v>
          </cell>
          <cell r="Q652">
            <v>520</v>
          </cell>
          <cell r="R652">
            <v>347.25</v>
          </cell>
          <cell r="S652">
            <v>853</v>
          </cell>
          <cell r="T652">
            <v>968.25</v>
          </cell>
          <cell r="U652">
            <v>17177.89</v>
          </cell>
          <cell r="V652">
            <v>28569.33</v>
          </cell>
          <cell r="W652">
            <v>9639.83</v>
          </cell>
          <cell r="X652">
            <v>78.849999999999994</v>
          </cell>
          <cell r="Y652">
            <v>1205</v>
          </cell>
          <cell r="Z652">
            <v>1570</v>
          </cell>
          <cell r="AA652">
            <v>18658.25</v>
          </cell>
          <cell r="AB652">
            <v>6744.6</v>
          </cell>
          <cell r="AC652">
            <v>63197.039100000002</v>
          </cell>
          <cell r="AE652">
            <v>92.15</v>
          </cell>
          <cell r="AF652">
            <v>828.66</v>
          </cell>
          <cell r="AG652">
            <v>10218</v>
          </cell>
          <cell r="AH652">
            <v>1015</v>
          </cell>
          <cell r="AI652">
            <v>1730</v>
          </cell>
          <cell r="AJ652">
            <v>818.26</v>
          </cell>
          <cell r="AL652">
            <v>1562.47</v>
          </cell>
          <cell r="AP652">
            <v>5771.4639999999999</v>
          </cell>
          <cell r="AV652">
            <v>72.22</v>
          </cell>
          <cell r="AZ652">
            <v>262.60000000000002</v>
          </cell>
          <cell r="BE652">
            <v>31145</v>
          </cell>
          <cell r="BG652">
            <v>71.25</v>
          </cell>
          <cell r="BH652">
            <v>563.70000000000005</v>
          </cell>
          <cell r="BY652">
            <v>493.82</v>
          </cell>
          <cell r="CD652">
            <v>422.56</v>
          </cell>
          <cell r="CE652">
            <v>409.20800000000003</v>
          </cell>
          <cell r="CF652">
            <v>541.69000000000005</v>
          </cell>
          <cell r="CG652">
            <v>1405</v>
          </cell>
          <cell r="CH652">
            <v>1035</v>
          </cell>
          <cell r="CI652">
            <v>135</v>
          </cell>
          <cell r="CJ652">
            <v>320</v>
          </cell>
          <cell r="CK652">
            <v>827</v>
          </cell>
          <cell r="CM652">
            <v>203.36</v>
          </cell>
          <cell r="CN652">
            <v>22.2</v>
          </cell>
          <cell r="CO652" t="str">
            <v>#N/A N/A</v>
          </cell>
          <cell r="CQ652">
            <v>6.77</v>
          </cell>
          <cell r="CR652">
            <v>75</v>
          </cell>
          <cell r="CS652">
            <v>3989</v>
          </cell>
          <cell r="CU652">
            <v>1090</v>
          </cell>
          <cell r="CW652">
            <v>62.423780487804883</v>
          </cell>
          <cell r="CX652">
            <v>700.17750000000001</v>
          </cell>
          <cell r="CZ652">
            <v>329.33</v>
          </cell>
          <cell r="DA652">
            <v>4035.4</v>
          </cell>
          <cell r="DB652">
            <v>11.49</v>
          </cell>
          <cell r="DC652">
            <v>333.5</v>
          </cell>
          <cell r="DD652">
            <v>133.4</v>
          </cell>
        </row>
        <row r="653">
          <cell r="A653">
            <v>39366</v>
          </cell>
          <cell r="C653">
            <v>28</v>
          </cell>
          <cell r="D653" t="str">
            <v>#N/A N/A</v>
          </cell>
          <cell r="E653">
            <v>12.04</v>
          </cell>
          <cell r="L653">
            <v>2058.85</v>
          </cell>
          <cell r="M653">
            <v>2772.2</v>
          </cell>
          <cell r="N653">
            <v>6724.5</v>
          </cell>
          <cell r="O653">
            <v>4377</v>
          </cell>
          <cell r="Q653">
            <v>520</v>
          </cell>
          <cell r="R653">
            <v>343.75</v>
          </cell>
          <cell r="S653">
            <v>883</v>
          </cell>
          <cell r="T653">
            <v>981.5</v>
          </cell>
          <cell r="U653">
            <v>17458.98</v>
          </cell>
          <cell r="V653">
            <v>29133.02</v>
          </cell>
          <cell r="W653">
            <v>9697.67</v>
          </cell>
          <cell r="X653">
            <v>79.75</v>
          </cell>
          <cell r="Y653">
            <v>1205</v>
          </cell>
          <cell r="Z653">
            <v>1570</v>
          </cell>
          <cell r="AA653">
            <v>18814.07</v>
          </cell>
          <cell r="AB653">
            <v>6779.6</v>
          </cell>
          <cell r="AC653">
            <v>62455.769500000002</v>
          </cell>
          <cell r="AE653">
            <v>93.15</v>
          </cell>
          <cell r="AF653">
            <v>828.66</v>
          </cell>
          <cell r="AG653">
            <v>10513</v>
          </cell>
          <cell r="AH653">
            <v>1015</v>
          </cell>
          <cell r="AI653">
            <v>1730</v>
          </cell>
          <cell r="AJ653">
            <v>817.28</v>
          </cell>
          <cell r="AL653">
            <v>1554.41</v>
          </cell>
          <cell r="AP653">
            <v>5913.23</v>
          </cell>
          <cell r="AV653">
            <v>72</v>
          </cell>
          <cell r="AZ653">
            <v>264</v>
          </cell>
          <cell r="BE653">
            <v>31740</v>
          </cell>
          <cell r="BG653">
            <v>71.25</v>
          </cell>
          <cell r="BH653">
            <v>605.39</v>
          </cell>
          <cell r="BY653">
            <v>482.65</v>
          </cell>
          <cell r="CD653">
            <v>424.31</v>
          </cell>
          <cell r="CE653">
            <v>410.40899999999999</v>
          </cell>
          <cell r="CF653">
            <v>550.97</v>
          </cell>
          <cell r="CG653">
            <v>1405</v>
          </cell>
          <cell r="CH653">
            <v>1035</v>
          </cell>
          <cell r="CI653">
            <v>135</v>
          </cell>
          <cell r="CJ653">
            <v>320</v>
          </cell>
          <cell r="CK653">
            <v>842</v>
          </cell>
          <cell r="CM653">
            <v>206.66</v>
          </cell>
          <cell r="CN653">
            <v>22.22</v>
          </cell>
          <cell r="CO653" t="str">
            <v>#N/A N/A</v>
          </cell>
          <cell r="CQ653">
            <v>6.84</v>
          </cell>
          <cell r="CR653">
            <v>75</v>
          </cell>
          <cell r="CS653">
            <v>3929</v>
          </cell>
          <cell r="CU653">
            <v>1090</v>
          </cell>
          <cell r="CW653">
            <v>63.948170731707322</v>
          </cell>
          <cell r="CX653">
            <v>703.74149999999997</v>
          </cell>
          <cell r="CZ653">
            <v>332.6</v>
          </cell>
          <cell r="DA653">
            <v>4018.6</v>
          </cell>
          <cell r="DB653">
            <v>11.78</v>
          </cell>
          <cell r="DC653">
            <v>333.5</v>
          </cell>
          <cell r="DD653">
            <v>138.25</v>
          </cell>
        </row>
        <row r="654">
          <cell r="A654">
            <v>39367</v>
          </cell>
          <cell r="C654">
            <v>28</v>
          </cell>
          <cell r="D654" t="str">
            <v>#N/A N/A</v>
          </cell>
          <cell r="E654">
            <v>11.91</v>
          </cell>
          <cell r="L654">
            <v>2026.44</v>
          </cell>
          <cell r="M654">
            <v>2805.68</v>
          </cell>
          <cell r="N654">
            <v>6730.7</v>
          </cell>
          <cell r="O654">
            <v>4377</v>
          </cell>
          <cell r="Q654">
            <v>520</v>
          </cell>
          <cell r="R654">
            <v>351</v>
          </cell>
          <cell r="S654">
            <v>857.5</v>
          </cell>
          <cell r="T654">
            <v>976.75</v>
          </cell>
          <cell r="U654">
            <v>17331.169999999998</v>
          </cell>
          <cell r="V654">
            <v>28838.37</v>
          </cell>
          <cell r="W654">
            <v>9496.4699999999993</v>
          </cell>
          <cell r="X654">
            <v>79.8</v>
          </cell>
          <cell r="Y654">
            <v>1200</v>
          </cell>
          <cell r="Z654">
            <v>1570</v>
          </cell>
          <cell r="AA654">
            <v>18419.04</v>
          </cell>
          <cell r="AB654">
            <v>6760.1</v>
          </cell>
          <cell r="AC654">
            <v>62455.769500000002</v>
          </cell>
          <cell r="AE654">
            <v>94</v>
          </cell>
          <cell r="AF654">
            <v>828.66</v>
          </cell>
          <cell r="AG654">
            <v>10695</v>
          </cell>
          <cell r="AH654">
            <v>1015</v>
          </cell>
          <cell r="AI654">
            <v>1730</v>
          </cell>
          <cell r="AJ654">
            <v>806.69</v>
          </cell>
          <cell r="AL654">
            <v>1561.8</v>
          </cell>
          <cell r="AP654">
            <v>5903.2640000000001</v>
          </cell>
          <cell r="AV654">
            <v>72.05</v>
          </cell>
          <cell r="AZ654">
            <v>264.10000000000002</v>
          </cell>
          <cell r="BE654">
            <v>31660</v>
          </cell>
          <cell r="BG654">
            <v>75.5</v>
          </cell>
          <cell r="BH654">
            <v>597.42999999999995</v>
          </cell>
          <cell r="BY654">
            <v>487.43</v>
          </cell>
          <cell r="CD654">
            <v>423.88</v>
          </cell>
          <cell r="CE654">
            <v>410.43700000000001</v>
          </cell>
          <cell r="CF654">
            <v>542.58000000000004</v>
          </cell>
          <cell r="CG654">
            <v>1400</v>
          </cell>
          <cell r="CH654">
            <v>1045</v>
          </cell>
          <cell r="CI654">
            <v>135</v>
          </cell>
          <cell r="CJ654">
            <v>320</v>
          </cell>
          <cell r="CK654">
            <v>844</v>
          </cell>
          <cell r="CM654">
            <v>208.51</v>
          </cell>
          <cell r="CN654">
            <v>22.33</v>
          </cell>
          <cell r="CO654" t="str">
            <v>#N/A N/A</v>
          </cell>
          <cell r="CQ654">
            <v>6.45</v>
          </cell>
          <cell r="CR654">
            <v>75</v>
          </cell>
          <cell r="CS654">
            <v>3921</v>
          </cell>
          <cell r="CU654">
            <v>1100</v>
          </cell>
          <cell r="CW654">
            <v>65.167682926829272</v>
          </cell>
          <cell r="CX654">
            <v>701.8605</v>
          </cell>
          <cell r="CZ654">
            <v>333.5</v>
          </cell>
          <cell r="DA654">
            <v>4035</v>
          </cell>
          <cell r="DB654">
            <v>11.8</v>
          </cell>
          <cell r="DC654">
            <v>333.5</v>
          </cell>
          <cell r="DD654">
            <v>139.30000000000001</v>
          </cell>
        </row>
        <row r="655">
          <cell r="A655">
            <v>39368</v>
          </cell>
          <cell r="C655">
            <v>28</v>
          </cell>
          <cell r="D655" t="str">
            <v>#N/A N/A</v>
          </cell>
          <cell r="E655">
            <v>11.91</v>
          </cell>
          <cell r="L655">
            <v>2026.44</v>
          </cell>
          <cell r="M655">
            <v>2805.68</v>
          </cell>
          <cell r="N655">
            <v>6730.7</v>
          </cell>
          <cell r="O655">
            <v>4377</v>
          </cell>
          <cell r="Q655">
            <v>520</v>
          </cell>
          <cell r="R655">
            <v>351</v>
          </cell>
          <cell r="S655">
            <v>857.5</v>
          </cell>
          <cell r="T655">
            <v>976.75</v>
          </cell>
          <cell r="U655">
            <v>17331.169999999998</v>
          </cell>
          <cell r="V655">
            <v>28838.37</v>
          </cell>
          <cell r="W655">
            <v>9496.4699999999993</v>
          </cell>
          <cell r="X655">
            <v>79.8</v>
          </cell>
          <cell r="Y655">
            <v>1200</v>
          </cell>
          <cell r="Z655">
            <v>1570</v>
          </cell>
          <cell r="AA655">
            <v>18419.04</v>
          </cell>
          <cell r="AB655">
            <v>6760.1</v>
          </cell>
          <cell r="AC655">
            <v>62455.769500000002</v>
          </cell>
          <cell r="AE655">
            <v>94</v>
          </cell>
          <cell r="AF655">
            <v>828.66</v>
          </cell>
          <cell r="AG655">
            <v>10695</v>
          </cell>
          <cell r="AH655">
            <v>1015</v>
          </cell>
          <cell r="AI655">
            <v>1730</v>
          </cell>
          <cell r="AJ655">
            <v>806.69</v>
          </cell>
          <cell r="AL655">
            <v>1561.8</v>
          </cell>
          <cell r="AP655">
            <v>5903.2640000000001</v>
          </cell>
          <cell r="AV655">
            <v>72.05</v>
          </cell>
          <cell r="AZ655">
            <v>264.10000000000002</v>
          </cell>
          <cell r="BE655">
            <v>31660</v>
          </cell>
          <cell r="BG655">
            <v>75.5</v>
          </cell>
          <cell r="BH655">
            <v>597.42999999999995</v>
          </cell>
          <cell r="BY655">
            <v>487.43</v>
          </cell>
          <cell r="CD655">
            <v>423.88</v>
          </cell>
          <cell r="CE655">
            <v>410.43700000000001</v>
          </cell>
          <cell r="CF655">
            <v>542.58000000000004</v>
          </cell>
          <cell r="CG655">
            <v>1400</v>
          </cell>
          <cell r="CH655">
            <v>1045</v>
          </cell>
          <cell r="CI655">
            <v>135</v>
          </cell>
          <cell r="CJ655">
            <v>320</v>
          </cell>
          <cell r="CK655">
            <v>844</v>
          </cell>
          <cell r="CM655">
            <v>208.51</v>
          </cell>
          <cell r="CN655">
            <v>22.33</v>
          </cell>
          <cell r="CO655" t="str">
            <v>#N/A N/A</v>
          </cell>
          <cell r="CQ655">
            <v>6.45</v>
          </cell>
          <cell r="CR655">
            <v>75</v>
          </cell>
          <cell r="CS655">
            <v>3921</v>
          </cell>
          <cell r="CU655">
            <v>1100</v>
          </cell>
          <cell r="CW655">
            <v>65.167682926829272</v>
          </cell>
          <cell r="CX655">
            <v>701.8605</v>
          </cell>
          <cell r="CZ655">
            <v>333.5</v>
          </cell>
          <cell r="DA655">
            <v>4035</v>
          </cell>
          <cell r="DB655">
            <v>11.8</v>
          </cell>
          <cell r="DC655">
            <v>333.5</v>
          </cell>
          <cell r="DD655">
            <v>139.30000000000001</v>
          </cell>
        </row>
        <row r="656">
          <cell r="A656">
            <v>39369</v>
          </cell>
          <cell r="C656">
            <v>28</v>
          </cell>
          <cell r="D656" t="str">
            <v>#N/A N/A</v>
          </cell>
          <cell r="E656">
            <v>11.91</v>
          </cell>
          <cell r="L656">
            <v>2026.44</v>
          </cell>
          <cell r="M656">
            <v>2805.68</v>
          </cell>
          <cell r="N656">
            <v>6730.7</v>
          </cell>
          <cell r="O656">
            <v>4377</v>
          </cell>
          <cell r="Q656">
            <v>520</v>
          </cell>
          <cell r="R656">
            <v>351</v>
          </cell>
          <cell r="S656">
            <v>857.5</v>
          </cell>
          <cell r="T656">
            <v>976.75</v>
          </cell>
          <cell r="U656">
            <v>17331.169999999998</v>
          </cell>
          <cell r="V656">
            <v>28838.37</v>
          </cell>
          <cell r="W656">
            <v>9496.4699999999993</v>
          </cell>
          <cell r="X656">
            <v>79.8</v>
          </cell>
          <cell r="Y656">
            <v>1200</v>
          </cell>
          <cell r="Z656">
            <v>1570</v>
          </cell>
          <cell r="AA656">
            <v>18419.04</v>
          </cell>
          <cell r="AB656">
            <v>6760.1</v>
          </cell>
          <cell r="AC656">
            <v>62455.769500000002</v>
          </cell>
          <cell r="AE656">
            <v>94</v>
          </cell>
          <cell r="AF656">
            <v>828.66</v>
          </cell>
          <cell r="AG656">
            <v>10695</v>
          </cell>
          <cell r="AH656">
            <v>1015</v>
          </cell>
          <cell r="AI656">
            <v>1730</v>
          </cell>
          <cell r="AJ656">
            <v>806.69</v>
          </cell>
          <cell r="AL656">
            <v>1561.8</v>
          </cell>
          <cell r="AP656">
            <v>5903.2640000000001</v>
          </cell>
          <cell r="AV656">
            <v>72.05</v>
          </cell>
          <cell r="AZ656">
            <v>264.10000000000002</v>
          </cell>
          <cell r="BE656">
            <v>31660</v>
          </cell>
          <cell r="BG656">
            <v>75.5</v>
          </cell>
          <cell r="BH656">
            <v>597.42999999999995</v>
          </cell>
          <cell r="BY656">
            <v>487.43</v>
          </cell>
          <cell r="CD656">
            <v>423.88</v>
          </cell>
          <cell r="CE656">
            <v>410.43700000000001</v>
          </cell>
          <cell r="CF656">
            <v>542.58000000000004</v>
          </cell>
          <cell r="CG656">
            <v>1400</v>
          </cell>
          <cell r="CH656">
            <v>1045</v>
          </cell>
          <cell r="CI656">
            <v>135</v>
          </cell>
          <cell r="CJ656">
            <v>320</v>
          </cell>
          <cell r="CK656">
            <v>844</v>
          </cell>
          <cell r="CM656">
            <v>208.51</v>
          </cell>
          <cell r="CN656">
            <v>22.33</v>
          </cell>
          <cell r="CO656" t="str">
            <v>#N/A N/A</v>
          </cell>
          <cell r="CQ656">
            <v>6.45</v>
          </cell>
          <cell r="CR656">
            <v>75</v>
          </cell>
          <cell r="CS656">
            <v>3921</v>
          </cell>
          <cell r="CU656">
            <v>1100</v>
          </cell>
          <cell r="CW656">
            <v>65.167682926829272</v>
          </cell>
          <cell r="CX656">
            <v>701.8605</v>
          </cell>
          <cell r="CZ656">
            <v>333.5</v>
          </cell>
          <cell r="DA656">
            <v>4035</v>
          </cell>
          <cell r="DB656">
            <v>11.8</v>
          </cell>
          <cell r="DC656">
            <v>333.5</v>
          </cell>
          <cell r="DD656">
            <v>139.30000000000001</v>
          </cell>
        </row>
        <row r="657">
          <cell r="A657">
            <v>39370</v>
          </cell>
          <cell r="C657">
            <v>28</v>
          </cell>
          <cell r="D657" t="str">
            <v>#N/A N/A</v>
          </cell>
          <cell r="E657">
            <v>11.64</v>
          </cell>
          <cell r="L657">
            <v>2035.39</v>
          </cell>
          <cell r="M657">
            <v>2780.05</v>
          </cell>
          <cell r="N657">
            <v>6644.5</v>
          </cell>
          <cell r="O657">
            <v>4372</v>
          </cell>
          <cell r="Q657">
            <v>520</v>
          </cell>
          <cell r="R657">
            <v>362</v>
          </cell>
          <cell r="S657">
            <v>833.5</v>
          </cell>
          <cell r="T657">
            <v>987</v>
          </cell>
          <cell r="U657">
            <v>17358.150000000001</v>
          </cell>
          <cell r="V657">
            <v>29540.78</v>
          </cell>
          <cell r="W657">
            <v>9518.4500000000007</v>
          </cell>
          <cell r="X657">
            <v>80</v>
          </cell>
          <cell r="Y657">
            <v>1200</v>
          </cell>
          <cell r="Z657">
            <v>1570</v>
          </cell>
          <cell r="AA657">
            <v>19058.669999999998</v>
          </cell>
          <cell r="AB657">
            <v>6751.6</v>
          </cell>
          <cell r="AC657">
            <v>62969.441400000003</v>
          </cell>
          <cell r="AE657">
            <v>94.75</v>
          </cell>
          <cell r="AF657">
            <v>828.66</v>
          </cell>
          <cell r="AG657">
            <v>10756</v>
          </cell>
          <cell r="AH657">
            <v>1015</v>
          </cell>
          <cell r="AI657">
            <v>1730</v>
          </cell>
          <cell r="AJ657">
            <v>813.93</v>
          </cell>
          <cell r="AL657">
            <v>1548.71</v>
          </cell>
          <cell r="AP657">
            <v>6030.0860000000002</v>
          </cell>
          <cell r="AV657">
            <v>70.510000000000005</v>
          </cell>
          <cell r="AZ657">
            <v>266.3</v>
          </cell>
          <cell r="BE657">
            <v>31605</v>
          </cell>
          <cell r="BG657">
            <v>75.5</v>
          </cell>
          <cell r="BH657">
            <v>600.34</v>
          </cell>
          <cell r="BY657">
            <v>487.37</v>
          </cell>
          <cell r="CD657">
            <v>422</v>
          </cell>
          <cell r="CE657">
            <v>407.86799999999999</v>
          </cell>
          <cell r="CF657">
            <v>551.79</v>
          </cell>
          <cell r="CG657">
            <v>1400</v>
          </cell>
          <cell r="CH657">
            <v>1045</v>
          </cell>
          <cell r="CI657">
            <v>135</v>
          </cell>
          <cell r="CJ657">
            <v>320</v>
          </cell>
          <cell r="CK657">
            <v>854</v>
          </cell>
          <cell r="CM657">
            <v>215.75</v>
          </cell>
          <cell r="CN657">
            <v>22.6</v>
          </cell>
          <cell r="CO657" t="str">
            <v>#N/A N/A</v>
          </cell>
          <cell r="CQ657">
            <v>7.08</v>
          </cell>
          <cell r="CR657">
            <v>75</v>
          </cell>
          <cell r="CS657">
            <v>3918</v>
          </cell>
          <cell r="CU657">
            <v>1100</v>
          </cell>
          <cell r="CW657">
            <v>65.929878048780495</v>
          </cell>
          <cell r="CX657">
            <v>703.49400000000003</v>
          </cell>
          <cell r="CZ657">
            <v>338.15</v>
          </cell>
          <cell r="DA657">
            <v>4053.1</v>
          </cell>
          <cell r="DB657">
            <v>11.92</v>
          </cell>
          <cell r="DC657">
            <v>333.5</v>
          </cell>
          <cell r="DD657">
            <v>130.05000000000001</v>
          </cell>
        </row>
        <row r="658">
          <cell r="A658">
            <v>39371</v>
          </cell>
          <cell r="C658">
            <v>28</v>
          </cell>
          <cell r="D658" t="str">
            <v>#N/A N/A</v>
          </cell>
          <cell r="E658">
            <v>11.24</v>
          </cell>
          <cell r="L658">
            <v>2005.76</v>
          </cell>
          <cell r="M658">
            <v>2763.91</v>
          </cell>
          <cell r="N658">
            <v>6614.3</v>
          </cell>
          <cell r="O658">
            <v>4374</v>
          </cell>
          <cell r="Q658">
            <v>520</v>
          </cell>
          <cell r="R658">
            <v>360.5</v>
          </cell>
          <cell r="S658">
            <v>828.5</v>
          </cell>
          <cell r="T658">
            <v>977.5</v>
          </cell>
          <cell r="U658">
            <v>17137.919999999998</v>
          </cell>
          <cell r="V658">
            <v>28954.55</v>
          </cell>
          <cell r="W658">
            <v>9592.4699999999993</v>
          </cell>
          <cell r="X658">
            <v>82.9</v>
          </cell>
          <cell r="Y658">
            <v>1200</v>
          </cell>
          <cell r="Z658">
            <v>1570</v>
          </cell>
          <cell r="AA658">
            <v>19051.86</v>
          </cell>
          <cell r="AB658">
            <v>6711.3</v>
          </cell>
          <cell r="AC658">
            <v>61717.898399999998</v>
          </cell>
          <cell r="AE658">
            <v>98.05</v>
          </cell>
          <cell r="AF658">
            <v>829.86</v>
          </cell>
          <cell r="AG658">
            <v>10748</v>
          </cell>
          <cell r="AH658">
            <v>1015</v>
          </cell>
          <cell r="AI658">
            <v>1730</v>
          </cell>
          <cell r="AJ658">
            <v>792.73</v>
          </cell>
          <cell r="AL658">
            <v>1538.53</v>
          </cell>
          <cell r="AP658">
            <v>6092.0569999999998</v>
          </cell>
          <cell r="AV658">
            <v>68.599999999999994</v>
          </cell>
          <cell r="AZ658">
            <v>268.60000000000002</v>
          </cell>
          <cell r="BE658">
            <v>31450</v>
          </cell>
          <cell r="BG658">
            <v>75.5</v>
          </cell>
          <cell r="BH658">
            <v>605.39</v>
          </cell>
          <cell r="BY658">
            <v>486.88</v>
          </cell>
          <cell r="CD658">
            <v>417.61</v>
          </cell>
          <cell r="CE658">
            <v>403.71499999999997</v>
          </cell>
          <cell r="CF658">
            <v>548.16</v>
          </cell>
          <cell r="CG658">
            <v>1400</v>
          </cell>
          <cell r="CH658">
            <v>1045</v>
          </cell>
          <cell r="CI658">
            <v>135</v>
          </cell>
          <cell r="CJ658">
            <v>320</v>
          </cell>
          <cell r="CK658">
            <v>879</v>
          </cell>
          <cell r="CM658">
            <v>217.37</v>
          </cell>
          <cell r="CN658">
            <v>22.85</v>
          </cell>
          <cell r="CO658" t="str">
            <v>#N/A N/A</v>
          </cell>
          <cell r="CQ658">
            <v>7.29</v>
          </cell>
          <cell r="CR658">
            <v>75</v>
          </cell>
          <cell r="CS658">
            <v>3702</v>
          </cell>
          <cell r="CU658">
            <v>1100</v>
          </cell>
          <cell r="CW658">
            <v>70.045731707317074</v>
          </cell>
          <cell r="CX658">
            <v>700.77149999999995</v>
          </cell>
          <cell r="CZ658">
            <v>339.33</v>
          </cell>
          <cell r="DA658">
            <v>4005</v>
          </cell>
          <cell r="DB658">
            <v>11.9</v>
          </cell>
          <cell r="DC658">
            <v>333.5</v>
          </cell>
          <cell r="DD658">
            <v>128.15</v>
          </cell>
        </row>
        <row r="659">
          <cell r="A659">
            <v>39372</v>
          </cell>
          <cell r="C659">
            <v>28</v>
          </cell>
          <cell r="D659" t="str">
            <v>#N/A N/A</v>
          </cell>
          <cell r="E659">
            <v>11.03</v>
          </cell>
          <cell r="L659">
            <v>1983.94</v>
          </cell>
          <cell r="M659">
            <v>2792.67</v>
          </cell>
          <cell r="N659">
            <v>6677.7</v>
          </cell>
          <cell r="O659">
            <v>4367</v>
          </cell>
          <cell r="Q659">
            <v>520</v>
          </cell>
          <cell r="R659">
            <v>358</v>
          </cell>
          <cell r="S659">
            <v>820.5</v>
          </cell>
          <cell r="T659">
            <v>974.25</v>
          </cell>
          <cell r="U659">
            <v>16955.310000000001</v>
          </cell>
          <cell r="V659">
            <v>29298.71</v>
          </cell>
          <cell r="W659">
            <v>9562.16</v>
          </cell>
          <cell r="X659">
            <v>83.85</v>
          </cell>
          <cell r="Y659">
            <v>1200</v>
          </cell>
          <cell r="Z659">
            <v>1570</v>
          </cell>
          <cell r="AA659">
            <v>18715.82</v>
          </cell>
          <cell r="AB659">
            <v>6696.1</v>
          </cell>
          <cell r="AC659">
            <v>63193.671900000001</v>
          </cell>
          <cell r="AE659">
            <v>98.55</v>
          </cell>
          <cell r="AF659">
            <v>829.86</v>
          </cell>
          <cell r="AG659">
            <v>10724</v>
          </cell>
          <cell r="AH659">
            <v>1015</v>
          </cell>
          <cell r="AI659">
            <v>1730</v>
          </cell>
          <cell r="AJ659">
            <v>780.22</v>
          </cell>
          <cell r="AL659">
            <v>1541.24</v>
          </cell>
          <cell r="AP659">
            <v>6036.2809999999999</v>
          </cell>
          <cell r="AV659">
            <v>69.599999999999994</v>
          </cell>
          <cell r="AZ659">
            <v>266.8</v>
          </cell>
          <cell r="BE659">
            <v>31443</v>
          </cell>
          <cell r="BG659">
            <v>75.5</v>
          </cell>
          <cell r="BH659">
            <v>600.1</v>
          </cell>
          <cell r="BY659">
            <v>495.89</v>
          </cell>
          <cell r="CD659">
            <v>418.98</v>
          </cell>
          <cell r="CE659">
            <v>405.00200000000001</v>
          </cell>
          <cell r="CF659">
            <v>545</v>
          </cell>
          <cell r="CG659">
            <v>1400</v>
          </cell>
          <cell r="CH659">
            <v>1045</v>
          </cell>
          <cell r="CI659">
            <v>135</v>
          </cell>
          <cell r="CJ659">
            <v>320</v>
          </cell>
          <cell r="CK659">
            <v>933</v>
          </cell>
          <cell r="CM659">
            <v>214.66</v>
          </cell>
          <cell r="CN659">
            <v>22.97</v>
          </cell>
          <cell r="CO659" t="str">
            <v>#N/A N/A</v>
          </cell>
          <cell r="CQ659">
            <v>7.11</v>
          </cell>
          <cell r="CR659">
            <v>78</v>
          </cell>
          <cell r="CS659">
            <v>3575</v>
          </cell>
          <cell r="CU659">
            <v>1100</v>
          </cell>
          <cell r="CW659">
            <v>69.131097560975618</v>
          </cell>
          <cell r="CX659">
            <v>702.60299999999995</v>
          </cell>
          <cell r="CZ659">
            <v>338.82</v>
          </cell>
          <cell r="DA659">
            <v>3972.1</v>
          </cell>
          <cell r="DB659">
            <v>12.18</v>
          </cell>
          <cell r="DC659">
            <v>333.5</v>
          </cell>
          <cell r="DD659">
            <v>129.55000000000001</v>
          </cell>
        </row>
        <row r="660">
          <cell r="A660">
            <v>39373</v>
          </cell>
          <cell r="C660">
            <v>28</v>
          </cell>
          <cell r="D660" t="str">
            <v>#N/A N/A</v>
          </cell>
          <cell r="E660">
            <v>10.73</v>
          </cell>
          <cell r="L660">
            <v>2005.09</v>
          </cell>
          <cell r="M660">
            <v>2799.31</v>
          </cell>
          <cell r="N660">
            <v>6609.4</v>
          </cell>
          <cell r="O660">
            <v>4364</v>
          </cell>
          <cell r="Q660">
            <v>520</v>
          </cell>
          <cell r="R660">
            <v>367.25</v>
          </cell>
          <cell r="S660">
            <v>825.5</v>
          </cell>
          <cell r="T660">
            <v>991.5</v>
          </cell>
          <cell r="U660">
            <v>17106.09</v>
          </cell>
          <cell r="V660">
            <v>29465.05</v>
          </cell>
          <cell r="W660">
            <v>9637.07</v>
          </cell>
          <cell r="X660">
            <v>83.55</v>
          </cell>
          <cell r="Y660">
            <v>1200</v>
          </cell>
          <cell r="Z660">
            <v>1570</v>
          </cell>
          <cell r="AA660">
            <v>17998.39</v>
          </cell>
          <cell r="AB660">
            <v>6781</v>
          </cell>
          <cell r="AC660">
            <v>63261.328099999999</v>
          </cell>
          <cell r="AE660">
            <v>98.85</v>
          </cell>
          <cell r="AF660">
            <v>829.86</v>
          </cell>
          <cell r="AG660">
            <v>10732</v>
          </cell>
          <cell r="AH660">
            <v>1015</v>
          </cell>
          <cell r="AI660">
            <v>1730</v>
          </cell>
          <cell r="AJ660">
            <v>792.2</v>
          </cell>
          <cell r="AL660">
            <v>1540.08</v>
          </cell>
          <cell r="AP660">
            <v>5825.2820000000002</v>
          </cell>
          <cell r="AV660">
            <v>70.150000000000006</v>
          </cell>
          <cell r="AZ660">
            <v>272</v>
          </cell>
          <cell r="BE660">
            <v>32150</v>
          </cell>
          <cell r="BG660">
            <v>75.5</v>
          </cell>
          <cell r="BH660">
            <v>588.54999999999995</v>
          </cell>
          <cell r="BY660">
            <v>496.33</v>
          </cell>
          <cell r="CD660">
            <v>419.53</v>
          </cell>
          <cell r="CE660">
            <v>405.62599999999998</v>
          </cell>
          <cell r="CF660">
            <v>546.1</v>
          </cell>
          <cell r="CG660">
            <v>1400</v>
          </cell>
          <cell r="CH660">
            <v>1045</v>
          </cell>
          <cell r="CI660">
            <v>135</v>
          </cell>
          <cell r="CJ660">
            <v>320</v>
          </cell>
          <cell r="CK660">
            <v>1000</v>
          </cell>
          <cell r="CM660">
            <v>218.51</v>
          </cell>
          <cell r="CN660">
            <v>22.88</v>
          </cell>
          <cell r="CO660" t="str">
            <v>#N/A N/A</v>
          </cell>
          <cell r="CQ660">
            <v>7.1</v>
          </cell>
          <cell r="CR660">
            <v>78</v>
          </cell>
          <cell r="CS660">
            <v>3712</v>
          </cell>
          <cell r="CU660">
            <v>1100</v>
          </cell>
          <cell r="CW660">
            <v>68.978658536585371</v>
          </cell>
          <cell r="CX660">
            <v>707.15699999999993</v>
          </cell>
          <cell r="CZ660">
            <v>342.18</v>
          </cell>
          <cell r="DA660">
            <v>3976.8</v>
          </cell>
          <cell r="DB660">
            <v>12.12</v>
          </cell>
          <cell r="DC660">
            <v>333.5</v>
          </cell>
          <cell r="DD660">
            <v>125.4</v>
          </cell>
        </row>
        <row r="661">
          <cell r="A661">
            <v>39374</v>
          </cell>
          <cell r="C661">
            <v>28</v>
          </cell>
          <cell r="D661" t="str">
            <v>#N/A N/A</v>
          </cell>
          <cell r="E661">
            <v>10.66</v>
          </cell>
          <cell r="L661">
            <v>1970.1</v>
          </cell>
          <cell r="M661">
            <v>2725.16</v>
          </cell>
          <cell r="N661">
            <v>6527.9</v>
          </cell>
          <cell r="O661">
            <v>4369</v>
          </cell>
          <cell r="Q661">
            <v>520</v>
          </cell>
          <cell r="R661">
            <v>370.25</v>
          </cell>
          <cell r="S661">
            <v>855.5</v>
          </cell>
          <cell r="T661">
            <v>983.25</v>
          </cell>
          <cell r="U661">
            <v>16814.37</v>
          </cell>
          <cell r="V661">
            <v>29465.05</v>
          </cell>
          <cell r="W661">
            <v>9611.7199999999993</v>
          </cell>
          <cell r="X661">
            <v>84.55</v>
          </cell>
          <cell r="Y661">
            <v>1105</v>
          </cell>
          <cell r="Z661">
            <v>1570</v>
          </cell>
          <cell r="AA661">
            <v>17559.98</v>
          </cell>
          <cell r="AB661">
            <v>6723.3</v>
          </cell>
          <cell r="AC661">
            <v>60894.289100000002</v>
          </cell>
          <cell r="AE661">
            <v>99.85</v>
          </cell>
          <cell r="AF661">
            <v>829.86</v>
          </cell>
          <cell r="AG661">
            <v>10798</v>
          </cell>
          <cell r="AH661">
            <v>975</v>
          </cell>
          <cell r="AI661">
            <v>1735</v>
          </cell>
          <cell r="AJ661">
            <v>786.93</v>
          </cell>
          <cell r="AL661">
            <v>1500.63</v>
          </cell>
          <cell r="AP661">
            <v>5818.0469999999996</v>
          </cell>
          <cell r="AV661">
            <v>67.45</v>
          </cell>
          <cell r="AZ661">
            <v>272.2</v>
          </cell>
          <cell r="BE661">
            <v>31900</v>
          </cell>
          <cell r="BG661">
            <v>76</v>
          </cell>
          <cell r="BH661">
            <v>585.09</v>
          </cell>
          <cell r="BY661">
            <v>475.01</v>
          </cell>
          <cell r="CD661">
            <v>412.59</v>
          </cell>
          <cell r="CE661">
            <v>398.71</v>
          </cell>
          <cell r="CF661">
            <v>541.91</v>
          </cell>
          <cell r="CG661">
            <v>1400</v>
          </cell>
          <cell r="CH661">
            <v>1055</v>
          </cell>
          <cell r="CI661">
            <v>135</v>
          </cell>
          <cell r="CJ661">
            <v>320</v>
          </cell>
          <cell r="CK661">
            <v>1040</v>
          </cell>
          <cell r="CM661">
            <v>216.87</v>
          </cell>
          <cell r="CN661">
            <v>22.7</v>
          </cell>
          <cell r="CO661" t="str">
            <v>#N/A N/A</v>
          </cell>
          <cell r="CQ661">
            <v>6.91</v>
          </cell>
          <cell r="CR661">
            <v>78</v>
          </cell>
          <cell r="CS661">
            <v>3769</v>
          </cell>
          <cell r="CU661">
            <v>1170</v>
          </cell>
          <cell r="CW661">
            <v>69.740853658536594</v>
          </cell>
          <cell r="CX661">
            <v>706.11749999999995</v>
          </cell>
          <cell r="CZ661">
            <v>340.11</v>
          </cell>
          <cell r="DA661">
            <v>3980.2</v>
          </cell>
          <cell r="DB661">
            <v>11.95</v>
          </cell>
          <cell r="DC661">
            <v>333.5</v>
          </cell>
          <cell r="DD661">
            <v>125</v>
          </cell>
        </row>
        <row r="662">
          <cell r="A662">
            <v>39375</v>
          </cell>
          <cell r="C662">
            <v>28</v>
          </cell>
          <cell r="D662" t="str">
            <v>#N/A N/A</v>
          </cell>
          <cell r="E662">
            <v>10.66</v>
          </cell>
          <cell r="L662">
            <v>1970.1</v>
          </cell>
          <cell r="M662">
            <v>2725.16</v>
          </cell>
          <cell r="N662">
            <v>6527.9</v>
          </cell>
          <cell r="O662">
            <v>4369</v>
          </cell>
          <cell r="Q662">
            <v>520</v>
          </cell>
          <cell r="R662">
            <v>370.25</v>
          </cell>
          <cell r="S662">
            <v>855.5</v>
          </cell>
          <cell r="T662">
            <v>983.25</v>
          </cell>
          <cell r="U662">
            <v>16814.37</v>
          </cell>
          <cell r="V662">
            <v>29465.05</v>
          </cell>
          <cell r="W662">
            <v>9611.7199999999993</v>
          </cell>
          <cell r="X662">
            <v>84.55</v>
          </cell>
          <cell r="Y662">
            <v>1105</v>
          </cell>
          <cell r="Z662">
            <v>1570</v>
          </cell>
          <cell r="AA662">
            <v>17559.98</v>
          </cell>
          <cell r="AB662">
            <v>6723.3</v>
          </cell>
          <cell r="AC662">
            <v>60894.289100000002</v>
          </cell>
          <cell r="AE662">
            <v>99.85</v>
          </cell>
          <cell r="AF662">
            <v>829.86</v>
          </cell>
          <cell r="AG662">
            <v>10798</v>
          </cell>
          <cell r="AH662">
            <v>975</v>
          </cell>
          <cell r="AI662">
            <v>1735</v>
          </cell>
          <cell r="AJ662">
            <v>786.93</v>
          </cell>
          <cell r="AL662">
            <v>1500.63</v>
          </cell>
          <cell r="AP662">
            <v>5818.0469999999996</v>
          </cell>
          <cell r="AV662">
            <v>67.45</v>
          </cell>
          <cell r="AZ662">
            <v>272.2</v>
          </cell>
          <cell r="BE662">
            <v>31900</v>
          </cell>
          <cell r="BG662">
            <v>76</v>
          </cell>
          <cell r="BH662">
            <v>585.09</v>
          </cell>
          <cell r="BY662">
            <v>475.01</v>
          </cell>
          <cell r="CD662">
            <v>412.59</v>
          </cell>
          <cell r="CE662">
            <v>398.71</v>
          </cell>
          <cell r="CF662">
            <v>541.91</v>
          </cell>
          <cell r="CG662">
            <v>1400</v>
          </cell>
          <cell r="CH662">
            <v>1055</v>
          </cell>
          <cell r="CI662">
            <v>135</v>
          </cell>
          <cell r="CJ662">
            <v>320</v>
          </cell>
          <cell r="CK662">
            <v>1040</v>
          </cell>
          <cell r="CM662">
            <v>216.87</v>
          </cell>
          <cell r="CN662">
            <v>22.7</v>
          </cell>
          <cell r="CO662" t="str">
            <v>#N/A N/A</v>
          </cell>
          <cell r="CQ662">
            <v>6.91</v>
          </cell>
          <cell r="CR662">
            <v>78</v>
          </cell>
          <cell r="CS662">
            <v>3769</v>
          </cell>
          <cell r="CU662">
            <v>1170</v>
          </cell>
          <cell r="CW662">
            <v>69.740853658536594</v>
          </cell>
          <cell r="CX662">
            <v>706.11749999999995</v>
          </cell>
          <cell r="CZ662">
            <v>340.11</v>
          </cell>
          <cell r="DA662">
            <v>3980.2</v>
          </cell>
          <cell r="DB662">
            <v>11.95</v>
          </cell>
          <cell r="DC662">
            <v>333.5</v>
          </cell>
          <cell r="DD662">
            <v>125</v>
          </cell>
        </row>
        <row r="663">
          <cell r="A663">
            <v>39376</v>
          </cell>
          <cell r="C663">
            <v>28</v>
          </cell>
          <cell r="D663" t="str">
            <v>#N/A N/A</v>
          </cell>
          <cell r="E663">
            <v>10.66</v>
          </cell>
          <cell r="L663">
            <v>1970.1</v>
          </cell>
          <cell r="M663">
            <v>2725.16</v>
          </cell>
          <cell r="N663">
            <v>6527.9</v>
          </cell>
          <cell r="O663">
            <v>4369</v>
          </cell>
          <cell r="Q663">
            <v>520</v>
          </cell>
          <cell r="R663">
            <v>370.25</v>
          </cell>
          <cell r="S663">
            <v>855.5</v>
          </cell>
          <cell r="T663">
            <v>983.25</v>
          </cell>
          <cell r="U663">
            <v>16814.37</v>
          </cell>
          <cell r="V663">
            <v>29465.05</v>
          </cell>
          <cell r="W663">
            <v>9611.7199999999993</v>
          </cell>
          <cell r="X663">
            <v>84.55</v>
          </cell>
          <cell r="Y663">
            <v>1105</v>
          </cell>
          <cell r="Z663">
            <v>1570</v>
          </cell>
          <cell r="AA663">
            <v>17559.98</v>
          </cell>
          <cell r="AB663">
            <v>6723.3</v>
          </cell>
          <cell r="AC663">
            <v>60894.289100000002</v>
          </cell>
          <cell r="AE663">
            <v>99.85</v>
          </cell>
          <cell r="AF663">
            <v>829.86</v>
          </cell>
          <cell r="AG663">
            <v>10798</v>
          </cell>
          <cell r="AH663">
            <v>975</v>
          </cell>
          <cell r="AI663">
            <v>1735</v>
          </cell>
          <cell r="AJ663">
            <v>786.93</v>
          </cell>
          <cell r="AL663">
            <v>1500.63</v>
          </cell>
          <cell r="AP663">
            <v>5818.0469999999996</v>
          </cell>
          <cell r="AV663">
            <v>67.45</v>
          </cell>
          <cell r="AZ663">
            <v>272.2</v>
          </cell>
          <cell r="BE663">
            <v>31900</v>
          </cell>
          <cell r="BG663">
            <v>76</v>
          </cell>
          <cell r="BH663">
            <v>585.09</v>
          </cell>
          <cell r="BY663">
            <v>475.01</v>
          </cell>
          <cell r="CD663">
            <v>412.59</v>
          </cell>
          <cell r="CE663">
            <v>398.71</v>
          </cell>
          <cell r="CF663">
            <v>541.91</v>
          </cell>
          <cell r="CG663">
            <v>1400</v>
          </cell>
          <cell r="CH663">
            <v>1055</v>
          </cell>
          <cell r="CI663">
            <v>135</v>
          </cell>
          <cell r="CJ663">
            <v>320</v>
          </cell>
          <cell r="CK663">
            <v>1040</v>
          </cell>
          <cell r="CM663">
            <v>216.87</v>
          </cell>
          <cell r="CN663">
            <v>22.7</v>
          </cell>
          <cell r="CO663" t="str">
            <v>#N/A N/A</v>
          </cell>
          <cell r="CQ663">
            <v>6.91</v>
          </cell>
          <cell r="CR663">
            <v>78</v>
          </cell>
          <cell r="CS663">
            <v>3769</v>
          </cell>
          <cell r="CU663">
            <v>1170</v>
          </cell>
          <cell r="CW663">
            <v>69.740853658536594</v>
          </cell>
          <cell r="CX663">
            <v>706.11749999999995</v>
          </cell>
          <cell r="CZ663">
            <v>340.11</v>
          </cell>
          <cell r="DA663">
            <v>3980.2</v>
          </cell>
          <cell r="DB663">
            <v>11.95</v>
          </cell>
          <cell r="DC663">
            <v>333.5</v>
          </cell>
          <cell r="DD663">
            <v>125</v>
          </cell>
        </row>
        <row r="664">
          <cell r="A664">
            <v>39377</v>
          </cell>
          <cell r="C664">
            <v>28</v>
          </cell>
          <cell r="D664" t="str">
            <v>#N/A N/A</v>
          </cell>
          <cell r="E664">
            <v>10.44</v>
          </cell>
          <cell r="L664">
            <v>1903.81</v>
          </cell>
          <cell r="M664">
            <v>2753.93</v>
          </cell>
          <cell r="N664">
            <v>6459.3</v>
          </cell>
          <cell r="O664">
            <v>4384</v>
          </cell>
          <cell r="Q664">
            <v>520</v>
          </cell>
          <cell r="R664">
            <v>364.5</v>
          </cell>
          <cell r="S664">
            <v>871</v>
          </cell>
          <cell r="T664">
            <v>976.5</v>
          </cell>
          <cell r="U664">
            <v>16438.47</v>
          </cell>
          <cell r="V664">
            <v>28373.63</v>
          </cell>
          <cell r="W664">
            <v>9360.6299999999992</v>
          </cell>
          <cell r="X664">
            <v>82.7</v>
          </cell>
          <cell r="Y664">
            <v>1105</v>
          </cell>
          <cell r="Z664">
            <v>1570</v>
          </cell>
          <cell r="AA664">
            <v>17613.990000000002</v>
          </cell>
          <cell r="AB664">
            <v>6592.1</v>
          </cell>
          <cell r="AC664">
            <v>61215.128900000003</v>
          </cell>
          <cell r="AE664">
            <v>98.25</v>
          </cell>
          <cell r="AF664">
            <v>829.86</v>
          </cell>
          <cell r="AG664">
            <v>10853</v>
          </cell>
          <cell r="AH664">
            <v>975</v>
          </cell>
          <cell r="AI664">
            <v>1735</v>
          </cell>
          <cell r="AJ664">
            <v>768.9</v>
          </cell>
          <cell r="AL664">
            <v>1506.33</v>
          </cell>
          <cell r="AP664">
            <v>5667.3320000000003</v>
          </cell>
          <cell r="AV664">
            <v>67.17</v>
          </cell>
          <cell r="AZ664">
            <v>267.3</v>
          </cell>
          <cell r="BE664">
            <v>31385</v>
          </cell>
          <cell r="BG664">
            <v>76</v>
          </cell>
          <cell r="BH664">
            <v>554.41999999999996</v>
          </cell>
          <cell r="BY664">
            <v>479.82</v>
          </cell>
          <cell r="CD664">
            <v>408.68</v>
          </cell>
          <cell r="CE664">
            <v>395.59100000000001</v>
          </cell>
          <cell r="CF664">
            <v>525.71</v>
          </cell>
          <cell r="CG664">
            <v>1400</v>
          </cell>
          <cell r="CH664">
            <v>1055</v>
          </cell>
          <cell r="CI664">
            <v>135</v>
          </cell>
          <cell r="CJ664">
            <v>320</v>
          </cell>
          <cell r="CK664">
            <v>1053</v>
          </cell>
          <cell r="CM664">
            <v>213.34</v>
          </cell>
          <cell r="CN664">
            <v>22.12</v>
          </cell>
          <cell r="CO664" t="str">
            <v>#N/A N/A</v>
          </cell>
          <cell r="CQ664">
            <v>6.68</v>
          </cell>
          <cell r="CR664">
            <v>78</v>
          </cell>
          <cell r="CS664">
            <v>3633.5</v>
          </cell>
          <cell r="CU664">
            <v>1170</v>
          </cell>
          <cell r="CW664">
            <v>68.521341463414643</v>
          </cell>
          <cell r="CX664">
            <v>700.02900000000011</v>
          </cell>
          <cell r="CZ664">
            <v>336.35</v>
          </cell>
          <cell r="DA664">
            <v>3917.2</v>
          </cell>
          <cell r="DB664">
            <v>12.21</v>
          </cell>
          <cell r="DC664">
            <v>333.5</v>
          </cell>
          <cell r="DD664">
            <v>123.55</v>
          </cell>
        </row>
        <row r="665">
          <cell r="A665">
            <v>39378</v>
          </cell>
          <cell r="C665">
            <v>28</v>
          </cell>
          <cell r="D665" t="str">
            <v>#N/A N/A</v>
          </cell>
          <cell r="E665">
            <v>10.220000000000001</v>
          </cell>
          <cell r="L665">
            <v>1947.98</v>
          </cell>
          <cell r="M665">
            <v>2799.26</v>
          </cell>
          <cell r="N665">
            <v>6514</v>
          </cell>
          <cell r="O665">
            <v>4392</v>
          </cell>
          <cell r="Q665">
            <v>520</v>
          </cell>
          <cell r="R665">
            <v>361</v>
          </cell>
          <cell r="S665">
            <v>841</v>
          </cell>
          <cell r="T665">
            <v>981.75</v>
          </cell>
          <cell r="U665">
            <v>16450.580000000002</v>
          </cell>
          <cell r="V665">
            <v>29376.86</v>
          </cell>
          <cell r="W665">
            <v>9502.39</v>
          </cell>
          <cell r="X665">
            <v>83.35</v>
          </cell>
          <cell r="Y665">
            <v>1105</v>
          </cell>
          <cell r="Z665">
            <v>1570</v>
          </cell>
          <cell r="AA665">
            <v>18492.84</v>
          </cell>
          <cell r="AB665">
            <v>6677.5</v>
          </cell>
          <cell r="AC665">
            <v>62697.140599999999</v>
          </cell>
          <cell r="AE665">
            <v>97.65</v>
          </cell>
          <cell r="AF665">
            <v>830</v>
          </cell>
          <cell r="AG665">
            <v>10944</v>
          </cell>
          <cell r="AH665">
            <v>975</v>
          </cell>
          <cell r="AI665">
            <v>1735</v>
          </cell>
          <cell r="AJ665">
            <v>789</v>
          </cell>
          <cell r="AL665">
            <v>1519.59</v>
          </cell>
          <cell r="AP665">
            <v>5773.3869999999997</v>
          </cell>
          <cell r="AV665">
            <v>68.62</v>
          </cell>
          <cell r="AZ665">
            <v>271.3</v>
          </cell>
          <cell r="BE665">
            <v>31380</v>
          </cell>
          <cell r="BG665">
            <v>76</v>
          </cell>
          <cell r="BH665">
            <v>563.67999999999995</v>
          </cell>
          <cell r="BY665">
            <v>478.62</v>
          </cell>
          <cell r="CD665">
            <v>414.14</v>
          </cell>
          <cell r="CE665">
            <v>400.18400000000003</v>
          </cell>
          <cell r="CF665">
            <v>540.44000000000005</v>
          </cell>
          <cell r="CG665">
            <v>1400</v>
          </cell>
          <cell r="CH665">
            <v>1055</v>
          </cell>
          <cell r="CI665">
            <v>135</v>
          </cell>
          <cell r="CJ665">
            <v>320</v>
          </cell>
          <cell r="CK665">
            <v>1063</v>
          </cell>
          <cell r="CM665">
            <v>210.89</v>
          </cell>
          <cell r="CN665">
            <v>22.08</v>
          </cell>
          <cell r="CO665" t="str">
            <v>#N/A N/A</v>
          </cell>
          <cell r="CQ665">
            <v>6.3</v>
          </cell>
          <cell r="CR665">
            <v>78</v>
          </cell>
          <cell r="CS665">
            <v>3630</v>
          </cell>
          <cell r="CU665">
            <v>1170</v>
          </cell>
          <cell r="CW665">
            <v>69.131097560975618</v>
          </cell>
          <cell r="CX665">
            <v>705.22649999999999</v>
          </cell>
          <cell r="CZ665">
            <v>335.34</v>
          </cell>
          <cell r="DA665">
            <v>3928.9</v>
          </cell>
          <cell r="DB665">
            <v>12.21</v>
          </cell>
          <cell r="DC665">
            <v>333.5</v>
          </cell>
          <cell r="DD665">
            <v>123.85</v>
          </cell>
        </row>
        <row r="666">
          <cell r="A666">
            <v>39379</v>
          </cell>
          <cell r="C666">
            <v>28</v>
          </cell>
          <cell r="D666" t="str">
            <v>#N/A N/A</v>
          </cell>
          <cell r="E666">
            <v>9.75</v>
          </cell>
          <cell r="L666">
            <v>1933.36</v>
          </cell>
          <cell r="M666">
            <v>2774.76</v>
          </cell>
          <cell r="N666">
            <v>6482</v>
          </cell>
          <cell r="O666">
            <v>4397</v>
          </cell>
          <cell r="Q666">
            <v>520</v>
          </cell>
          <cell r="R666">
            <v>356.5</v>
          </cell>
          <cell r="S666">
            <v>811</v>
          </cell>
          <cell r="T666">
            <v>976.25</v>
          </cell>
          <cell r="U666">
            <v>16358.39</v>
          </cell>
          <cell r="V666">
            <v>29333.53</v>
          </cell>
          <cell r="W666">
            <v>9442.6200000000008</v>
          </cell>
          <cell r="X666">
            <v>82.85</v>
          </cell>
          <cell r="Y666">
            <v>1105</v>
          </cell>
          <cell r="Z666">
            <v>1570</v>
          </cell>
          <cell r="AA666">
            <v>18512.91</v>
          </cell>
          <cell r="AB666">
            <v>6652.1</v>
          </cell>
          <cell r="AC666">
            <v>62624.808599999997</v>
          </cell>
          <cell r="AE666">
            <v>97.85</v>
          </cell>
          <cell r="AF666">
            <v>830</v>
          </cell>
          <cell r="AG666">
            <v>10984</v>
          </cell>
          <cell r="AH666">
            <v>975</v>
          </cell>
          <cell r="AI666">
            <v>1735</v>
          </cell>
          <cell r="AJ666">
            <v>781.79</v>
          </cell>
          <cell r="AL666">
            <v>1515.88</v>
          </cell>
          <cell r="AP666">
            <v>5843.1090000000004</v>
          </cell>
          <cell r="AV666">
            <v>67.81</v>
          </cell>
          <cell r="AZ666">
            <v>271.60000000000002</v>
          </cell>
          <cell r="BE666">
            <v>30435</v>
          </cell>
          <cell r="BG666">
            <v>76</v>
          </cell>
          <cell r="BH666">
            <v>563.64</v>
          </cell>
          <cell r="BY666">
            <v>461.83</v>
          </cell>
          <cell r="CD666">
            <v>412.76</v>
          </cell>
          <cell r="CE666">
            <v>398.815</v>
          </cell>
          <cell r="CF666">
            <v>539.45000000000005</v>
          </cell>
          <cell r="CG666">
            <v>1400</v>
          </cell>
          <cell r="CH666">
            <v>1055</v>
          </cell>
          <cell r="CI666">
            <v>135</v>
          </cell>
          <cell r="CJ666">
            <v>320</v>
          </cell>
          <cell r="CK666">
            <v>1071</v>
          </cell>
          <cell r="CM666">
            <v>214.75</v>
          </cell>
          <cell r="CN666">
            <v>22.48</v>
          </cell>
          <cell r="CO666" t="str">
            <v>#N/A N/A</v>
          </cell>
          <cell r="CQ666">
            <v>6.09</v>
          </cell>
          <cell r="CR666">
            <v>80</v>
          </cell>
          <cell r="CS666">
            <v>3518</v>
          </cell>
          <cell r="CU666">
            <v>1170</v>
          </cell>
          <cell r="CW666">
            <v>68.826219512195124</v>
          </cell>
          <cell r="CX666">
            <v>711.8</v>
          </cell>
          <cell r="CZ666">
            <v>336.13</v>
          </cell>
          <cell r="DA666">
            <v>3861.6</v>
          </cell>
          <cell r="DB666">
            <v>12.21</v>
          </cell>
          <cell r="DC666">
            <v>333.5</v>
          </cell>
          <cell r="DD666">
            <v>123.5</v>
          </cell>
        </row>
        <row r="667">
          <cell r="A667">
            <v>39380</v>
          </cell>
          <cell r="C667">
            <v>28</v>
          </cell>
          <cell r="D667" t="str">
            <v>#N/A N/A</v>
          </cell>
          <cell r="E667">
            <v>9.7100000000000009</v>
          </cell>
          <cell r="L667">
            <v>1976.75</v>
          </cell>
          <cell r="M667">
            <v>2750.86</v>
          </cell>
          <cell r="N667">
            <v>6576.3</v>
          </cell>
          <cell r="O667">
            <v>4399</v>
          </cell>
          <cell r="Q667">
            <v>520</v>
          </cell>
          <cell r="R667">
            <v>366.25</v>
          </cell>
          <cell r="S667">
            <v>802</v>
          </cell>
          <cell r="T667">
            <v>994.75</v>
          </cell>
          <cell r="U667">
            <v>16284.17</v>
          </cell>
          <cell r="V667">
            <v>29854.49</v>
          </cell>
          <cell r="W667">
            <v>9568.26</v>
          </cell>
          <cell r="X667">
            <v>85.25</v>
          </cell>
          <cell r="Y667">
            <v>1105</v>
          </cell>
          <cell r="Z667">
            <v>1570</v>
          </cell>
          <cell r="AA667">
            <v>18770.89</v>
          </cell>
          <cell r="AB667">
            <v>6644.8</v>
          </cell>
          <cell r="AC667">
            <v>62341.488299999997</v>
          </cell>
          <cell r="AE667">
            <v>100.25</v>
          </cell>
          <cell r="AF667">
            <v>830</v>
          </cell>
          <cell r="AG667">
            <v>10984</v>
          </cell>
          <cell r="AH667">
            <v>975</v>
          </cell>
          <cell r="AI667">
            <v>1735</v>
          </cell>
          <cell r="AJ667">
            <v>793.7</v>
          </cell>
          <cell r="AL667">
            <v>1514.4</v>
          </cell>
          <cell r="AP667">
            <v>5562.3940000000002</v>
          </cell>
          <cell r="AV667">
            <v>69.95</v>
          </cell>
          <cell r="AZ667">
            <v>271.5</v>
          </cell>
          <cell r="BE667">
            <v>31310</v>
          </cell>
          <cell r="BG667">
            <v>76</v>
          </cell>
          <cell r="BH667">
            <v>558.95000000000005</v>
          </cell>
          <cell r="BY667">
            <v>452.51</v>
          </cell>
          <cell r="CD667">
            <v>415.14</v>
          </cell>
          <cell r="CE667">
            <v>400.68400000000003</v>
          </cell>
          <cell r="CF667">
            <v>548.15</v>
          </cell>
          <cell r="CG667">
            <v>1400</v>
          </cell>
          <cell r="CH667">
            <v>1055</v>
          </cell>
          <cell r="CI667">
            <v>135</v>
          </cell>
          <cell r="CJ667">
            <v>320</v>
          </cell>
          <cell r="CK667">
            <v>1071</v>
          </cell>
          <cell r="CM667">
            <v>223.58</v>
          </cell>
          <cell r="CN667">
            <v>22.67</v>
          </cell>
          <cell r="CO667" t="str">
            <v>#N/A N/A</v>
          </cell>
          <cell r="CQ667">
            <v>6.49</v>
          </cell>
          <cell r="CR667">
            <v>80</v>
          </cell>
          <cell r="CS667">
            <v>3627</v>
          </cell>
          <cell r="CU667">
            <v>1170</v>
          </cell>
          <cell r="CW667">
            <v>71.875</v>
          </cell>
          <cell r="CX667">
            <v>715.25</v>
          </cell>
          <cell r="CZ667">
            <v>342.32</v>
          </cell>
          <cell r="DA667">
            <v>3911.7</v>
          </cell>
          <cell r="DB667">
            <v>12.35</v>
          </cell>
          <cell r="DC667">
            <v>333.5</v>
          </cell>
          <cell r="DD667">
            <v>120.6</v>
          </cell>
        </row>
        <row r="668">
          <cell r="A668">
            <v>39381</v>
          </cell>
          <cell r="C668">
            <v>28</v>
          </cell>
          <cell r="D668" t="str">
            <v>#N/A N/A</v>
          </cell>
          <cell r="E668">
            <v>9.66</v>
          </cell>
          <cell r="L668">
            <v>2028.06</v>
          </cell>
          <cell r="M668">
            <v>2804.19</v>
          </cell>
          <cell r="N668">
            <v>6661.3</v>
          </cell>
          <cell r="O668">
            <v>4404</v>
          </cell>
          <cell r="Q668">
            <v>520</v>
          </cell>
          <cell r="R668">
            <v>372</v>
          </cell>
          <cell r="S668">
            <v>800</v>
          </cell>
          <cell r="T668">
            <v>995.5</v>
          </cell>
          <cell r="U668">
            <v>16505.63</v>
          </cell>
          <cell r="V668">
            <v>30405.22</v>
          </cell>
          <cell r="W668">
            <v>9631.51</v>
          </cell>
          <cell r="X668">
            <v>86.9</v>
          </cell>
          <cell r="Y668">
            <v>1080</v>
          </cell>
          <cell r="Z668">
            <v>1580</v>
          </cell>
          <cell r="AA668">
            <v>19243.169999999998</v>
          </cell>
          <cell r="AB668">
            <v>6716.4</v>
          </cell>
          <cell r="AC668">
            <v>64275.578099999999</v>
          </cell>
          <cell r="AE668">
            <v>103.35</v>
          </cell>
          <cell r="AF668">
            <v>830</v>
          </cell>
          <cell r="AG668">
            <v>11025</v>
          </cell>
          <cell r="AH668">
            <v>965</v>
          </cell>
          <cell r="AI668">
            <v>1735</v>
          </cell>
          <cell r="AJ668">
            <v>799.06</v>
          </cell>
          <cell r="AL668">
            <v>1535.28</v>
          </cell>
          <cell r="AP668">
            <v>5589.6310000000003</v>
          </cell>
          <cell r="AV668">
            <v>73.11</v>
          </cell>
          <cell r="AZ668">
            <v>274.10000000000002</v>
          </cell>
          <cell r="BE668">
            <v>31465</v>
          </cell>
          <cell r="BG668">
            <v>78</v>
          </cell>
          <cell r="BH668">
            <v>570.14</v>
          </cell>
          <cell r="BY668">
            <v>451.93</v>
          </cell>
          <cell r="CD668">
            <v>421.42</v>
          </cell>
          <cell r="CE668">
            <v>406.43299999999999</v>
          </cell>
          <cell r="CF668">
            <v>557.34</v>
          </cell>
          <cell r="CG668">
            <v>1420</v>
          </cell>
          <cell r="CH668">
            <v>1055</v>
          </cell>
          <cell r="CI668">
            <v>135</v>
          </cell>
          <cell r="CJ668">
            <v>320</v>
          </cell>
          <cell r="CK668">
            <v>1071</v>
          </cell>
          <cell r="CM668">
            <v>227.4</v>
          </cell>
          <cell r="CN668">
            <v>22.71</v>
          </cell>
          <cell r="CO668" t="str">
            <v>#N/A N/A</v>
          </cell>
          <cell r="CQ668">
            <v>6.43</v>
          </cell>
          <cell r="CR668">
            <v>80</v>
          </cell>
          <cell r="CS668">
            <v>3681</v>
          </cell>
          <cell r="CU668">
            <v>1205</v>
          </cell>
          <cell r="CW668">
            <v>75</v>
          </cell>
          <cell r="CX668">
            <v>719.5</v>
          </cell>
          <cell r="CZ668">
            <v>345.87</v>
          </cell>
          <cell r="DA668">
            <v>3956.9</v>
          </cell>
          <cell r="DB668">
            <v>12.34</v>
          </cell>
          <cell r="DC668">
            <v>333.5</v>
          </cell>
          <cell r="DD668">
            <v>121.45</v>
          </cell>
        </row>
        <row r="669">
          <cell r="A669">
            <v>39382</v>
          </cell>
          <cell r="C669">
            <v>28</v>
          </cell>
          <cell r="D669" t="str">
            <v>#N/A N/A</v>
          </cell>
          <cell r="E669">
            <v>9.66</v>
          </cell>
          <cell r="L669">
            <v>2028.06</v>
          </cell>
          <cell r="M669">
            <v>2804.19</v>
          </cell>
          <cell r="N669">
            <v>6661.3</v>
          </cell>
          <cell r="O669">
            <v>4404</v>
          </cell>
          <cell r="Q669">
            <v>520</v>
          </cell>
          <cell r="R669">
            <v>372</v>
          </cell>
          <cell r="S669">
            <v>800</v>
          </cell>
          <cell r="T669">
            <v>995.5</v>
          </cell>
          <cell r="U669">
            <v>16505.63</v>
          </cell>
          <cell r="V669">
            <v>30405.22</v>
          </cell>
          <cell r="W669">
            <v>9631.51</v>
          </cell>
          <cell r="X669">
            <v>86.9</v>
          </cell>
          <cell r="Y669">
            <v>1080</v>
          </cell>
          <cell r="Z669">
            <v>1580</v>
          </cell>
          <cell r="AA669">
            <v>19243.169999999998</v>
          </cell>
          <cell r="AB669">
            <v>6716.4</v>
          </cell>
          <cell r="AC669">
            <v>64275.578099999999</v>
          </cell>
          <cell r="AE669">
            <v>103.35</v>
          </cell>
          <cell r="AF669">
            <v>830</v>
          </cell>
          <cell r="AG669">
            <v>11025</v>
          </cell>
          <cell r="AH669">
            <v>965</v>
          </cell>
          <cell r="AI669">
            <v>1735</v>
          </cell>
          <cell r="AJ669">
            <v>799.06</v>
          </cell>
          <cell r="AL669">
            <v>1535.28</v>
          </cell>
          <cell r="AP669">
            <v>5589.6310000000003</v>
          </cell>
          <cell r="AV669">
            <v>73.11</v>
          </cell>
          <cell r="AZ669">
            <v>274.10000000000002</v>
          </cell>
          <cell r="BE669">
            <v>31465</v>
          </cell>
          <cell r="BG669">
            <v>78</v>
          </cell>
          <cell r="BH669">
            <v>570.14</v>
          </cell>
          <cell r="BY669">
            <v>451.93</v>
          </cell>
          <cell r="CD669">
            <v>421.42</v>
          </cell>
          <cell r="CE669">
            <v>406.43299999999999</v>
          </cell>
          <cell r="CF669">
            <v>557.34</v>
          </cell>
          <cell r="CG669">
            <v>1420</v>
          </cell>
          <cell r="CH669">
            <v>1055</v>
          </cell>
          <cell r="CI669">
            <v>135</v>
          </cell>
          <cell r="CJ669">
            <v>320</v>
          </cell>
          <cell r="CK669">
            <v>1071</v>
          </cell>
          <cell r="CM669">
            <v>227.4</v>
          </cell>
          <cell r="CN669">
            <v>22.71</v>
          </cell>
          <cell r="CO669" t="str">
            <v>#N/A N/A</v>
          </cell>
          <cell r="CQ669">
            <v>6.43</v>
          </cell>
          <cell r="CR669">
            <v>80</v>
          </cell>
          <cell r="CS669">
            <v>3681</v>
          </cell>
          <cell r="CU669">
            <v>1205</v>
          </cell>
          <cell r="CW669">
            <v>75</v>
          </cell>
          <cell r="CX669">
            <v>719.5</v>
          </cell>
          <cell r="CZ669">
            <v>345.87</v>
          </cell>
          <cell r="DA669">
            <v>3956.9</v>
          </cell>
          <cell r="DB669">
            <v>12.34</v>
          </cell>
          <cell r="DC669">
            <v>333.5</v>
          </cell>
          <cell r="DD669">
            <v>121.45</v>
          </cell>
        </row>
        <row r="670">
          <cell r="A670">
            <v>39383</v>
          </cell>
          <cell r="C670">
            <v>28</v>
          </cell>
          <cell r="D670" t="str">
            <v>#N/A N/A</v>
          </cell>
          <cell r="E670">
            <v>9.66</v>
          </cell>
          <cell r="L670">
            <v>2028.06</v>
          </cell>
          <cell r="M670">
            <v>2804.19</v>
          </cell>
          <cell r="N670">
            <v>6661.3</v>
          </cell>
          <cell r="O670">
            <v>4404</v>
          </cell>
          <cell r="Q670">
            <v>520</v>
          </cell>
          <cell r="R670">
            <v>372</v>
          </cell>
          <cell r="S670">
            <v>800</v>
          </cell>
          <cell r="T670">
            <v>995.5</v>
          </cell>
          <cell r="U670">
            <v>16505.63</v>
          </cell>
          <cell r="V670">
            <v>30405.22</v>
          </cell>
          <cell r="W670">
            <v>9631.51</v>
          </cell>
          <cell r="X670">
            <v>86.9</v>
          </cell>
          <cell r="Y670">
            <v>1080</v>
          </cell>
          <cell r="Z670">
            <v>1580</v>
          </cell>
          <cell r="AA670">
            <v>19243.169999999998</v>
          </cell>
          <cell r="AB670">
            <v>6716.4</v>
          </cell>
          <cell r="AC670">
            <v>64275.578099999999</v>
          </cell>
          <cell r="AE670">
            <v>103.35</v>
          </cell>
          <cell r="AF670">
            <v>830</v>
          </cell>
          <cell r="AG670">
            <v>11025</v>
          </cell>
          <cell r="AH670">
            <v>965</v>
          </cell>
          <cell r="AI670">
            <v>1735</v>
          </cell>
          <cell r="AJ670">
            <v>799.06</v>
          </cell>
          <cell r="AL670">
            <v>1535.28</v>
          </cell>
          <cell r="AP670">
            <v>5589.6310000000003</v>
          </cell>
          <cell r="AV670">
            <v>73.11</v>
          </cell>
          <cell r="AZ670">
            <v>274.10000000000002</v>
          </cell>
          <cell r="BE670">
            <v>31465</v>
          </cell>
          <cell r="BG670">
            <v>78</v>
          </cell>
          <cell r="BH670">
            <v>570.14</v>
          </cell>
          <cell r="BY670">
            <v>451.93</v>
          </cell>
          <cell r="CD670">
            <v>421.42</v>
          </cell>
          <cell r="CE670">
            <v>406.43299999999999</v>
          </cell>
          <cell r="CF670">
            <v>557.34</v>
          </cell>
          <cell r="CG670">
            <v>1420</v>
          </cell>
          <cell r="CH670">
            <v>1055</v>
          </cell>
          <cell r="CI670">
            <v>135</v>
          </cell>
          <cell r="CJ670">
            <v>320</v>
          </cell>
          <cell r="CK670">
            <v>1071</v>
          </cell>
          <cell r="CM670">
            <v>227.4</v>
          </cell>
          <cell r="CN670">
            <v>22.71</v>
          </cell>
          <cell r="CO670" t="str">
            <v>#N/A N/A</v>
          </cell>
          <cell r="CQ670">
            <v>6.43</v>
          </cell>
          <cell r="CR670">
            <v>80</v>
          </cell>
          <cell r="CS670">
            <v>3681</v>
          </cell>
          <cell r="CU670">
            <v>1205</v>
          </cell>
          <cell r="CW670">
            <v>75</v>
          </cell>
          <cell r="CX670">
            <v>719.5</v>
          </cell>
          <cell r="CZ670">
            <v>345.87</v>
          </cell>
          <cell r="DA670">
            <v>3956.9</v>
          </cell>
          <cell r="DB670">
            <v>12.34</v>
          </cell>
          <cell r="DC670">
            <v>333.5</v>
          </cell>
          <cell r="DD670">
            <v>121.45</v>
          </cell>
        </row>
        <row r="671">
          <cell r="A671">
            <v>39384</v>
          </cell>
          <cell r="C671">
            <v>28</v>
          </cell>
          <cell r="D671" t="str">
            <v>#N/A N/A</v>
          </cell>
          <cell r="E671">
            <v>9.68</v>
          </cell>
          <cell r="L671">
            <v>2062.92</v>
          </cell>
          <cell r="M671">
            <v>2817.44</v>
          </cell>
          <cell r="N671">
            <v>6706</v>
          </cell>
          <cell r="O671">
            <v>4404</v>
          </cell>
          <cell r="Q671">
            <v>520</v>
          </cell>
          <cell r="R671">
            <v>376</v>
          </cell>
          <cell r="S671">
            <v>828.5</v>
          </cell>
          <cell r="T671">
            <v>1011</v>
          </cell>
          <cell r="U671">
            <v>16698.080000000002</v>
          </cell>
          <cell r="V671">
            <v>31586.9</v>
          </cell>
          <cell r="W671">
            <v>9809.8799999999992</v>
          </cell>
          <cell r="X671">
            <v>87.75</v>
          </cell>
          <cell r="Y671">
            <v>1080</v>
          </cell>
          <cell r="Z671">
            <v>1580</v>
          </cell>
          <cell r="AA671">
            <v>19977.669999999998</v>
          </cell>
          <cell r="AB671">
            <v>6808.2</v>
          </cell>
          <cell r="AC671">
            <v>65044.308599999997</v>
          </cell>
          <cell r="AE671">
            <v>104.05</v>
          </cell>
          <cell r="AF671">
            <v>830</v>
          </cell>
          <cell r="AG671">
            <v>11033</v>
          </cell>
          <cell r="AH671">
            <v>965</v>
          </cell>
          <cell r="AI671">
            <v>1735</v>
          </cell>
          <cell r="AJ671">
            <v>807.31</v>
          </cell>
          <cell r="AL671">
            <v>1540.98</v>
          </cell>
          <cell r="AP671">
            <v>5747.9970000000003</v>
          </cell>
          <cell r="AV671">
            <v>74.16</v>
          </cell>
          <cell r="AZ671">
            <v>281.10000000000002</v>
          </cell>
          <cell r="BE671">
            <v>31275</v>
          </cell>
          <cell r="BG671">
            <v>78</v>
          </cell>
          <cell r="BH671">
            <v>593.78</v>
          </cell>
          <cell r="BY671">
            <v>458.56</v>
          </cell>
          <cell r="CD671">
            <v>425.46</v>
          </cell>
          <cell r="CE671">
            <v>409.78</v>
          </cell>
          <cell r="CF671">
            <v>571.92999999999995</v>
          </cell>
          <cell r="CG671">
            <v>1420</v>
          </cell>
          <cell r="CH671">
            <v>1055</v>
          </cell>
          <cell r="CI671">
            <v>135</v>
          </cell>
          <cell r="CJ671">
            <v>320</v>
          </cell>
          <cell r="CK671">
            <v>1066</v>
          </cell>
          <cell r="CM671">
            <v>232.74</v>
          </cell>
          <cell r="CN671">
            <v>23.06</v>
          </cell>
          <cell r="CO671" t="str">
            <v>#N/A N/A</v>
          </cell>
          <cell r="CQ671">
            <v>6.67</v>
          </cell>
          <cell r="CR671">
            <v>80</v>
          </cell>
          <cell r="CS671">
            <v>3672</v>
          </cell>
          <cell r="CU671">
            <v>1205</v>
          </cell>
          <cell r="CW671">
            <v>75.533536585365852</v>
          </cell>
          <cell r="CX671">
            <v>721.1</v>
          </cell>
          <cell r="CZ671">
            <v>349.43</v>
          </cell>
          <cell r="DA671">
            <v>3944.5</v>
          </cell>
          <cell r="DB671">
            <v>11.91</v>
          </cell>
          <cell r="DC671">
            <v>333.5</v>
          </cell>
          <cell r="DD671">
            <v>122.35</v>
          </cell>
        </row>
        <row r="672">
          <cell r="A672">
            <v>39385</v>
          </cell>
          <cell r="C672">
            <v>28</v>
          </cell>
          <cell r="D672" t="str">
            <v>#N/A N/A</v>
          </cell>
          <cell r="E672">
            <v>9.64</v>
          </cell>
          <cell r="L672">
            <v>2052.37</v>
          </cell>
          <cell r="M672">
            <v>2816.71</v>
          </cell>
          <cell r="N672">
            <v>6659</v>
          </cell>
          <cell r="O672">
            <v>4404</v>
          </cell>
          <cell r="Q672">
            <v>520</v>
          </cell>
          <cell r="R672">
            <v>370.25</v>
          </cell>
          <cell r="S672">
            <v>814</v>
          </cell>
          <cell r="T672">
            <v>992</v>
          </cell>
          <cell r="U672">
            <v>16651.009999999998</v>
          </cell>
          <cell r="V672">
            <v>31638.22</v>
          </cell>
          <cell r="W672">
            <v>9757.93</v>
          </cell>
          <cell r="X672">
            <v>88.05</v>
          </cell>
          <cell r="Y672">
            <v>1080</v>
          </cell>
          <cell r="Z672">
            <v>1580</v>
          </cell>
          <cell r="AA672">
            <v>19783.509999999998</v>
          </cell>
          <cell r="AB672">
            <v>6772.5</v>
          </cell>
          <cell r="AC672">
            <v>64383.128900000003</v>
          </cell>
          <cell r="AE672">
            <v>104.6</v>
          </cell>
          <cell r="AF672">
            <v>830</v>
          </cell>
          <cell r="AG672">
            <v>10886</v>
          </cell>
          <cell r="AH672">
            <v>965</v>
          </cell>
          <cell r="AI672">
            <v>1735</v>
          </cell>
          <cell r="AJ672">
            <v>804.99</v>
          </cell>
          <cell r="AL672">
            <v>1531.02</v>
          </cell>
          <cell r="AP672">
            <v>5897.1930000000002</v>
          </cell>
          <cell r="AV672">
            <v>72.25</v>
          </cell>
          <cell r="AZ672">
            <v>278.39999999999998</v>
          </cell>
          <cell r="BE672">
            <v>31150</v>
          </cell>
          <cell r="BG672">
            <v>78</v>
          </cell>
          <cell r="BH672">
            <v>596.24</v>
          </cell>
          <cell r="BY672">
            <v>459.33</v>
          </cell>
          <cell r="CD672">
            <v>423.26</v>
          </cell>
          <cell r="CE672">
            <v>407.64400000000001</v>
          </cell>
          <cell r="CF672">
            <v>570.53</v>
          </cell>
          <cell r="CG672">
            <v>1420</v>
          </cell>
          <cell r="CH672">
            <v>1055</v>
          </cell>
          <cell r="CI672">
            <v>135</v>
          </cell>
          <cell r="CJ672">
            <v>320</v>
          </cell>
          <cell r="CK672">
            <v>1073</v>
          </cell>
          <cell r="CM672">
            <v>225.71</v>
          </cell>
          <cell r="CN672">
            <v>21.95</v>
          </cell>
          <cell r="CO672" t="str">
            <v>#N/A N/A</v>
          </cell>
          <cell r="CQ672">
            <v>6.99</v>
          </cell>
          <cell r="CR672">
            <v>80</v>
          </cell>
          <cell r="CS672">
            <v>3602</v>
          </cell>
          <cell r="CU672">
            <v>1205</v>
          </cell>
          <cell r="CW672">
            <v>75.381097560975618</v>
          </cell>
          <cell r="CX672">
            <v>721.65</v>
          </cell>
          <cell r="CZ672">
            <v>344.19</v>
          </cell>
          <cell r="DA672">
            <v>3906</v>
          </cell>
          <cell r="DB672">
            <v>12.23</v>
          </cell>
          <cell r="DC672">
            <v>333.5</v>
          </cell>
          <cell r="DD672">
            <v>121.9</v>
          </cell>
        </row>
        <row r="673">
          <cell r="A673">
            <v>39386</v>
          </cell>
          <cell r="C673">
            <v>28</v>
          </cell>
          <cell r="D673" t="str">
            <v>#N/A N/A</v>
          </cell>
          <cell r="E673">
            <v>9.8800000000000008</v>
          </cell>
          <cell r="L673">
            <v>2064.85</v>
          </cell>
          <cell r="M673">
            <v>2859.12</v>
          </cell>
          <cell r="N673">
            <v>6721.6</v>
          </cell>
          <cell r="O673">
            <v>4404</v>
          </cell>
          <cell r="Q673">
            <v>520</v>
          </cell>
          <cell r="R673">
            <v>375.5</v>
          </cell>
          <cell r="S673">
            <v>808</v>
          </cell>
          <cell r="T673">
            <v>1010</v>
          </cell>
          <cell r="U673">
            <v>16737.63</v>
          </cell>
          <cell r="V673">
            <v>31352.58</v>
          </cell>
          <cell r="W673">
            <v>9711.3700000000008</v>
          </cell>
          <cell r="X673">
            <v>85.65</v>
          </cell>
          <cell r="Y673">
            <v>1080</v>
          </cell>
          <cell r="Z673">
            <v>1580</v>
          </cell>
          <cell r="AA673">
            <v>19837.990000000002</v>
          </cell>
          <cell r="AB673">
            <v>6779.1</v>
          </cell>
          <cell r="AC673">
            <v>65317.699200000003</v>
          </cell>
          <cell r="AE673">
            <v>103.55</v>
          </cell>
          <cell r="AF673">
            <v>830</v>
          </cell>
          <cell r="AG673">
            <v>10656</v>
          </cell>
          <cell r="AH673">
            <v>965</v>
          </cell>
          <cell r="AI673">
            <v>1735</v>
          </cell>
          <cell r="AJ673">
            <v>810.07</v>
          </cell>
          <cell r="AL673">
            <v>1549.38</v>
          </cell>
          <cell r="AP673">
            <v>5954.7650000000003</v>
          </cell>
          <cell r="AV673">
            <v>74.760000000000005</v>
          </cell>
          <cell r="AZ673">
            <v>278.39999999999998</v>
          </cell>
          <cell r="BE673">
            <v>31690</v>
          </cell>
          <cell r="BG673">
            <v>78</v>
          </cell>
          <cell r="BH673">
            <v>595.79</v>
          </cell>
          <cell r="BY673">
            <v>463.39</v>
          </cell>
          <cell r="CD673">
            <v>427.63</v>
          </cell>
          <cell r="CE673">
            <v>412.16699999999997</v>
          </cell>
          <cell r="CF673">
            <v>570.44000000000005</v>
          </cell>
          <cell r="CG673">
            <v>1420</v>
          </cell>
          <cell r="CH673">
            <v>1055</v>
          </cell>
          <cell r="CI673">
            <v>135</v>
          </cell>
          <cell r="CJ673">
            <v>320</v>
          </cell>
          <cell r="CK673">
            <v>1079</v>
          </cell>
          <cell r="CM673">
            <v>234</v>
          </cell>
          <cell r="CN673">
            <v>22.2</v>
          </cell>
          <cell r="CO673" t="str">
            <v>#N/A N/A</v>
          </cell>
          <cell r="CQ673">
            <v>7.22</v>
          </cell>
          <cell r="CR673">
            <v>84</v>
          </cell>
          <cell r="CS673">
            <v>3683</v>
          </cell>
          <cell r="CU673">
            <v>1205</v>
          </cell>
          <cell r="CW673">
            <v>73.399390243902445</v>
          </cell>
          <cell r="CX673">
            <v>723.25</v>
          </cell>
          <cell r="CZ673">
            <v>351.01</v>
          </cell>
          <cell r="DA673">
            <v>3916.6</v>
          </cell>
          <cell r="DB673">
            <v>12.15</v>
          </cell>
          <cell r="DC673">
            <v>333.5</v>
          </cell>
          <cell r="DD673">
            <v>121.35</v>
          </cell>
        </row>
        <row r="674">
          <cell r="A674">
            <v>39387</v>
          </cell>
          <cell r="C674">
            <v>28</v>
          </cell>
          <cell r="D674">
            <v>3.2</v>
          </cell>
          <cell r="E674">
            <v>10.65</v>
          </cell>
          <cell r="L674">
            <v>2063.14</v>
          </cell>
          <cell r="M674">
            <v>2794.83</v>
          </cell>
          <cell r="N674">
            <v>6586.1</v>
          </cell>
          <cell r="O674">
            <v>4404</v>
          </cell>
          <cell r="Q674">
            <v>520</v>
          </cell>
          <cell r="R674">
            <v>368.75</v>
          </cell>
          <cell r="S674">
            <v>778.25</v>
          </cell>
          <cell r="T674">
            <v>1006.5</v>
          </cell>
          <cell r="U674">
            <v>16870.400000000001</v>
          </cell>
          <cell r="V674">
            <v>31492.880000000001</v>
          </cell>
          <cell r="W674">
            <v>9598.23</v>
          </cell>
          <cell r="X674">
            <v>89.65</v>
          </cell>
          <cell r="Y674">
            <v>1080</v>
          </cell>
          <cell r="Z674">
            <v>1580</v>
          </cell>
          <cell r="AA674">
            <v>19724.349999999999</v>
          </cell>
          <cell r="AB674">
            <v>6853.6</v>
          </cell>
          <cell r="AC674">
            <v>64050.078099999999</v>
          </cell>
          <cell r="AE674">
            <v>109.95</v>
          </cell>
          <cell r="AF674">
            <v>830</v>
          </cell>
          <cell r="AG674">
            <v>10581</v>
          </cell>
          <cell r="AH674">
            <v>965</v>
          </cell>
          <cell r="AI674">
            <v>1735</v>
          </cell>
          <cell r="AJ674">
            <v>809.5</v>
          </cell>
          <cell r="AL674">
            <v>1508.44</v>
          </cell>
          <cell r="AP674">
            <v>5914.2849999999999</v>
          </cell>
          <cell r="AV674">
            <v>71.34</v>
          </cell>
          <cell r="AZ674">
            <v>290.60000000000002</v>
          </cell>
          <cell r="BE674">
            <v>32070</v>
          </cell>
          <cell r="BG674">
            <v>78</v>
          </cell>
          <cell r="BH674">
            <v>585.02</v>
          </cell>
          <cell r="BY674">
            <v>455.18</v>
          </cell>
          <cell r="CD674">
            <v>420.71</v>
          </cell>
          <cell r="CE674">
            <v>405.03699999999998</v>
          </cell>
          <cell r="CF674">
            <v>569.29999999999995</v>
          </cell>
          <cell r="CG674">
            <v>1420</v>
          </cell>
          <cell r="CH674">
            <v>1055</v>
          </cell>
          <cell r="CI674">
            <v>135</v>
          </cell>
          <cell r="CJ674">
            <v>320</v>
          </cell>
          <cell r="CK674">
            <v>1089</v>
          </cell>
          <cell r="CM674">
            <v>234.32</v>
          </cell>
          <cell r="CN674">
            <v>21.66</v>
          </cell>
          <cell r="CO674" t="str">
            <v>#N/A N/A</v>
          </cell>
          <cell r="CQ674">
            <v>6.96</v>
          </cell>
          <cell r="CR674">
            <v>84</v>
          </cell>
          <cell r="CS674">
            <v>3596</v>
          </cell>
          <cell r="CU674">
            <v>1205</v>
          </cell>
          <cell r="CW674">
            <v>77.667682926829272</v>
          </cell>
          <cell r="CX674">
            <v>721.95</v>
          </cell>
          <cell r="CZ674">
            <v>349.19</v>
          </cell>
          <cell r="DA674">
            <v>3849.9</v>
          </cell>
          <cell r="DB674">
            <v>11.84</v>
          </cell>
          <cell r="DC674">
            <v>375.9</v>
          </cell>
          <cell r="DD674">
            <v>122.6</v>
          </cell>
        </row>
        <row r="675">
          <cell r="A675">
            <v>39388</v>
          </cell>
          <cell r="C675">
            <v>28</v>
          </cell>
          <cell r="D675">
            <v>3.12</v>
          </cell>
          <cell r="E675">
            <v>10.71</v>
          </cell>
          <cell r="L675">
            <v>2019.34</v>
          </cell>
          <cell r="M675">
            <v>2810.38</v>
          </cell>
          <cell r="N675">
            <v>6530.6</v>
          </cell>
          <cell r="O675">
            <v>4411</v>
          </cell>
          <cell r="Q675">
            <v>520</v>
          </cell>
          <cell r="R675">
            <v>377</v>
          </cell>
          <cell r="S675">
            <v>778.5</v>
          </cell>
          <cell r="T675">
            <v>1016.75</v>
          </cell>
          <cell r="U675">
            <v>16517.48</v>
          </cell>
          <cell r="V675">
            <v>30468.34</v>
          </cell>
          <cell r="W675">
            <v>9273.09</v>
          </cell>
          <cell r="X675">
            <v>88.65</v>
          </cell>
          <cell r="Y675">
            <v>1080</v>
          </cell>
          <cell r="Z675">
            <v>1585</v>
          </cell>
          <cell r="AA675">
            <v>19976.23</v>
          </cell>
          <cell r="AB675">
            <v>6726.7</v>
          </cell>
          <cell r="AC675">
            <v>64050.078099999999</v>
          </cell>
          <cell r="AE675">
            <v>110.95</v>
          </cell>
          <cell r="AF675">
            <v>830</v>
          </cell>
          <cell r="AG675">
            <v>10548</v>
          </cell>
          <cell r="AH675">
            <v>965</v>
          </cell>
          <cell r="AI675">
            <v>1740</v>
          </cell>
          <cell r="AJ675">
            <v>797.66</v>
          </cell>
          <cell r="AL675">
            <v>1509.65</v>
          </cell>
          <cell r="AP675">
            <v>5777.8090000000002</v>
          </cell>
          <cell r="AV675">
            <v>71.400000000000006</v>
          </cell>
          <cell r="AZ675">
            <v>289.7</v>
          </cell>
          <cell r="BE675">
            <v>31815</v>
          </cell>
          <cell r="BG675">
            <v>80.8</v>
          </cell>
          <cell r="BH675">
            <v>570.36</v>
          </cell>
          <cell r="BY675">
            <v>457.93</v>
          </cell>
          <cell r="CD675">
            <v>418.69</v>
          </cell>
          <cell r="CE675">
            <v>403.524</v>
          </cell>
          <cell r="CF675">
            <v>556.91999999999996</v>
          </cell>
          <cell r="CG675">
            <v>1440</v>
          </cell>
          <cell r="CH675">
            <v>1055</v>
          </cell>
          <cell r="CI675">
            <v>135</v>
          </cell>
          <cell r="CJ675">
            <v>320</v>
          </cell>
          <cell r="CK675">
            <v>1099</v>
          </cell>
          <cell r="CM675">
            <v>243.95</v>
          </cell>
          <cell r="CN675">
            <v>21.66</v>
          </cell>
          <cell r="CO675" t="str">
            <v>#N/A N/A</v>
          </cell>
          <cell r="CQ675">
            <v>6.58</v>
          </cell>
          <cell r="CR675">
            <v>84</v>
          </cell>
          <cell r="CS675">
            <v>3766</v>
          </cell>
          <cell r="CU675">
            <v>1205</v>
          </cell>
          <cell r="CW675">
            <v>76.143292682926827</v>
          </cell>
          <cell r="CX675">
            <v>725.9</v>
          </cell>
          <cell r="CZ675">
            <v>353.57</v>
          </cell>
          <cell r="DA675">
            <v>3870.3</v>
          </cell>
          <cell r="DB675">
            <v>11.82</v>
          </cell>
          <cell r="DC675">
            <v>377.4</v>
          </cell>
          <cell r="DD675">
            <v>118.9</v>
          </cell>
        </row>
        <row r="676">
          <cell r="A676">
            <v>39389</v>
          </cell>
          <cell r="C676">
            <v>28</v>
          </cell>
          <cell r="D676">
            <v>3.12</v>
          </cell>
          <cell r="E676">
            <v>10.71</v>
          </cell>
          <cell r="L676">
            <v>2019.34</v>
          </cell>
          <cell r="M676">
            <v>2810.38</v>
          </cell>
          <cell r="N676">
            <v>6530.6</v>
          </cell>
          <cell r="O676">
            <v>4411</v>
          </cell>
          <cell r="Q676">
            <v>520</v>
          </cell>
          <cell r="R676">
            <v>377</v>
          </cell>
          <cell r="S676">
            <v>778.5</v>
          </cell>
          <cell r="T676">
            <v>1016.75</v>
          </cell>
          <cell r="U676">
            <v>16517.48</v>
          </cell>
          <cell r="V676">
            <v>30468.34</v>
          </cell>
          <cell r="W676">
            <v>9273.09</v>
          </cell>
          <cell r="X676">
            <v>88.65</v>
          </cell>
          <cell r="Y676">
            <v>1080</v>
          </cell>
          <cell r="Z676">
            <v>1585</v>
          </cell>
          <cell r="AA676">
            <v>19976.23</v>
          </cell>
          <cell r="AB676">
            <v>6726.7</v>
          </cell>
          <cell r="AC676">
            <v>64050.078099999999</v>
          </cell>
          <cell r="AE676">
            <v>110.95</v>
          </cell>
          <cell r="AF676">
            <v>830</v>
          </cell>
          <cell r="AG676">
            <v>10548</v>
          </cell>
          <cell r="AH676">
            <v>965</v>
          </cell>
          <cell r="AI676">
            <v>1740</v>
          </cell>
          <cell r="AJ676">
            <v>797.66</v>
          </cell>
          <cell r="AL676">
            <v>1509.65</v>
          </cell>
          <cell r="AP676">
            <v>5777.8090000000002</v>
          </cell>
          <cell r="AV676">
            <v>71.400000000000006</v>
          </cell>
          <cell r="AZ676">
            <v>289.7</v>
          </cell>
          <cell r="BE676">
            <v>31815</v>
          </cell>
          <cell r="BG676">
            <v>80.8</v>
          </cell>
          <cell r="BH676">
            <v>570.36</v>
          </cell>
          <cell r="BY676">
            <v>457.93</v>
          </cell>
          <cell r="CD676">
            <v>418.69</v>
          </cell>
          <cell r="CE676">
            <v>403.524</v>
          </cell>
          <cell r="CF676">
            <v>556.91999999999996</v>
          </cell>
          <cell r="CG676">
            <v>1440</v>
          </cell>
          <cell r="CH676">
            <v>1055</v>
          </cell>
          <cell r="CI676">
            <v>135</v>
          </cell>
          <cell r="CJ676">
            <v>320</v>
          </cell>
          <cell r="CK676">
            <v>1099</v>
          </cell>
          <cell r="CM676">
            <v>243.95</v>
          </cell>
          <cell r="CN676">
            <v>21.66</v>
          </cell>
          <cell r="CO676" t="str">
            <v>#N/A N/A</v>
          </cell>
          <cell r="CQ676">
            <v>6.58</v>
          </cell>
          <cell r="CR676">
            <v>84</v>
          </cell>
          <cell r="CS676">
            <v>3766</v>
          </cell>
          <cell r="CU676">
            <v>1205</v>
          </cell>
          <cell r="CW676">
            <v>76.143292682926827</v>
          </cell>
          <cell r="CX676">
            <v>725.9</v>
          </cell>
          <cell r="CZ676">
            <v>353.57</v>
          </cell>
          <cell r="DA676">
            <v>3870.3</v>
          </cell>
          <cell r="DB676">
            <v>11.82</v>
          </cell>
          <cell r="DC676">
            <v>377.4</v>
          </cell>
          <cell r="DD676">
            <v>118.9</v>
          </cell>
        </row>
        <row r="677">
          <cell r="A677">
            <v>39390</v>
          </cell>
          <cell r="C677">
            <v>28</v>
          </cell>
          <cell r="D677">
            <v>3.12</v>
          </cell>
          <cell r="E677">
            <v>10.71</v>
          </cell>
          <cell r="L677">
            <v>2019.34</v>
          </cell>
          <cell r="M677">
            <v>2810.38</v>
          </cell>
          <cell r="N677">
            <v>6530.6</v>
          </cell>
          <cell r="O677">
            <v>4411</v>
          </cell>
          <cell r="Q677">
            <v>520</v>
          </cell>
          <cell r="R677">
            <v>377</v>
          </cell>
          <cell r="S677">
            <v>778.5</v>
          </cell>
          <cell r="T677">
            <v>1016.75</v>
          </cell>
          <cell r="U677">
            <v>16517.48</v>
          </cell>
          <cell r="V677">
            <v>30468.34</v>
          </cell>
          <cell r="W677">
            <v>9273.09</v>
          </cell>
          <cell r="X677">
            <v>88.65</v>
          </cell>
          <cell r="Y677">
            <v>1080</v>
          </cell>
          <cell r="Z677">
            <v>1585</v>
          </cell>
          <cell r="AA677">
            <v>19976.23</v>
          </cell>
          <cell r="AB677">
            <v>6726.7</v>
          </cell>
          <cell r="AC677">
            <v>64050.078099999999</v>
          </cell>
          <cell r="AE677">
            <v>110.95</v>
          </cell>
          <cell r="AF677">
            <v>830</v>
          </cell>
          <cell r="AG677">
            <v>10548</v>
          </cell>
          <cell r="AH677">
            <v>965</v>
          </cell>
          <cell r="AI677">
            <v>1740</v>
          </cell>
          <cell r="AJ677">
            <v>797.66</v>
          </cell>
          <cell r="AL677">
            <v>1509.65</v>
          </cell>
          <cell r="AP677">
            <v>5777.8090000000002</v>
          </cell>
          <cell r="AV677">
            <v>71.400000000000006</v>
          </cell>
          <cell r="AZ677">
            <v>289.7</v>
          </cell>
          <cell r="BE677">
            <v>31815</v>
          </cell>
          <cell r="BG677">
            <v>80.8</v>
          </cell>
          <cell r="BH677">
            <v>570.36</v>
          </cell>
          <cell r="BY677">
            <v>457.93</v>
          </cell>
          <cell r="CD677">
            <v>418.69</v>
          </cell>
          <cell r="CE677">
            <v>403.524</v>
          </cell>
          <cell r="CF677">
            <v>556.91999999999996</v>
          </cell>
          <cell r="CG677">
            <v>1440</v>
          </cell>
          <cell r="CH677">
            <v>1055</v>
          </cell>
          <cell r="CI677">
            <v>135</v>
          </cell>
          <cell r="CJ677">
            <v>320</v>
          </cell>
          <cell r="CK677">
            <v>1099</v>
          </cell>
          <cell r="CM677">
            <v>243.95</v>
          </cell>
          <cell r="CN677">
            <v>21.66</v>
          </cell>
          <cell r="CO677" t="str">
            <v>#N/A N/A</v>
          </cell>
          <cell r="CQ677">
            <v>6.58</v>
          </cell>
          <cell r="CR677">
            <v>84</v>
          </cell>
          <cell r="CS677">
            <v>3766</v>
          </cell>
          <cell r="CU677">
            <v>1205</v>
          </cell>
          <cell r="CW677">
            <v>76.143292682926827</v>
          </cell>
          <cell r="CX677">
            <v>725.9</v>
          </cell>
          <cell r="CZ677">
            <v>353.57</v>
          </cell>
          <cell r="DA677">
            <v>3870.3</v>
          </cell>
          <cell r="DB677">
            <v>11.82</v>
          </cell>
          <cell r="DC677">
            <v>377.4</v>
          </cell>
          <cell r="DD677">
            <v>118.9</v>
          </cell>
        </row>
        <row r="678">
          <cell r="A678">
            <v>39391</v>
          </cell>
          <cell r="C678">
            <v>28</v>
          </cell>
          <cell r="D678">
            <v>3.03</v>
          </cell>
          <cell r="E678">
            <v>10.41</v>
          </cell>
          <cell r="L678">
            <v>2015.76</v>
          </cell>
          <cell r="M678">
            <v>2795.18</v>
          </cell>
          <cell r="N678">
            <v>6461.4</v>
          </cell>
          <cell r="O678">
            <v>4422</v>
          </cell>
          <cell r="Q678">
            <v>520</v>
          </cell>
          <cell r="R678">
            <v>375.25</v>
          </cell>
          <cell r="S678">
            <v>785</v>
          </cell>
          <cell r="T678">
            <v>1021</v>
          </cell>
          <cell r="U678">
            <v>16268.92</v>
          </cell>
          <cell r="V678">
            <v>28942.32</v>
          </cell>
          <cell r="W678">
            <v>9308.6</v>
          </cell>
          <cell r="X678">
            <v>90.55</v>
          </cell>
          <cell r="Y678">
            <v>1080</v>
          </cell>
          <cell r="Z678">
            <v>1585</v>
          </cell>
          <cell r="AA678">
            <v>19590.78</v>
          </cell>
          <cell r="AB678">
            <v>6620.1</v>
          </cell>
          <cell r="AC678">
            <v>62959.550799999997</v>
          </cell>
          <cell r="AE678">
            <v>112.85</v>
          </cell>
          <cell r="AF678">
            <v>830</v>
          </cell>
          <cell r="AG678">
            <v>10539</v>
          </cell>
          <cell r="AH678">
            <v>965</v>
          </cell>
          <cell r="AI678">
            <v>1740</v>
          </cell>
          <cell r="AJ678">
            <v>794.65</v>
          </cell>
          <cell r="AL678">
            <v>1502.17</v>
          </cell>
          <cell r="AP678">
            <v>5634.4520000000002</v>
          </cell>
          <cell r="AV678">
            <v>70.010000000000005</v>
          </cell>
          <cell r="AZ678">
            <v>291.39999999999998</v>
          </cell>
          <cell r="BE678">
            <v>31215</v>
          </cell>
          <cell r="BG678">
            <v>80.8</v>
          </cell>
          <cell r="BH678">
            <v>558.54</v>
          </cell>
          <cell r="BY678">
            <v>452.22</v>
          </cell>
          <cell r="CD678">
            <v>415.05</v>
          </cell>
          <cell r="CE678">
            <v>400.50299999999999</v>
          </cell>
          <cell r="CF678">
            <v>544.15</v>
          </cell>
          <cell r="CG678">
            <v>1440</v>
          </cell>
          <cell r="CH678">
            <v>1055</v>
          </cell>
          <cell r="CI678">
            <v>135</v>
          </cell>
          <cell r="CJ678">
            <v>320</v>
          </cell>
          <cell r="CK678">
            <v>1088</v>
          </cell>
          <cell r="CM678">
            <v>238.11</v>
          </cell>
          <cell r="CN678">
            <v>21.51</v>
          </cell>
          <cell r="CO678" t="str">
            <v>#N/A N/A</v>
          </cell>
          <cell r="CQ678">
            <v>6.75</v>
          </cell>
          <cell r="CR678">
            <v>84</v>
          </cell>
          <cell r="CS678">
            <v>3756.5</v>
          </cell>
          <cell r="CU678">
            <v>1205</v>
          </cell>
          <cell r="CW678">
            <v>75.990853658536594</v>
          </cell>
          <cell r="CX678">
            <v>724.1</v>
          </cell>
          <cell r="CZ678">
            <v>349.76</v>
          </cell>
          <cell r="DA678">
            <v>3844.5</v>
          </cell>
          <cell r="DB678">
            <v>12.02</v>
          </cell>
          <cell r="DC678">
            <v>375.1</v>
          </cell>
          <cell r="DD678">
            <v>119.95</v>
          </cell>
        </row>
        <row r="679">
          <cell r="A679">
            <v>39392</v>
          </cell>
          <cell r="C679">
            <v>28</v>
          </cell>
          <cell r="D679">
            <v>2.96</v>
          </cell>
          <cell r="E679">
            <v>10.24</v>
          </cell>
          <cell r="L679">
            <v>2054.2399999999998</v>
          </cell>
          <cell r="M679">
            <v>2825.18</v>
          </cell>
          <cell r="N679">
            <v>6474.9</v>
          </cell>
          <cell r="O679">
            <v>4446</v>
          </cell>
          <cell r="Q679">
            <v>520</v>
          </cell>
          <cell r="R679">
            <v>385.75</v>
          </cell>
          <cell r="S679">
            <v>797</v>
          </cell>
          <cell r="T679">
            <v>1044.5</v>
          </cell>
          <cell r="U679">
            <v>16249.63</v>
          </cell>
          <cell r="V679">
            <v>29438.13</v>
          </cell>
          <cell r="W679">
            <v>9292.7999999999993</v>
          </cell>
          <cell r="X679">
            <v>90.5</v>
          </cell>
          <cell r="Y679">
            <v>1080</v>
          </cell>
          <cell r="Z679">
            <v>1585</v>
          </cell>
          <cell r="AA679">
            <v>19400.669999999998</v>
          </cell>
          <cell r="AB679">
            <v>6659.1</v>
          </cell>
          <cell r="AC679">
            <v>64503.429700000001</v>
          </cell>
          <cell r="AE679">
            <v>112.85</v>
          </cell>
          <cell r="AF679">
            <v>833.13</v>
          </cell>
          <cell r="AG679">
            <v>10605</v>
          </cell>
          <cell r="AH679">
            <v>965</v>
          </cell>
          <cell r="AI679">
            <v>1740</v>
          </cell>
          <cell r="AJ679">
            <v>800.92</v>
          </cell>
          <cell r="AL679">
            <v>1520.27</v>
          </cell>
          <cell r="AP679">
            <v>5536.5690000000004</v>
          </cell>
          <cell r="AV679">
            <v>73.849999999999994</v>
          </cell>
          <cell r="AZ679">
            <v>292</v>
          </cell>
          <cell r="BE679">
            <v>31925</v>
          </cell>
          <cell r="BG679">
            <v>80.8</v>
          </cell>
          <cell r="BH679">
            <v>570.11</v>
          </cell>
          <cell r="BY679">
            <v>455.35</v>
          </cell>
          <cell r="CD679">
            <v>419.51</v>
          </cell>
          <cell r="CE679">
            <v>404.63200000000001</v>
          </cell>
          <cell r="CF679">
            <v>548.15</v>
          </cell>
          <cell r="CG679">
            <v>1440</v>
          </cell>
          <cell r="CH679">
            <v>1055</v>
          </cell>
          <cell r="CI679">
            <v>135</v>
          </cell>
          <cell r="CJ679">
            <v>320</v>
          </cell>
          <cell r="CK679">
            <v>1071</v>
          </cell>
          <cell r="CM679">
            <v>243.5</v>
          </cell>
          <cell r="CN679">
            <v>21.48</v>
          </cell>
          <cell r="CO679" t="str">
            <v>#N/A N/A</v>
          </cell>
          <cell r="CQ679">
            <v>7.16</v>
          </cell>
          <cell r="CR679">
            <v>84</v>
          </cell>
          <cell r="CS679">
            <v>3812</v>
          </cell>
          <cell r="CU679">
            <v>1205</v>
          </cell>
          <cell r="CW679">
            <v>76.143292682926827</v>
          </cell>
          <cell r="CX679">
            <v>727.55</v>
          </cell>
          <cell r="CZ679">
            <v>355.63</v>
          </cell>
          <cell r="DA679">
            <v>3901.5</v>
          </cell>
          <cell r="DB679">
            <v>12.18</v>
          </cell>
          <cell r="DC679">
            <v>379.7</v>
          </cell>
          <cell r="DD679">
            <v>120.7</v>
          </cell>
        </row>
        <row r="680">
          <cell r="A680">
            <v>39393</v>
          </cell>
          <cell r="C680">
            <v>28</v>
          </cell>
          <cell r="D680">
            <v>2.9</v>
          </cell>
          <cell r="E680">
            <v>10.32</v>
          </cell>
          <cell r="L680">
            <v>2043.19</v>
          </cell>
          <cell r="M680">
            <v>2748.76</v>
          </cell>
          <cell r="N680">
            <v>6385.1</v>
          </cell>
          <cell r="O680">
            <v>4434</v>
          </cell>
          <cell r="Q680">
            <v>520</v>
          </cell>
          <cell r="R680">
            <v>384.25</v>
          </cell>
          <cell r="S680">
            <v>787.75</v>
          </cell>
          <cell r="T680">
            <v>1038.5</v>
          </cell>
          <cell r="U680">
            <v>16096.68</v>
          </cell>
          <cell r="V680">
            <v>29708.93</v>
          </cell>
          <cell r="W680">
            <v>9300.2199999999993</v>
          </cell>
          <cell r="X680">
            <v>92.55</v>
          </cell>
          <cell r="Y680">
            <v>1080</v>
          </cell>
          <cell r="Z680">
            <v>1585</v>
          </cell>
          <cell r="AA680">
            <v>19289.830000000002</v>
          </cell>
          <cell r="AB680">
            <v>6728.1</v>
          </cell>
          <cell r="AC680">
            <v>63500.621099999997</v>
          </cell>
          <cell r="AE680">
            <v>115.85</v>
          </cell>
          <cell r="AF680">
            <v>833.13</v>
          </cell>
          <cell r="AG680">
            <v>10674</v>
          </cell>
          <cell r="AH680">
            <v>965</v>
          </cell>
          <cell r="AI680">
            <v>1740</v>
          </cell>
          <cell r="AJ680">
            <v>794.08</v>
          </cell>
          <cell r="AL680">
            <v>1475.62</v>
          </cell>
          <cell r="AP680">
            <v>5601.7830000000004</v>
          </cell>
          <cell r="AV680">
            <v>70.900000000000006</v>
          </cell>
          <cell r="AZ680">
            <v>297.2</v>
          </cell>
          <cell r="BE680">
            <v>31825</v>
          </cell>
          <cell r="BG680">
            <v>80.8</v>
          </cell>
          <cell r="BH680">
            <v>586.99</v>
          </cell>
          <cell r="BY680">
            <v>444.16</v>
          </cell>
          <cell r="CD680">
            <v>414.66</v>
          </cell>
          <cell r="CE680">
            <v>399.41899999999998</v>
          </cell>
          <cell r="CF680">
            <v>550.38</v>
          </cell>
          <cell r="CG680">
            <v>1440</v>
          </cell>
          <cell r="CH680">
            <v>1055</v>
          </cell>
          <cell r="CI680">
            <v>137</v>
          </cell>
          <cell r="CJ680">
            <v>325</v>
          </cell>
          <cell r="CK680">
            <v>1050</v>
          </cell>
          <cell r="CM680">
            <v>244.06</v>
          </cell>
          <cell r="CN680">
            <v>21.55</v>
          </cell>
          <cell r="CO680" t="str">
            <v>#N/A N/A</v>
          </cell>
          <cell r="CQ680">
            <v>7.39</v>
          </cell>
          <cell r="CR680">
            <v>93</v>
          </cell>
          <cell r="CS680">
            <v>3631</v>
          </cell>
          <cell r="CU680">
            <v>1205</v>
          </cell>
          <cell r="CW680">
            <v>78.506097560975618</v>
          </cell>
          <cell r="CX680">
            <v>732.85</v>
          </cell>
          <cell r="CZ680">
            <v>354.4</v>
          </cell>
          <cell r="DA680">
            <v>3832.7</v>
          </cell>
          <cell r="DB680">
            <v>12.03</v>
          </cell>
          <cell r="DC680">
            <v>376.65</v>
          </cell>
          <cell r="DD680">
            <v>120.45</v>
          </cell>
        </row>
        <row r="681">
          <cell r="A681">
            <v>39394</v>
          </cell>
          <cell r="C681">
            <v>28</v>
          </cell>
          <cell r="D681">
            <v>2.81</v>
          </cell>
          <cell r="E681">
            <v>10.48</v>
          </cell>
          <cell r="L681">
            <v>1979.56</v>
          </cell>
          <cell r="M681">
            <v>2696</v>
          </cell>
          <cell r="N681">
            <v>6381.9</v>
          </cell>
          <cell r="O681">
            <v>4454</v>
          </cell>
          <cell r="Q681">
            <v>520</v>
          </cell>
          <cell r="R681">
            <v>389.5</v>
          </cell>
          <cell r="S681">
            <v>762</v>
          </cell>
          <cell r="T681">
            <v>1041.25</v>
          </cell>
          <cell r="U681">
            <v>15771.57</v>
          </cell>
          <cell r="V681">
            <v>28760.22</v>
          </cell>
          <cell r="W681">
            <v>8937.58</v>
          </cell>
          <cell r="X681">
            <v>92.55</v>
          </cell>
          <cell r="Y681">
            <v>1080</v>
          </cell>
          <cell r="Z681">
            <v>1585</v>
          </cell>
          <cell r="AA681">
            <v>19058.93</v>
          </cell>
          <cell r="AB681">
            <v>6568.5</v>
          </cell>
          <cell r="AC681">
            <v>63561.910199999998</v>
          </cell>
          <cell r="AE681">
            <v>115.85</v>
          </cell>
          <cell r="AF681">
            <v>833.13</v>
          </cell>
          <cell r="AG681">
            <v>10744</v>
          </cell>
          <cell r="AH681">
            <v>965</v>
          </cell>
          <cell r="AI681">
            <v>1740</v>
          </cell>
          <cell r="AJ681">
            <v>779.65</v>
          </cell>
          <cell r="AL681">
            <v>1474.77</v>
          </cell>
          <cell r="AP681">
            <v>5330.0230000000001</v>
          </cell>
          <cell r="AV681">
            <v>69.540000000000006</v>
          </cell>
          <cell r="AZ681">
            <v>294.89999999999998</v>
          </cell>
          <cell r="BE681">
            <v>32400</v>
          </cell>
          <cell r="BG681">
            <v>80.8</v>
          </cell>
          <cell r="BH681">
            <v>575.91</v>
          </cell>
          <cell r="BY681">
            <v>437.42</v>
          </cell>
          <cell r="CD681">
            <v>411.81</v>
          </cell>
          <cell r="CE681">
            <v>397.14400000000001</v>
          </cell>
          <cell r="CF681">
            <v>532.65</v>
          </cell>
          <cell r="CG681">
            <v>1440</v>
          </cell>
          <cell r="CH681">
            <v>1055</v>
          </cell>
          <cell r="CI681">
            <v>137</v>
          </cell>
          <cell r="CJ681">
            <v>325</v>
          </cell>
          <cell r="CK681">
            <v>1007</v>
          </cell>
          <cell r="CM681">
            <v>243.76</v>
          </cell>
          <cell r="CN681">
            <v>21.51</v>
          </cell>
          <cell r="CO681" t="str">
            <v>#N/A N/A</v>
          </cell>
          <cell r="CQ681">
            <v>6.78</v>
          </cell>
          <cell r="CR681">
            <v>93</v>
          </cell>
          <cell r="CS681">
            <v>3504</v>
          </cell>
          <cell r="CU681">
            <v>1205</v>
          </cell>
          <cell r="CW681">
            <v>78.506097560975618</v>
          </cell>
          <cell r="CX681">
            <v>734.1</v>
          </cell>
          <cell r="CZ681">
            <v>353.85</v>
          </cell>
          <cell r="DA681">
            <v>3807.9</v>
          </cell>
          <cell r="DB681">
            <v>12.01</v>
          </cell>
          <cell r="DC681">
            <v>377.5</v>
          </cell>
          <cell r="DD681">
            <v>121.9</v>
          </cell>
        </row>
        <row r="682">
          <cell r="A682">
            <v>39395</v>
          </cell>
          <cell r="C682">
            <v>28</v>
          </cell>
          <cell r="D682">
            <v>2.79</v>
          </cell>
          <cell r="E682">
            <v>10.44</v>
          </cell>
          <cell r="L682">
            <v>1990.47</v>
          </cell>
          <cell r="M682">
            <v>2627.94</v>
          </cell>
          <cell r="N682">
            <v>6304.9</v>
          </cell>
          <cell r="O682">
            <v>4451</v>
          </cell>
          <cell r="Q682">
            <v>520</v>
          </cell>
          <cell r="R682">
            <v>386.75</v>
          </cell>
          <cell r="S682">
            <v>762</v>
          </cell>
          <cell r="T682">
            <v>1056</v>
          </cell>
          <cell r="U682">
            <v>15583.42</v>
          </cell>
          <cell r="V682">
            <v>28783.41</v>
          </cell>
          <cell r="W682">
            <v>8970.92</v>
          </cell>
          <cell r="X682">
            <v>90.85</v>
          </cell>
          <cell r="Y682">
            <v>1200</v>
          </cell>
          <cell r="Z682">
            <v>1590</v>
          </cell>
          <cell r="AA682">
            <v>18907.599999999999</v>
          </cell>
          <cell r="AB682">
            <v>6607.4</v>
          </cell>
          <cell r="AC682">
            <v>64320.558599999997</v>
          </cell>
          <cell r="AE682">
            <v>114.05</v>
          </cell>
          <cell r="AF682">
            <v>833.13</v>
          </cell>
          <cell r="AG682">
            <v>10867</v>
          </cell>
          <cell r="AH682">
            <v>965</v>
          </cell>
          <cell r="AI682">
            <v>1740</v>
          </cell>
          <cell r="AJ682">
            <v>779.04</v>
          </cell>
          <cell r="AL682">
            <v>1453.7</v>
          </cell>
          <cell r="AP682">
            <v>5315.54</v>
          </cell>
          <cell r="AV682">
            <v>68.66</v>
          </cell>
          <cell r="AZ682">
            <v>291.7</v>
          </cell>
          <cell r="BE682">
            <v>33510</v>
          </cell>
          <cell r="BG682">
            <v>83.35</v>
          </cell>
          <cell r="BH682">
            <v>567.12</v>
          </cell>
          <cell r="BY682">
            <v>436.3</v>
          </cell>
          <cell r="CD682">
            <v>406.48</v>
          </cell>
          <cell r="CE682">
            <v>391.52199999999999</v>
          </cell>
          <cell r="CF682">
            <v>533.35</v>
          </cell>
          <cell r="CG682">
            <v>1450</v>
          </cell>
          <cell r="CH682">
            <v>1055</v>
          </cell>
          <cell r="CI682">
            <v>137</v>
          </cell>
          <cell r="CJ682">
            <v>325</v>
          </cell>
          <cell r="CK682">
            <v>987</v>
          </cell>
          <cell r="CM682">
            <v>245.6</v>
          </cell>
          <cell r="CN682">
            <v>21.72</v>
          </cell>
          <cell r="CO682" t="str">
            <v>#N/A N/A</v>
          </cell>
          <cell r="CQ682">
            <v>6.55</v>
          </cell>
          <cell r="CR682">
            <v>93</v>
          </cell>
          <cell r="CS682">
            <v>3574</v>
          </cell>
          <cell r="CU682">
            <v>1205</v>
          </cell>
          <cell r="CW682">
            <v>78.887195121951223</v>
          </cell>
          <cell r="CX682">
            <v>733.4</v>
          </cell>
          <cell r="CZ682">
            <v>354.54</v>
          </cell>
          <cell r="DA682">
            <v>3774.1</v>
          </cell>
          <cell r="DB682">
            <v>12.13</v>
          </cell>
          <cell r="DC682">
            <v>376.25</v>
          </cell>
          <cell r="DD682">
            <v>121.75</v>
          </cell>
        </row>
        <row r="683">
          <cell r="A683">
            <v>39396</v>
          </cell>
          <cell r="C683">
            <v>28</v>
          </cell>
          <cell r="D683">
            <v>2.79</v>
          </cell>
          <cell r="E683">
            <v>10.44</v>
          </cell>
          <cell r="L683">
            <v>1990.47</v>
          </cell>
          <cell r="M683">
            <v>2627.94</v>
          </cell>
          <cell r="N683">
            <v>6304.9</v>
          </cell>
          <cell r="O683">
            <v>4451</v>
          </cell>
          <cell r="Q683">
            <v>520</v>
          </cell>
          <cell r="R683">
            <v>386.75</v>
          </cell>
          <cell r="S683">
            <v>762</v>
          </cell>
          <cell r="T683">
            <v>1056</v>
          </cell>
          <cell r="U683">
            <v>15583.42</v>
          </cell>
          <cell r="V683">
            <v>28783.41</v>
          </cell>
          <cell r="W683">
            <v>8970.92</v>
          </cell>
          <cell r="X683">
            <v>90.85</v>
          </cell>
          <cell r="Y683">
            <v>1200</v>
          </cell>
          <cell r="Z683">
            <v>1590</v>
          </cell>
          <cell r="AA683">
            <v>18907.599999999999</v>
          </cell>
          <cell r="AB683">
            <v>6607.4</v>
          </cell>
          <cell r="AC683">
            <v>64320.558599999997</v>
          </cell>
          <cell r="AE683">
            <v>114.05</v>
          </cell>
          <cell r="AF683">
            <v>833.13</v>
          </cell>
          <cell r="AG683">
            <v>10867</v>
          </cell>
          <cell r="AH683">
            <v>965</v>
          </cell>
          <cell r="AI683">
            <v>1740</v>
          </cell>
          <cell r="AJ683">
            <v>779.04</v>
          </cell>
          <cell r="AL683">
            <v>1453.7</v>
          </cell>
          <cell r="AP683">
            <v>5315.54</v>
          </cell>
          <cell r="AV683">
            <v>68.66</v>
          </cell>
          <cell r="AZ683">
            <v>291.7</v>
          </cell>
          <cell r="BE683">
            <v>33510</v>
          </cell>
          <cell r="BG683">
            <v>83.35</v>
          </cell>
          <cell r="BH683">
            <v>567.12</v>
          </cell>
          <cell r="BY683">
            <v>436.3</v>
          </cell>
          <cell r="CD683">
            <v>406.48</v>
          </cell>
          <cell r="CE683">
            <v>391.52199999999999</v>
          </cell>
          <cell r="CF683">
            <v>533.35</v>
          </cell>
          <cell r="CG683">
            <v>1450</v>
          </cell>
          <cell r="CH683">
            <v>1055</v>
          </cell>
          <cell r="CI683">
            <v>137</v>
          </cell>
          <cell r="CJ683">
            <v>325</v>
          </cell>
          <cell r="CK683">
            <v>987</v>
          </cell>
          <cell r="CM683">
            <v>245.6</v>
          </cell>
          <cell r="CN683">
            <v>21.72</v>
          </cell>
          <cell r="CO683" t="str">
            <v>#N/A N/A</v>
          </cell>
          <cell r="CQ683">
            <v>6.55</v>
          </cell>
          <cell r="CR683">
            <v>93</v>
          </cell>
          <cell r="CS683">
            <v>3574</v>
          </cell>
          <cell r="CU683">
            <v>1205</v>
          </cell>
          <cell r="CW683">
            <v>78.887195121951223</v>
          </cell>
          <cell r="CX683">
            <v>733.4</v>
          </cell>
          <cell r="CZ683">
            <v>354.54</v>
          </cell>
          <cell r="DA683">
            <v>3774.1</v>
          </cell>
          <cell r="DB683">
            <v>12.13</v>
          </cell>
          <cell r="DC683">
            <v>376.25</v>
          </cell>
          <cell r="DD683">
            <v>121.75</v>
          </cell>
        </row>
        <row r="684">
          <cell r="A684">
            <v>39397</v>
          </cell>
          <cell r="C684">
            <v>28</v>
          </cell>
          <cell r="D684">
            <v>2.79</v>
          </cell>
          <cell r="E684">
            <v>10.44</v>
          </cell>
          <cell r="L684">
            <v>1990.47</v>
          </cell>
          <cell r="M684">
            <v>2627.94</v>
          </cell>
          <cell r="N684">
            <v>6304.9</v>
          </cell>
          <cell r="O684">
            <v>4451</v>
          </cell>
          <cell r="Q684">
            <v>520</v>
          </cell>
          <cell r="R684">
            <v>386.75</v>
          </cell>
          <cell r="S684">
            <v>762</v>
          </cell>
          <cell r="T684">
            <v>1056</v>
          </cell>
          <cell r="U684">
            <v>15583.42</v>
          </cell>
          <cell r="V684">
            <v>28783.41</v>
          </cell>
          <cell r="W684">
            <v>8970.92</v>
          </cell>
          <cell r="X684">
            <v>90.85</v>
          </cell>
          <cell r="Y684">
            <v>1200</v>
          </cell>
          <cell r="Z684">
            <v>1590</v>
          </cell>
          <cell r="AA684">
            <v>18907.599999999999</v>
          </cell>
          <cell r="AB684">
            <v>6607.4</v>
          </cell>
          <cell r="AC684">
            <v>64320.558599999997</v>
          </cell>
          <cell r="AE684">
            <v>114.05</v>
          </cell>
          <cell r="AF684">
            <v>833.13</v>
          </cell>
          <cell r="AG684">
            <v>10867</v>
          </cell>
          <cell r="AH684">
            <v>965</v>
          </cell>
          <cell r="AI684">
            <v>1740</v>
          </cell>
          <cell r="AJ684">
            <v>779.04</v>
          </cell>
          <cell r="AL684">
            <v>1453.7</v>
          </cell>
          <cell r="AP684">
            <v>5315.54</v>
          </cell>
          <cell r="AV684">
            <v>68.66</v>
          </cell>
          <cell r="AZ684">
            <v>291.7</v>
          </cell>
          <cell r="BE684">
            <v>33510</v>
          </cell>
          <cell r="BG684">
            <v>83.35</v>
          </cell>
          <cell r="BH684">
            <v>567.12</v>
          </cell>
          <cell r="BY684">
            <v>436.3</v>
          </cell>
          <cell r="CD684">
            <v>406.48</v>
          </cell>
          <cell r="CE684">
            <v>391.52199999999999</v>
          </cell>
          <cell r="CF684">
            <v>533.35</v>
          </cell>
          <cell r="CG684">
            <v>1450</v>
          </cell>
          <cell r="CH684">
            <v>1055</v>
          </cell>
          <cell r="CI684">
            <v>137</v>
          </cell>
          <cell r="CJ684">
            <v>325</v>
          </cell>
          <cell r="CK684">
            <v>987</v>
          </cell>
          <cell r="CM684">
            <v>245.6</v>
          </cell>
          <cell r="CN684">
            <v>21.72</v>
          </cell>
          <cell r="CO684" t="str">
            <v>#N/A N/A</v>
          </cell>
          <cell r="CQ684">
            <v>6.55</v>
          </cell>
          <cell r="CR684">
            <v>93</v>
          </cell>
          <cell r="CS684">
            <v>3574</v>
          </cell>
          <cell r="CU684">
            <v>1205</v>
          </cell>
          <cell r="CW684">
            <v>78.887195121951223</v>
          </cell>
          <cell r="CX684">
            <v>733.4</v>
          </cell>
          <cell r="CZ684">
            <v>354.54</v>
          </cell>
          <cell r="DA684">
            <v>3774.1</v>
          </cell>
          <cell r="DB684">
            <v>12.13</v>
          </cell>
          <cell r="DC684">
            <v>376.25</v>
          </cell>
          <cell r="DD684">
            <v>121.75</v>
          </cell>
        </row>
        <row r="685">
          <cell r="A685">
            <v>39398</v>
          </cell>
          <cell r="C685">
            <v>28</v>
          </cell>
          <cell r="D685">
            <v>2.7</v>
          </cell>
          <cell r="E685">
            <v>10.44</v>
          </cell>
          <cell r="L685">
            <v>1923.42</v>
          </cell>
          <cell r="M685">
            <v>2584.13</v>
          </cell>
          <cell r="N685">
            <v>6337.9</v>
          </cell>
          <cell r="O685">
            <v>4463</v>
          </cell>
          <cell r="Q685">
            <v>520</v>
          </cell>
          <cell r="R685">
            <v>379</v>
          </cell>
          <cell r="S685">
            <v>761</v>
          </cell>
          <cell r="T685">
            <v>1046.25</v>
          </cell>
          <cell r="U685">
            <v>15197.09</v>
          </cell>
          <cell r="V685">
            <v>27665.73</v>
          </cell>
          <cell r="W685">
            <v>8670.61</v>
          </cell>
          <cell r="X685">
            <v>90.95</v>
          </cell>
          <cell r="Y685">
            <v>1200</v>
          </cell>
          <cell r="Z685">
            <v>1590</v>
          </cell>
          <cell r="AA685">
            <v>18737.27</v>
          </cell>
          <cell r="AB685">
            <v>6523.3</v>
          </cell>
          <cell r="AC685">
            <v>61526.871099999997</v>
          </cell>
          <cell r="AE685">
            <v>114.05</v>
          </cell>
          <cell r="AF685">
            <v>833.13</v>
          </cell>
          <cell r="AG685">
            <v>10995</v>
          </cell>
          <cell r="AH685">
            <v>965</v>
          </cell>
          <cell r="AI685">
            <v>1740</v>
          </cell>
          <cell r="AJ685">
            <v>754.73</v>
          </cell>
          <cell r="AL685">
            <v>1439.18</v>
          </cell>
          <cell r="AP685">
            <v>5187.7349999999997</v>
          </cell>
          <cell r="AV685">
            <v>65.63</v>
          </cell>
          <cell r="AZ685">
            <v>283.7</v>
          </cell>
          <cell r="BE685">
            <v>33350</v>
          </cell>
          <cell r="BG685">
            <v>83.35</v>
          </cell>
          <cell r="BH685">
            <v>536.17999999999995</v>
          </cell>
          <cell r="BY685">
            <v>430.32</v>
          </cell>
          <cell r="CD685">
            <v>399.91</v>
          </cell>
          <cell r="CE685">
            <v>386.173</v>
          </cell>
          <cell r="CF685">
            <v>513.27</v>
          </cell>
          <cell r="CG685">
            <v>1450</v>
          </cell>
          <cell r="CH685">
            <v>1055</v>
          </cell>
          <cell r="CI685">
            <v>137</v>
          </cell>
          <cell r="CJ685">
            <v>325</v>
          </cell>
          <cell r="CK685">
            <v>987</v>
          </cell>
          <cell r="CM685">
            <v>241.65</v>
          </cell>
          <cell r="CN685">
            <v>21.77</v>
          </cell>
          <cell r="CO685" t="str">
            <v>#N/A N/A</v>
          </cell>
          <cell r="CQ685">
            <v>6.84</v>
          </cell>
          <cell r="CR685">
            <v>93</v>
          </cell>
          <cell r="CS685">
            <v>3501</v>
          </cell>
          <cell r="CU685">
            <v>1205</v>
          </cell>
          <cell r="CW685">
            <v>78.201219512195124</v>
          </cell>
          <cell r="CX685">
            <v>727.35</v>
          </cell>
          <cell r="CZ685">
            <v>349.51</v>
          </cell>
          <cell r="DA685">
            <v>3720.9</v>
          </cell>
          <cell r="DB685">
            <v>12.08</v>
          </cell>
          <cell r="DC685">
            <v>372.25</v>
          </cell>
          <cell r="DD685">
            <v>121.75</v>
          </cell>
        </row>
        <row r="686">
          <cell r="A686">
            <v>39399</v>
          </cell>
          <cell r="C686">
            <v>28</v>
          </cell>
          <cell r="D686">
            <v>2.6</v>
          </cell>
          <cell r="E686">
            <v>10.3</v>
          </cell>
          <cell r="L686">
            <v>1932.89</v>
          </cell>
          <cell r="M686">
            <v>2673.65</v>
          </cell>
          <cell r="N686">
            <v>6362.4</v>
          </cell>
          <cell r="O686">
            <v>4465</v>
          </cell>
          <cell r="Q686">
            <v>520</v>
          </cell>
          <cell r="R686">
            <v>374.75</v>
          </cell>
          <cell r="S686">
            <v>748</v>
          </cell>
          <cell r="T686">
            <v>1056.25</v>
          </cell>
          <cell r="U686">
            <v>15126.63</v>
          </cell>
          <cell r="V686">
            <v>27803.35</v>
          </cell>
          <cell r="W686">
            <v>8727.2099999999991</v>
          </cell>
          <cell r="X686">
            <v>89.65</v>
          </cell>
          <cell r="Y686">
            <v>1200</v>
          </cell>
          <cell r="Z686">
            <v>1590</v>
          </cell>
          <cell r="AA686">
            <v>19035.48</v>
          </cell>
          <cell r="AB686">
            <v>6570.9</v>
          </cell>
          <cell r="AC686">
            <v>62927.031300000002</v>
          </cell>
          <cell r="AE686">
            <v>111.65</v>
          </cell>
          <cell r="AF686">
            <v>841.43</v>
          </cell>
          <cell r="AG686">
            <v>11039</v>
          </cell>
          <cell r="AH686">
            <v>965</v>
          </cell>
          <cell r="AI686">
            <v>1740</v>
          </cell>
          <cell r="AJ686">
            <v>756.59</v>
          </cell>
          <cell r="AL686">
            <v>1481.05</v>
          </cell>
          <cell r="AP686">
            <v>5158.1180000000004</v>
          </cell>
          <cell r="AV686">
            <v>69.69</v>
          </cell>
          <cell r="AZ686">
            <v>272.2</v>
          </cell>
          <cell r="BE686">
            <v>33100</v>
          </cell>
          <cell r="BG686">
            <v>83.35</v>
          </cell>
          <cell r="BH686">
            <v>527.04</v>
          </cell>
          <cell r="BY686">
            <v>440.12</v>
          </cell>
          <cell r="CD686">
            <v>405.98</v>
          </cell>
          <cell r="CE686">
            <v>392.43400000000003</v>
          </cell>
          <cell r="CF686">
            <v>513.16</v>
          </cell>
          <cell r="CG686">
            <v>1450</v>
          </cell>
          <cell r="CH686">
            <v>1055</v>
          </cell>
          <cell r="CI686">
            <v>137</v>
          </cell>
          <cell r="CJ686">
            <v>325</v>
          </cell>
          <cell r="CK686">
            <v>982</v>
          </cell>
          <cell r="CM686">
            <v>231.67</v>
          </cell>
          <cell r="CN686">
            <v>22.1</v>
          </cell>
          <cell r="CO686" t="str">
            <v>#N/A N/A</v>
          </cell>
          <cell r="CQ686">
            <v>7.21</v>
          </cell>
          <cell r="CR686">
            <v>93</v>
          </cell>
          <cell r="CS686">
            <v>3520</v>
          </cell>
          <cell r="CU686">
            <v>1205</v>
          </cell>
          <cell r="CW686">
            <v>77.439024390243901</v>
          </cell>
          <cell r="CX686">
            <v>729.95</v>
          </cell>
          <cell r="CZ686">
            <v>345.53</v>
          </cell>
          <cell r="DA686">
            <v>3714.5</v>
          </cell>
          <cell r="DB686">
            <v>11.64</v>
          </cell>
          <cell r="DC686">
            <v>373.5</v>
          </cell>
          <cell r="DD686">
            <v>122.6</v>
          </cell>
        </row>
        <row r="687">
          <cell r="A687">
            <v>39400</v>
          </cell>
          <cell r="C687">
            <v>28</v>
          </cell>
          <cell r="D687">
            <v>2.59</v>
          </cell>
          <cell r="E687">
            <v>10.17</v>
          </cell>
          <cell r="L687">
            <v>1972.58</v>
          </cell>
          <cell r="M687">
            <v>2644.32</v>
          </cell>
          <cell r="N687">
            <v>6432.1</v>
          </cell>
          <cell r="O687">
            <v>4496</v>
          </cell>
          <cell r="Q687">
            <v>520</v>
          </cell>
          <cell r="R687">
            <v>383</v>
          </cell>
          <cell r="S687">
            <v>752.5</v>
          </cell>
          <cell r="T687">
            <v>1079.5</v>
          </cell>
          <cell r="U687">
            <v>15499.56</v>
          </cell>
          <cell r="V687">
            <v>29166.01</v>
          </cell>
          <cell r="W687">
            <v>8942.93</v>
          </cell>
          <cell r="X687">
            <v>88.25</v>
          </cell>
          <cell r="Y687">
            <v>1200</v>
          </cell>
          <cell r="Z687">
            <v>1590</v>
          </cell>
          <cell r="AA687">
            <v>19929.060000000001</v>
          </cell>
          <cell r="AB687">
            <v>6650</v>
          </cell>
          <cell r="AC687">
            <v>64630.871099999997</v>
          </cell>
          <cell r="AE687">
            <v>109.05</v>
          </cell>
          <cell r="AF687">
            <v>841.43</v>
          </cell>
          <cell r="AG687">
            <v>10995</v>
          </cell>
          <cell r="AH687">
            <v>965</v>
          </cell>
          <cell r="AI687">
            <v>1740</v>
          </cell>
          <cell r="AJ687">
            <v>764.15</v>
          </cell>
          <cell r="AL687">
            <v>1470.58</v>
          </cell>
          <cell r="AP687">
            <v>5412.6940000000004</v>
          </cell>
          <cell r="AV687">
            <v>69.489999999999995</v>
          </cell>
          <cell r="AZ687">
            <v>274.3</v>
          </cell>
          <cell r="BE687">
            <v>32855</v>
          </cell>
          <cell r="BG687">
            <v>83.35</v>
          </cell>
          <cell r="BH687">
            <v>541.54999999999995</v>
          </cell>
          <cell r="BY687">
            <v>431.7</v>
          </cell>
          <cell r="CD687">
            <v>408.76</v>
          </cell>
          <cell r="CE687">
            <v>393.923</v>
          </cell>
          <cell r="CF687">
            <v>533.6</v>
          </cell>
          <cell r="CG687">
            <v>1450</v>
          </cell>
          <cell r="CH687">
            <v>1055</v>
          </cell>
          <cell r="CI687">
            <v>137</v>
          </cell>
          <cell r="CJ687">
            <v>325</v>
          </cell>
          <cell r="CK687">
            <v>977</v>
          </cell>
          <cell r="CM687">
            <v>237.04</v>
          </cell>
          <cell r="CN687">
            <v>22.56</v>
          </cell>
          <cell r="CO687" t="str">
            <v>#N/A N/A</v>
          </cell>
          <cell r="CQ687">
            <v>7.27</v>
          </cell>
          <cell r="CR687">
            <v>93</v>
          </cell>
          <cell r="CS687">
            <v>3575</v>
          </cell>
          <cell r="CU687">
            <v>1205</v>
          </cell>
          <cell r="CW687">
            <v>75.533536585365852</v>
          </cell>
          <cell r="CX687">
            <v>733.5</v>
          </cell>
          <cell r="CZ687">
            <v>351.46</v>
          </cell>
          <cell r="DA687">
            <v>3783.8</v>
          </cell>
          <cell r="DB687">
            <v>11.66</v>
          </cell>
          <cell r="DC687">
            <v>373.8</v>
          </cell>
          <cell r="DD687">
            <v>124.2</v>
          </cell>
        </row>
        <row r="688">
          <cell r="A688">
            <v>39401</v>
          </cell>
          <cell r="C688">
            <v>28</v>
          </cell>
          <cell r="D688">
            <v>2.59</v>
          </cell>
          <cell r="E688">
            <v>10.07</v>
          </cell>
          <cell r="L688">
            <v>1947.74</v>
          </cell>
          <cell r="M688">
            <v>2618.5100000000002</v>
          </cell>
          <cell r="N688">
            <v>6359.6</v>
          </cell>
          <cell r="O688">
            <v>4503</v>
          </cell>
          <cell r="Q688">
            <v>520</v>
          </cell>
          <cell r="R688">
            <v>374.75</v>
          </cell>
          <cell r="S688">
            <v>765.5</v>
          </cell>
          <cell r="T688">
            <v>1078.75</v>
          </cell>
          <cell r="U688">
            <v>15396.3</v>
          </cell>
          <cell r="V688">
            <v>28751.21</v>
          </cell>
          <cell r="W688">
            <v>8905.41</v>
          </cell>
          <cell r="X688">
            <v>89.45</v>
          </cell>
          <cell r="Y688">
            <v>1200</v>
          </cell>
          <cell r="Z688">
            <v>1590</v>
          </cell>
          <cell r="AA688">
            <v>19784.89</v>
          </cell>
          <cell r="AB688">
            <v>6594.4</v>
          </cell>
          <cell r="AC688">
            <v>64630.871099999997</v>
          </cell>
          <cell r="AE688">
            <v>110.95</v>
          </cell>
          <cell r="AF688">
            <v>841.43</v>
          </cell>
          <cell r="AG688">
            <v>10938</v>
          </cell>
          <cell r="AH688">
            <v>965</v>
          </cell>
          <cell r="AI688">
            <v>1740</v>
          </cell>
          <cell r="AJ688">
            <v>751.27</v>
          </cell>
          <cell r="AL688">
            <v>1451.15</v>
          </cell>
          <cell r="AP688">
            <v>5365.2669999999998</v>
          </cell>
          <cell r="AV688">
            <v>67.64</v>
          </cell>
          <cell r="AZ688">
            <v>266.3</v>
          </cell>
          <cell r="BE688">
            <v>31365</v>
          </cell>
          <cell r="BG688">
            <v>83.35</v>
          </cell>
          <cell r="BH688">
            <v>537.30999999999995</v>
          </cell>
          <cell r="BY688">
            <v>428.34</v>
          </cell>
          <cell r="CD688">
            <v>403.08</v>
          </cell>
          <cell r="CE688">
            <v>388.35599999999999</v>
          </cell>
          <cell r="CF688">
            <v>527.82000000000005</v>
          </cell>
          <cell r="CG688">
            <v>1450</v>
          </cell>
          <cell r="CH688">
            <v>1055</v>
          </cell>
          <cell r="CI688">
            <v>137</v>
          </cell>
          <cell r="CJ688">
            <v>325</v>
          </cell>
          <cell r="CK688">
            <v>980</v>
          </cell>
          <cell r="CM688">
            <v>233.62</v>
          </cell>
          <cell r="CN688">
            <v>22.75</v>
          </cell>
          <cell r="CO688" t="str">
            <v>#N/A N/A</v>
          </cell>
          <cell r="CQ688">
            <v>7.34</v>
          </cell>
          <cell r="CR688">
            <v>93</v>
          </cell>
          <cell r="CS688">
            <v>3528</v>
          </cell>
          <cell r="CU688">
            <v>1205</v>
          </cell>
          <cell r="CW688">
            <v>74.009146341463421</v>
          </cell>
          <cell r="CX688">
            <v>731.65</v>
          </cell>
          <cell r="CZ688">
            <v>346.49</v>
          </cell>
          <cell r="DA688">
            <v>3692.3</v>
          </cell>
          <cell r="DB688">
            <v>11.62</v>
          </cell>
          <cell r="DC688">
            <v>370.95</v>
          </cell>
          <cell r="DD688">
            <v>124.8</v>
          </cell>
        </row>
        <row r="689">
          <cell r="A689">
            <v>39402</v>
          </cell>
          <cell r="C689">
            <v>28</v>
          </cell>
          <cell r="D689">
            <v>2.5299999999999998</v>
          </cell>
          <cell r="E689">
            <v>9.9700000000000006</v>
          </cell>
          <cell r="L689">
            <v>1926.2</v>
          </cell>
          <cell r="M689">
            <v>2637.24</v>
          </cell>
          <cell r="N689">
            <v>6291.2</v>
          </cell>
          <cell r="O689">
            <v>4506</v>
          </cell>
          <cell r="Q689">
            <v>520</v>
          </cell>
          <cell r="R689">
            <v>379.5</v>
          </cell>
          <cell r="S689">
            <v>749.5</v>
          </cell>
          <cell r="T689">
            <v>1077.75</v>
          </cell>
          <cell r="U689">
            <v>15154.61</v>
          </cell>
          <cell r="V689">
            <v>27614.43</v>
          </cell>
          <cell r="W689">
            <v>8764.82</v>
          </cell>
          <cell r="X689">
            <v>90.1</v>
          </cell>
          <cell r="Y689">
            <v>1210</v>
          </cell>
          <cell r="Z689">
            <v>1620</v>
          </cell>
          <cell r="AA689">
            <v>19698.36</v>
          </cell>
          <cell r="AB689">
            <v>6526.1</v>
          </cell>
          <cell r="AC689">
            <v>64609.378900000003</v>
          </cell>
          <cell r="AE689">
            <v>109.6</v>
          </cell>
          <cell r="AF689">
            <v>841.43</v>
          </cell>
          <cell r="AG689">
            <v>10870</v>
          </cell>
          <cell r="AH689">
            <v>970</v>
          </cell>
          <cell r="AI689">
            <v>1750</v>
          </cell>
          <cell r="AJ689">
            <v>755.29</v>
          </cell>
          <cell r="AL689">
            <v>1458.74</v>
          </cell>
          <cell r="AP689">
            <v>5316.2740000000003</v>
          </cell>
          <cell r="AV689">
            <v>67.94</v>
          </cell>
          <cell r="AZ689">
            <v>261.3</v>
          </cell>
          <cell r="BE689">
            <v>30925</v>
          </cell>
          <cell r="BG689">
            <v>84.65</v>
          </cell>
          <cell r="BH689">
            <v>531.55999999999995</v>
          </cell>
          <cell r="BY689">
            <v>426.29</v>
          </cell>
          <cell r="CD689">
            <v>401.5</v>
          </cell>
          <cell r="CE689">
            <v>387.36200000000002</v>
          </cell>
          <cell r="CF689">
            <v>516.20000000000005</v>
          </cell>
          <cell r="CG689">
            <v>1480</v>
          </cell>
          <cell r="CH689">
            <v>1090</v>
          </cell>
          <cell r="CI689">
            <v>137</v>
          </cell>
          <cell r="CJ689">
            <v>325</v>
          </cell>
          <cell r="CK689">
            <v>987</v>
          </cell>
          <cell r="CM689">
            <v>237.54</v>
          </cell>
          <cell r="CN689">
            <v>22.58</v>
          </cell>
          <cell r="CO689" t="str">
            <v>#N/A N/A</v>
          </cell>
          <cell r="CQ689">
            <v>7.31</v>
          </cell>
          <cell r="CR689">
            <v>93</v>
          </cell>
          <cell r="CS689">
            <v>3339.5</v>
          </cell>
          <cell r="CU689">
            <v>1250</v>
          </cell>
          <cell r="CW689">
            <v>74.390243902439025</v>
          </cell>
          <cell r="CX689">
            <v>733.15</v>
          </cell>
          <cell r="CZ689">
            <v>349.43</v>
          </cell>
          <cell r="DA689">
            <v>3686.4</v>
          </cell>
          <cell r="DB689">
            <v>11.98</v>
          </cell>
          <cell r="DC689">
            <v>365.85</v>
          </cell>
          <cell r="DD689">
            <v>124.9</v>
          </cell>
        </row>
        <row r="690">
          <cell r="A690">
            <v>39403</v>
          </cell>
          <cell r="C690">
            <v>28</v>
          </cell>
          <cell r="D690">
            <v>2.5299999999999998</v>
          </cell>
          <cell r="E690">
            <v>9.9700000000000006</v>
          </cell>
          <cell r="L690">
            <v>1926.2</v>
          </cell>
          <cell r="M690">
            <v>2637.24</v>
          </cell>
          <cell r="N690">
            <v>6291.2</v>
          </cell>
          <cell r="O690">
            <v>4506</v>
          </cell>
          <cell r="Q690">
            <v>520</v>
          </cell>
          <cell r="R690">
            <v>379.5</v>
          </cell>
          <cell r="S690">
            <v>749.5</v>
          </cell>
          <cell r="T690">
            <v>1077.75</v>
          </cell>
          <cell r="U690">
            <v>15154.61</v>
          </cell>
          <cell r="V690">
            <v>27614.43</v>
          </cell>
          <cell r="W690">
            <v>8764.82</v>
          </cell>
          <cell r="X690">
            <v>90.1</v>
          </cell>
          <cell r="Y690">
            <v>1210</v>
          </cell>
          <cell r="Z690">
            <v>1620</v>
          </cell>
          <cell r="AA690">
            <v>19698.36</v>
          </cell>
          <cell r="AB690">
            <v>6526.1</v>
          </cell>
          <cell r="AC690">
            <v>64609.378900000003</v>
          </cell>
          <cell r="AE690">
            <v>109.6</v>
          </cell>
          <cell r="AF690">
            <v>841.43</v>
          </cell>
          <cell r="AG690">
            <v>10870</v>
          </cell>
          <cell r="AH690">
            <v>970</v>
          </cell>
          <cell r="AI690">
            <v>1750</v>
          </cell>
          <cell r="AJ690">
            <v>755.29</v>
          </cell>
          <cell r="AL690">
            <v>1458.74</v>
          </cell>
          <cell r="AP690">
            <v>5316.2740000000003</v>
          </cell>
          <cell r="AV690">
            <v>67.94</v>
          </cell>
          <cell r="AZ690">
            <v>261.3</v>
          </cell>
          <cell r="BE690">
            <v>30925</v>
          </cell>
          <cell r="BG690">
            <v>84.65</v>
          </cell>
          <cell r="BH690">
            <v>531.55999999999995</v>
          </cell>
          <cell r="BY690">
            <v>426.29</v>
          </cell>
          <cell r="CD690">
            <v>401.5</v>
          </cell>
          <cell r="CE690">
            <v>387.36200000000002</v>
          </cell>
          <cell r="CF690">
            <v>516.20000000000005</v>
          </cell>
          <cell r="CG690">
            <v>1480</v>
          </cell>
          <cell r="CH690">
            <v>1090</v>
          </cell>
          <cell r="CI690">
            <v>137</v>
          </cell>
          <cell r="CJ690">
            <v>325</v>
          </cell>
          <cell r="CK690">
            <v>987</v>
          </cell>
          <cell r="CM690">
            <v>237.54</v>
          </cell>
          <cell r="CN690">
            <v>22.58</v>
          </cell>
          <cell r="CO690" t="str">
            <v>#N/A N/A</v>
          </cell>
          <cell r="CQ690">
            <v>7.31</v>
          </cell>
          <cell r="CR690">
            <v>93</v>
          </cell>
          <cell r="CS690">
            <v>3339.5</v>
          </cell>
          <cell r="CU690">
            <v>1250</v>
          </cell>
          <cell r="CW690">
            <v>74.390243902439025</v>
          </cell>
          <cell r="CX690">
            <v>733.15</v>
          </cell>
          <cell r="CZ690">
            <v>349.43</v>
          </cell>
          <cell r="DA690">
            <v>3686.4</v>
          </cell>
          <cell r="DB690">
            <v>11.98</v>
          </cell>
          <cell r="DC690">
            <v>365.85</v>
          </cell>
          <cell r="DD690">
            <v>124.9</v>
          </cell>
        </row>
        <row r="691">
          <cell r="A691">
            <v>39404</v>
          </cell>
          <cell r="C691">
            <v>28</v>
          </cell>
          <cell r="D691">
            <v>2.5299999999999998</v>
          </cell>
          <cell r="E691">
            <v>9.9700000000000006</v>
          </cell>
          <cell r="L691">
            <v>1926.2</v>
          </cell>
          <cell r="M691">
            <v>2637.24</v>
          </cell>
          <cell r="N691">
            <v>6291.2</v>
          </cell>
          <cell r="O691">
            <v>4506</v>
          </cell>
          <cell r="Q691">
            <v>520</v>
          </cell>
          <cell r="R691">
            <v>379.5</v>
          </cell>
          <cell r="S691">
            <v>749.5</v>
          </cell>
          <cell r="T691">
            <v>1077.75</v>
          </cell>
          <cell r="U691">
            <v>15154.61</v>
          </cell>
          <cell r="V691">
            <v>27614.43</v>
          </cell>
          <cell r="W691">
            <v>8764.82</v>
          </cell>
          <cell r="X691">
            <v>90.1</v>
          </cell>
          <cell r="Y691">
            <v>1210</v>
          </cell>
          <cell r="Z691">
            <v>1620</v>
          </cell>
          <cell r="AA691">
            <v>19698.36</v>
          </cell>
          <cell r="AB691">
            <v>6526.1</v>
          </cell>
          <cell r="AC691">
            <v>64609.378900000003</v>
          </cell>
          <cell r="AE691">
            <v>109.6</v>
          </cell>
          <cell r="AF691">
            <v>841.43</v>
          </cell>
          <cell r="AG691">
            <v>10870</v>
          </cell>
          <cell r="AH691">
            <v>970</v>
          </cell>
          <cell r="AI691">
            <v>1750</v>
          </cell>
          <cell r="AJ691">
            <v>755.29</v>
          </cell>
          <cell r="AL691">
            <v>1458.74</v>
          </cell>
          <cell r="AP691">
            <v>5316.2740000000003</v>
          </cell>
          <cell r="AV691">
            <v>67.94</v>
          </cell>
          <cell r="AZ691">
            <v>261.3</v>
          </cell>
          <cell r="BE691">
            <v>30925</v>
          </cell>
          <cell r="BG691">
            <v>84.65</v>
          </cell>
          <cell r="BH691">
            <v>531.55999999999995</v>
          </cell>
          <cell r="BY691">
            <v>426.29</v>
          </cell>
          <cell r="CD691">
            <v>401.5</v>
          </cell>
          <cell r="CE691">
            <v>387.36200000000002</v>
          </cell>
          <cell r="CF691">
            <v>516.20000000000005</v>
          </cell>
          <cell r="CG691">
            <v>1480</v>
          </cell>
          <cell r="CH691">
            <v>1090</v>
          </cell>
          <cell r="CI691">
            <v>137</v>
          </cell>
          <cell r="CJ691">
            <v>325</v>
          </cell>
          <cell r="CK691">
            <v>987</v>
          </cell>
          <cell r="CM691">
            <v>237.54</v>
          </cell>
          <cell r="CN691">
            <v>22.58</v>
          </cell>
          <cell r="CO691" t="str">
            <v>#N/A N/A</v>
          </cell>
          <cell r="CQ691">
            <v>7.31</v>
          </cell>
          <cell r="CR691">
            <v>93</v>
          </cell>
          <cell r="CS691">
            <v>3339.5</v>
          </cell>
          <cell r="CU691">
            <v>1250</v>
          </cell>
          <cell r="CW691">
            <v>74.390243902439025</v>
          </cell>
          <cell r="CX691">
            <v>733.15</v>
          </cell>
          <cell r="CZ691">
            <v>349.43</v>
          </cell>
          <cell r="DA691">
            <v>3686.4</v>
          </cell>
          <cell r="DB691">
            <v>11.98</v>
          </cell>
          <cell r="DC691">
            <v>365.85</v>
          </cell>
          <cell r="DD691">
            <v>124.9</v>
          </cell>
        </row>
        <row r="692">
          <cell r="A692">
            <v>39405</v>
          </cell>
          <cell r="C692">
            <v>28</v>
          </cell>
          <cell r="D692">
            <v>2.46</v>
          </cell>
          <cell r="E692">
            <v>9.9700000000000006</v>
          </cell>
          <cell r="L692">
            <v>1893.47</v>
          </cell>
          <cell r="M692">
            <v>2593.38</v>
          </cell>
          <cell r="N692">
            <v>6120.8</v>
          </cell>
          <cell r="O692">
            <v>4516</v>
          </cell>
          <cell r="Q692">
            <v>520</v>
          </cell>
          <cell r="R692">
            <v>377.5</v>
          </cell>
          <cell r="S692">
            <v>756.25</v>
          </cell>
          <cell r="T692">
            <v>1070.5</v>
          </cell>
          <cell r="U692">
            <v>15042.56</v>
          </cell>
          <cell r="V692">
            <v>27460.17</v>
          </cell>
          <cell r="W692">
            <v>8680.7099999999991</v>
          </cell>
          <cell r="X692">
            <v>91.55</v>
          </cell>
          <cell r="Y692">
            <v>1210</v>
          </cell>
          <cell r="Z692">
            <v>1620</v>
          </cell>
          <cell r="AA692">
            <v>19633.36</v>
          </cell>
          <cell r="AB692">
            <v>6601.3</v>
          </cell>
          <cell r="AC692">
            <v>62336.019500000002</v>
          </cell>
          <cell r="AE692">
            <v>112.15</v>
          </cell>
          <cell r="AF692">
            <v>841.43</v>
          </cell>
          <cell r="AG692">
            <v>10780</v>
          </cell>
          <cell r="AH692">
            <v>970</v>
          </cell>
          <cell r="AI692">
            <v>1750</v>
          </cell>
          <cell r="AJ692">
            <v>750.79</v>
          </cell>
          <cell r="AL692">
            <v>1433.27</v>
          </cell>
          <cell r="AP692">
            <v>5269.817</v>
          </cell>
          <cell r="AV692">
            <v>64.97</v>
          </cell>
          <cell r="AZ692">
            <v>258.7</v>
          </cell>
          <cell r="BE692">
            <v>29860</v>
          </cell>
          <cell r="BG692">
            <v>84.65</v>
          </cell>
          <cell r="BH692">
            <v>523.94000000000005</v>
          </cell>
          <cell r="BY692">
            <v>417.55</v>
          </cell>
          <cell r="CD692">
            <v>395.1</v>
          </cell>
          <cell r="CE692">
            <v>381.15100000000001</v>
          </cell>
          <cell r="CF692">
            <v>510.73</v>
          </cell>
          <cell r="CG692">
            <v>1480</v>
          </cell>
          <cell r="CH692">
            <v>1090</v>
          </cell>
          <cell r="CI692">
            <v>137</v>
          </cell>
          <cell r="CJ692">
            <v>325</v>
          </cell>
          <cell r="CK692">
            <v>1000</v>
          </cell>
          <cell r="CM692">
            <v>238.16</v>
          </cell>
          <cell r="CN692">
            <v>22.75</v>
          </cell>
          <cell r="CO692" t="str">
            <v>#N/A N/A</v>
          </cell>
          <cell r="CQ692">
            <v>7.35</v>
          </cell>
          <cell r="CR692">
            <v>93</v>
          </cell>
          <cell r="CS692">
            <v>3072</v>
          </cell>
          <cell r="CU692">
            <v>1250</v>
          </cell>
          <cell r="CW692">
            <v>74.542682926829272</v>
          </cell>
          <cell r="CX692">
            <v>733.05</v>
          </cell>
          <cell r="CZ692">
            <v>346.9</v>
          </cell>
          <cell r="DA692">
            <v>3553.5</v>
          </cell>
          <cell r="DB692">
            <v>11.79</v>
          </cell>
          <cell r="DC692">
            <v>361.3</v>
          </cell>
          <cell r="DD692">
            <v>121.65</v>
          </cell>
        </row>
        <row r="693">
          <cell r="A693">
            <v>39406</v>
          </cell>
          <cell r="C693">
            <v>28</v>
          </cell>
          <cell r="D693">
            <v>2.36</v>
          </cell>
          <cell r="E693">
            <v>9.93</v>
          </cell>
          <cell r="L693">
            <v>1872.24</v>
          </cell>
          <cell r="M693">
            <v>2596.81</v>
          </cell>
          <cell r="N693">
            <v>6226.5</v>
          </cell>
          <cell r="O693">
            <v>4516</v>
          </cell>
          <cell r="Q693">
            <v>520</v>
          </cell>
          <cell r="R693">
            <v>381.25</v>
          </cell>
          <cell r="S693">
            <v>773.5</v>
          </cell>
          <cell r="T693">
            <v>1087</v>
          </cell>
          <cell r="U693">
            <v>15211.52</v>
          </cell>
          <cell r="V693">
            <v>27771.21</v>
          </cell>
          <cell r="W693">
            <v>8680.86</v>
          </cell>
          <cell r="X693">
            <v>91.75</v>
          </cell>
          <cell r="Y693">
            <v>1210</v>
          </cell>
          <cell r="Z693">
            <v>1620</v>
          </cell>
          <cell r="AA693">
            <v>19280.8</v>
          </cell>
          <cell r="AB693">
            <v>6490.2</v>
          </cell>
          <cell r="AC693">
            <v>62336.019500000002</v>
          </cell>
          <cell r="AE693">
            <v>112.65</v>
          </cell>
          <cell r="AF693">
            <v>845.26</v>
          </cell>
          <cell r="AG693">
            <v>10647</v>
          </cell>
          <cell r="AH693">
            <v>970</v>
          </cell>
          <cell r="AI693">
            <v>1750</v>
          </cell>
          <cell r="AJ693">
            <v>739.47</v>
          </cell>
          <cell r="AL693">
            <v>1439.7</v>
          </cell>
          <cell r="AP693">
            <v>5293.7030000000004</v>
          </cell>
          <cell r="AV693">
            <v>65.3</v>
          </cell>
          <cell r="AZ693">
            <v>261.5</v>
          </cell>
          <cell r="BE693">
            <v>29975</v>
          </cell>
          <cell r="BG693">
            <v>84.65</v>
          </cell>
          <cell r="BH693">
            <v>526.35</v>
          </cell>
          <cell r="BY693">
            <v>413.02</v>
          </cell>
          <cell r="CD693">
            <v>398.54</v>
          </cell>
          <cell r="CE693">
            <v>384.822</v>
          </cell>
          <cell r="CF693">
            <v>509.67</v>
          </cell>
          <cell r="CG693">
            <v>1480</v>
          </cell>
          <cell r="CH693">
            <v>1090</v>
          </cell>
          <cell r="CI693">
            <v>137</v>
          </cell>
          <cell r="CJ693">
            <v>325</v>
          </cell>
          <cell r="CK693">
            <v>1004</v>
          </cell>
          <cell r="CM693">
            <v>245.15</v>
          </cell>
          <cell r="CN693">
            <v>23.3</v>
          </cell>
          <cell r="CO693" t="str">
            <v>#N/A N/A</v>
          </cell>
          <cell r="CQ693">
            <v>6.76</v>
          </cell>
          <cell r="CR693">
            <v>93</v>
          </cell>
          <cell r="CS693">
            <v>3069</v>
          </cell>
          <cell r="CU693">
            <v>1250</v>
          </cell>
          <cell r="CW693">
            <v>75.381097560975618</v>
          </cell>
          <cell r="CX693">
            <v>739.2</v>
          </cell>
          <cell r="CZ693">
            <v>352.57</v>
          </cell>
          <cell r="DA693">
            <v>3564.8</v>
          </cell>
          <cell r="DB693">
            <v>11.33</v>
          </cell>
          <cell r="DC693">
            <v>364.3</v>
          </cell>
          <cell r="DD693">
            <v>124.35</v>
          </cell>
        </row>
        <row r="694">
          <cell r="A694">
            <v>39407</v>
          </cell>
          <cell r="C694">
            <v>28</v>
          </cell>
          <cell r="D694">
            <v>2.2799999999999998</v>
          </cell>
          <cell r="E694">
            <v>9.9</v>
          </cell>
          <cell r="L694">
            <v>1806.99</v>
          </cell>
          <cell r="M694">
            <v>2562.15</v>
          </cell>
          <cell r="N694">
            <v>6070.9</v>
          </cell>
          <cell r="O694">
            <v>4515</v>
          </cell>
          <cell r="Q694">
            <v>520</v>
          </cell>
          <cell r="R694">
            <v>382</v>
          </cell>
          <cell r="S694">
            <v>803.5</v>
          </cell>
          <cell r="T694">
            <v>1084</v>
          </cell>
          <cell r="U694">
            <v>14837.66</v>
          </cell>
          <cell r="V694">
            <v>26618.19</v>
          </cell>
          <cell r="W694">
            <v>8484.11</v>
          </cell>
          <cell r="X694">
            <v>94.3</v>
          </cell>
          <cell r="Y694">
            <v>1210</v>
          </cell>
          <cell r="Z694">
            <v>1620</v>
          </cell>
          <cell r="AA694">
            <v>18602.62</v>
          </cell>
          <cell r="AB694">
            <v>6450.2</v>
          </cell>
          <cell r="AC694">
            <v>60581.539100000002</v>
          </cell>
          <cell r="AE694">
            <v>115.5</v>
          </cell>
          <cell r="AF694">
            <v>845.26</v>
          </cell>
          <cell r="AG694">
            <v>10517</v>
          </cell>
          <cell r="AH694">
            <v>970</v>
          </cell>
          <cell r="AI694">
            <v>1750</v>
          </cell>
          <cell r="AJ694">
            <v>727.33</v>
          </cell>
          <cell r="AL694">
            <v>1416.77</v>
          </cell>
          <cell r="AP694">
            <v>5214.2250000000004</v>
          </cell>
          <cell r="AV694">
            <v>61.61</v>
          </cell>
          <cell r="AZ694">
            <v>260.5</v>
          </cell>
          <cell r="BE694">
            <v>29393</v>
          </cell>
          <cell r="BG694">
            <v>84.65</v>
          </cell>
          <cell r="BH694">
            <v>522.72</v>
          </cell>
          <cell r="BY694">
            <v>407.82</v>
          </cell>
          <cell r="CD694">
            <v>390.75</v>
          </cell>
          <cell r="CE694">
            <v>377.92200000000003</v>
          </cell>
          <cell r="CF694">
            <v>491.49</v>
          </cell>
          <cell r="CG694">
            <v>1480</v>
          </cell>
          <cell r="CH694">
            <v>1090</v>
          </cell>
          <cell r="CI694">
            <v>137</v>
          </cell>
          <cell r="CJ694">
            <v>325</v>
          </cell>
          <cell r="CK694">
            <v>1023</v>
          </cell>
          <cell r="CM694">
            <v>243.71</v>
          </cell>
          <cell r="CN694">
            <v>23.44</v>
          </cell>
          <cell r="CO694" t="str">
            <v>#N/A N/A</v>
          </cell>
          <cell r="CQ694">
            <v>6.67</v>
          </cell>
          <cell r="CR694">
            <v>93</v>
          </cell>
          <cell r="CS694">
            <v>2910</v>
          </cell>
          <cell r="CU694">
            <v>1250</v>
          </cell>
          <cell r="CW694">
            <v>76.905487804878049</v>
          </cell>
          <cell r="CX694">
            <v>742.1</v>
          </cell>
          <cell r="CZ694">
            <v>350.82</v>
          </cell>
          <cell r="DA694">
            <v>3450.4</v>
          </cell>
          <cell r="DB694">
            <v>11.55</v>
          </cell>
          <cell r="DC694">
            <v>357.95</v>
          </cell>
          <cell r="DD694">
            <v>123.45</v>
          </cell>
        </row>
        <row r="695">
          <cell r="A695">
            <v>39408</v>
          </cell>
          <cell r="C695">
            <v>28</v>
          </cell>
          <cell r="D695">
            <v>2.16</v>
          </cell>
          <cell r="E695">
            <v>9.8699999999999992</v>
          </cell>
          <cell r="L695">
            <v>1799.02</v>
          </cell>
          <cell r="M695">
            <v>2562.15</v>
          </cell>
          <cell r="N695">
            <v>6155.3</v>
          </cell>
          <cell r="O695">
            <v>4530</v>
          </cell>
          <cell r="Q695">
            <v>520</v>
          </cell>
          <cell r="R695">
            <v>382</v>
          </cell>
          <cell r="S695">
            <v>803.5</v>
          </cell>
          <cell r="T695">
            <v>1084</v>
          </cell>
          <cell r="U695">
            <v>14888.77</v>
          </cell>
          <cell r="V695">
            <v>26004.92</v>
          </cell>
          <cell r="W695">
            <v>8499.3700000000008</v>
          </cell>
          <cell r="X695">
            <v>94.15</v>
          </cell>
          <cell r="Y695">
            <v>1210</v>
          </cell>
          <cell r="Z695">
            <v>1620</v>
          </cell>
          <cell r="AA695">
            <v>18526.32</v>
          </cell>
          <cell r="AB695">
            <v>6395.1</v>
          </cell>
          <cell r="AC695">
            <v>60653.011700000003</v>
          </cell>
          <cell r="AE695">
            <v>115.85</v>
          </cell>
          <cell r="AF695">
            <v>845.26</v>
          </cell>
          <cell r="AG695">
            <v>10328</v>
          </cell>
          <cell r="AH695">
            <v>970</v>
          </cell>
          <cell r="AI695">
            <v>1750</v>
          </cell>
          <cell r="AJ695">
            <v>722.04</v>
          </cell>
          <cell r="AL695">
            <v>1416.77</v>
          </cell>
          <cell r="AP695">
            <v>4984.1610000000001</v>
          </cell>
          <cell r="AV695">
            <v>61.61</v>
          </cell>
          <cell r="AZ695">
            <v>262.5</v>
          </cell>
          <cell r="BE695">
            <v>28560</v>
          </cell>
          <cell r="BG695">
            <v>84.65</v>
          </cell>
          <cell r="BH695">
            <v>513.82000000000005</v>
          </cell>
          <cell r="BY695">
            <v>407.82</v>
          </cell>
          <cell r="CD695">
            <v>391.69</v>
          </cell>
          <cell r="CE695">
            <v>379.05599999999998</v>
          </cell>
          <cell r="CF695">
            <v>486.95</v>
          </cell>
          <cell r="CG695">
            <v>1480</v>
          </cell>
          <cell r="CH695">
            <v>1090</v>
          </cell>
          <cell r="CI695">
            <v>137</v>
          </cell>
          <cell r="CJ695">
            <v>325</v>
          </cell>
          <cell r="CK695">
            <v>1068</v>
          </cell>
          <cell r="CM695">
            <v>243.71</v>
          </cell>
          <cell r="CN695">
            <v>23.66</v>
          </cell>
          <cell r="CO695" t="str">
            <v>#N/A N/A</v>
          </cell>
          <cell r="CQ695">
            <v>6.67</v>
          </cell>
          <cell r="CR695">
            <v>93</v>
          </cell>
          <cell r="CS695">
            <v>2845</v>
          </cell>
          <cell r="CU695">
            <v>1250</v>
          </cell>
          <cell r="CW695">
            <v>75.381097560975618</v>
          </cell>
          <cell r="CX695">
            <v>742.5</v>
          </cell>
          <cell r="CZ695">
            <v>350.82</v>
          </cell>
          <cell r="DA695">
            <v>3440.6</v>
          </cell>
          <cell r="DB695">
            <v>11.55</v>
          </cell>
          <cell r="DC695">
            <v>357.95</v>
          </cell>
          <cell r="DD695">
            <v>123.45</v>
          </cell>
        </row>
        <row r="696">
          <cell r="A696">
            <v>39409</v>
          </cell>
          <cell r="C696">
            <v>28</v>
          </cell>
          <cell r="D696">
            <v>2.1</v>
          </cell>
          <cell r="E696">
            <v>9.85</v>
          </cell>
          <cell r="L696">
            <v>1772.88</v>
          </cell>
          <cell r="M696">
            <v>2596.6</v>
          </cell>
          <cell r="N696">
            <v>6262.1</v>
          </cell>
          <cell r="O696">
            <v>4532</v>
          </cell>
          <cell r="Q696">
            <v>520</v>
          </cell>
          <cell r="R696">
            <v>389</v>
          </cell>
          <cell r="S696">
            <v>826.5</v>
          </cell>
          <cell r="T696">
            <v>1100.25</v>
          </cell>
          <cell r="U696">
            <v>14888.77</v>
          </cell>
          <cell r="V696">
            <v>26541.09</v>
          </cell>
          <cell r="W696">
            <v>8342.2000000000007</v>
          </cell>
          <cell r="X696">
            <v>94.6</v>
          </cell>
          <cell r="Y696">
            <v>1210</v>
          </cell>
          <cell r="Z696">
            <v>1620</v>
          </cell>
          <cell r="AA696">
            <v>18852.87</v>
          </cell>
          <cell r="AB696">
            <v>6392.4</v>
          </cell>
          <cell r="AC696">
            <v>60970.898399999998</v>
          </cell>
          <cell r="AE696">
            <v>115.75</v>
          </cell>
          <cell r="AF696">
            <v>845.26</v>
          </cell>
          <cell r="AG696">
            <v>10148</v>
          </cell>
          <cell r="AH696">
            <v>970</v>
          </cell>
          <cell r="AI696">
            <v>1760</v>
          </cell>
          <cell r="AJ696">
            <v>700.68</v>
          </cell>
          <cell r="AL696">
            <v>1440.7</v>
          </cell>
          <cell r="AP696">
            <v>5032.13</v>
          </cell>
          <cell r="AV696">
            <v>62.4</v>
          </cell>
          <cell r="AZ696">
            <v>262.5</v>
          </cell>
          <cell r="BE696">
            <v>28836</v>
          </cell>
          <cell r="BG696">
            <v>93</v>
          </cell>
          <cell r="BH696">
            <v>531.17999999999995</v>
          </cell>
          <cell r="BY696">
            <v>413.48</v>
          </cell>
          <cell r="CD696">
            <v>396.16</v>
          </cell>
          <cell r="CE696">
            <v>383.88200000000001</v>
          </cell>
          <cell r="CF696">
            <v>487.88</v>
          </cell>
          <cell r="CG696">
            <v>1500</v>
          </cell>
          <cell r="CH696">
            <v>1100</v>
          </cell>
          <cell r="CI696">
            <v>137</v>
          </cell>
          <cell r="CJ696">
            <v>325</v>
          </cell>
          <cell r="CK696">
            <v>1133</v>
          </cell>
          <cell r="CM696">
            <v>246.7</v>
          </cell>
          <cell r="CN696">
            <v>23.7</v>
          </cell>
          <cell r="CO696" t="str">
            <v>#N/A N/A</v>
          </cell>
          <cell r="CQ696">
            <v>6.67</v>
          </cell>
          <cell r="CR696">
            <v>93</v>
          </cell>
          <cell r="CS696">
            <v>2934.5</v>
          </cell>
          <cell r="CU696">
            <v>1290</v>
          </cell>
          <cell r="CW696">
            <v>73.856707317073173</v>
          </cell>
          <cell r="CX696">
            <v>741.6</v>
          </cell>
          <cell r="CZ696">
            <v>354.29</v>
          </cell>
          <cell r="DA696">
            <v>3494.6</v>
          </cell>
          <cell r="DB696">
            <v>11.55</v>
          </cell>
          <cell r="DC696">
            <v>361.5</v>
          </cell>
          <cell r="DD696">
            <v>123.45</v>
          </cell>
        </row>
        <row r="697">
          <cell r="A697">
            <v>39410</v>
          </cell>
          <cell r="C697">
            <v>28</v>
          </cell>
          <cell r="D697">
            <v>2.1</v>
          </cell>
          <cell r="E697">
            <v>9.85</v>
          </cell>
          <cell r="L697">
            <v>1772.88</v>
          </cell>
          <cell r="M697">
            <v>2596.6</v>
          </cell>
          <cell r="N697">
            <v>6262.1</v>
          </cell>
          <cell r="O697">
            <v>4532</v>
          </cell>
          <cell r="Q697">
            <v>520</v>
          </cell>
          <cell r="R697">
            <v>389</v>
          </cell>
          <cell r="S697">
            <v>826.5</v>
          </cell>
          <cell r="T697">
            <v>1100.25</v>
          </cell>
          <cell r="U697">
            <v>14888.77</v>
          </cell>
          <cell r="V697">
            <v>26541.09</v>
          </cell>
          <cell r="W697">
            <v>8342.2000000000007</v>
          </cell>
          <cell r="X697">
            <v>94.6</v>
          </cell>
          <cell r="Y697">
            <v>1210</v>
          </cell>
          <cell r="Z697">
            <v>1620</v>
          </cell>
          <cell r="AA697">
            <v>18852.87</v>
          </cell>
          <cell r="AB697">
            <v>6392.4</v>
          </cell>
          <cell r="AC697">
            <v>60970.898399999998</v>
          </cell>
          <cell r="AE697">
            <v>115.75</v>
          </cell>
          <cell r="AF697">
            <v>845.26</v>
          </cell>
          <cell r="AG697">
            <v>10148</v>
          </cell>
          <cell r="AH697">
            <v>970</v>
          </cell>
          <cell r="AI697">
            <v>1760</v>
          </cell>
          <cell r="AJ697">
            <v>700.68</v>
          </cell>
          <cell r="AL697">
            <v>1440.7</v>
          </cell>
          <cell r="AP697">
            <v>5032.13</v>
          </cell>
          <cell r="AV697">
            <v>62.4</v>
          </cell>
          <cell r="AZ697">
            <v>262.5</v>
          </cell>
          <cell r="BE697">
            <v>28836</v>
          </cell>
          <cell r="BG697">
            <v>93</v>
          </cell>
          <cell r="BH697">
            <v>531.17999999999995</v>
          </cell>
          <cell r="BY697">
            <v>413.48</v>
          </cell>
          <cell r="CD697">
            <v>396.16</v>
          </cell>
          <cell r="CE697">
            <v>383.88200000000001</v>
          </cell>
          <cell r="CF697">
            <v>487.88</v>
          </cell>
          <cell r="CG697">
            <v>1500</v>
          </cell>
          <cell r="CH697">
            <v>1100</v>
          </cell>
          <cell r="CI697">
            <v>137</v>
          </cell>
          <cell r="CJ697">
            <v>325</v>
          </cell>
          <cell r="CK697">
            <v>1133</v>
          </cell>
          <cell r="CM697">
            <v>246.7</v>
          </cell>
          <cell r="CN697">
            <v>23.7</v>
          </cell>
          <cell r="CO697" t="str">
            <v>#N/A N/A</v>
          </cell>
          <cell r="CQ697">
            <v>6.67</v>
          </cell>
          <cell r="CR697">
            <v>93</v>
          </cell>
          <cell r="CS697">
            <v>2934.5</v>
          </cell>
          <cell r="CU697">
            <v>1290</v>
          </cell>
          <cell r="CW697">
            <v>73.856707317073173</v>
          </cell>
          <cell r="CX697">
            <v>741.6</v>
          </cell>
          <cell r="CZ697">
            <v>354.29</v>
          </cell>
          <cell r="DA697">
            <v>3494.6</v>
          </cell>
          <cell r="DB697">
            <v>11.55</v>
          </cell>
          <cell r="DC697">
            <v>361.5</v>
          </cell>
          <cell r="DD697">
            <v>123.45</v>
          </cell>
        </row>
        <row r="698">
          <cell r="A698">
            <v>39411</v>
          </cell>
          <cell r="C698">
            <v>28</v>
          </cell>
          <cell r="D698">
            <v>2.1</v>
          </cell>
          <cell r="E698">
            <v>9.85</v>
          </cell>
          <cell r="L698">
            <v>1772.88</v>
          </cell>
          <cell r="M698">
            <v>2596.6</v>
          </cell>
          <cell r="N698">
            <v>6262.1</v>
          </cell>
          <cell r="O698">
            <v>4532</v>
          </cell>
          <cell r="Q698">
            <v>520</v>
          </cell>
          <cell r="R698">
            <v>389</v>
          </cell>
          <cell r="S698">
            <v>826.5</v>
          </cell>
          <cell r="T698">
            <v>1100.25</v>
          </cell>
          <cell r="U698">
            <v>14888.77</v>
          </cell>
          <cell r="V698">
            <v>26541.09</v>
          </cell>
          <cell r="W698">
            <v>8342.2000000000007</v>
          </cell>
          <cell r="X698">
            <v>94.6</v>
          </cell>
          <cell r="Y698">
            <v>1210</v>
          </cell>
          <cell r="Z698">
            <v>1620</v>
          </cell>
          <cell r="AA698">
            <v>18852.87</v>
          </cell>
          <cell r="AB698">
            <v>6392.4</v>
          </cell>
          <cell r="AC698">
            <v>60970.898399999998</v>
          </cell>
          <cell r="AE698">
            <v>115.75</v>
          </cell>
          <cell r="AF698">
            <v>845.26</v>
          </cell>
          <cell r="AG698">
            <v>10148</v>
          </cell>
          <cell r="AH698">
            <v>970</v>
          </cell>
          <cell r="AI698">
            <v>1760</v>
          </cell>
          <cell r="AJ698">
            <v>700.68</v>
          </cell>
          <cell r="AL698">
            <v>1440.7</v>
          </cell>
          <cell r="AP698">
            <v>5032.13</v>
          </cell>
          <cell r="AV698">
            <v>62.4</v>
          </cell>
          <cell r="AZ698">
            <v>262.5</v>
          </cell>
          <cell r="BE698">
            <v>28836</v>
          </cell>
          <cell r="BG698">
            <v>93</v>
          </cell>
          <cell r="BH698">
            <v>531.17999999999995</v>
          </cell>
          <cell r="BY698">
            <v>413.48</v>
          </cell>
          <cell r="CD698">
            <v>396.16</v>
          </cell>
          <cell r="CE698">
            <v>383.88200000000001</v>
          </cell>
          <cell r="CF698">
            <v>487.88</v>
          </cell>
          <cell r="CG698">
            <v>1500</v>
          </cell>
          <cell r="CH698">
            <v>1100</v>
          </cell>
          <cell r="CI698">
            <v>137</v>
          </cell>
          <cell r="CJ698">
            <v>325</v>
          </cell>
          <cell r="CK698">
            <v>1133</v>
          </cell>
          <cell r="CM698">
            <v>246.7</v>
          </cell>
          <cell r="CN698">
            <v>23.7</v>
          </cell>
          <cell r="CO698" t="str">
            <v>#N/A N/A</v>
          </cell>
          <cell r="CQ698">
            <v>6.67</v>
          </cell>
          <cell r="CR698">
            <v>93</v>
          </cell>
          <cell r="CS698">
            <v>2934.5</v>
          </cell>
          <cell r="CU698">
            <v>1290</v>
          </cell>
          <cell r="CW698">
            <v>73.856707317073173</v>
          </cell>
          <cell r="CX698">
            <v>741.6</v>
          </cell>
          <cell r="CZ698">
            <v>354.29</v>
          </cell>
          <cell r="DA698">
            <v>3494.6</v>
          </cell>
          <cell r="DB698">
            <v>11.55</v>
          </cell>
          <cell r="DC698">
            <v>361.5</v>
          </cell>
          <cell r="DD698">
            <v>123.45</v>
          </cell>
        </row>
        <row r="699">
          <cell r="A699">
            <v>39412</v>
          </cell>
          <cell r="C699">
            <v>28</v>
          </cell>
          <cell r="D699">
            <v>2.0099999999999998</v>
          </cell>
          <cell r="E699">
            <v>9.85</v>
          </cell>
          <cell r="L699">
            <v>1855.33</v>
          </cell>
          <cell r="M699">
            <v>2540.9899999999998</v>
          </cell>
          <cell r="N699">
            <v>6180.5</v>
          </cell>
          <cell r="O699">
            <v>4540</v>
          </cell>
          <cell r="Q699">
            <v>520</v>
          </cell>
          <cell r="R699">
            <v>385.75</v>
          </cell>
          <cell r="S699">
            <v>814</v>
          </cell>
          <cell r="T699">
            <v>1103.75</v>
          </cell>
          <cell r="U699">
            <v>15135.21</v>
          </cell>
          <cell r="V699">
            <v>27626.62</v>
          </cell>
          <cell r="W699">
            <v>8528.33</v>
          </cell>
          <cell r="X699">
            <v>96.35</v>
          </cell>
          <cell r="Y699">
            <v>1210</v>
          </cell>
          <cell r="Z699">
            <v>1620</v>
          </cell>
          <cell r="AA699">
            <v>19247.54</v>
          </cell>
          <cell r="AB699">
            <v>6533.2</v>
          </cell>
          <cell r="AC699">
            <v>59069.171900000001</v>
          </cell>
          <cell r="AE699">
            <v>116.8</v>
          </cell>
          <cell r="AF699">
            <v>845.26</v>
          </cell>
          <cell r="AG699">
            <v>10003</v>
          </cell>
          <cell r="AH699">
            <v>970</v>
          </cell>
          <cell r="AI699">
            <v>1760</v>
          </cell>
          <cell r="AJ699">
            <v>721.41</v>
          </cell>
          <cell r="AL699">
            <v>1407.22</v>
          </cell>
          <cell r="AP699">
            <v>4958.8490000000002</v>
          </cell>
          <cell r="AV699">
            <v>62.2</v>
          </cell>
          <cell r="AZ699">
            <v>265</v>
          </cell>
          <cell r="BE699">
            <v>28585</v>
          </cell>
          <cell r="BG699">
            <v>93</v>
          </cell>
          <cell r="BH699">
            <v>537.92999999999995</v>
          </cell>
          <cell r="BY699">
            <v>402.35</v>
          </cell>
          <cell r="CD699">
            <v>393.68</v>
          </cell>
          <cell r="CE699">
            <v>380.61099999999999</v>
          </cell>
          <cell r="CF699">
            <v>504.85</v>
          </cell>
          <cell r="CG699">
            <v>1500</v>
          </cell>
          <cell r="CH699">
            <v>1100</v>
          </cell>
          <cell r="CI699">
            <v>137</v>
          </cell>
          <cell r="CJ699">
            <v>325</v>
          </cell>
          <cell r="CK699">
            <v>1182</v>
          </cell>
          <cell r="CM699">
            <v>244.14</v>
          </cell>
          <cell r="CN699">
            <v>23.71</v>
          </cell>
          <cell r="CO699" t="str">
            <v>#N/A N/A</v>
          </cell>
          <cell r="CQ699">
            <v>7.53</v>
          </cell>
          <cell r="CR699">
            <v>93</v>
          </cell>
          <cell r="CS699">
            <v>3007</v>
          </cell>
          <cell r="CU699">
            <v>1290</v>
          </cell>
          <cell r="CW699">
            <v>74.466463414634148</v>
          </cell>
          <cell r="CX699">
            <v>742.9</v>
          </cell>
          <cell r="CZ699">
            <v>353.37</v>
          </cell>
          <cell r="DA699">
            <v>3522.5</v>
          </cell>
          <cell r="DB699">
            <v>11.61</v>
          </cell>
          <cell r="DC699">
            <v>359.1</v>
          </cell>
          <cell r="DD699">
            <v>122.1</v>
          </cell>
        </row>
        <row r="700">
          <cell r="A700">
            <v>39413</v>
          </cell>
          <cell r="C700">
            <v>28</v>
          </cell>
          <cell r="D700">
            <v>1.96</v>
          </cell>
          <cell r="E700">
            <v>9.76</v>
          </cell>
          <cell r="L700">
            <v>1859.79</v>
          </cell>
          <cell r="M700">
            <v>2580.8000000000002</v>
          </cell>
          <cell r="N700">
            <v>6140.7</v>
          </cell>
          <cell r="O700">
            <v>4569</v>
          </cell>
          <cell r="Q700">
            <v>520</v>
          </cell>
          <cell r="R700">
            <v>383.5</v>
          </cell>
          <cell r="S700">
            <v>829</v>
          </cell>
          <cell r="T700">
            <v>1091</v>
          </cell>
          <cell r="U700">
            <v>15222.85</v>
          </cell>
          <cell r="V700">
            <v>27210.21</v>
          </cell>
          <cell r="W700">
            <v>8375.76</v>
          </cell>
          <cell r="X700">
            <v>95.95</v>
          </cell>
          <cell r="Y700">
            <v>1210</v>
          </cell>
          <cell r="Z700">
            <v>1620</v>
          </cell>
          <cell r="AA700">
            <v>19127.73</v>
          </cell>
          <cell r="AB700">
            <v>6493.6</v>
          </cell>
          <cell r="AC700">
            <v>59431.5</v>
          </cell>
          <cell r="AE700">
            <v>114.95</v>
          </cell>
          <cell r="AF700">
            <v>848.78</v>
          </cell>
          <cell r="AG700">
            <v>9897</v>
          </cell>
          <cell r="AH700">
            <v>970</v>
          </cell>
          <cell r="AI700">
            <v>1760</v>
          </cell>
          <cell r="AJ700">
            <v>725.55</v>
          </cell>
          <cell r="AL700">
            <v>1428.23</v>
          </cell>
          <cell r="AP700">
            <v>4861.1109999999999</v>
          </cell>
          <cell r="AV700">
            <v>64.599999999999994</v>
          </cell>
          <cell r="AZ700">
            <v>266.39999999999998</v>
          </cell>
          <cell r="BE700">
            <v>28405</v>
          </cell>
          <cell r="BG700">
            <v>93</v>
          </cell>
          <cell r="BH700">
            <v>539.27</v>
          </cell>
          <cell r="BY700">
            <v>410.57</v>
          </cell>
          <cell r="CD700">
            <v>395.11</v>
          </cell>
          <cell r="CE700">
            <v>382.66399999999999</v>
          </cell>
          <cell r="CF700">
            <v>499.69</v>
          </cell>
          <cell r="CG700">
            <v>1500</v>
          </cell>
          <cell r="CH700">
            <v>1100</v>
          </cell>
          <cell r="CI700">
            <v>137</v>
          </cell>
          <cell r="CJ700">
            <v>325</v>
          </cell>
          <cell r="CK700">
            <v>1281</v>
          </cell>
          <cell r="CM700">
            <v>237.3</v>
          </cell>
          <cell r="CN700">
            <v>23.54</v>
          </cell>
          <cell r="CO700" t="str">
            <v>#N/A N/A</v>
          </cell>
          <cell r="CQ700">
            <v>7.42</v>
          </cell>
          <cell r="CR700">
            <v>93</v>
          </cell>
          <cell r="CS700">
            <v>3002</v>
          </cell>
          <cell r="CU700">
            <v>1290</v>
          </cell>
          <cell r="CW700">
            <v>73.856707317073173</v>
          </cell>
          <cell r="CX700">
            <v>740.9</v>
          </cell>
          <cell r="CZ700">
            <v>347.77</v>
          </cell>
          <cell r="DA700">
            <v>3482.3</v>
          </cell>
          <cell r="DB700">
            <v>11.43</v>
          </cell>
          <cell r="DC700">
            <v>349.3</v>
          </cell>
          <cell r="DD700">
            <v>122.25</v>
          </cell>
        </row>
        <row r="701">
          <cell r="A701">
            <v>39414</v>
          </cell>
          <cell r="C701">
            <v>28</v>
          </cell>
          <cell r="D701">
            <v>1.96</v>
          </cell>
          <cell r="E701">
            <v>9.76</v>
          </cell>
          <cell r="L701">
            <v>1834.69</v>
          </cell>
          <cell r="M701">
            <v>2662.91</v>
          </cell>
          <cell r="N701">
            <v>6306.2</v>
          </cell>
          <cell r="O701">
            <v>4581</v>
          </cell>
          <cell r="Q701">
            <v>520</v>
          </cell>
          <cell r="R701">
            <v>387.25</v>
          </cell>
          <cell r="S701">
            <v>859</v>
          </cell>
          <cell r="T701">
            <v>1096.75</v>
          </cell>
          <cell r="U701">
            <v>15153.78</v>
          </cell>
          <cell r="V701">
            <v>27371.24</v>
          </cell>
          <cell r="W701">
            <v>8276.26</v>
          </cell>
          <cell r="X701">
            <v>93.65</v>
          </cell>
          <cell r="Y701">
            <v>1210</v>
          </cell>
          <cell r="Z701">
            <v>1620</v>
          </cell>
          <cell r="AA701">
            <v>18938.87</v>
          </cell>
          <cell r="AB701">
            <v>6432.8</v>
          </cell>
          <cell r="AC701">
            <v>61714.640599999999</v>
          </cell>
          <cell r="AE701">
            <v>113.45</v>
          </cell>
          <cell r="AF701">
            <v>848.78</v>
          </cell>
          <cell r="AG701">
            <v>9922</v>
          </cell>
          <cell r="AH701">
            <v>970</v>
          </cell>
          <cell r="AI701">
            <v>1760</v>
          </cell>
          <cell r="AJ701">
            <v>723.54</v>
          </cell>
          <cell r="AL701">
            <v>1469.02</v>
          </cell>
          <cell r="AP701">
            <v>4803.3940000000002</v>
          </cell>
          <cell r="AV701">
            <v>66.400000000000006</v>
          </cell>
          <cell r="AZ701">
            <v>260.39999999999998</v>
          </cell>
          <cell r="BE701">
            <v>27785</v>
          </cell>
          <cell r="BG701">
            <v>93</v>
          </cell>
          <cell r="BH701">
            <v>559.73</v>
          </cell>
          <cell r="BY701">
            <v>420.23</v>
          </cell>
          <cell r="CD701">
            <v>402.51</v>
          </cell>
          <cell r="CE701">
            <v>390.08100000000002</v>
          </cell>
          <cell r="CF701">
            <v>497</v>
          </cell>
          <cell r="CG701">
            <v>1500</v>
          </cell>
          <cell r="CH701">
            <v>1100</v>
          </cell>
          <cell r="CI701">
            <v>137</v>
          </cell>
          <cell r="CJ701">
            <v>325</v>
          </cell>
          <cell r="CK701">
            <v>1394</v>
          </cell>
          <cell r="CM701">
            <v>227.57</v>
          </cell>
          <cell r="CN701">
            <v>23.27</v>
          </cell>
          <cell r="CO701" t="str">
            <v>#N/A N/A</v>
          </cell>
          <cell r="CQ701">
            <v>7.52</v>
          </cell>
          <cell r="CR701">
            <v>93</v>
          </cell>
          <cell r="CS701">
            <v>3022.5</v>
          </cell>
          <cell r="CU701">
            <v>1290</v>
          </cell>
          <cell r="CW701">
            <v>74.009146341463421</v>
          </cell>
          <cell r="CX701">
            <v>738.6</v>
          </cell>
          <cell r="CZ701">
            <v>343.78</v>
          </cell>
          <cell r="DA701">
            <v>3512</v>
          </cell>
          <cell r="DB701">
            <v>12</v>
          </cell>
          <cell r="DC701">
            <v>346.25</v>
          </cell>
          <cell r="DD701">
            <v>125.8</v>
          </cell>
        </row>
        <row r="702">
          <cell r="A702">
            <v>39415</v>
          </cell>
          <cell r="C702">
            <v>28</v>
          </cell>
          <cell r="D702">
            <v>1.96</v>
          </cell>
          <cell r="E702">
            <v>9.6</v>
          </cell>
          <cell r="L702">
            <v>1877.56</v>
          </cell>
          <cell r="M702">
            <v>2668.13</v>
          </cell>
          <cell r="N702">
            <v>6349.1</v>
          </cell>
          <cell r="O702">
            <v>4581</v>
          </cell>
          <cell r="Q702">
            <v>520</v>
          </cell>
          <cell r="R702">
            <v>383.5</v>
          </cell>
          <cell r="S702">
            <v>869</v>
          </cell>
          <cell r="T702">
            <v>1098</v>
          </cell>
          <cell r="U702">
            <v>15513.74</v>
          </cell>
          <cell r="V702">
            <v>28482.54</v>
          </cell>
          <cell r="W702">
            <v>8447.0300000000007</v>
          </cell>
          <cell r="X702">
            <v>93.3</v>
          </cell>
          <cell r="Y702">
            <v>1210</v>
          </cell>
          <cell r="Z702">
            <v>1620</v>
          </cell>
          <cell r="AA702">
            <v>19003.259999999998</v>
          </cell>
          <cell r="AB702">
            <v>6507.2</v>
          </cell>
          <cell r="AC702">
            <v>62156.339800000002</v>
          </cell>
          <cell r="AE702">
            <v>112.65</v>
          </cell>
          <cell r="AF702">
            <v>848.78</v>
          </cell>
          <cell r="AG702">
            <v>10092</v>
          </cell>
          <cell r="AH702">
            <v>970</v>
          </cell>
          <cell r="AI702">
            <v>1760</v>
          </cell>
          <cell r="AJ702">
            <v>734.92</v>
          </cell>
          <cell r="AL702">
            <v>1469.72</v>
          </cell>
          <cell r="AP702">
            <v>5003.3329999999996</v>
          </cell>
          <cell r="AV702">
            <v>65.42</v>
          </cell>
          <cell r="AZ702">
            <v>258.3</v>
          </cell>
          <cell r="BE702">
            <v>26620</v>
          </cell>
          <cell r="BG702">
            <v>93</v>
          </cell>
          <cell r="BH702">
            <v>571.33000000000004</v>
          </cell>
          <cell r="BY702">
            <v>420.11</v>
          </cell>
          <cell r="CD702">
            <v>405.44</v>
          </cell>
          <cell r="CE702">
            <v>392.37700000000001</v>
          </cell>
          <cell r="CF702">
            <v>510.24</v>
          </cell>
          <cell r="CG702">
            <v>1500</v>
          </cell>
          <cell r="CH702">
            <v>1100</v>
          </cell>
          <cell r="CI702">
            <v>137</v>
          </cell>
          <cell r="CJ702">
            <v>325</v>
          </cell>
          <cell r="CK702">
            <v>1494</v>
          </cell>
          <cell r="CM702">
            <v>226.48</v>
          </cell>
          <cell r="CN702">
            <v>22.77</v>
          </cell>
          <cell r="CO702" t="str">
            <v>#N/A N/A</v>
          </cell>
          <cell r="CQ702">
            <v>7.44</v>
          </cell>
          <cell r="CR702">
            <v>93</v>
          </cell>
          <cell r="CS702">
            <v>3006</v>
          </cell>
          <cell r="CU702">
            <v>1290</v>
          </cell>
          <cell r="CW702">
            <v>73.704268292682926</v>
          </cell>
          <cell r="CX702">
            <v>738</v>
          </cell>
          <cell r="CZ702">
            <v>343.59</v>
          </cell>
          <cell r="DA702">
            <v>3533</v>
          </cell>
          <cell r="DB702">
            <v>11.74</v>
          </cell>
          <cell r="DC702">
            <v>344.85</v>
          </cell>
          <cell r="DD702">
            <v>125.2</v>
          </cell>
        </row>
        <row r="703">
          <cell r="A703">
            <v>39416</v>
          </cell>
          <cell r="C703">
            <v>28</v>
          </cell>
          <cell r="D703">
            <v>1.96</v>
          </cell>
          <cell r="E703">
            <v>9.11</v>
          </cell>
          <cell r="L703">
            <v>1906</v>
          </cell>
          <cell r="M703">
            <v>2660.96</v>
          </cell>
          <cell r="N703">
            <v>6432.5</v>
          </cell>
          <cell r="O703">
            <v>4581</v>
          </cell>
          <cell r="Q703">
            <v>520</v>
          </cell>
          <cell r="R703">
            <v>384.5</v>
          </cell>
          <cell r="S703">
            <v>867</v>
          </cell>
          <cell r="T703">
            <v>1080</v>
          </cell>
          <cell r="U703">
            <v>15680.67</v>
          </cell>
          <cell r="V703">
            <v>28643.61</v>
          </cell>
          <cell r="W703">
            <v>8586.4</v>
          </cell>
          <cell r="X703">
            <v>92.25</v>
          </cell>
          <cell r="Y703">
            <v>1230</v>
          </cell>
          <cell r="Z703">
            <v>1650</v>
          </cell>
          <cell r="AA703">
            <v>19363.189999999999</v>
          </cell>
          <cell r="AB703">
            <v>6593.6</v>
          </cell>
          <cell r="AC703">
            <v>63006.160199999998</v>
          </cell>
          <cell r="AE703">
            <v>110.45</v>
          </cell>
          <cell r="AF703">
            <v>848.78</v>
          </cell>
          <cell r="AG703">
            <v>10210</v>
          </cell>
          <cell r="AH703">
            <v>970</v>
          </cell>
          <cell r="AI703">
            <v>1750</v>
          </cell>
          <cell r="AJ703">
            <v>741.84</v>
          </cell>
          <cell r="AL703">
            <v>1481.14</v>
          </cell>
          <cell r="AP703">
            <v>4871.7780000000002</v>
          </cell>
          <cell r="AV703">
            <v>66.33</v>
          </cell>
          <cell r="AZ703">
            <v>258.3</v>
          </cell>
          <cell r="BE703">
            <v>26750</v>
          </cell>
          <cell r="BG703">
            <v>90.75</v>
          </cell>
          <cell r="BH703">
            <v>581.98</v>
          </cell>
          <cell r="BY703">
            <v>414.58</v>
          </cell>
          <cell r="CD703">
            <v>408.1</v>
          </cell>
          <cell r="CE703">
            <v>394.67200000000003</v>
          </cell>
          <cell r="CF703">
            <v>516.66999999999996</v>
          </cell>
          <cell r="CG703">
            <v>1510</v>
          </cell>
          <cell r="CH703">
            <v>1110</v>
          </cell>
          <cell r="CI703">
            <v>137</v>
          </cell>
          <cell r="CJ703">
            <v>325</v>
          </cell>
          <cell r="CK703">
            <v>1535</v>
          </cell>
          <cell r="CM703">
            <v>225.91</v>
          </cell>
          <cell r="CN703">
            <v>22.42</v>
          </cell>
          <cell r="CO703" t="str">
            <v>#N/A N/A</v>
          </cell>
          <cell r="CQ703">
            <v>7.28</v>
          </cell>
          <cell r="CR703">
            <v>93</v>
          </cell>
          <cell r="CS703">
            <v>3067</v>
          </cell>
          <cell r="CU703">
            <v>1330</v>
          </cell>
          <cell r="CW703">
            <v>72.027439024390247</v>
          </cell>
          <cell r="CX703">
            <v>735.15</v>
          </cell>
          <cell r="CZ703">
            <v>339.84</v>
          </cell>
          <cell r="DA703">
            <v>3579.1</v>
          </cell>
          <cell r="DB703">
            <v>11.89</v>
          </cell>
          <cell r="DC703">
            <v>348.65</v>
          </cell>
          <cell r="DD703">
            <v>125.95</v>
          </cell>
        </row>
        <row r="704">
          <cell r="A704">
            <v>39417</v>
          </cell>
          <cell r="C704">
            <v>28</v>
          </cell>
          <cell r="D704">
            <v>1.96</v>
          </cell>
          <cell r="E704">
            <v>9.11</v>
          </cell>
          <cell r="L704">
            <v>1906</v>
          </cell>
          <cell r="M704">
            <v>2660.96</v>
          </cell>
          <cell r="N704">
            <v>6432.5</v>
          </cell>
          <cell r="O704">
            <v>4581</v>
          </cell>
          <cell r="Q704">
            <v>520</v>
          </cell>
          <cell r="R704">
            <v>384.5</v>
          </cell>
          <cell r="S704">
            <v>867</v>
          </cell>
          <cell r="T704">
            <v>1080</v>
          </cell>
          <cell r="U704">
            <v>15680.67</v>
          </cell>
          <cell r="V704">
            <v>28643.61</v>
          </cell>
          <cell r="W704">
            <v>8586.4</v>
          </cell>
          <cell r="X704">
            <v>92.25</v>
          </cell>
          <cell r="Y704">
            <v>1230</v>
          </cell>
          <cell r="Z704">
            <v>1650</v>
          </cell>
          <cell r="AA704">
            <v>19363.189999999999</v>
          </cell>
          <cell r="AB704">
            <v>6593.6</v>
          </cell>
          <cell r="AC704">
            <v>63006.160199999998</v>
          </cell>
          <cell r="AE704">
            <v>110.45</v>
          </cell>
          <cell r="AF704">
            <v>848.78</v>
          </cell>
          <cell r="AG704">
            <v>10210</v>
          </cell>
          <cell r="AH704">
            <v>970</v>
          </cell>
          <cell r="AI704">
            <v>1750</v>
          </cell>
          <cell r="AJ704">
            <v>741.84</v>
          </cell>
          <cell r="AL704">
            <v>1481.14</v>
          </cell>
          <cell r="AP704">
            <v>4871.7780000000002</v>
          </cell>
          <cell r="AV704">
            <v>66.33</v>
          </cell>
          <cell r="AZ704">
            <v>258.3</v>
          </cell>
          <cell r="BE704">
            <v>26750</v>
          </cell>
          <cell r="BG704">
            <v>90.75</v>
          </cell>
          <cell r="BH704">
            <v>581.98</v>
          </cell>
          <cell r="BY704">
            <v>414.58</v>
          </cell>
          <cell r="CD704">
            <v>408.1</v>
          </cell>
          <cell r="CE704">
            <v>394.67200000000003</v>
          </cell>
          <cell r="CF704">
            <v>516.66999999999996</v>
          </cell>
          <cell r="CG704">
            <v>1510</v>
          </cell>
          <cell r="CH704">
            <v>1110</v>
          </cell>
          <cell r="CI704">
            <v>137</v>
          </cell>
          <cell r="CJ704">
            <v>325</v>
          </cell>
          <cell r="CK704">
            <v>1535</v>
          </cell>
          <cell r="CM704">
            <v>225.91</v>
          </cell>
          <cell r="CN704">
            <v>22.42</v>
          </cell>
          <cell r="CO704" t="str">
            <v>#N/A N/A</v>
          </cell>
          <cell r="CQ704">
            <v>7.28</v>
          </cell>
          <cell r="CR704">
            <v>93</v>
          </cell>
          <cell r="CS704">
            <v>3067</v>
          </cell>
          <cell r="CU704">
            <v>1330</v>
          </cell>
          <cell r="CW704">
            <v>72.027439024390247</v>
          </cell>
          <cell r="CX704">
            <v>735.15</v>
          </cell>
          <cell r="CZ704">
            <v>339.84</v>
          </cell>
          <cell r="DA704">
            <v>3579.1</v>
          </cell>
          <cell r="DB704">
            <v>11.89</v>
          </cell>
          <cell r="DC704">
            <v>348.65</v>
          </cell>
          <cell r="DD704">
            <v>125.95</v>
          </cell>
        </row>
        <row r="705">
          <cell r="A705">
            <v>39418</v>
          </cell>
          <cell r="C705">
            <v>28</v>
          </cell>
          <cell r="D705">
            <v>1.96</v>
          </cell>
          <cell r="E705">
            <v>9.11</v>
          </cell>
          <cell r="L705">
            <v>1906</v>
          </cell>
          <cell r="M705">
            <v>2660.96</v>
          </cell>
          <cell r="N705">
            <v>6432.5</v>
          </cell>
          <cell r="O705">
            <v>4581</v>
          </cell>
          <cell r="Q705">
            <v>520</v>
          </cell>
          <cell r="R705">
            <v>384.5</v>
          </cell>
          <cell r="S705">
            <v>867</v>
          </cell>
          <cell r="T705">
            <v>1080</v>
          </cell>
          <cell r="U705">
            <v>15680.67</v>
          </cell>
          <cell r="V705">
            <v>28643.61</v>
          </cell>
          <cell r="W705">
            <v>8586.4</v>
          </cell>
          <cell r="X705">
            <v>92.25</v>
          </cell>
          <cell r="Y705">
            <v>1230</v>
          </cell>
          <cell r="Z705">
            <v>1650</v>
          </cell>
          <cell r="AA705">
            <v>19363.189999999999</v>
          </cell>
          <cell r="AB705">
            <v>6593.6</v>
          </cell>
          <cell r="AC705">
            <v>63006.160199999998</v>
          </cell>
          <cell r="AE705">
            <v>110.45</v>
          </cell>
          <cell r="AF705">
            <v>848.78</v>
          </cell>
          <cell r="AG705">
            <v>10210</v>
          </cell>
          <cell r="AH705">
            <v>970</v>
          </cell>
          <cell r="AI705">
            <v>1750</v>
          </cell>
          <cell r="AJ705">
            <v>741.84</v>
          </cell>
          <cell r="AL705">
            <v>1481.14</v>
          </cell>
          <cell r="AP705">
            <v>4871.7780000000002</v>
          </cell>
          <cell r="AV705">
            <v>66.33</v>
          </cell>
          <cell r="AZ705">
            <v>258.3</v>
          </cell>
          <cell r="BE705">
            <v>26750</v>
          </cell>
          <cell r="BG705">
            <v>90.75</v>
          </cell>
          <cell r="BH705">
            <v>581.98</v>
          </cell>
          <cell r="BY705">
            <v>414.58</v>
          </cell>
          <cell r="CD705">
            <v>408.1</v>
          </cell>
          <cell r="CE705">
            <v>394.67200000000003</v>
          </cell>
          <cell r="CF705">
            <v>516.66999999999996</v>
          </cell>
          <cell r="CG705">
            <v>1510</v>
          </cell>
          <cell r="CH705">
            <v>1110</v>
          </cell>
          <cell r="CI705">
            <v>137</v>
          </cell>
          <cell r="CJ705">
            <v>325</v>
          </cell>
          <cell r="CK705">
            <v>1535</v>
          </cell>
          <cell r="CM705">
            <v>225.91</v>
          </cell>
          <cell r="CN705">
            <v>22.42</v>
          </cell>
          <cell r="CO705" t="str">
            <v>#N/A N/A</v>
          </cell>
          <cell r="CQ705">
            <v>7.28</v>
          </cell>
          <cell r="CR705">
            <v>93</v>
          </cell>
          <cell r="CS705">
            <v>3067</v>
          </cell>
          <cell r="CU705">
            <v>1330</v>
          </cell>
          <cell r="CW705">
            <v>72.027439024390247</v>
          </cell>
          <cell r="CX705">
            <v>735.15</v>
          </cell>
          <cell r="CZ705">
            <v>339.84</v>
          </cell>
          <cell r="DA705">
            <v>3579.1</v>
          </cell>
          <cell r="DB705">
            <v>11.89</v>
          </cell>
          <cell r="DC705">
            <v>348.65</v>
          </cell>
          <cell r="DD705">
            <v>125.95</v>
          </cell>
        </row>
        <row r="706">
          <cell r="A706">
            <v>39419</v>
          </cell>
          <cell r="C706">
            <v>28</v>
          </cell>
          <cell r="D706">
            <v>1.96</v>
          </cell>
          <cell r="E706">
            <v>8.89</v>
          </cell>
          <cell r="L706">
            <v>1902.43</v>
          </cell>
          <cell r="M706">
            <v>2637.13</v>
          </cell>
          <cell r="N706">
            <v>6386.6</v>
          </cell>
          <cell r="O706">
            <v>4763</v>
          </cell>
          <cell r="Q706">
            <v>520</v>
          </cell>
          <cell r="R706">
            <v>403.5</v>
          </cell>
          <cell r="S706">
            <v>876.75</v>
          </cell>
          <cell r="T706">
            <v>1078.75</v>
          </cell>
          <cell r="U706">
            <v>15628.97</v>
          </cell>
          <cell r="V706">
            <v>28658.42</v>
          </cell>
          <cell r="W706">
            <v>8583.84</v>
          </cell>
          <cell r="X706">
            <v>91.1</v>
          </cell>
          <cell r="Y706">
            <v>1230</v>
          </cell>
          <cell r="Z706">
            <v>1650</v>
          </cell>
          <cell r="AA706">
            <v>19603.41</v>
          </cell>
          <cell r="AB706">
            <v>6597.2</v>
          </cell>
          <cell r="AC706">
            <v>63199.851600000002</v>
          </cell>
          <cell r="AE706">
            <v>107.25</v>
          </cell>
          <cell r="AF706">
            <v>848.78</v>
          </cell>
          <cell r="AG706">
            <v>10270</v>
          </cell>
          <cell r="AH706">
            <v>970</v>
          </cell>
          <cell r="AI706">
            <v>1750</v>
          </cell>
          <cell r="AJ706">
            <v>736.93</v>
          </cell>
          <cell r="AL706">
            <v>1472.42</v>
          </cell>
          <cell r="AP706">
            <v>4868.6109999999999</v>
          </cell>
          <cell r="AV706">
            <v>65.83</v>
          </cell>
          <cell r="AZ706">
            <v>255</v>
          </cell>
          <cell r="BE706">
            <v>26425</v>
          </cell>
          <cell r="BG706">
            <v>90.75</v>
          </cell>
          <cell r="BH706">
            <v>577.9</v>
          </cell>
          <cell r="BY706">
            <v>414.98</v>
          </cell>
          <cell r="CD706">
            <v>406.6</v>
          </cell>
          <cell r="CE706">
            <v>392.98700000000002</v>
          </cell>
          <cell r="CF706">
            <v>517.89</v>
          </cell>
          <cell r="CG706">
            <v>1510</v>
          </cell>
          <cell r="CH706">
            <v>1110</v>
          </cell>
          <cell r="CI706">
            <v>137</v>
          </cell>
          <cell r="CJ706">
            <v>325</v>
          </cell>
          <cell r="CK706">
            <v>1536</v>
          </cell>
          <cell r="CM706">
            <v>225.01</v>
          </cell>
          <cell r="CN706">
            <v>22.75</v>
          </cell>
          <cell r="CO706" t="str">
            <v>#N/A N/A</v>
          </cell>
          <cell r="CQ706">
            <v>7.02</v>
          </cell>
          <cell r="CR706">
            <v>93</v>
          </cell>
          <cell r="CS706">
            <v>2962</v>
          </cell>
          <cell r="CU706">
            <v>1330</v>
          </cell>
          <cell r="CW706">
            <v>70.807926829268297</v>
          </cell>
          <cell r="CX706">
            <v>733.3</v>
          </cell>
          <cell r="CZ706">
            <v>339.92</v>
          </cell>
          <cell r="DA706">
            <v>3486.5</v>
          </cell>
          <cell r="DB706">
            <v>11.63</v>
          </cell>
          <cell r="DC706">
            <v>348.65</v>
          </cell>
          <cell r="DD706">
            <v>129.94999999999999</v>
          </cell>
        </row>
        <row r="707">
          <cell r="A707">
            <v>39420</v>
          </cell>
          <cell r="C707">
            <v>28</v>
          </cell>
          <cell r="D707">
            <v>2</v>
          </cell>
          <cell r="E707">
            <v>8.7100000000000009</v>
          </cell>
          <cell r="L707">
            <v>1917.83</v>
          </cell>
          <cell r="M707">
            <v>2619.83</v>
          </cell>
          <cell r="N707">
            <v>6315.2</v>
          </cell>
          <cell r="O707">
            <v>4819</v>
          </cell>
          <cell r="Q707">
            <v>520</v>
          </cell>
          <cell r="R707">
            <v>411.25</v>
          </cell>
          <cell r="S707">
            <v>894</v>
          </cell>
          <cell r="T707">
            <v>1091.5</v>
          </cell>
          <cell r="U707">
            <v>15480.19</v>
          </cell>
          <cell r="V707">
            <v>28879.59</v>
          </cell>
          <cell r="W707">
            <v>8651.2800000000007</v>
          </cell>
          <cell r="X707">
            <v>91.75</v>
          </cell>
          <cell r="Y707">
            <v>1230</v>
          </cell>
          <cell r="Z707">
            <v>1650</v>
          </cell>
          <cell r="AA707">
            <v>19529.5</v>
          </cell>
          <cell r="AB707">
            <v>6588.8</v>
          </cell>
          <cell r="AC707">
            <v>63481.531300000002</v>
          </cell>
          <cell r="AE707">
            <v>107.4</v>
          </cell>
          <cell r="AF707">
            <v>850.21</v>
          </cell>
          <cell r="AG707">
            <v>10285</v>
          </cell>
          <cell r="AH707">
            <v>970</v>
          </cell>
          <cell r="AI707">
            <v>1750</v>
          </cell>
          <cell r="AJ707">
            <v>747.53</v>
          </cell>
          <cell r="AL707">
            <v>1462.79</v>
          </cell>
          <cell r="AP707">
            <v>4915.8890000000001</v>
          </cell>
          <cell r="AV707">
            <v>65.92</v>
          </cell>
          <cell r="AZ707">
            <v>252.7</v>
          </cell>
          <cell r="BE707">
            <v>25325</v>
          </cell>
          <cell r="BG707">
            <v>90.75</v>
          </cell>
          <cell r="BH707">
            <v>579.04</v>
          </cell>
          <cell r="BY707">
            <v>411.64</v>
          </cell>
          <cell r="CD707">
            <v>404.26</v>
          </cell>
          <cell r="CE707">
            <v>390.29700000000003</v>
          </cell>
          <cell r="CF707">
            <v>521.25</v>
          </cell>
          <cell r="CG707">
            <v>1510</v>
          </cell>
          <cell r="CH707">
            <v>1110</v>
          </cell>
          <cell r="CI707">
            <v>137</v>
          </cell>
          <cell r="CJ707">
            <v>325</v>
          </cell>
          <cell r="CK707">
            <v>1533</v>
          </cell>
          <cell r="CM707">
            <v>225.17</v>
          </cell>
          <cell r="CN707">
            <v>23.21</v>
          </cell>
          <cell r="CO707" t="str">
            <v>#N/A N/A</v>
          </cell>
          <cell r="CQ707">
            <v>7.26</v>
          </cell>
          <cell r="CR707">
            <v>93</v>
          </cell>
          <cell r="CS707">
            <v>2896</v>
          </cell>
          <cell r="CU707">
            <v>1330</v>
          </cell>
          <cell r="CW707">
            <v>72.027439024390247</v>
          </cell>
          <cell r="CX707">
            <v>737.8</v>
          </cell>
          <cell r="CZ707">
            <v>340.08</v>
          </cell>
          <cell r="DA707">
            <v>3434.1</v>
          </cell>
          <cell r="DB707">
            <v>11.56</v>
          </cell>
          <cell r="DC707">
            <v>348.65</v>
          </cell>
          <cell r="DD707">
            <v>130.6</v>
          </cell>
        </row>
        <row r="708">
          <cell r="A708">
            <v>39421</v>
          </cell>
          <cell r="C708">
            <v>28</v>
          </cell>
          <cell r="D708">
            <v>2.0099999999999998</v>
          </cell>
          <cell r="E708">
            <v>8.49</v>
          </cell>
          <cell r="L708">
            <v>1938.2</v>
          </cell>
          <cell r="M708">
            <v>2666.36</v>
          </cell>
          <cell r="N708">
            <v>6493.8</v>
          </cell>
          <cell r="O708">
            <v>4834</v>
          </cell>
          <cell r="Q708">
            <v>520</v>
          </cell>
          <cell r="R708">
            <v>411.25</v>
          </cell>
          <cell r="S708">
            <v>885</v>
          </cell>
          <cell r="T708">
            <v>1099.5</v>
          </cell>
          <cell r="U708">
            <v>15608.88</v>
          </cell>
          <cell r="V708">
            <v>29345.45</v>
          </cell>
          <cell r="W708">
            <v>8676.9500000000007</v>
          </cell>
          <cell r="X708">
            <v>90.7</v>
          </cell>
          <cell r="Y708">
            <v>1230</v>
          </cell>
          <cell r="Z708">
            <v>1650</v>
          </cell>
          <cell r="AA708">
            <v>19738.07</v>
          </cell>
          <cell r="AB708">
            <v>6568.4</v>
          </cell>
          <cell r="AC708">
            <v>64927.960899999998</v>
          </cell>
          <cell r="AE708">
            <v>107.3</v>
          </cell>
          <cell r="AF708">
            <v>850.21</v>
          </cell>
          <cell r="AG708">
            <v>10216</v>
          </cell>
          <cell r="AH708">
            <v>970</v>
          </cell>
          <cell r="AI708">
            <v>1750</v>
          </cell>
          <cell r="AJ708">
            <v>749.95</v>
          </cell>
          <cell r="AL708">
            <v>1485.01</v>
          </cell>
          <cell r="AP708">
            <v>5042.6540000000005</v>
          </cell>
          <cell r="AV708">
            <v>68.39</v>
          </cell>
          <cell r="AZ708">
            <v>256.39999999999998</v>
          </cell>
          <cell r="BE708">
            <v>25475</v>
          </cell>
          <cell r="BG708">
            <v>90.75</v>
          </cell>
          <cell r="BH708">
            <v>593.76</v>
          </cell>
          <cell r="BY708">
            <v>421.72</v>
          </cell>
          <cell r="CD708">
            <v>408.86</v>
          </cell>
          <cell r="CE708">
            <v>394.404</v>
          </cell>
          <cell r="CF708">
            <v>527.4</v>
          </cell>
          <cell r="CG708">
            <v>1510</v>
          </cell>
          <cell r="CH708">
            <v>1110</v>
          </cell>
          <cell r="CI708">
            <v>137</v>
          </cell>
          <cell r="CJ708">
            <v>325</v>
          </cell>
          <cell r="CK708">
            <v>1537</v>
          </cell>
          <cell r="CM708">
            <v>221.7</v>
          </cell>
          <cell r="CN708">
            <v>22.95</v>
          </cell>
          <cell r="CO708" t="str">
            <v>#N/A N/A</v>
          </cell>
          <cell r="CQ708">
            <v>7.04</v>
          </cell>
          <cell r="CR708">
            <v>93</v>
          </cell>
          <cell r="CS708">
            <v>2834</v>
          </cell>
          <cell r="CU708">
            <v>1330</v>
          </cell>
          <cell r="CW708">
            <v>71.722560975609767</v>
          </cell>
          <cell r="CX708">
            <v>733.4</v>
          </cell>
          <cell r="CZ708">
            <v>339.51</v>
          </cell>
          <cell r="DA708">
            <v>3427.1</v>
          </cell>
          <cell r="DB708">
            <v>11.97</v>
          </cell>
          <cell r="DC708">
            <v>348.65</v>
          </cell>
          <cell r="DD708">
            <v>131.15</v>
          </cell>
        </row>
        <row r="709">
          <cell r="A709">
            <v>39422</v>
          </cell>
          <cell r="C709">
            <v>28</v>
          </cell>
          <cell r="D709">
            <v>2.0099999999999998</v>
          </cell>
          <cell r="E709">
            <v>8.49</v>
          </cell>
          <cell r="L709">
            <v>1953.17</v>
          </cell>
          <cell r="M709">
            <v>2709.03</v>
          </cell>
          <cell r="N709">
            <v>6485.6</v>
          </cell>
          <cell r="O709">
            <v>4832</v>
          </cell>
          <cell r="Q709">
            <v>520</v>
          </cell>
          <cell r="R709">
            <v>412</v>
          </cell>
          <cell r="S709">
            <v>891.5</v>
          </cell>
          <cell r="T709">
            <v>1098.75</v>
          </cell>
          <cell r="U709">
            <v>15874.08</v>
          </cell>
          <cell r="V709">
            <v>29558.92</v>
          </cell>
          <cell r="W709">
            <v>8694.41</v>
          </cell>
          <cell r="X709">
            <v>88.95</v>
          </cell>
          <cell r="Y709">
            <v>1230</v>
          </cell>
          <cell r="Z709">
            <v>1650</v>
          </cell>
          <cell r="AA709">
            <v>19795.87</v>
          </cell>
          <cell r="AB709">
            <v>6660.5</v>
          </cell>
          <cell r="AC709">
            <v>65790.8125</v>
          </cell>
          <cell r="AE709">
            <v>105.2</v>
          </cell>
          <cell r="AF709">
            <v>850.21</v>
          </cell>
          <cell r="AG709">
            <v>10142</v>
          </cell>
          <cell r="AH709">
            <v>970</v>
          </cell>
          <cell r="AI709">
            <v>1750</v>
          </cell>
          <cell r="AJ709">
            <v>751.57</v>
          </cell>
          <cell r="AL709">
            <v>1507.34</v>
          </cell>
          <cell r="AP709">
            <v>5035.0730000000003</v>
          </cell>
          <cell r="AV709">
            <v>69.45</v>
          </cell>
          <cell r="AZ709">
            <v>254.2</v>
          </cell>
          <cell r="BE709">
            <v>25635</v>
          </cell>
          <cell r="BG709">
            <v>90.75</v>
          </cell>
          <cell r="BH709">
            <v>606.78</v>
          </cell>
          <cell r="BY709">
            <v>428.91</v>
          </cell>
          <cell r="CD709">
            <v>412.43</v>
          </cell>
          <cell r="CE709">
            <v>397.84500000000003</v>
          </cell>
          <cell r="CF709">
            <v>531.77</v>
          </cell>
          <cell r="CG709">
            <v>1510</v>
          </cell>
          <cell r="CH709">
            <v>1110</v>
          </cell>
          <cell r="CI709">
            <v>137</v>
          </cell>
          <cell r="CJ709">
            <v>325</v>
          </cell>
          <cell r="CK709">
            <v>1554</v>
          </cell>
          <cell r="CM709">
            <v>230.13</v>
          </cell>
          <cell r="CN709">
            <v>22.86</v>
          </cell>
          <cell r="CO709" t="str">
            <v>#N/A N/A</v>
          </cell>
          <cell r="CQ709">
            <v>7.29</v>
          </cell>
          <cell r="CR709">
            <v>93</v>
          </cell>
          <cell r="CS709">
            <v>2692</v>
          </cell>
          <cell r="CU709">
            <v>1330</v>
          </cell>
          <cell r="CW709">
            <v>69.740853658536594</v>
          </cell>
          <cell r="CX709">
            <v>732.55</v>
          </cell>
          <cell r="CZ709">
            <v>343.12</v>
          </cell>
          <cell r="DA709">
            <v>3421.4</v>
          </cell>
          <cell r="DB709">
            <v>11.84</v>
          </cell>
          <cell r="DC709">
            <v>348.65</v>
          </cell>
          <cell r="DD709">
            <v>129.05000000000001</v>
          </cell>
        </row>
        <row r="710">
          <cell r="A710">
            <v>39423</v>
          </cell>
          <cell r="C710">
            <v>28</v>
          </cell>
          <cell r="D710">
            <v>2</v>
          </cell>
          <cell r="E710">
            <v>7.62</v>
          </cell>
          <cell r="L710">
            <v>1934.32</v>
          </cell>
          <cell r="M710">
            <v>2706.16</v>
          </cell>
          <cell r="N710">
            <v>6554.9</v>
          </cell>
          <cell r="O710">
            <v>4832</v>
          </cell>
          <cell r="Q710">
            <v>520</v>
          </cell>
          <cell r="R710">
            <v>417.25</v>
          </cell>
          <cell r="S710">
            <v>921.5</v>
          </cell>
          <cell r="T710">
            <v>1119.75</v>
          </cell>
          <cell r="U710">
            <v>15956.37</v>
          </cell>
          <cell r="V710">
            <v>28842.47</v>
          </cell>
          <cell r="W710">
            <v>8722.3799999999992</v>
          </cell>
          <cell r="X710">
            <v>91.55</v>
          </cell>
          <cell r="Y710">
            <v>1280</v>
          </cell>
          <cell r="Z710">
            <v>1655</v>
          </cell>
          <cell r="AA710">
            <v>19966</v>
          </cell>
          <cell r="AB710">
            <v>6714</v>
          </cell>
          <cell r="AC710">
            <v>65638.539099999995</v>
          </cell>
          <cell r="AE710">
            <v>107.25</v>
          </cell>
          <cell r="AF710">
            <v>850.21</v>
          </cell>
          <cell r="AG710">
            <v>10068</v>
          </cell>
          <cell r="AH710">
            <v>975</v>
          </cell>
          <cell r="AI710">
            <v>1740</v>
          </cell>
          <cell r="AJ710">
            <v>747.65</v>
          </cell>
          <cell r="AL710">
            <v>1504.66</v>
          </cell>
          <cell r="AP710">
            <v>5091.7560000000003</v>
          </cell>
          <cell r="AV710">
            <v>68.41</v>
          </cell>
          <cell r="AZ710">
            <v>258.39999999999998</v>
          </cell>
          <cell r="BE710">
            <v>27046</v>
          </cell>
          <cell r="BG710">
            <v>90.9</v>
          </cell>
          <cell r="BH710">
            <v>607.54999999999995</v>
          </cell>
          <cell r="BY710">
            <v>429.07</v>
          </cell>
          <cell r="CD710">
            <v>413.89</v>
          </cell>
          <cell r="CE710">
            <v>399.35399999999998</v>
          </cell>
          <cell r="CF710">
            <v>529.70000000000005</v>
          </cell>
          <cell r="CG710">
            <v>1535</v>
          </cell>
          <cell r="CH710">
            <v>1115</v>
          </cell>
          <cell r="CI710">
            <v>134</v>
          </cell>
          <cell r="CJ710">
            <v>325</v>
          </cell>
          <cell r="CK710">
            <v>1635</v>
          </cell>
          <cell r="CM710">
            <v>226.9</v>
          </cell>
          <cell r="CN710">
            <v>22.45</v>
          </cell>
          <cell r="CO710" t="str">
            <v>#N/A N/A</v>
          </cell>
          <cell r="CQ710">
            <v>7.04</v>
          </cell>
          <cell r="CR710">
            <v>93</v>
          </cell>
          <cell r="CS710">
            <v>2667.5</v>
          </cell>
          <cell r="CU710">
            <v>1425</v>
          </cell>
          <cell r="CW710">
            <v>70.655487804878049</v>
          </cell>
          <cell r="CX710">
            <v>732.7</v>
          </cell>
          <cell r="CZ710">
            <v>342.92</v>
          </cell>
          <cell r="DA710">
            <v>3501.9</v>
          </cell>
          <cell r="DB710">
            <v>12.04</v>
          </cell>
          <cell r="DC710">
            <v>348.65</v>
          </cell>
          <cell r="DD710">
            <v>131.15</v>
          </cell>
        </row>
        <row r="711">
          <cell r="A711">
            <v>39424</v>
          </cell>
          <cell r="C711">
            <v>28</v>
          </cell>
          <cell r="D711">
            <v>2</v>
          </cell>
          <cell r="E711">
            <v>7.62</v>
          </cell>
          <cell r="L711">
            <v>1934.32</v>
          </cell>
          <cell r="M711">
            <v>2706.16</v>
          </cell>
          <cell r="N711">
            <v>6554.9</v>
          </cell>
          <cell r="O711">
            <v>4832</v>
          </cell>
          <cell r="Q711">
            <v>520</v>
          </cell>
          <cell r="R711">
            <v>417.25</v>
          </cell>
          <cell r="S711">
            <v>921.5</v>
          </cell>
          <cell r="T711">
            <v>1119.75</v>
          </cell>
          <cell r="U711">
            <v>15956.37</v>
          </cell>
          <cell r="V711">
            <v>28842.47</v>
          </cell>
          <cell r="W711">
            <v>8722.3799999999992</v>
          </cell>
          <cell r="X711">
            <v>91.55</v>
          </cell>
          <cell r="Y711">
            <v>1280</v>
          </cell>
          <cell r="Z711">
            <v>1655</v>
          </cell>
          <cell r="AA711">
            <v>19966</v>
          </cell>
          <cell r="AB711">
            <v>6714</v>
          </cell>
          <cell r="AC711">
            <v>65638.539099999995</v>
          </cell>
          <cell r="AE711">
            <v>107.25</v>
          </cell>
          <cell r="AF711">
            <v>850.21</v>
          </cell>
          <cell r="AG711">
            <v>10068</v>
          </cell>
          <cell r="AH711">
            <v>975</v>
          </cell>
          <cell r="AI711">
            <v>1740</v>
          </cell>
          <cell r="AJ711">
            <v>747.65</v>
          </cell>
          <cell r="AL711">
            <v>1504.66</v>
          </cell>
          <cell r="AP711">
            <v>5091.7560000000003</v>
          </cell>
          <cell r="AV711">
            <v>68.41</v>
          </cell>
          <cell r="AZ711">
            <v>258.39999999999998</v>
          </cell>
          <cell r="BE711">
            <v>27046</v>
          </cell>
          <cell r="BG711">
            <v>90.9</v>
          </cell>
          <cell r="BH711">
            <v>607.54999999999995</v>
          </cell>
          <cell r="BY711">
            <v>429.07</v>
          </cell>
          <cell r="CD711">
            <v>413.89</v>
          </cell>
          <cell r="CE711">
            <v>399.35399999999998</v>
          </cell>
          <cell r="CF711">
            <v>529.70000000000005</v>
          </cell>
          <cell r="CG711">
            <v>1535</v>
          </cell>
          <cell r="CH711">
            <v>1115</v>
          </cell>
          <cell r="CI711">
            <v>134</v>
          </cell>
          <cell r="CJ711">
            <v>325</v>
          </cell>
          <cell r="CK711">
            <v>1635</v>
          </cell>
          <cell r="CM711">
            <v>226.9</v>
          </cell>
          <cell r="CN711">
            <v>22.45</v>
          </cell>
          <cell r="CO711" t="str">
            <v>#N/A N/A</v>
          </cell>
          <cell r="CQ711">
            <v>7.04</v>
          </cell>
          <cell r="CR711">
            <v>93</v>
          </cell>
          <cell r="CS711">
            <v>2667.5</v>
          </cell>
          <cell r="CU711">
            <v>1425</v>
          </cell>
          <cell r="CW711">
            <v>70.655487804878049</v>
          </cell>
          <cell r="CX711">
            <v>732.7</v>
          </cell>
          <cell r="CZ711">
            <v>342.92</v>
          </cell>
          <cell r="DA711">
            <v>3501.9</v>
          </cell>
          <cell r="DB711">
            <v>12.04</v>
          </cell>
          <cell r="DC711">
            <v>348.65</v>
          </cell>
          <cell r="DD711">
            <v>131.15</v>
          </cell>
        </row>
        <row r="712">
          <cell r="A712">
            <v>39425</v>
          </cell>
          <cell r="C712">
            <v>28</v>
          </cell>
          <cell r="D712">
            <v>2</v>
          </cell>
          <cell r="E712">
            <v>7.62</v>
          </cell>
          <cell r="L712">
            <v>1934.32</v>
          </cell>
          <cell r="M712">
            <v>2706.16</v>
          </cell>
          <cell r="N712">
            <v>6554.9</v>
          </cell>
          <cell r="O712">
            <v>4832</v>
          </cell>
          <cell r="Q712">
            <v>520</v>
          </cell>
          <cell r="R712">
            <v>417.25</v>
          </cell>
          <cell r="S712">
            <v>921.5</v>
          </cell>
          <cell r="T712">
            <v>1119.75</v>
          </cell>
          <cell r="U712">
            <v>15956.37</v>
          </cell>
          <cell r="V712">
            <v>28842.47</v>
          </cell>
          <cell r="W712">
            <v>8722.3799999999992</v>
          </cell>
          <cell r="X712">
            <v>91.55</v>
          </cell>
          <cell r="Y712">
            <v>1280</v>
          </cell>
          <cell r="Z712">
            <v>1655</v>
          </cell>
          <cell r="AA712">
            <v>19966</v>
          </cell>
          <cell r="AB712">
            <v>6714</v>
          </cell>
          <cell r="AC712">
            <v>65638.539099999995</v>
          </cell>
          <cell r="AE712">
            <v>107.25</v>
          </cell>
          <cell r="AF712">
            <v>850.21</v>
          </cell>
          <cell r="AG712">
            <v>10068</v>
          </cell>
          <cell r="AH712">
            <v>975</v>
          </cell>
          <cell r="AI712">
            <v>1740</v>
          </cell>
          <cell r="AJ712">
            <v>747.65</v>
          </cell>
          <cell r="AL712">
            <v>1504.66</v>
          </cell>
          <cell r="AP712">
            <v>5091.7560000000003</v>
          </cell>
          <cell r="AV712">
            <v>68.41</v>
          </cell>
          <cell r="AZ712">
            <v>258.39999999999998</v>
          </cell>
          <cell r="BE712">
            <v>27046</v>
          </cell>
          <cell r="BG712">
            <v>90.9</v>
          </cell>
          <cell r="BH712">
            <v>607.54999999999995</v>
          </cell>
          <cell r="BY712">
            <v>429.07</v>
          </cell>
          <cell r="CD712">
            <v>413.89</v>
          </cell>
          <cell r="CE712">
            <v>399.35399999999998</v>
          </cell>
          <cell r="CF712">
            <v>529.70000000000005</v>
          </cell>
          <cell r="CG712">
            <v>1535</v>
          </cell>
          <cell r="CH712">
            <v>1115</v>
          </cell>
          <cell r="CI712">
            <v>134</v>
          </cell>
          <cell r="CJ712">
            <v>325</v>
          </cell>
          <cell r="CK712">
            <v>1635</v>
          </cell>
          <cell r="CM712">
            <v>226.9</v>
          </cell>
          <cell r="CN712">
            <v>22.45</v>
          </cell>
          <cell r="CO712" t="str">
            <v>#N/A N/A</v>
          </cell>
          <cell r="CQ712">
            <v>7.04</v>
          </cell>
          <cell r="CR712">
            <v>93</v>
          </cell>
          <cell r="CS712">
            <v>2667.5</v>
          </cell>
          <cell r="CU712">
            <v>1425</v>
          </cell>
          <cell r="CW712">
            <v>70.655487804878049</v>
          </cell>
          <cell r="CX712">
            <v>732.7</v>
          </cell>
          <cell r="CZ712">
            <v>342.92</v>
          </cell>
          <cell r="DA712">
            <v>3501.9</v>
          </cell>
          <cell r="DB712">
            <v>12.04</v>
          </cell>
          <cell r="DC712">
            <v>348.65</v>
          </cell>
          <cell r="DD712">
            <v>131.15</v>
          </cell>
        </row>
        <row r="713">
          <cell r="A713">
            <v>39426</v>
          </cell>
          <cell r="C713">
            <v>28</v>
          </cell>
          <cell r="D713">
            <v>1.98</v>
          </cell>
          <cell r="E713">
            <v>7.16</v>
          </cell>
          <cell r="L713">
            <v>1906.42</v>
          </cell>
          <cell r="M713">
            <v>2718.95</v>
          </cell>
          <cell r="N713">
            <v>6565.4</v>
          </cell>
          <cell r="O713">
            <v>4830</v>
          </cell>
          <cell r="Q713">
            <v>520</v>
          </cell>
          <cell r="R713">
            <v>417.75</v>
          </cell>
          <cell r="S713">
            <v>929.5</v>
          </cell>
          <cell r="T713">
            <v>1125.75</v>
          </cell>
          <cell r="U713">
            <v>15924.39</v>
          </cell>
          <cell r="V713">
            <v>28501.1</v>
          </cell>
          <cell r="W713">
            <v>8598.0300000000007</v>
          </cell>
          <cell r="X713">
            <v>89.45</v>
          </cell>
          <cell r="Y713">
            <v>1280</v>
          </cell>
          <cell r="Z713">
            <v>1655</v>
          </cell>
          <cell r="AA713">
            <v>19930.68</v>
          </cell>
          <cell r="AB713">
            <v>6686.1</v>
          </cell>
          <cell r="AC713">
            <v>65445.960899999998</v>
          </cell>
          <cell r="AE713">
            <v>105.5</v>
          </cell>
          <cell r="AF713">
            <v>850.21</v>
          </cell>
          <cell r="AG713">
            <v>9992</v>
          </cell>
          <cell r="AH713">
            <v>975</v>
          </cell>
          <cell r="AI713">
            <v>1740</v>
          </cell>
          <cell r="AJ713">
            <v>739.19</v>
          </cell>
          <cell r="AL713">
            <v>1515.96</v>
          </cell>
          <cell r="AP713">
            <v>5161.9189999999999</v>
          </cell>
          <cell r="AV713">
            <v>67.41</v>
          </cell>
          <cell r="AZ713">
            <v>267.8</v>
          </cell>
          <cell r="BE713">
            <v>25944</v>
          </cell>
          <cell r="BG713">
            <v>90.9</v>
          </cell>
          <cell r="BH713">
            <v>611.03</v>
          </cell>
          <cell r="BY713">
            <v>432.25</v>
          </cell>
          <cell r="CD713">
            <v>416.18</v>
          </cell>
          <cell r="CE713">
            <v>402.07100000000003</v>
          </cell>
          <cell r="CF713">
            <v>522.30999999999995</v>
          </cell>
          <cell r="CG713">
            <v>1535</v>
          </cell>
          <cell r="CH713">
            <v>1115</v>
          </cell>
          <cell r="CI713">
            <v>134</v>
          </cell>
          <cell r="CJ713">
            <v>325</v>
          </cell>
          <cell r="CK713">
            <v>1735</v>
          </cell>
          <cell r="CM713">
            <v>225.01</v>
          </cell>
          <cell r="CN713">
            <v>22.4</v>
          </cell>
          <cell r="CO713" t="str">
            <v>#N/A N/A</v>
          </cell>
          <cell r="CQ713">
            <v>6.99</v>
          </cell>
          <cell r="CR713">
            <v>93</v>
          </cell>
          <cell r="CS713">
            <v>2539</v>
          </cell>
          <cell r="CU713">
            <v>1425</v>
          </cell>
          <cell r="CW713">
            <v>69.283536585365852</v>
          </cell>
          <cell r="CX713">
            <v>735.2</v>
          </cell>
          <cell r="CZ713">
            <v>343.45</v>
          </cell>
          <cell r="DA713">
            <v>3441.3</v>
          </cell>
          <cell r="DB713">
            <v>12.02</v>
          </cell>
          <cell r="DC713">
            <v>348.65</v>
          </cell>
          <cell r="DD713">
            <v>133.5</v>
          </cell>
        </row>
        <row r="714">
          <cell r="A714">
            <v>39427</v>
          </cell>
          <cell r="C714">
            <v>28</v>
          </cell>
          <cell r="D714">
            <v>1.95</v>
          </cell>
          <cell r="E714">
            <v>6.65</v>
          </cell>
          <cell r="L714">
            <v>1925.07</v>
          </cell>
          <cell r="M714">
            <v>2652.35</v>
          </cell>
          <cell r="N714">
            <v>6536.9</v>
          </cell>
          <cell r="O714">
            <v>4829</v>
          </cell>
          <cell r="Q714">
            <v>520</v>
          </cell>
          <cell r="R714">
            <v>424</v>
          </cell>
          <cell r="S714">
            <v>910.5</v>
          </cell>
          <cell r="T714">
            <v>1135.5</v>
          </cell>
          <cell r="U714">
            <v>16044.72</v>
          </cell>
          <cell r="V714">
            <v>29226.84</v>
          </cell>
          <cell r="W714">
            <v>8638.33</v>
          </cell>
          <cell r="X714">
            <v>89.3</v>
          </cell>
          <cell r="Y714">
            <v>1280</v>
          </cell>
          <cell r="Z714">
            <v>1655</v>
          </cell>
          <cell r="AA714">
            <v>20290.89</v>
          </cell>
          <cell r="AB714">
            <v>6738.1</v>
          </cell>
          <cell r="AC714">
            <v>64512.261700000003</v>
          </cell>
          <cell r="AE714">
            <v>105.95</v>
          </cell>
          <cell r="AF714">
            <v>860.28</v>
          </cell>
          <cell r="AG714">
            <v>9929</v>
          </cell>
          <cell r="AH714">
            <v>975</v>
          </cell>
          <cell r="AI714">
            <v>1740</v>
          </cell>
          <cell r="AJ714">
            <v>734.33</v>
          </cell>
          <cell r="AL714">
            <v>1477.65</v>
          </cell>
          <cell r="AP714">
            <v>5175.076</v>
          </cell>
          <cell r="AV714">
            <v>64.959999999999994</v>
          </cell>
          <cell r="AZ714">
            <v>273.3</v>
          </cell>
          <cell r="BE714">
            <v>26372</v>
          </cell>
          <cell r="BG714">
            <v>90.9</v>
          </cell>
          <cell r="BH714">
            <v>609.57000000000005</v>
          </cell>
          <cell r="BY714">
            <v>423.27</v>
          </cell>
          <cell r="CD714">
            <v>411.45</v>
          </cell>
          <cell r="CE714">
            <v>396.83499999999998</v>
          </cell>
          <cell r="CF714">
            <v>529.02</v>
          </cell>
          <cell r="CG714">
            <v>1535</v>
          </cell>
          <cell r="CH714">
            <v>1115</v>
          </cell>
          <cell r="CI714">
            <v>134</v>
          </cell>
          <cell r="CJ714">
            <v>325</v>
          </cell>
          <cell r="CK714">
            <v>1917</v>
          </cell>
          <cell r="CM714">
            <v>229.14</v>
          </cell>
          <cell r="CN714">
            <v>22.45</v>
          </cell>
          <cell r="CO714" t="str">
            <v>#N/A N/A</v>
          </cell>
          <cell r="CQ714">
            <v>7.12</v>
          </cell>
          <cell r="CR714">
            <v>93</v>
          </cell>
          <cell r="CS714">
            <v>2519.5</v>
          </cell>
          <cell r="CU714">
            <v>1425</v>
          </cell>
          <cell r="CW714">
            <v>70.503048780487802</v>
          </cell>
          <cell r="CX714">
            <v>734.95</v>
          </cell>
          <cell r="CZ714">
            <v>346.83</v>
          </cell>
          <cell r="DA714">
            <v>3452.5</v>
          </cell>
          <cell r="DB714">
            <v>12.45</v>
          </cell>
          <cell r="DC714">
            <v>348.65</v>
          </cell>
          <cell r="DD714">
            <v>133.5</v>
          </cell>
        </row>
        <row r="715">
          <cell r="A715">
            <v>39428</v>
          </cell>
          <cell r="C715">
            <v>28</v>
          </cell>
          <cell r="D715">
            <v>1.92</v>
          </cell>
          <cell r="E715">
            <v>6.38</v>
          </cell>
          <cell r="L715">
            <v>1927.45</v>
          </cell>
          <cell r="M715">
            <v>2671.14</v>
          </cell>
          <cell r="N715">
            <v>6559.8</v>
          </cell>
          <cell r="O715">
            <v>4829</v>
          </cell>
          <cell r="Q715">
            <v>520</v>
          </cell>
          <cell r="R715">
            <v>433.25</v>
          </cell>
          <cell r="S715">
            <v>940.5</v>
          </cell>
          <cell r="T715">
            <v>1151.5</v>
          </cell>
          <cell r="U715">
            <v>15932.26</v>
          </cell>
          <cell r="V715">
            <v>28521.06</v>
          </cell>
          <cell r="W715">
            <v>8490.84</v>
          </cell>
          <cell r="X715">
            <v>91.15</v>
          </cell>
          <cell r="Y715">
            <v>1280</v>
          </cell>
          <cell r="Z715">
            <v>1655</v>
          </cell>
          <cell r="AA715">
            <v>20375.87</v>
          </cell>
          <cell r="AB715">
            <v>6675.4</v>
          </cell>
          <cell r="AC715">
            <v>64741.691400000003</v>
          </cell>
          <cell r="AE715">
            <v>107.65</v>
          </cell>
          <cell r="AF715">
            <v>860.28</v>
          </cell>
          <cell r="AG715">
            <v>9936</v>
          </cell>
          <cell r="AH715">
            <v>975</v>
          </cell>
          <cell r="AI715">
            <v>1740</v>
          </cell>
          <cell r="AJ715">
            <v>729.52</v>
          </cell>
          <cell r="AL715">
            <v>1486.59</v>
          </cell>
          <cell r="AP715">
            <v>5095.5429999999997</v>
          </cell>
          <cell r="AV715">
            <v>67.5</v>
          </cell>
          <cell r="AZ715">
            <v>272.7</v>
          </cell>
          <cell r="BE715">
            <v>25977</v>
          </cell>
          <cell r="BG715">
            <v>90.9</v>
          </cell>
          <cell r="BH715">
            <v>611.47</v>
          </cell>
          <cell r="BY715">
            <v>425.67</v>
          </cell>
          <cell r="CD715">
            <v>411.89</v>
          </cell>
          <cell r="CE715">
            <v>397.59800000000001</v>
          </cell>
          <cell r="CF715">
            <v>522.13</v>
          </cell>
          <cell r="CG715">
            <v>1535</v>
          </cell>
          <cell r="CH715">
            <v>1115</v>
          </cell>
          <cell r="CI715">
            <v>134</v>
          </cell>
          <cell r="CJ715">
            <v>325</v>
          </cell>
          <cell r="CK715">
            <v>2017</v>
          </cell>
          <cell r="CM715">
            <v>241.28</v>
          </cell>
          <cell r="CN715">
            <v>22.6</v>
          </cell>
          <cell r="CO715" t="str">
            <v>#N/A N/A</v>
          </cell>
          <cell r="CQ715">
            <v>7.22</v>
          </cell>
          <cell r="CR715">
            <v>93</v>
          </cell>
          <cell r="CS715">
            <v>2581</v>
          </cell>
          <cell r="CU715">
            <v>1425</v>
          </cell>
          <cell r="CW715">
            <v>71.265243902439025</v>
          </cell>
          <cell r="CX715">
            <v>734.3</v>
          </cell>
          <cell r="CZ715">
            <v>354.08</v>
          </cell>
          <cell r="DA715">
            <v>3426.3</v>
          </cell>
          <cell r="DB715">
            <v>12.28</v>
          </cell>
          <cell r="DC715">
            <v>348.65</v>
          </cell>
          <cell r="DD715">
            <v>134.15</v>
          </cell>
        </row>
        <row r="716">
          <cell r="A716">
            <v>39429</v>
          </cell>
          <cell r="C716">
            <v>28</v>
          </cell>
          <cell r="D716">
            <v>1.9</v>
          </cell>
          <cell r="E716">
            <v>5.95</v>
          </cell>
          <cell r="L716">
            <v>1915.9</v>
          </cell>
          <cell r="M716">
            <v>2668.49</v>
          </cell>
          <cell r="N716">
            <v>6364.2</v>
          </cell>
          <cell r="O716">
            <v>4828</v>
          </cell>
          <cell r="Q716">
            <v>520</v>
          </cell>
          <cell r="R716">
            <v>435</v>
          </cell>
          <cell r="S716">
            <v>953.5</v>
          </cell>
          <cell r="T716">
            <v>1146</v>
          </cell>
          <cell r="U716">
            <v>15536.52</v>
          </cell>
          <cell r="V716">
            <v>27744.45</v>
          </cell>
          <cell r="W716">
            <v>8187.95</v>
          </cell>
          <cell r="X716">
            <v>94.65</v>
          </cell>
          <cell r="Y716">
            <v>1280</v>
          </cell>
          <cell r="Z716">
            <v>1655</v>
          </cell>
          <cell r="AA716">
            <v>20104.39</v>
          </cell>
          <cell r="AB716">
            <v>6661.1</v>
          </cell>
          <cell r="AC716">
            <v>62860.988299999997</v>
          </cell>
          <cell r="AE716">
            <v>110.7</v>
          </cell>
          <cell r="AF716">
            <v>860.28</v>
          </cell>
          <cell r="AG716">
            <v>9949</v>
          </cell>
          <cell r="AH716">
            <v>975</v>
          </cell>
          <cell r="AI716">
            <v>1740</v>
          </cell>
          <cell r="AJ716">
            <v>733.68</v>
          </cell>
          <cell r="AL716">
            <v>1488.41</v>
          </cell>
          <cell r="AP716">
            <v>4958.0429999999997</v>
          </cell>
          <cell r="AV716">
            <v>66.400000000000006</v>
          </cell>
          <cell r="AZ716">
            <v>276.5</v>
          </cell>
          <cell r="BE716">
            <v>25445</v>
          </cell>
          <cell r="BG716">
            <v>90.9</v>
          </cell>
          <cell r="BH716">
            <v>594.53</v>
          </cell>
          <cell r="BY716">
            <v>420.9</v>
          </cell>
          <cell r="CD716">
            <v>405.95</v>
          </cell>
          <cell r="CE716">
            <v>392.322</v>
          </cell>
          <cell r="CF716">
            <v>511.55</v>
          </cell>
          <cell r="CG716">
            <v>1535</v>
          </cell>
          <cell r="CH716">
            <v>1115</v>
          </cell>
          <cell r="CI716">
            <v>134</v>
          </cell>
          <cell r="CJ716">
            <v>325</v>
          </cell>
          <cell r="CK716">
            <v>2060</v>
          </cell>
          <cell r="CM716">
            <v>237.44</v>
          </cell>
          <cell r="CN716">
            <v>22.74</v>
          </cell>
          <cell r="CO716" t="str">
            <v>#N/A N/A</v>
          </cell>
          <cell r="CQ716">
            <v>7.44</v>
          </cell>
          <cell r="CR716">
            <v>93</v>
          </cell>
          <cell r="CS716">
            <v>2473</v>
          </cell>
          <cell r="CU716">
            <v>1425</v>
          </cell>
          <cell r="CW716">
            <v>72.865853658536594</v>
          </cell>
          <cell r="CX716">
            <v>730.65</v>
          </cell>
          <cell r="CZ716">
            <v>349.55</v>
          </cell>
          <cell r="DA716">
            <v>3341.8</v>
          </cell>
          <cell r="DB716">
            <v>12.25</v>
          </cell>
          <cell r="DC716">
            <v>348.65</v>
          </cell>
          <cell r="DD716">
            <v>133.4</v>
          </cell>
        </row>
        <row r="717">
          <cell r="A717">
            <v>39430</v>
          </cell>
          <cell r="C717">
            <v>28</v>
          </cell>
          <cell r="D717">
            <v>1.9</v>
          </cell>
          <cell r="E717">
            <v>6.11</v>
          </cell>
          <cell r="L717">
            <v>1895.05</v>
          </cell>
          <cell r="M717">
            <v>2635.74</v>
          </cell>
          <cell r="N717">
            <v>6397</v>
          </cell>
          <cell r="O717">
            <v>4823</v>
          </cell>
          <cell r="Q717">
            <v>520</v>
          </cell>
          <cell r="R717">
            <v>438.25</v>
          </cell>
          <cell r="S717">
            <v>979.5</v>
          </cell>
          <cell r="T717">
            <v>1157</v>
          </cell>
          <cell r="U717">
            <v>15514.51</v>
          </cell>
          <cell r="V717">
            <v>27563.64</v>
          </cell>
          <cell r="W717">
            <v>8118.08</v>
          </cell>
          <cell r="X717">
            <v>94.45</v>
          </cell>
          <cell r="Y717">
            <v>1280</v>
          </cell>
          <cell r="Z717">
            <v>1655</v>
          </cell>
          <cell r="AA717">
            <v>20030.830000000002</v>
          </cell>
          <cell r="AB717">
            <v>6556.1</v>
          </cell>
          <cell r="AC717">
            <v>62444.968800000002</v>
          </cell>
          <cell r="AE717">
            <v>109.65</v>
          </cell>
          <cell r="AF717">
            <v>860.28</v>
          </cell>
          <cell r="AG717">
            <v>9918</v>
          </cell>
          <cell r="AH717">
            <v>980</v>
          </cell>
          <cell r="AI717">
            <v>1735</v>
          </cell>
          <cell r="AJ717">
            <v>725.53</v>
          </cell>
          <cell r="AL717">
            <v>1467.95</v>
          </cell>
          <cell r="AP717">
            <v>5007.9110000000001</v>
          </cell>
          <cell r="AV717">
            <v>64.599999999999994</v>
          </cell>
          <cell r="AZ717">
            <v>279.5</v>
          </cell>
          <cell r="BE717">
            <v>26275</v>
          </cell>
          <cell r="BG717">
            <v>90.9</v>
          </cell>
          <cell r="BH717">
            <v>593.45000000000005</v>
          </cell>
          <cell r="BY717">
            <v>414.13</v>
          </cell>
          <cell r="CD717">
            <v>400.98</v>
          </cell>
          <cell r="CE717">
            <v>387.61</v>
          </cell>
          <cell r="CF717">
            <v>504.94</v>
          </cell>
          <cell r="CG717">
            <v>1560</v>
          </cell>
          <cell r="CH717">
            <v>1125</v>
          </cell>
          <cell r="CI717">
            <v>134</v>
          </cell>
          <cell r="CJ717">
            <v>325</v>
          </cell>
          <cell r="CK717">
            <v>2117</v>
          </cell>
          <cell r="CM717">
            <v>234.17</v>
          </cell>
          <cell r="CN717">
            <v>22.65</v>
          </cell>
          <cell r="CO717" t="str">
            <v>#N/A N/A</v>
          </cell>
          <cell r="CQ717">
            <v>7.1</v>
          </cell>
          <cell r="CR717">
            <v>93</v>
          </cell>
          <cell r="CS717">
            <v>2503</v>
          </cell>
          <cell r="CU717">
            <v>1430</v>
          </cell>
          <cell r="CW717">
            <v>73.399390243902445</v>
          </cell>
          <cell r="CX717">
            <v>722.6</v>
          </cell>
          <cell r="CZ717">
            <v>348.6</v>
          </cell>
          <cell r="DA717">
            <v>3360</v>
          </cell>
          <cell r="DB717">
            <v>12.42</v>
          </cell>
          <cell r="DC717">
            <v>348.65</v>
          </cell>
          <cell r="DD717">
            <v>133.94999999999999</v>
          </cell>
        </row>
        <row r="718">
          <cell r="A718">
            <v>39431</v>
          </cell>
          <cell r="C718">
            <v>28</v>
          </cell>
          <cell r="D718">
            <v>1.9</v>
          </cell>
          <cell r="E718">
            <v>6.11</v>
          </cell>
          <cell r="L718">
            <v>1895.05</v>
          </cell>
          <cell r="M718">
            <v>2635.74</v>
          </cell>
          <cell r="N718">
            <v>6397</v>
          </cell>
          <cell r="O718">
            <v>4823</v>
          </cell>
          <cell r="Q718">
            <v>520</v>
          </cell>
          <cell r="R718">
            <v>438.25</v>
          </cell>
          <cell r="S718">
            <v>979.5</v>
          </cell>
          <cell r="T718">
            <v>1157</v>
          </cell>
          <cell r="U718">
            <v>15514.51</v>
          </cell>
          <cell r="V718">
            <v>27563.64</v>
          </cell>
          <cell r="W718">
            <v>8118.08</v>
          </cell>
          <cell r="X718">
            <v>94.45</v>
          </cell>
          <cell r="Y718">
            <v>1280</v>
          </cell>
          <cell r="Z718">
            <v>1655</v>
          </cell>
          <cell r="AA718">
            <v>20030.830000000002</v>
          </cell>
          <cell r="AB718">
            <v>6556.1</v>
          </cell>
          <cell r="AC718">
            <v>62444.968800000002</v>
          </cell>
          <cell r="AE718">
            <v>109.65</v>
          </cell>
          <cell r="AF718">
            <v>860.28</v>
          </cell>
          <cell r="AG718">
            <v>9918</v>
          </cell>
          <cell r="AH718">
            <v>980</v>
          </cell>
          <cell r="AI718">
            <v>1735</v>
          </cell>
          <cell r="AJ718">
            <v>725.53</v>
          </cell>
          <cell r="AL718">
            <v>1467.95</v>
          </cell>
          <cell r="AP718">
            <v>5007.9110000000001</v>
          </cell>
          <cell r="AV718">
            <v>64.599999999999994</v>
          </cell>
          <cell r="AZ718">
            <v>279.5</v>
          </cell>
          <cell r="BE718">
            <v>26275</v>
          </cell>
          <cell r="BG718">
            <v>90.9</v>
          </cell>
          <cell r="BH718">
            <v>593.45000000000005</v>
          </cell>
          <cell r="BY718">
            <v>414.13</v>
          </cell>
          <cell r="CD718">
            <v>400.98</v>
          </cell>
          <cell r="CE718">
            <v>387.61</v>
          </cell>
          <cell r="CF718">
            <v>504.94</v>
          </cell>
          <cell r="CG718">
            <v>1560</v>
          </cell>
          <cell r="CH718">
            <v>1125</v>
          </cell>
          <cell r="CI718">
            <v>134</v>
          </cell>
          <cell r="CJ718">
            <v>325</v>
          </cell>
          <cell r="CK718">
            <v>2117</v>
          </cell>
          <cell r="CM718">
            <v>234.17</v>
          </cell>
          <cell r="CN718">
            <v>22.65</v>
          </cell>
          <cell r="CO718" t="str">
            <v>#N/A N/A</v>
          </cell>
          <cell r="CQ718">
            <v>7.1</v>
          </cell>
          <cell r="CR718">
            <v>93</v>
          </cell>
          <cell r="CS718">
            <v>2503</v>
          </cell>
          <cell r="CU718">
            <v>1430</v>
          </cell>
          <cell r="CW718">
            <v>73.399390243902445</v>
          </cell>
          <cell r="CX718">
            <v>722.6</v>
          </cell>
          <cell r="CZ718">
            <v>348.6</v>
          </cell>
          <cell r="DA718">
            <v>3360</v>
          </cell>
          <cell r="DB718">
            <v>12.42</v>
          </cell>
          <cell r="DC718">
            <v>348.65</v>
          </cell>
          <cell r="DD718">
            <v>133.94999999999999</v>
          </cell>
        </row>
        <row r="719">
          <cell r="A719">
            <v>39432</v>
          </cell>
          <cell r="C719">
            <v>28</v>
          </cell>
          <cell r="D719">
            <v>1.9</v>
          </cell>
          <cell r="E719">
            <v>6.11</v>
          </cell>
          <cell r="L719">
            <v>1895.05</v>
          </cell>
          <cell r="M719">
            <v>2635.74</v>
          </cell>
          <cell r="N719">
            <v>6397</v>
          </cell>
          <cell r="O719">
            <v>4823</v>
          </cell>
          <cell r="Q719">
            <v>520</v>
          </cell>
          <cell r="R719">
            <v>438.25</v>
          </cell>
          <cell r="S719">
            <v>979.5</v>
          </cell>
          <cell r="T719">
            <v>1157</v>
          </cell>
          <cell r="U719">
            <v>15514.51</v>
          </cell>
          <cell r="V719">
            <v>27563.64</v>
          </cell>
          <cell r="W719">
            <v>8118.08</v>
          </cell>
          <cell r="X719">
            <v>94.45</v>
          </cell>
          <cell r="Y719">
            <v>1280</v>
          </cell>
          <cell r="Z719">
            <v>1655</v>
          </cell>
          <cell r="AA719">
            <v>20030.830000000002</v>
          </cell>
          <cell r="AB719">
            <v>6556.1</v>
          </cell>
          <cell r="AC719">
            <v>62444.968800000002</v>
          </cell>
          <cell r="AE719">
            <v>109.65</v>
          </cell>
          <cell r="AF719">
            <v>860.28</v>
          </cell>
          <cell r="AG719">
            <v>9918</v>
          </cell>
          <cell r="AH719">
            <v>980</v>
          </cell>
          <cell r="AI719">
            <v>1735</v>
          </cell>
          <cell r="AJ719">
            <v>725.53</v>
          </cell>
          <cell r="AL719">
            <v>1467.95</v>
          </cell>
          <cell r="AP719">
            <v>5007.9110000000001</v>
          </cell>
          <cell r="AV719">
            <v>64.599999999999994</v>
          </cell>
          <cell r="AZ719">
            <v>279.5</v>
          </cell>
          <cell r="BE719">
            <v>26275</v>
          </cell>
          <cell r="BG719">
            <v>90.9</v>
          </cell>
          <cell r="BH719">
            <v>593.45000000000005</v>
          </cell>
          <cell r="BY719">
            <v>414.13</v>
          </cell>
          <cell r="CD719">
            <v>400.98</v>
          </cell>
          <cell r="CE719">
            <v>387.61</v>
          </cell>
          <cell r="CF719">
            <v>504.94</v>
          </cell>
          <cell r="CG719">
            <v>1560</v>
          </cell>
          <cell r="CH719">
            <v>1125</v>
          </cell>
          <cell r="CI719">
            <v>134</v>
          </cell>
          <cell r="CJ719">
            <v>325</v>
          </cell>
          <cell r="CK719">
            <v>2117</v>
          </cell>
          <cell r="CM719">
            <v>234.17</v>
          </cell>
          <cell r="CN719">
            <v>22.65</v>
          </cell>
          <cell r="CO719" t="str">
            <v>#N/A N/A</v>
          </cell>
          <cell r="CQ719">
            <v>7.1</v>
          </cell>
          <cell r="CR719">
            <v>93</v>
          </cell>
          <cell r="CS719">
            <v>2503</v>
          </cell>
          <cell r="CU719">
            <v>1430</v>
          </cell>
          <cell r="CW719">
            <v>73.399390243902445</v>
          </cell>
          <cell r="CX719">
            <v>722.6</v>
          </cell>
          <cell r="CZ719">
            <v>348.6</v>
          </cell>
          <cell r="DA719">
            <v>3360</v>
          </cell>
          <cell r="DB719">
            <v>12.42</v>
          </cell>
          <cell r="DC719">
            <v>348.65</v>
          </cell>
          <cell r="DD719">
            <v>133.94999999999999</v>
          </cell>
        </row>
        <row r="720">
          <cell r="A720">
            <v>39433</v>
          </cell>
          <cell r="C720">
            <v>28</v>
          </cell>
          <cell r="D720">
            <v>1.88</v>
          </cell>
          <cell r="E720">
            <v>6.07</v>
          </cell>
          <cell r="L720">
            <v>1839.82</v>
          </cell>
          <cell r="M720">
            <v>2574.46</v>
          </cell>
          <cell r="N720">
            <v>6277.8</v>
          </cell>
          <cell r="O720">
            <v>4822</v>
          </cell>
          <cell r="Q720">
            <v>520</v>
          </cell>
          <cell r="R720">
            <v>438.75</v>
          </cell>
          <cell r="S720">
            <v>966</v>
          </cell>
          <cell r="T720">
            <v>1156.75</v>
          </cell>
          <cell r="U720">
            <v>15249.79</v>
          </cell>
          <cell r="V720">
            <v>26596.58</v>
          </cell>
          <cell r="W720">
            <v>7830.85</v>
          </cell>
          <cell r="X720">
            <v>94.5</v>
          </cell>
          <cell r="Y720">
            <v>1280</v>
          </cell>
          <cell r="Z720">
            <v>1655</v>
          </cell>
          <cell r="AA720">
            <v>19261.349999999999</v>
          </cell>
          <cell r="AB720">
            <v>6331.8</v>
          </cell>
          <cell r="AC720">
            <v>59828.210899999998</v>
          </cell>
          <cell r="AE720">
            <v>110.95</v>
          </cell>
          <cell r="AF720">
            <v>860.28</v>
          </cell>
          <cell r="AG720">
            <v>9848</v>
          </cell>
          <cell r="AH720">
            <v>980</v>
          </cell>
          <cell r="AI720">
            <v>1735</v>
          </cell>
          <cell r="AJ720">
            <v>702.49</v>
          </cell>
          <cell r="AL720">
            <v>1445.9</v>
          </cell>
          <cell r="AP720">
            <v>4876.7610000000004</v>
          </cell>
          <cell r="AV720">
            <v>61.75</v>
          </cell>
          <cell r="AZ720">
            <v>280.89999999999998</v>
          </cell>
          <cell r="BE720">
            <v>25455</v>
          </cell>
          <cell r="BG720">
            <v>90.9</v>
          </cell>
          <cell r="BH720">
            <v>579.41</v>
          </cell>
          <cell r="BY720">
            <v>407.6</v>
          </cell>
          <cell r="CD720">
            <v>392.88</v>
          </cell>
          <cell r="CE720">
            <v>380.42099999999999</v>
          </cell>
          <cell r="CF720">
            <v>487.42</v>
          </cell>
          <cell r="CG720">
            <v>1560</v>
          </cell>
          <cell r="CH720">
            <v>1125</v>
          </cell>
          <cell r="CI720">
            <v>134</v>
          </cell>
          <cell r="CJ720">
            <v>325</v>
          </cell>
          <cell r="CK720">
            <v>2225</v>
          </cell>
          <cell r="CM720">
            <v>233.54</v>
          </cell>
          <cell r="CN720">
            <v>22.4</v>
          </cell>
          <cell r="CO720" t="str">
            <v>#N/A N/A</v>
          </cell>
          <cell r="CQ720">
            <v>7.1</v>
          </cell>
          <cell r="CR720">
            <v>93</v>
          </cell>
          <cell r="CS720">
            <v>2433</v>
          </cell>
          <cell r="CU720">
            <v>1430</v>
          </cell>
          <cell r="CW720">
            <v>73.246951219512198</v>
          </cell>
          <cell r="CX720">
            <v>719.1</v>
          </cell>
          <cell r="CZ720">
            <v>347.99</v>
          </cell>
          <cell r="DA720">
            <v>3296.9</v>
          </cell>
          <cell r="DB720">
            <v>12.67</v>
          </cell>
          <cell r="DC720">
            <v>348.65</v>
          </cell>
          <cell r="DD720">
            <v>133.44999999999999</v>
          </cell>
        </row>
        <row r="721">
          <cell r="A721">
            <v>39434</v>
          </cell>
          <cell r="C721">
            <v>28</v>
          </cell>
          <cell r="D721">
            <v>1.88</v>
          </cell>
          <cell r="E721">
            <v>6.11</v>
          </cell>
          <cell r="L721">
            <v>1861.47</v>
          </cell>
          <cell r="M721">
            <v>2596.0300000000002</v>
          </cell>
          <cell r="N721">
            <v>6279.3</v>
          </cell>
          <cell r="O721">
            <v>4822</v>
          </cell>
          <cell r="Q721">
            <v>520</v>
          </cell>
          <cell r="R721">
            <v>432</v>
          </cell>
          <cell r="S721">
            <v>952</v>
          </cell>
          <cell r="T721">
            <v>1149.75</v>
          </cell>
          <cell r="U721">
            <v>15207.86</v>
          </cell>
          <cell r="V721">
            <v>26732.87</v>
          </cell>
          <cell r="W721">
            <v>7807.39</v>
          </cell>
          <cell r="X721">
            <v>93.15</v>
          </cell>
          <cell r="Y721">
            <v>1280</v>
          </cell>
          <cell r="Z721">
            <v>1655</v>
          </cell>
          <cell r="AA721">
            <v>19079.64</v>
          </cell>
          <cell r="AB721">
            <v>6292.6</v>
          </cell>
          <cell r="AC721">
            <v>61096.281300000002</v>
          </cell>
          <cell r="AE721">
            <v>109.65</v>
          </cell>
          <cell r="AF721">
            <v>866.28</v>
          </cell>
          <cell r="AG721">
            <v>9751</v>
          </cell>
          <cell r="AH721">
            <v>980</v>
          </cell>
          <cell r="AI721">
            <v>1735</v>
          </cell>
          <cell r="AJ721">
            <v>709.47</v>
          </cell>
          <cell r="AL721">
            <v>1454.98</v>
          </cell>
          <cell r="AP721">
            <v>4836.174</v>
          </cell>
          <cell r="AV721">
            <v>63.5</v>
          </cell>
          <cell r="AZ721">
            <v>280.39999999999998</v>
          </cell>
          <cell r="BE721">
            <v>25615</v>
          </cell>
          <cell r="BG721">
            <v>90.9</v>
          </cell>
          <cell r="BH721">
            <v>584.48</v>
          </cell>
          <cell r="BY721">
            <v>408.51</v>
          </cell>
          <cell r="CD721">
            <v>394</v>
          </cell>
          <cell r="CE721">
            <v>381.41800000000001</v>
          </cell>
          <cell r="CF721">
            <v>486.79</v>
          </cell>
          <cell r="CG721">
            <v>1560</v>
          </cell>
          <cell r="CH721">
            <v>1125</v>
          </cell>
          <cell r="CI721">
            <v>134</v>
          </cell>
          <cell r="CJ721">
            <v>325</v>
          </cell>
          <cell r="CK721">
            <v>2253</v>
          </cell>
          <cell r="CM721">
            <v>230.43</v>
          </cell>
          <cell r="CN721">
            <v>22.52</v>
          </cell>
          <cell r="CO721" t="str">
            <v>#N/A N/A</v>
          </cell>
          <cell r="CQ721">
            <v>7.17</v>
          </cell>
          <cell r="CR721">
            <v>93</v>
          </cell>
          <cell r="CS721">
            <v>2458.5</v>
          </cell>
          <cell r="CU721">
            <v>1430</v>
          </cell>
          <cell r="CW721">
            <v>73.628048780487816</v>
          </cell>
          <cell r="CX721">
            <v>720.45</v>
          </cell>
          <cell r="CZ721">
            <v>347.05</v>
          </cell>
          <cell r="DA721">
            <v>3302.9</v>
          </cell>
          <cell r="DB721">
            <v>12.78</v>
          </cell>
          <cell r="DC721">
            <v>348.65</v>
          </cell>
          <cell r="DD721">
            <v>134.55000000000001</v>
          </cell>
        </row>
        <row r="722">
          <cell r="A722">
            <v>39435</v>
          </cell>
          <cell r="C722">
            <v>28</v>
          </cell>
          <cell r="D722">
            <v>1.89</v>
          </cell>
          <cell r="E722">
            <v>6.1</v>
          </cell>
          <cell r="L722">
            <v>1861.47</v>
          </cell>
          <cell r="M722">
            <v>2601.0100000000002</v>
          </cell>
          <cell r="N722">
            <v>6284.5</v>
          </cell>
          <cell r="O722">
            <v>4809</v>
          </cell>
          <cell r="Q722">
            <v>520</v>
          </cell>
          <cell r="R722">
            <v>434.75</v>
          </cell>
          <cell r="S722">
            <v>973.5</v>
          </cell>
          <cell r="T722">
            <v>1159</v>
          </cell>
          <cell r="U722">
            <v>15030.51</v>
          </cell>
          <cell r="V722">
            <v>27029.26</v>
          </cell>
          <cell r="W722">
            <v>8014.31</v>
          </cell>
          <cell r="X722">
            <v>92.45</v>
          </cell>
          <cell r="Y722">
            <v>1280</v>
          </cell>
          <cell r="Z722">
            <v>1655</v>
          </cell>
          <cell r="AA722">
            <v>19091.96</v>
          </cell>
          <cell r="AB722">
            <v>6280.8</v>
          </cell>
          <cell r="AC722">
            <v>61721.710899999998</v>
          </cell>
          <cell r="AE722">
            <v>108.05</v>
          </cell>
          <cell r="AF722">
            <v>866.28</v>
          </cell>
          <cell r="AG722">
            <v>9591</v>
          </cell>
          <cell r="AH722">
            <v>980</v>
          </cell>
          <cell r="AI722">
            <v>1735</v>
          </cell>
          <cell r="AJ722">
            <v>709.47</v>
          </cell>
          <cell r="AL722">
            <v>1453</v>
          </cell>
          <cell r="AP722">
            <v>4941.7839999999997</v>
          </cell>
          <cell r="AV722">
            <v>64.39</v>
          </cell>
          <cell r="AZ722">
            <v>283.7</v>
          </cell>
          <cell r="BE722">
            <v>26400</v>
          </cell>
          <cell r="BG722">
            <v>90.9</v>
          </cell>
          <cell r="BH722">
            <v>591.16</v>
          </cell>
          <cell r="BY722">
            <v>409.04</v>
          </cell>
          <cell r="CD722">
            <v>393.28</v>
          </cell>
          <cell r="CE722">
            <v>380.334</v>
          </cell>
          <cell r="CF722">
            <v>491.59</v>
          </cell>
          <cell r="CG722">
            <v>1560</v>
          </cell>
          <cell r="CH722">
            <v>1125</v>
          </cell>
          <cell r="CI722">
            <v>134</v>
          </cell>
          <cell r="CJ722">
            <v>325</v>
          </cell>
          <cell r="CK722">
            <v>2279</v>
          </cell>
          <cell r="CM722">
            <v>233.19</v>
          </cell>
          <cell r="CN722">
            <v>22.39</v>
          </cell>
          <cell r="CO722" t="str">
            <v>#N/A N/A</v>
          </cell>
          <cell r="CQ722">
            <v>7.18</v>
          </cell>
          <cell r="CR722">
            <v>90</v>
          </cell>
          <cell r="CS722">
            <v>2518</v>
          </cell>
          <cell r="CU722">
            <v>1430</v>
          </cell>
          <cell r="CW722">
            <v>73.856707317073173</v>
          </cell>
          <cell r="CX722">
            <v>718</v>
          </cell>
          <cell r="CZ722">
            <v>350.19</v>
          </cell>
          <cell r="DA722">
            <v>3358.8</v>
          </cell>
          <cell r="DB722">
            <v>12.69</v>
          </cell>
          <cell r="DC722">
            <v>348.65</v>
          </cell>
          <cell r="DD722">
            <v>134.5</v>
          </cell>
        </row>
        <row r="723">
          <cell r="A723">
            <v>39436</v>
          </cell>
          <cell r="C723">
            <v>28</v>
          </cell>
          <cell r="D723">
            <v>1.88</v>
          </cell>
          <cell r="E723">
            <v>5.99</v>
          </cell>
          <cell r="L723">
            <v>1844.37</v>
          </cell>
          <cell r="M723">
            <v>2640.86</v>
          </cell>
          <cell r="N723">
            <v>6345.6</v>
          </cell>
          <cell r="O723">
            <v>4804</v>
          </cell>
          <cell r="Q723">
            <v>520</v>
          </cell>
          <cell r="R723">
            <v>437.5</v>
          </cell>
          <cell r="S723">
            <v>954</v>
          </cell>
          <cell r="T723">
            <v>1160.75</v>
          </cell>
          <cell r="U723">
            <v>15031.6</v>
          </cell>
          <cell r="V723">
            <v>27017.09</v>
          </cell>
          <cell r="W723">
            <v>7857.08</v>
          </cell>
          <cell r="X723">
            <v>92.45</v>
          </cell>
          <cell r="Y723">
            <v>1280</v>
          </cell>
          <cell r="Z723">
            <v>1655</v>
          </cell>
          <cell r="AA723">
            <v>19162.57</v>
          </cell>
          <cell r="AB723">
            <v>6244.8</v>
          </cell>
          <cell r="AC723">
            <v>61716.199200000003</v>
          </cell>
          <cell r="AE723">
            <v>108.05</v>
          </cell>
          <cell r="AF723">
            <v>866.28</v>
          </cell>
          <cell r="AG723">
            <v>9392</v>
          </cell>
          <cell r="AH723">
            <v>980</v>
          </cell>
          <cell r="AI723">
            <v>1735</v>
          </cell>
          <cell r="AJ723">
            <v>700.69</v>
          </cell>
          <cell r="AL723">
            <v>1460.12</v>
          </cell>
          <cell r="AP723">
            <v>5043.5349999999999</v>
          </cell>
          <cell r="AV723">
            <v>63.6</v>
          </cell>
          <cell r="AZ723">
            <v>284.10000000000002</v>
          </cell>
          <cell r="BE723">
            <v>26055</v>
          </cell>
          <cell r="BG723">
            <v>90.9</v>
          </cell>
          <cell r="BH723">
            <v>597.13</v>
          </cell>
          <cell r="BY723">
            <v>414.57</v>
          </cell>
          <cell r="CD723">
            <v>394.26</v>
          </cell>
          <cell r="CE723">
            <v>381.44</v>
          </cell>
          <cell r="CF723">
            <v>488.68</v>
          </cell>
          <cell r="CG723">
            <v>1560</v>
          </cell>
          <cell r="CH723">
            <v>1125</v>
          </cell>
          <cell r="CI723">
            <v>132</v>
          </cell>
          <cell r="CJ723">
            <v>325</v>
          </cell>
          <cell r="CK723">
            <v>2231</v>
          </cell>
          <cell r="CM723">
            <v>232.76</v>
          </cell>
          <cell r="CN723">
            <v>22.36</v>
          </cell>
          <cell r="CO723" t="str">
            <v>#N/A N/A</v>
          </cell>
          <cell r="CQ723">
            <v>7.17</v>
          </cell>
          <cell r="CR723">
            <v>90</v>
          </cell>
          <cell r="CS723">
            <v>2602.5</v>
          </cell>
          <cell r="CU723">
            <v>1430</v>
          </cell>
          <cell r="CW723">
            <v>73.856707317073173</v>
          </cell>
          <cell r="CX723">
            <v>717.4</v>
          </cell>
          <cell r="CZ723">
            <v>349.63</v>
          </cell>
          <cell r="DA723">
            <v>3356.9</v>
          </cell>
          <cell r="DB723">
            <v>13.14</v>
          </cell>
          <cell r="DC723">
            <v>348.65</v>
          </cell>
          <cell r="DD723">
            <v>133.69999999999999</v>
          </cell>
        </row>
        <row r="724">
          <cell r="A724">
            <v>39437</v>
          </cell>
          <cell r="C724">
            <v>28</v>
          </cell>
          <cell r="D724">
            <v>1.87</v>
          </cell>
          <cell r="E724">
            <v>5.98</v>
          </cell>
          <cell r="L724">
            <v>1878.32</v>
          </cell>
          <cell r="M724">
            <v>2691.99</v>
          </cell>
          <cell r="N724">
            <v>6434.1</v>
          </cell>
          <cell r="O724">
            <v>4799</v>
          </cell>
          <cell r="Q724">
            <v>520</v>
          </cell>
          <cell r="R724">
            <v>443.5</v>
          </cell>
          <cell r="S724">
            <v>949</v>
          </cell>
          <cell r="T724">
            <v>1177.5</v>
          </cell>
          <cell r="U724">
            <v>15257</v>
          </cell>
          <cell r="V724">
            <v>27626.92</v>
          </cell>
          <cell r="W724">
            <v>7941.44</v>
          </cell>
          <cell r="X724">
            <v>92</v>
          </cell>
          <cell r="Y724">
            <v>1280</v>
          </cell>
          <cell r="Z724">
            <v>1655</v>
          </cell>
          <cell r="AA724">
            <v>19162.57</v>
          </cell>
          <cell r="AB724">
            <v>6309.4</v>
          </cell>
          <cell r="AC724">
            <v>63097.710899999998</v>
          </cell>
          <cell r="AE724">
            <v>108.15</v>
          </cell>
          <cell r="AF724">
            <v>866.28</v>
          </cell>
          <cell r="AG724">
            <v>9236</v>
          </cell>
          <cell r="AH724">
            <v>1005</v>
          </cell>
          <cell r="AI724">
            <v>1730</v>
          </cell>
          <cell r="AJ724">
            <v>697.46</v>
          </cell>
          <cell r="AL724">
            <v>1484.46</v>
          </cell>
          <cell r="AP724">
            <v>5101.7790000000005</v>
          </cell>
          <cell r="AV724">
            <v>65.5</v>
          </cell>
          <cell r="AZ724">
            <v>284.5</v>
          </cell>
          <cell r="BE724">
            <v>26650</v>
          </cell>
          <cell r="BG724">
            <v>89.5</v>
          </cell>
          <cell r="BH724">
            <v>608.97</v>
          </cell>
          <cell r="BY724">
            <v>416.21</v>
          </cell>
          <cell r="CD724">
            <v>400.31</v>
          </cell>
          <cell r="CE724">
            <v>387.226</v>
          </cell>
          <cell r="CF724">
            <v>496.43</v>
          </cell>
          <cell r="CG724">
            <v>1575</v>
          </cell>
          <cell r="CH724">
            <v>1140</v>
          </cell>
          <cell r="CI724">
            <v>132</v>
          </cell>
          <cell r="CJ724">
            <v>325</v>
          </cell>
          <cell r="CK724">
            <v>2165</v>
          </cell>
          <cell r="CM724">
            <v>237.95</v>
          </cell>
          <cell r="CN724">
            <v>22.09</v>
          </cell>
          <cell r="CO724" t="str">
            <v>#N/A N/A</v>
          </cell>
          <cell r="CQ724">
            <v>7.02</v>
          </cell>
          <cell r="CR724">
            <v>90</v>
          </cell>
          <cell r="CS724">
            <v>2664</v>
          </cell>
          <cell r="CU724">
            <v>1570</v>
          </cell>
          <cell r="CW724">
            <v>73.704268292682926</v>
          </cell>
          <cell r="CX724">
            <v>717.75</v>
          </cell>
          <cell r="CZ724">
            <v>354.23</v>
          </cell>
          <cell r="DA724">
            <v>3449.2</v>
          </cell>
          <cell r="DB724">
            <v>13.22</v>
          </cell>
          <cell r="DC724">
            <v>348.65</v>
          </cell>
          <cell r="DD724">
            <v>134.19999999999999</v>
          </cell>
        </row>
        <row r="725">
          <cell r="A725">
            <v>39438</v>
          </cell>
          <cell r="C725">
            <v>28</v>
          </cell>
          <cell r="D725">
            <v>1.87</v>
          </cell>
          <cell r="E725">
            <v>5.98</v>
          </cell>
          <cell r="L725">
            <v>1878.32</v>
          </cell>
          <cell r="M725">
            <v>2691.99</v>
          </cell>
          <cell r="N725">
            <v>6434.1</v>
          </cell>
          <cell r="O725">
            <v>4799</v>
          </cell>
          <cell r="Q725">
            <v>520</v>
          </cell>
          <cell r="R725">
            <v>443.5</v>
          </cell>
          <cell r="S725">
            <v>949</v>
          </cell>
          <cell r="T725">
            <v>1177.5</v>
          </cell>
          <cell r="U725">
            <v>15257</v>
          </cell>
          <cell r="V725">
            <v>27626.92</v>
          </cell>
          <cell r="W725">
            <v>7941.44</v>
          </cell>
          <cell r="X725">
            <v>92</v>
          </cell>
          <cell r="Y725">
            <v>1280</v>
          </cell>
          <cell r="Z725">
            <v>1655</v>
          </cell>
          <cell r="AA725">
            <v>19162.57</v>
          </cell>
          <cell r="AB725">
            <v>6309.4</v>
          </cell>
          <cell r="AC725">
            <v>63097.710899999998</v>
          </cell>
          <cell r="AE725">
            <v>108.15</v>
          </cell>
          <cell r="AF725">
            <v>866.28</v>
          </cell>
          <cell r="AG725">
            <v>9236</v>
          </cell>
          <cell r="AH725">
            <v>1005</v>
          </cell>
          <cell r="AI725">
            <v>1730</v>
          </cell>
          <cell r="AJ725">
            <v>697.46</v>
          </cell>
          <cell r="AL725">
            <v>1484.46</v>
          </cell>
          <cell r="AP725">
            <v>5101.7790000000005</v>
          </cell>
          <cell r="AV725">
            <v>65.5</v>
          </cell>
          <cell r="AZ725">
            <v>284.5</v>
          </cell>
          <cell r="BE725">
            <v>26650</v>
          </cell>
          <cell r="BG725">
            <v>89.5</v>
          </cell>
          <cell r="BH725">
            <v>608.97</v>
          </cell>
          <cell r="BY725">
            <v>416.21</v>
          </cell>
          <cell r="CD725">
            <v>400.31</v>
          </cell>
          <cell r="CE725">
            <v>387.226</v>
          </cell>
          <cell r="CF725">
            <v>496.43</v>
          </cell>
          <cell r="CG725">
            <v>1575</v>
          </cell>
          <cell r="CH725">
            <v>1140</v>
          </cell>
          <cell r="CI725">
            <v>132</v>
          </cell>
          <cell r="CJ725">
            <v>325</v>
          </cell>
          <cell r="CK725">
            <v>2165</v>
          </cell>
          <cell r="CM725">
            <v>237.95</v>
          </cell>
          <cell r="CN725">
            <v>22.09</v>
          </cell>
          <cell r="CO725" t="str">
            <v>#N/A N/A</v>
          </cell>
          <cell r="CQ725">
            <v>7.02</v>
          </cell>
          <cell r="CR725">
            <v>90</v>
          </cell>
          <cell r="CS725">
            <v>2664</v>
          </cell>
          <cell r="CU725">
            <v>1570</v>
          </cell>
          <cell r="CW725">
            <v>73.704268292682926</v>
          </cell>
          <cell r="CX725">
            <v>717.75</v>
          </cell>
          <cell r="CZ725">
            <v>354.23</v>
          </cell>
          <cell r="DA725">
            <v>3449.2</v>
          </cell>
          <cell r="DB725">
            <v>13.22</v>
          </cell>
          <cell r="DC725">
            <v>348.65</v>
          </cell>
          <cell r="DD725">
            <v>134.19999999999999</v>
          </cell>
        </row>
        <row r="726">
          <cell r="A726">
            <v>39439</v>
          </cell>
          <cell r="C726">
            <v>28</v>
          </cell>
          <cell r="D726">
            <v>1.87</v>
          </cell>
          <cell r="E726">
            <v>5.98</v>
          </cell>
          <cell r="L726">
            <v>1878.32</v>
          </cell>
          <cell r="M726">
            <v>2691.99</v>
          </cell>
          <cell r="N726">
            <v>6434.1</v>
          </cell>
          <cell r="O726">
            <v>4799</v>
          </cell>
          <cell r="Q726">
            <v>520</v>
          </cell>
          <cell r="R726">
            <v>443.5</v>
          </cell>
          <cell r="S726">
            <v>949</v>
          </cell>
          <cell r="T726">
            <v>1177.5</v>
          </cell>
          <cell r="U726">
            <v>15257</v>
          </cell>
          <cell r="V726">
            <v>27626.92</v>
          </cell>
          <cell r="W726">
            <v>7941.44</v>
          </cell>
          <cell r="X726">
            <v>92</v>
          </cell>
          <cell r="Y726">
            <v>1280</v>
          </cell>
          <cell r="Z726">
            <v>1655</v>
          </cell>
          <cell r="AA726">
            <v>19162.57</v>
          </cell>
          <cell r="AB726">
            <v>6309.4</v>
          </cell>
          <cell r="AC726">
            <v>63097.710899999998</v>
          </cell>
          <cell r="AE726">
            <v>108.15</v>
          </cell>
          <cell r="AF726">
            <v>866.28</v>
          </cell>
          <cell r="AG726">
            <v>9236</v>
          </cell>
          <cell r="AH726">
            <v>1005</v>
          </cell>
          <cell r="AI726">
            <v>1730</v>
          </cell>
          <cell r="AJ726">
            <v>697.46</v>
          </cell>
          <cell r="AL726">
            <v>1484.46</v>
          </cell>
          <cell r="AP726">
            <v>5101.7790000000005</v>
          </cell>
          <cell r="AV726">
            <v>65.5</v>
          </cell>
          <cell r="AZ726">
            <v>284.5</v>
          </cell>
          <cell r="BE726">
            <v>26650</v>
          </cell>
          <cell r="BG726">
            <v>89.5</v>
          </cell>
          <cell r="BH726">
            <v>608.97</v>
          </cell>
          <cell r="BY726">
            <v>416.21</v>
          </cell>
          <cell r="CD726">
            <v>400.31</v>
          </cell>
          <cell r="CE726">
            <v>387.226</v>
          </cell>
          <cell r="CF726">
            <v>496.43</v>
          </cell>
          <cell r="CG726">
            <v>1575</v>
          </cell>
          <cell r="CH726">
            <v>1140</v>
          </cell>
          <cell r="CI726">
            <v>132</v>
          </cell>
          <cell r="CJ726">
            <v>325</v>
          </cell>
          <cell r="CK726">
            <v>2165</v>
          </cell>
          <cell r="CM726">
            <v>237.95</v>
          </cell>
          <cell r="CN726">
            <v>22.09</v>
          </cell>
          <cell r="CO726" t="str">
            <v>#N/A N/A</v>
          </cell>
          <cell r="CQ726">
            <v>7.02</v>
          </cell>
          <cell r="CR726">
            <v>90</v>
          </cell>
          <cell r="CS726">
            <v>2664</v>
          </cell>
          <cell r="CU726">
            <v>1570</v>
          </cell>
          <cell r="CW726">
            <v>73.704268292682926</v>
          </cell>
          <cell r="CX726">
            <v>717.75</v>
          </cell>
          <cell r="CZ726">
            <v>354.23</v>
          </cell>
          <cell r="DA726">
            <v>3449.2</v>
          </cell>
          <cell r="DB726">
            <v>13.22</v>
          </cell>
          <cell r="DC726">
            <v>348.65</v>
          </cell>
          <cell r="DD726">
            <v>134.19999999999999</v>
          </cell>
        </row>
        <row r="727">
          <cell r="A727">
            <v>39440</v>
          </cell>
          <cell r="C727">
            <v>28</v>
          </cell>
          <cell r="D727">
            <v>1.87</v>
          </cell>
          <cell r="E727">
            <v>5.94</v>
          </cell>
          <cell r="L727">
            <v>1919.47</v>
          </cell>
          <cell r="M727">
            <v>2713.5</v>
          </cell>
          <cell r="N727">
            <v>6479.3</v>
          </cell>
          <cell r="O727">
            <v>4812</v>
          </cell>
          <cell r="Q727">
            <v>520</v>
          </cell>
          <cell r="R727">
            <v>444</v>
          </cell>
          <cell r="S727">
            <v>935.25</v>
          </cell>
          <cell r="T727">
            <v>1181</v>
          </cell>
          <cell r="U727">
            <v>15257</v>
          </cell>
          <cell r="V727">
            <v>28128.799999999999</v>
          </cell>
          <cell r="W727">
            <v>8135.48</v>
          </cell>
          <cell r="X727">
            <v>92</v>
          </cell>
          <cell r="Y727">
            <v>1280</v>
          </cell>
          <cell r="Z727">
            <v>1655</v>
          </cell>
          <cell r="AA727">
            <v>19854.12</v>
          </cell>
          <cell r="AB727">
            <v>6388</v>
          </cell>
          <cell r="AC727">
            <v>63097.710899999998</v>
          </cell>
          <cell r="AE727">
            <v>108.15</v>
          </cell>
          <cell r="AF727">
            <v>866.28</v>
          </cell>
          <cell r="AG727">
            <v>9143</v>
          </cell>
          <cell r="AH727">
            <v>1005</v>
          </cell>
          <cell r="AI727">
            <v>1730</v>
          </cell>
          <cell r="AJ727">
            <v>698.73</v>
          </cell>
          <cell r="AL727">
            <v>1496.45</v>
          </cell>
          <cell r="AP727">
            <v>5234.2619999999997</v>
          </cell>
          <cell r="AV727">
            <v>66.39</v>
          </cell>
          <cell r="AZ727">
            <v>284.5</v>
          </cell>
          <cell r="BE727">
            <v>26650</v>
          </cell>
          <cell r="BG727">
            <v>89.5</v>
          </cell>
          <cell r="BH727">
            <v>619.47</v>
          </cell>
          <cell r="BY727">
            <v>418.41</v>
          </cell>
          <cell r="CD727">
            <v>403.11</v>
          </cell>
          <cell r="CE727">
            <v>389.40699999999998</v>
          </cell>
          <cell r="CF727">
            <v>509.02</v>
          </cell>
          <cell r="CG727">
            <v>1575</v>
          </cell>
          <cell r="CH727">
            <v>1140</v>
          </cell>
          <cell r="CI727">
            <v>132</v>
          </cell>
          <cell r="CJ727">
            <v>325</v>
          </cell>
          <cell r="CK727">
            <v>2143</v>
          </cell>
          <cell r="CM727">
            <v>238.4</v>
          </cell>
          <cell r="CN727">
            <v>21.95</v>
          </cell>
          <cell r="CO727" t="str">
            <v>#N/A N/A</v>
          </cell>
          <cell r="CQ727">
            <v>7.02</v>
          </cell>
          <cell r="CR727">
            <v>90</v>
          </cell>
          <cell r="CS727">
            <v>2664</v>
          </cell>
          <cell r="CU727">
            <v>1570</v>
          </cell>
          <cell r="CW727">
            <v>73.704268292682926</v>
          </cell>
          <cell r="CX727">
            <v>720.3</v>
          </cell>
          <cell r="CZ727">
            <v>354.75</v>
          </cell>
          <cell r="DA727">
            <v>3449.2</v>
          </cell>
          <cell r="DB727">
            <v>13.22</v>
          </cell>
          <cell r="DC727">
            <v>348.65</v>
          </cell>
          <cell r="DD727">
            <v>134.19999999999999</v>
          </cell>
        </row>
        <row r="728">
          <cell r="A728">
            <v>39441</v>
          </cell>
          <cell r="C728">
            <v>28</v>
          </cell>
          <cell r="D728">
            <v>1.87</v>
          </cell>
          <cell r="E728">
            <v>5.94</v>
          </cell>
          <cell r="L728">
            <v>1919.47</v>
          </cell>
          <cell r="M728">
            <v>2713.5</v>
          </cell>
          <cell r="N728">
            <v>6479.3</v>
          </cell>
          <cell r="O728">
            <v>4812</v>
          </cell>
          <cell r="Q728">
            <v>520</v>
          </cell>
          <cell r="R728">
            <v>444</v>
          </cell>
          <cell r="S728">
            <v>935.25</v>
          </cell>
          <cell r="T728">
            <v>1181</v>
          </cell>
          <cell r="U728">
            <v>15552.59</v>
          </cell>
          <cell r="V728">
            <v>28128.799999999999</v>
          </cell>
          <cell r="W728">
            <v>8167.07</v>
          </cell>
          <cell r="X728">
            <v>92</v>
          </cell>
          <cell r="Y728">
            <v>1280</v>
          </cell>
          <cell r="Z728">
            <v>1655</v>
          </cell>
          <cell r="AA728">
            <v>19854.12</v>
          </cell>
          <cell r="AB728">
            <v>6388</v>
          </cell>
          <cell r="AC728">
            <v>63097.710899999998</v>
          </cell>
          <cell r="AE728">
            <v>108.15</v>
          </cell>
          <cell r="AF728">
            <v>869.3</v>
          </cell>
          <cell r="AG728">
            <v>9143</v>
          </cell>
          <cell r="AH728">
            <v>1005</v>
          </cell>
          <cell r="AI728">
            <v>1730</v>
          </cell>
          <cell r="AJ728">
            <v>698.73</v>
          </cell>
          <cell r="AL728">
            <v>1496.45</v>
          </cell>
          <cell r="AP728">
            <v>5201.1809999999996</v>
          </cell>
          <cell r="AV728">
            <v>66.39</v>
          </cell>
          <cell r="AZ728">
            <v>292.60000000000002</v>
          </cell>
          <cell r="BE728">
            <v>26650</v>
          </cell>
          <cell r="BG728">
            <v>89.5</v>
          </cell>
          <cell r="BH728">
            <v>620.95000000000005</v>
          </cell>
          <cell r="BY728">
            <v>418.41</v>
          </cell>
          <cell r="CD728">
            <v>403.78</v>
          </cell>
          <cell r="CE728">
            <v>390.13</v>
          </cell>
          <cell r="CF728">
            <v>509.75</v>
          </cell>
          <cell r="CG728">
            <v>1575</v>
          </cell>
          <cell r="CH728">
            <v>1140</v>
          </cell>
          <cell r="CI728">
            <v>132</v>
          </cell>
          <cell r="CJ728">
            <v>325</v>
          </cell>
          <cell r="CK728">
            <v>2143</v>
          </cell>
          <cell r="CM728">
            <v>238.4</v>
          </cell>
          <cell r="CN728">
            <v>21.95</v>
          </cell>
          <cell r="CO728" t="str">
            <v>#N/A N/A</v>
          </cell>
          <cell r="CQ728">
            <v>7.02</v>
          </cell>
          <cell r="CR728">
            <v>90</v>
          </cell>
          <cell r="CS728">
            <v>2664</v>
          </cell>
          <cell r="CU728">
            <v>1570</v>
          </cell>
          <cell r="CW728">
            <v>73.704268292682926</v>
          </cell>
          <cell r="CX728">
            <v>719.7</v>
          </cell>
          <cell r="CZ728">
            <v>354.75</v>
          </cell>
          <cell r="DA728">
            <v>3449.2</v>
          </cell>
          <cell r="DB728">
            <v>13.22</v>
          </cell>
          <cell r="DC728">
            <v>348.65</v>
          </cell>
          <cell r="DD728">
            <v>134.19999999999999</v>
          </cell>
        </row>
        <row r="729">
          <cell r="A729">
            <v>39442</v>
          </cell>
          <cell r="C729">
            <v>28</v>
          </cell>
          <cell r="D729">
            <v>1.89</v>
          </cell>
          <cell r="E729">
            <v>5.94</v>
          </cell>
          <cell r="L729">
            <v>1906.72</v>
          </cell>
          <cell r="M729">
            <v>2724.41</v>
          </cell>
          <cell r="N729">
            <v>6479.3</v>
          </cell>
          <cell r="O729">
            <v>4814</v>
          </cell>
          <cell r="Q729">
            <v>520</v>
          </cell>
          <cell r="R729">
            <v>452.25</v>
          </cell>
          <cell r="S729">
            <v>941.25</v>
          </cell>
          <cell r="T729">
            <v>1220.75</v>
          </cell>
          <cell r="U729">
            <v>15653.54</v>
          </cell>
          <cell r="V729">
            <v>28128.799999999999</v>
          </cell>
          <cell r="W729">
            <v>8156.39</v>
          </cell>
          <cell r="X729">
            <v>93.25</v>
          </cell>
          <cell r="Y729">
            <v>1280</v>
          </cell>
          <cell r="Z729">
            <v>1655</v>
          </cell>
          <cell r="AA729">
            <v>20192.52</v>
          </cell>
          <cell r="AB729">
            <v>6388</v>
          </cell>
          <cell r="AC729">
            <v>64288.261700000003</v>
          </cell>
          <cell r="AE729">
            <v>109.35</v>
          </cell>
          <cell r="AF729">
            <v>869.3</v>
          </cell>
          <cell r="AG729">
            <v>9143</v>
          </cell>
          <cell r="AH729">
            <v>1005</v>
          </cell>
          <cell r="AI729">
            <v>1730</v>
          </cell>
          <cell r="AJ729">
            <v>692.02</v>
          </cell>
          <cell r="AL729">
            <v>1497.66</v>
          </cell>
          <cell r="AP729">
            <v>5233.3509999999997</v>
          </cell>
          <cell r="AV729">
            <v>65.53</v>
          </cell>
          <cell r="AZ729">
            <v>294.5</v>
          </cell>
          <cell r="BE729">
            <v>26650</v>
          </cell>
          <cell r="BG729">
            <v>89.5</v>
          </cell>
          <cell r="BH729">
            <v>628.01</v>
          </cell>
          <cell r="BY729">
            <v>418.49</v>
          </cell>
          <cell r="CD729">
            <v>405.29</v>
          </cell>
          <cell r="CE729">
            <v>391.54899999999998</v>
          </cell>
          <cell r="CF729">
            <v>510.67</v>
          </cell>
          <cell r="CG729">
            <v>1575</v>
          </cell>
          <cell r="CH729">
            <v>1140</v>
          </cell>
          <cell r="CI729">
            <v>132</v>
          </cell>
          <cell r="CJ729">
            <v>325</v>
          </cell>
          <cell r="CK729">
            <v>2143</v>
          </cell>
          <cell r="CM729">
            <v>245.26</v>
          </cell>
          <cell r="CN729">
            <v>21.95</v>
          </cell>
          <cell r="CO729" t="str">
            <v>#N/A N/A</v>
          </cell>
          <cell r="CQ729">
            <v>6.94</v>
          </cell>
          <cell r="CR729">
            <v>90</v>
          </cell>
          <cell r="CS729">
            <v>2664</v>
          </cell>
          <cell r="CU729">
            <v>1570</v>
          </cell>
          <cell r="CW729">
            <v>73.704268292682926</v>
          </cell>
          <cell r="CX729">
            <v>725.2</v>
          </cell>
          <cell r="CZ729">
            <v>358.34</v>
          </cell>
          <cell r="DA729">
            <v>3449.2</v>
          </cell>
          <cell r="DB729">
            <v>12.97</v>
          </cell>
          <cell r="DC729">
            <v>348.65</v>
          </cell>
          <cell r="DD729">
            <v>133.65</v>
          </cell>
        </row>
        <row r="730">
          <cell r="A730">
            <v>39443</v>
          </cell>
          <cell r="C730">
            <v>28</v>
          </cell>
          <cell r="D730">
            <v>1.9</v>
          </cell>
          <cell r="E730">
            <v>5.88</v>
          </cell>
          <cell r="L730">
            <v>1908.62</v>
          </cell>
          <cell r="M730">
            <v>2676.79</v>
          </cell>
          <cell r="N730">
            <v>6497.8</v>
          </cell>
          <cell r="O730">
            <v>4814</v>
          </cell>
          <cell r="Q730">
            <v>520</v>
          </cell>
          <cell r="R730">
            <v>454.75</v>
          </cell>
          <cell r="S730">
            <v>915</v>
          </cell>
          <cell r="T730">
            <v>1212.5</v>
          </cell>
          <cell r="U730">
            <v>15564.69</v>
          </cell>
          <cell r="V730">
            <v>27842.93</v>
          </cell>
          <cell r="W730">
            <v>8313.7199999999993</v>
          </cell>
          <cell r="X730">
            <v>94.05</v>
          </cell>
          <cell r="Y730">
            <v>1280</v>
          </cell>
          <cell r="Z730">
            <v>1655</v>
          </cell>
          <cell r="AA730">
            <v>20216.72</v>
          </cell>
          <cell r="AB730">
            <v>6426.4</v>
          </cell>
          <cell r="AC730">
            <v>63774.378900000003</v>
          </cell>
          <cell r="AE730">
            <v>110.45</v>
          </cell>
          <cell r="AF730">
            <v>869.3</v>
          </cell>
          <cell r="AG730">
            <v>9143</v>
          </cell>
          <cell r="AH730">
            <v>1005</v>
          </cell>
          <cell r="AI730">
            <v>1730</v>
          </cell>
          <cell r="AJ730">
            <v>699.65</v>
          </cell>
          <cell r="AL730">
            <v>1476.37</v>
          </cell>
          <cell r="AP730">
            <v>5308.8890000000001</v>
          </cell>
          <cell r="AV730">
            <v>64.75</v>
          </cell>
          <cell r="AZ730">
            <v>294.60000000000002</v>
          </cell>
          <cell r="BE730">
            <v>26770</v>
          </cell>
          <cell r="BG730">
            <v>89.5</v>
          </cell>
          <cell r="BH730">
            <v>632.77</v>
          </cell>
          <cell r="BY730">
            <v>410.89</v>
          </cell>
          <cell r="CD730">
            <v>403.66</v>
          </cell>
          <cell r="CE730">
            <v>389.57799999999997</v>
          </cell>
          <cell r="CF730">
            <v>512.5</v>
          </cell>
          <cell r="CG730">
            <v>1575</v>
          </cell>
          <cell r="CH730">
            <v>1140</v>
          </cell>
          <cell r="CI730">
            <v>132</v>
          </cell>
          <cell r="CJ730">
            <v>325</v>
          </cell>
          <cell r="CK730">
            <v>2143</v>
          </cell>
          <cell r="CM730">
            <v>249.62</v>
          </cell>
          <cell r="CN730">
            <v>21.95</v>
          </cell>
          <cell r="CO730" t="str">
            <v>#N/A N/A</v>
          </cell>
          <cell r="CQ730">
            <v>6.78</v>
          </cell>
          <cell r="CR730">
            <v>90</v>
          </cell>
          <cell r="CS730">
            <v>2629</v>
          </cell>
          <cell r="CU730">
            <v>1570</v>
          </cell>
          <cell r="CW730">
            <v>73.932926829268297</v>
          </cell>
          <cell r="CX730">
            <v>731.85</v>
          </cell>
          <cell r="CZ730">
            <v>359.78</v>
          </cell>
          <cell r="DA730">
            <v>3473.9</v>
          </cell>
          <cell r="DB730">
            <v>13.17</v>
          </cell>
          <cell r="DC730">
            <v>348.65</v>
          </cell>
          <cell r="DD730">
            <v>131.80000000000001</v>
          </cell>
        </row>
        <row r="731">
          <cell r="A731">
            <v>39444</v>
          </cell>
          <cell r="C731">
            <v>28</v>
          </cell>
          <cell r="D731">
            <v>1.9</v>
          </cell>
          <cell r="E731">
            <v>5.83</v>
          </cell>
          <cell r="L731">
            <v>1897.13</v>
          </cell>
          <cell r="M731">
            <v>2674.46</v>
          </cell>
          <cell r="N731">
            <v>6476.9</v>
          </cell>
          <cell r="O731">
            <v>4819</v>
          </cell>
          <cell r="Q731">
            <v>520</v>
          </cell>
          <cell r="R731">
            <v>452</v>
          </cell>
          <cell r="S731">
            <v>885</v>
          </cell>
          <cell r="T731">
            <v>1207.75</v>
          </cell>
          <cell r="U731">
            <v>15307.78</v>
          </cell>
          <cell r="V731">
            <v>27370.6</v>
          </cell>
          <cell r="W731">
            <v>8396.9500000000007</v>
          </cell>
          <cell r="X731">
            <v>94.65</v>
          </cell>
          <cell r="Y731">
            <v>1280</v>
          </cell>
          <cell r="Z731">
            <v>1665</v>
          </cell>
          <cell r="AA731">
            <v>20206.95</v>
          </cell>
          <cell r="AB731">
            <v>6423.7</v>
          </cell>
          <cell r="AC731">
            <v>63886.101600000002</v>
          </cell>
          <cell r="AE731">
            <v>110.65</v>
          </cell>
          <cell r="AF731">
            <v>869.3</v>
          </cell>
          <cell r="AG731">
            <v>9143</v>
          </cell>
          <cell r="AH731">
            <v>1005</v>
          </cell>
          <cell r="AI731">
            <v>1730</v>
          </cell>
          <cell r="AJ731">
            <v>704.23</v>
          </cell>
          <cell r="AL731">
            <v>1478.49</v>
          </cell>
          <cell r="AP731">
            <v>5261.5630000000001</v>
          </cell>
          <cell r="AV731">
            <v>65.28</v>
          </cell>
          <cell r="AZ731">
            <v>294.2</v>
          </cell>
          <cell r="BE731">
            <v>26090</v>
          </cell>
          <cell r="BG731">
            <v>89.5</v>
          </cell>
          <cell r="BH731">
            <v>632.9</v>
          </cell>
          <cell r="BY731">
            <v>409.99</v>
          </cell>
          <cell r="CD731">
            <v>404.65</v>
          </cell>
          <cell r="CE731">
            <v>390.71499999999997</v>
          </cell>
          <cell r="CF731">
            <v>510.28</v>
          </cell>
          <cell r="CG731">
            <v>1585</v>
          </cell>
          <cell r="CH731">
            <v>1160</v>
          </cell>
          <cell r="CI731">
            <v>132</v>
          </cell>
          <cell r="CJ731">
            <v>325</v>
          </cell>
          <cell r="CK731">
            <v>2143</v>
          </cell>
          <cell r="CM731">
            <v>245.97</v>
          </cell>
          <cell r="CN731">
            <v>22.13</v>
          </cell>
          <cell r="CO731" t="str">
            <v>#N/A N/A</v>
          </cell>
          <cell r="CQ731">
            <v>7.16</v>
          </cell>
          <cell r="CR731">
            <v>90</v>
          </cell>
          <cell r="CS731">
            <v>2572</v>
          </cell>
          <cell r="CU731">
            <v>1620</v>
          </cell>
          <cell r="CW731">
            <v>74.009146341463421</v>
          </cell>
          <cell r="CX731">
            <v>735.6</v>
          </cell>
          <cell r="CZ731">
            <v>358.51</v>
          </cell>
          <cell r="DA731">
            <v>3445.2</v>
          </cell>
          <cell r="DB731">
            <v>13.14</v>
          </cell>
          <cell r="DC731">
            <v>348.65</v>
          </cell>
          <cell r="DD731">
            <v>133.1</v>
          </cell>
        </row>
        <row r="732">
          <cell r="A732">
            <v>39445</v>
          </cell>
          <cell r="C732">
            <v>28</v>
          </cell>
          <cell r="D732">
            <v>1.9</v>
          </cell>
          <cell r="E732">
            <v>5.83</v>
          </cell>
          <cell r="L732">
            <v>1897.13</v>
          </cell>
          <cell r="M732">
            <v>2674.46</v>
          </cell>
          <cell r="N732">
            <v>6476.9</v>
          </cell>
          <cell r="O732">
            <v>4819</v>
          </cell>
          <cell r="Q732">
            <v>520</v>
          </cell>
          <cell r="R732">
            <v>452</v>
          </cell>
          <cell r="S732">
            <v>885</v>
          </cell>
          <cell r="T732">
            <v>1207.75</v>
          </cell>
          <cell r="U732">
            <v>15307.78</v>
          </cell>
          <cell r="V732">
            <v>27370.6</v>
          </cell>
          <cell r="W732">
            <v>8396.9500000000007</v>
          </cell>
          <cell r="X732">
            <v>94.65</v>
          </cell>
          <cell r="Y732">
            <v>1280</v>
          </cell>
          <cell r="Z732">
            <v>1665</v>
          </cell>
          <cell r="AA732">
            <v>20206.95</v>
          </cell>
          <cell r="AB732">
            <v>6423.7</v>
          </cell>
          <cell r="AC732">
            <v>63886.101600000002</v>
          </cell>
          <cell r="AE732">
            <v>110.65</v>
          </cell>
          <cell r="AF732">
            <v>869.3</v>
          </cell>
          <cell r="AG732">
            <v>9143</v>
          </cell>
          <cell r="AH732">
            <v>1005</v>
          </cell>
          <cell r="AI732">
            <v>1730</v>
          </cell>
          <cell r="AJ732">
            <v>704.23</v>
          </cell>
          <cell r="AL732">
            <v>1478.49</v>
          </cell>
          <cell r="AP732">
            <v>5261.5630000000001</v>
          </cell>
          <cell r="AV732">
            <v>65.28</v>
          </cell>
          <cell r="AZ732">
            <v>294.2</v>
          </cell>
          <cell r="BE732">
            <v>26090</v>
          </cell>
          <cell r="BG732">
            <v>89.5</v>
          </cell>
          <cell r="BH732">
            <v>632.9</v>
          </cell>
          <cell r="BY732">
            <v>409.99</v>
          </cell>
          <cell r="CD732">
            <v>404.65</v>
          </cell>
          <cell r="CE732">
            <v>390.71499999999997</v>
          </cell>
          <cell r="CF732">
            <v>510.28</v>
          </cell>
          <cell r="CG732">
            <v>1585</v>
          </cell>
          <cell r="CH732">
            <v>1160</v>
          </cell>
          <cell r="CI732">
            <v>132</v>
          </cell>
          <cell r="CJ732">
            <v>325</v>
          </cell>
          <cell r="CK732">
            <v>2143</v>
          </cell>
          <cell r="CM732">
            <v>245.97</v>
          </cell>
          <cell r="CN732">
            <v>22.13</v>
          </cell>
          <cell r="CO732" t="str">
            <v>#N/A N/A</v>
          </cell>
          <cell r="CQ732">
            <v>7.16</v>
          </cell>
          <cell r="CR732">
            <v>90</v>
          </cell>
          <cell r="CS732">
            <v>2572</v>
          </cell>
          <cell r="CU732">
            <v>1620</v>
          </cell>
          <cell r="CW732">
            <v>74.009146341463421</v>
          </cell>
          <cell r="CX732">
            <v>735.6</v>
          </cell>
          <cell r="CZ732">
            <v>358.51</v>
          </cell>
          <cell r="DA732">
            <v>3445.2</v>
          </cell>
          <cell r="DB732">
            <v>13.14</v>
          </cell>
          <cell r="DC732">
            <v>348.65</v>
          </cell>
          <cell r="DD732">
            <v>133.1</v>
          </cell>
        </row>
        <row r="733">
          <cell r="A733">
            <v>39446</v>
          </cell>
          <cell r="C733">
            <v>28</v>
          </cell>
          <cell r="D733">
            <v>1.9</v>
          </cell>
          <cell r="E733">
            <v>5.83</v>
          </cell>
          <cell r="L733">
            <v>1897.13</v>
          </cell>
          <cell r="M733">
            <v>2674.46</v>
          </cell>
          <cell r="N733">
            <v>6476.9</v>
          </cell>
          <cell r="O733">
            <v>4819</v>
          </cell>
          <cell r="Q733">
            <v>520</v>
          </cell>
          <cell r="R733">
            <v>452</v>
          </cell>
          <cell r="S733">
            <v>885</v>
          </cell>
          <cell r="T733">
            <v>1207.75</v>
          </cell>
          <cell r="U733">
            <v>15307.78</v>
          </cell>
          <cell r="V733">
            <v>27370.6</v>
          </cell>
          <cell r="W733">
            <v>8396.9500000000007</v>
          </cell>
          <cell r="X733">
            <v>94.65</v>
          </cell>
          <cell r="Y733">
            <v>1280</v>
          </cell>
          <cell r="Z733">
            <v>1665</v>
          </cell>
          <cell r="AA733">
            <v>20206.95</v>
          </cell>
          <cell r="AB733">
            <v>6423.7</v>
          </cell>
          <cell r="AC733">
            <v>63886.101600000002</v>
          </cell>
          <cell r="AE733">
            <v>110.65</v>
          </cell>
          <cell r="AF733">
            <v>869.3</v>
          </cell>
          <cell r="AG733">
            <v>9143</v>
          </cell>
          <cell r="AH733">
            <v>1005</v>
          </cell>
          <cell r="AI733">
            <v>1730</v>
          </cell>
          <cell r="AJ733">
            <v>704.23</v>
          </cell>
          <cell r="AL733">
            <v>1478.49</v>
          </cell>
          <cell r="AP733">
            <v>5261.5630000000001</v>
          </cell>
          <cell r="AV733">
            <v>65.28</v>
          </cell>
          <cell r="AZ733">
            <v>294.2</v>
          </cell>
          <cell r="BE733">
            <v>26090</v>
          </cell>
          <cell r="BG733">
            <v>89.5</v>
          </cell>
          <cell r="BH733">
            <v>632.9</v>
          </cell>
          <cell r="BY733">
            <v>409.99</v>
          </cell>
          <cell r="CD733">
            <v>404.65</v>
          </cell>
          <cell r="CE733">
            <v>390.71499999999997</v>
          </cell>
          <cell r="CF733">
            <v>510.28</v>
          </cell>
          <cell r="CG733">
            <v>1585</v>
          </cell>
          <cell r="CH733">
            <v>1160</v>
          </cell>
          <cell r="CI733">
            <v>132</v>
          </cell>
          <cell r="CJ733">
            <v>325</v>
          </cell>
          <cell r="CK733">
            <v>2143</v>
          </cell>
          <cell r="CM733">
            <v>245.97</v>
          </cell>
          <cell r="CN733">
            <v>22.13</v>
          </cell>
          <cell r="CO733" t="str">
            <v>#N/A N/A</v>
          </cell>
          <cell r="CQ733">
            <v>7.16</v>
          </cell>
          <cell r="CR733">
            <v>90</v>
          </cell>
          <cell r="CS733">
            <v>2572</v>
          </cell>
          <cell r="CU733">
            <v>1620</v>
          </cell>
          <cell r="CW733">
            <v>74.009146341463421</v>
          </cell>
          <cell r="CX733">
            <v>735.6</v>
          </cell>
          <cell r="CZ733">
            <v>358.51</v>
          </cell>
          <cell r="DA733">
            <v>3445.2</v>
          </cell>
          <cell r="DB733">
            <v>13.14</v>
          </cell>
          <cell r="DC733">
            <v>348.65</v>
          </cell>
          <cell r="DD733">
            <v>133.1</v>
          </cell>
        </row>
        <row r="734">
          <cell r="A734">
            <v>39447</v>
          </cell>
          <cell r="C734">
            <v>28</v>
          </cell>
          <cell r="D734">
            <v>1.9</v>
          </cell>
          <cell r="E734">
            <v>5.83</v>
          </cell>
          <cell r="L734">
            <v>1897.13</v>
          </cell>
          <cell r="M734">
            <v>2652.28</v>
          </cell>
          <cell r="N734">
            <v>6456.9</v>
          </cell>
          <cell r="O734">
            <v>4819</v>
          </cell>
          <cell r="Q734">
            <v>520</v>
          </cell>
          <cell r="R734">
            <v>455.5</v>
          </cell>
          <cell r="S734">
            <v>885</v>
          </cell>
          <cell r="T734">
            <v>1199</v>
          </cell>
          <cell r="U734">
            <v>15307.78</v>
          </cell>
          <cell r="V734">
            <v>27812.65</v>
          </cell>
          <cell r="W734">
            <v>8506.2800000000007</v>
          </cell>
          <cell r="X734">
            <v>94.65</v>
          </cell>
          <cell r="Y734">
            <v>1280</v>
          </cell>
          <cell r="Z734">
            <v>1665</v>
          </cell>
          <cell r="AA734">
            <v>20286.990000000002</v>
          </cell>
          <cell r="AB734">
            <v>6421</v>
          </cell>
          <cell r="AC734">
            <v>63886.101600000002</v>
          </cell>
          <cell r="AE734">
            <v>110.65</v>
          </cell>
          <cell r="AF734">
            <v>869.3</v>
          </cell>
          <cell r="AG734">
            <v>9143</v>
          </cell>
          <cell r="AH734">
            <v>1005</v>
          </cell>
          <cell r="AI734">
            <v>1730</v>
          </cell>
          <cell r="AJ734">
            <v>704.23</v>
          </cell>
          <cell r="AL734">
            <v>1468.36</v>
          </cell>
          <cell r="AP734">
            <v>5261.5630000000001</v>
          </cell>
          <cell r="AV734">
            <v>64.7</v>
          </cell>
          <cell r="AZ734">
            <v>294.2</v>
          </cell>
          <cell r="BE734">
            <v>26010</v>
          </cell>
          <cell r="BG734">
            <v>89.5</v>
          </cell>
          <cell r="BH734">
            <v>645.47</v>
          </cell>
          <cell r="BY734">
            <v>408.04</v>
          </cell>
          <cell r="CD734">
            <v>403.25</v>
          </cell>
          <cell r="CE734">
            <v>389.24799999999999</v>
          </cell>
          <cell r="CF734">
            <v>513.72</v>
          </cell>
          <cell r="CG734">
            <v>1585</v>
          </cell>
          <cell r="CH734">
            <v>1160</v>
          </cell>
          <cell r="CI734">
            <v>132</v>
          </cell>
          <cell r="CJ734">
            <v>325</v>
          </cell>
          <cell r="CK734">
            <v>2143</v>
          </cell>
          <cell r="CM734">
            <v>247.58</v>
          </cell>
          <cell r="CN734">
            <v>22.35</v>
          </cell>
          <cell r="CO734" t="str">
            <v>#N/A N/A</v>
          </cell>
          <cell r="CQ734">
            <v>7.16</v>
          </cell>
          <cell r="CR734">
            <v>90</v>
          </cell>
          <cell r="CS734">
            <v>2545.5</v>
          </cell>
          <cell r="CU734">
            <v>1620</v>
          </cell>
          <cell r="CW734">
            <v>74.009146341463421</v>
          </cell>
          <cell r="CX734">
            <v>729.15</v>
          </cell>
          <cell r="CZ734">
            <v>358.71</v>
          </cell>
          <cell r="DA734">
            <v>3393.3</v>
          </cell>
          <cell r="DB734">
            <v>13.02</v>
          </cell>
          <cell r="DC734">
            <v>348.65</v>
          </cell>
          <cell r="DD734">
            <v>136.19999999999999</v>
          </cell>
        </row>
        <row r="735">
          <cell r="A735">
            <v>39448</v>
          </cell>
          <cell r="C735">
            <v>28</v>
          </cell>
          <cell r="D735">
            <v>1.9</v>
          </cell>
          <cell r="E735">
            <v>5.83</v>
          </cell>
          <cell r="L735">
            <v>1897.13</v>
          </cell>
          <cell r="M735">
            <v>2652.28</v>
          </cell>
          <cell r="N735">
            <v>6456.9</v>
          </cell>
          <cell r="O735">
            <v>4819</v>
          </cell>
          <cell r="Q735">
            <v>520</v>
          </cell>
          <cell r="R735">
            <v>455.5</v>
          </cell>
          <cell r="S735">
            <v>885</v>
          </cell>
          <cell r="T735">
            <v>1199</v>
          </cell>
          <cell r="U735">
            <v>15307.78</v>
          </cell>
          <cell r="V735">
            <v>27812.65</v>
          </cell>
          <cell r="W735">
            <v>8506.2800000000007</v>
          </cell>
          <cell r="X735">
            <v>94.65</v>
          </cell>
          <cell r="Y735">
            <v>1280</v>
          </cell>
          <cell r="Z735">
            <v>1665</v>
          </cell>
          <cell r="AA735">
            <v>20300.71</v>
          </cell>
          <cell r="AB735">
            <v>6421</v>
          </cell>
          <cell r="AC735">
            <v>63886.101600000002</v>
          </cell>
          <cell r="AE735">
            <v>110.65</v>
          </cell>
          <cell r="AF735">
            <v>871.16</v>
          </cell>
          <cell r="AG735">
            <v>9143</v>
          </cell>
          <cell r="AH735">
            <v>1005</v>
          </cell>
          <cell r="AI735">
            <v>1730</v>
          </cell>
          <cell r="AJ735">
            <v>704.23</v>
          </cell>
          <cell r="AL735">
            <v>1468.36</v>
          </cell>
          <cell r="AP735">
            <v>5261.5630000000001</v>
          </cell>
          <cell r="AV735">
            <v>64.7</v>
          </cell>
          <cell r="AZ735">
            <v>294.2</v>
          </cell>
          <cell r="BE735">
            <v>26010</v>
          </cell>
          <cell r="BG735">
            <v>89.5</v>
          </cell>
          <cell r="BH735">
            <v>645.47</v>
          </cell>
          <cell r="BY735">
            <v>408.04</v>
          </cell>
          <cell r="CD735">
            <v>403.26</v>
          </cell>
          <cell r="CE735">
            <v>389.24799999999999</v>
          </cell>
          <cell r="CF735">
            <v>513.79999999999995</v>
          </cell>
          <cell r="CG735">
            <v>1585</v>
          </cell>
          <cell r="CH735">
            <v>1160</v>
          </cell>
          <cell r="CI735">
            <v>132</v>
          </cell>
          <cell r="CJ735">
            <v>325</v>
          </cell>
          <cell r="CK735">
            <v>2143</v>
          </cell>
          <cell r="CM735">
            <v>247.58</v>
          </cell>
          <cell r="CN735">
            <v>22.35</v>
          </cell>
          <cell r="CO735" t="str">
            <v>#N/A N/A</v>
          </cell>
          <cell r="CQ735">
            <v>7.16</v>
          </cell>
          <cell r="CR735">
            <v>90</v>
          </cell>
          <cell r="CS735">
            <v>2545.5</v>
          </cell>
          <cell r="CU735">
            <v>1620</v>
          </cell>
          <cell r="CW735">
            <v>74.009146341463421</v>
          </cell>
          <cell r="CX735">
            <v>730.4</v>
          </cell>
          <cell r="CZ735">
            <v>358.71</v>
          </cell>
          <cell r="DA735">
            <v>3393.3</v>
          </cell>
          <cell r="DB735">
            <v>13.02</v>
          </cell>
          <cell r="DC735">
            <v>348.65</v>
          </cell>
          <cell r="DD735">
            <v>136.19999999999999</v>
          </cell>
        </row>
        <row r="736">
          <cell r="A736">
            <v>39449</v>
          </cell>
          <cell r="C736">
            <v>28</v>
          </cell>
          <cell r="D736">
            <v>1.9</v>
          </cell>
          <cell r="E736">
            <v>5.75</v>
          </cell>
          <cell r="L736">
            <v>1853.45</v>
          </cell>
          <cell r="M736">
            <v>2609.63</v>
          </cell>
          <cell r="N736">
            <v>6416.7</v>
          </cell>
          <cell r="O736">
            <v>4844</v>
          </cell>
          <cell r="Q736">
            <v>520</v>
          </cell>
          <cell r="R736">
            <v>462.5</v>
          </cell>
          <cell r="S736">
            <v>915</v>
          </cell>
          <cell r="T736">
            <v>1248.75</v>
          </cell>
          <cell r="U736">
            <v>15307.78</v>
          </cell>
          <cell r="V736">
            <v>27560.52</v>
          </cell>
          <cell r="W736">
            <v>8323.0499999999993</v>
          </cell>
          <cell r="X736">
            <v>93.95</v>
          </cell>
          <cell r="Y736">
            <v>1280</v>
          </cell>
          <cell r="Z736">
            <v>1665</v>
          </cell>
          <cell r="AA736">
            <v>20465.3</v>
          </cell>
          <cell r="AB736">
            <v>6434.1</v>
          </cell>
          <cell r="AC736">
            <v>62815.128900000003</v>
          </cell>
          <cell r="AE736">
            <v>110.35</v>
          </cell>
          <cell r="AF736">
            <v>871.16</v>
          </cell>
          <cell r="AG736">
            <v>8891</v>
          </cell>
          <cell r="AH736">
            <v>1005</v>
          </cell>
          <cell r="AI736">
            <v>1730</v>
          </cell>
          <cell r="AJ736">
            <v>707.12</v>
          </cell>
          <cell r="AL736">
            <v>1447.16</v>
          </cell>
          <cell r="AP736">
            <v>5272.8140000000003</v>
          </cell>
          <cell r="AV736">
            <v>62.57</v>
          </cell>
          <cell r="AZ736">
            <v>294.2</v>
          </cell>
          <cell r="BE736">
            <v>26905</v>
          </cell>
          <cell r="BG736">
            <v>89.5</v>
          </cell>
          <cell r="BH736">
            <v>641.92999999999995</v>
          </cell>
          <cell r="BY736">
            <v>396.73</v>
          </cell>
          <cell r="CD736">
            <v>400.47</v>
          </cell>
          <cell r="CE736">
            <v>386.63400000000001</v>
          </cell>
          <cell r="CF736">
            <v>507.35</v>
          </cell>
          <cell r="CG736">
            <v>1585</v>
          </cell>
          <cell r="CH736">
            <v>1160</v>
          </cell>
          <cell r="CI736">
            <v>132</v>
          </cell>
          <cell r="CJ736">
            <v>325</v>
          </cell>
          <cell r="CK736">
            <v>1914</v>
          </cell>
          <cell r="CM736">
            <v>256.89</v>
          </cell>
          <cell r="CN736">
            <v>22.61</v>
          </cell>
          <cell r="CO736" t="str">
            <v>#N/A N/A</v>
          </cell>
          <cell r="CQ736">
            <v>7.81</v>
          </cell>
          <cell r="CR736">
            <v>90</v>
          </cell>
          <cell r="CS736">
            <v>2606.5</v>
          </cell>
          <cell r="CU736">
            <v>1620</v>
          </cell>
          <cell r="CW736">
            <v>74.085365853658544</v>
          </cell>
          <cell r="CX736">
            <v>736.6</v>
          </cell>
          <cell r="CZ736">
            <v>366.86</v>
          </cell>
          <cell r="DA736">
            <v>3448.1</v>
          </cell>
          <cell r="DB736">
            <v>12.83</v>
          </cell>
          <cell r="DC736">
            <v>348.65</v>
          </cell>
          <cell r="DD736">
            <v>134</v>
          </cell>
        </row>
        <row r="737">
          <cell r="A737">
            <v>39450</v>
          </cell>
          <cell r="C737">
            <v>28</v>
          </cell>
          <cell r="D737">
            <v>1.88</v>
          </cell>
          <cell r="E737">
            <v>5.74</v>
          </cell>
          <cell r="L737">
            <v>1852.73</v>
          </cell>
          <cell r="M737">
            <v>2602.6799999999998</v>
          </cell>
          <cell r="N737">
            <v>6479.4</v>
          </cell>
          <cell r="O737">
            <v>4869</v>
          </cell>
          <cell r="Q737">
            <v>520</v>
          </cell>
          <cell r="R737">
            <v>466</v>
          </cell>
          <cell r="S737">
            <v>945</v>
          </cell>
          <cell r="T737">
            <v>1267.5</v>
          </cell>
          <cell r="U737">
            <v>15307.78</v>
          </cell>
          <cell r="V737">
            <v>26887.279999999999</v>
          </cell>
          <cell r="W737">
            <v>8184.2</v>
          </cell>
          <cell r="X737">
            <v>96.15</v>
          </cell>
          <cell r="Y737">
            <v>1280</v>
          </cell>
          <cell r="Z737">
            <v>1665</v>
          </cell>
          <cell r="AA737">
            <v>20345.2</v>
          </cell>
          <cell r="AB737">
            <v>6372.6</v>
          </cell>
          <cell r="AC737">
            <v>62891.968800000002</v>
          </cell>
          <cell r="AE737">
            <v>113.65</v>
          </cell>
          <cell r="AF737">
            <v>871.16</v>
          </cell>
          <cell r="AG737">
            <v>8756</v>
          </cell>
          <cell r="AH737">
            <v>1005</v>
          </cell>
          <cell r="AI737">
            <v>1730</v>
          </cell>
          <cell r="AJ737">
            <v>714</v>
          </cell>
          <cell r="AL737">
            <v>1447.16</v>
          </cell>
          <cell r="AP737">
            <v>5319.8609999999999</v>
          </cell>
          <cell r="AV737">
            <v>63.37</v>
          </cell>
          <cell r="AZ737">
            <v>294.2</v>
          </cell>
          <cell r="BE737">
            <v>28675</v>
          </cell>
          <cell r="BG737">
            <v>89.5</v>
          </cell>
          <cell r="BH737">
            <v>642.62</v>
          </cell>
          <cell r="BY737">
            <v>391.29</v>
          </cell>
          <cell r="CD737">
            <v>399.81</v>
          </cell>
          <cell r="CE737">
            <v>386.22500000000002</v>
          </cell>
          <cell r="CF737">
            <v>500.97</v>
          </cell>
          <cell r="CG737">
            <v>1585</v>
          </cell>
          <cell r="CH737">
            <v>1160</v>
          </cell>
          <cell r="CI737">
            <v>132</v>
          </cell>
          <cell r="CJ737">
            <v>325</v>
          </cell>
          <cell r="CK737">
            <v>1827</v>
          </cell>
          <cell r="CM737">
            <v>254.14</v>
          </cell>
          <cell r="CN737">
            <v>23</v>
          </cell>
          <cell r="CO737" t="str">
            <v>#N/A N/A</v>
          </cell>
          <cell r="CQ737">
            <v>7.82</v>
          </cell>
          <cell r="CR737">
            <v>90</v>
          </cell>
          <cell r="CS737">
            <v>2664</v>
          </cell>
          <cell r="CU737">
            <v>1620</v>
          </cell>
          <cell r="CW737">
            <v>76.600609756097569</v>
          </cell>
          <cell r="CX737">
            <v>737.1</v>
          </cell>
          <cell r="CZ737">
            <v>368.61</v>
          </cell>
          <cell r="DA737">
            <v>3572.1</v>
          </cell>
          <cell r="DB737">
            <v>13.09</v>
          </cell>
          <cell r="DC737">
            <v>348.65</v>
          </cell>
          <cell r="DD737">
            <v>135.19999999999999</v>
          </cell>
        </row>
        <row r="738">
          <cell r="A738">
            <v>39451</v>
          </cell>
          <cell r="C738">
            <v>28</v>
          </cell>
          <cell r="D738">
            <v>1.88</v>
          </cell>
          <cell r="E738">
            <v>5.64</v>
          </cell>
          <cell r="L738">
            <v>1863.9</v>
          </cell>
          <cell r="M738">
            <v>2504.65</v>
          </cell>
          <cell r="N738">
            <v>6348.5</v>
          </cell>
          <cell r="O738">
            <v>4889</v>
          </cell>
          <cell r="Q738">
            <v>520</v>
          </cell>
          <cell r="R738">
            <v>466.75</v>
          </cell>
          <cell r="S738">
            <v>931.5</v>
          </cell>
          <cell r="T738">
            <v>1262.5</v>
          </cell>
          <cell r="U738">
            <v>14691.41</v>
          </cell>
          <cell r="V738">
            <v>27519.69</v>
          </cell>
          <cell r="W738">
            <v>8221.1</v>
          </cell>
          <cell r="X738">
            <v>95.75</v>
          </cell>
          <cell r="Y738">
            <v>1300</v>
          </cell>
          <cell r="Z738">
            <v>1670</v>
          </cell>
          <cell r="AA738">
            <v>20686.89</v>
          </cell>
          <cell r="AB738">
            <v>6385.4</v>
          </cell>
          <cell r="AC738">
            <v>61036.609400000001</v>
          </cell>
          <cell r="AE738">
            <v>112.35</v>
          </cell>
          <cell r="AF738">
            <v>871.16</v>
          </cell>
          <cell r="AG738">
            <v>8702</v>
          </cell>
          <cell r="AH738">
            <v>1005</v>
          </cell>
          <cell r="AI738">
            <v>1715</v>
          </cell>
          <cell r="AJ738">
            <v>719.25</v>
          </cell>
          <cell r="AL738">
            <v>1411.63</v>
          </cell>
          <cell r="AP738">
            <v>5361.5739999999996</v>
          </cell>
          <cell r="AV738">
            <v>61</v>
          </cell>
          <cell r="AZ738">
            <v>295.8</v>
          </cell>
          <cell r="BE738">
            <v>27925</v>
          </cell>
          <cell r="BG738">
            <v>91</v>
          </cell>
          <cell r="BH738">
            <v>642.38</v>
          </cell>
          <cell r="BY738">
            <v>372.85</v>
          </cell>
          <cell r="CD738">
            <v>392.26</v>
          </cell>
          <cell r="CE738">
            <v>378.10300000000001</v>
          </cell>
          <cell r="CF738">
            <v>507.63</v>
          </cell>
          <cell r="CG738">
            <v>1590</v>
          </cell>
          <cell r="CH738">
            <v>1170</v>
          </cell>
          <cell r="CI738">
            <v>132</v>
          </cell>
          <cell r="CJ738">
            <v>325</v>
          </cell>
          <cell r="CK738">
            <v>1747</v>
          </cell>
          <cell r="CM738">
            <v>251.1</v>
          </cell>
          <cell r="CN738">
            <v>23.56</v>
          </cell>
          <cell r="CO738" t="str">
            <v>#N/A N/A</v>
          </cell>
          <cell r="CQ738">
            <v>7.51</v>
          </cell>
          <cell r="CR738">
            <v>90</v>
          </cell>
          <cell r="CS738">
            <v>2595.5</v>
          </cell>
          <cell r="CU738">
            <v>1710</v>
          </cell>
          <cell r="CW738">
            <v>77.210365853658544</v>
          </cell>
          <cell r="CX738">
            <v>738.35</v>
          </cell>
          <cell r="CZ738">
            <v>366.22</v>
          </cell>
          <cell r="DA738">
            <v>3513.5</v>
          </cell>
          <cell r="DB738">
            <v>13.4</v>
          </cell>
          <cell r="DC738">
            <v>348.65</v>
          </cell>
          <cell r="DD738">
            <v>132.69999999999999</v>
          </cell>
        </row>
        <row r="739">
          <cell r="A739">
            <v>39452</v>
          </cell>
          <cell r="C739">
            <v>28</v>
          </cell>
          <cell r="D739">
            <v>1.88</v>
          </cell>
          <cell r="E739">
            <v>5.64</v>
          </cell>
          <cell r="L739">
            <v>1863.9</v>
          </cell>
          <cell r="M739">
            <v>2504.65</v>
          </cell>
          <cell r="N739">
            <v>6348.5</v>
          </cell>
          <cell r="O739">
            <v>4889</v>
          </cell>
          <cell r="Q739">
            <v>520</v>
          </cell>
          <cell r="R739">
            <v>466.75</v>
          </cell>
          <cell r="S739">
            <v>931.5</v>
          </cell>
          <cell r="T739">
            <v>1262.5</v>
          </cell>
          <cell r="U739">
            <v>14691.41</v>
          </cell>
          <cell r="V739">
            <v>27519.69</v>
          </cell>
          <cell r="W739">
            <v>8221.1</v>
          </cell>
          <cell r="X739">
            <v>95.75</v>
          </cell>
          <cell r="Y739">
            <v>1300</v>
          </cell>
          <cell r="Z739">
            <v>1670</v>
          </cell>
          <cell r="AA739">
            <v>20686.89</v>
          </cell>
          <cell r="AB739">
            <v>6385.4</v>
          </cell>
          <cell r="AC739">
            <v>61036.609400000001</v>
          </cell>
          <cell r="AE739">
            <v>112.35</v>
          </cell>
          <cell r="AF739">
            <v>871.16</v>
          </cell>
          <cell r="AG739">
            <v>8702</v>
          </cell>
          <cell r="AH739">
            <v>1005</v>
          </cell>
          <cell r="AI739">
            <v>1715</v>
          </cell>
          <cell r="AJ739">
            <v>719.25</v>
          </cell>
          <cell r="AL739">
            <v>1411.63</v>
          </cell>
          <cell r="AP739">
            <v>5361.5739999999996</v>
          </cell>
          <cell r="AV739">
            <v>61</v>
          </cell>
          <cell r="AZ739">
            <v>295.8</v>
          </cell>
          <cell r="BE739">
            <v>27925</v>
          </cell>
          <cell r="BG739">
            <v>91</v>
          </cell>
          <cell r="BH739">
            <v>642.38</v>
          </cell>
          <cell r="BY739">
            <v>372.85</v>
          </cell>
          <cell r="CD739">
            <v>392.26</v>
          </cell>
          <cell r="CE739">
            <v>378.10300000000001</v>
          </cell>
          <cell r="CF739">
            <v>507.63</v>
          </cell>
          <cell r="CG739">
            <v>1590</v>
          </cell>
          <cell r="CH739">
            <v>1170</v>
          </cell>
          <cell r="CI739">
            <v>132</v>
          </cell>
          <cell r="CJ739">
            <v>325</v>
          </cell>
          <cell r="CK739">
            <v>1747</v>
          </cell>
          <cell r="CM739">
            <v>251.1</v>
          </cell>
          <cell r="CN739">
            <v>23.56</v>
          </cell>
          <cell r="CO739" t="str">
            <v>#N/A N/A</v>
          </cell>
          <cell r="CQ739">
            <v>7.51</v>
          </cell>
          <cell r="CR739">
            <v>90</v>
          </cell>
          <cell r="CS739">
            <v>2595.5</v>
          </cell>
          <cell r="CU739">
            <v>1710</v>
          </cell>
          <cell r="CW739">
            <v>77.210365853658544</v>
          </cell>
          <cell r="CX739">
            <v>738.35</v>
          </cell>
          <cell r="CZ739">
            <v>366.22</v>
          </cell>
          <cell r="DA739">
            <v>3513.5</v>
          </cell>
          <cell r="DB739">
            <v>13.4</v>
          </cell>
          <cell r="DC739">
            <v>348.65</v>
          </cell>
          <cell r="DD739">
            <v>132.69999999999999</v>
          </cell>
        </row>
        <row r="740">
          <cell r="A740">
            <v>39453</v>
          </cell>
          <cell r="C740">
            <v>28</v>
          </cell>
          <cell r="D740">
            <v>1.88</v>
          </cell>
          <cell r="E740">
            <v>5.64</v>
          </cell>
          <cell r="L740">
            <v>1863.9</v>
          </cell>
          <cell r="M740">
            <v>2504.65</v>
          </cell>
          <cell r="N740">
            <v>6348.5</v>
          </cell>
          <cell r="O740">
            <v>4889</v>
          </cell>
          <cell r="Q740">
            <v>520</v>
          </cell>
          <cell r="R740">
            <v>466.75</v>
          </cell>
          <cell r="S740">
            <v>931.5</v>
          </cell>
          <cell r="T740">
            <v>1262.5</v>
          </cell>
          <cell r="U740">
            <v>14691.41</v>
          </cell>
          <cell r="V740">
            <v>27519.69</v>
          </cell>
          <cell r="W740">
            <v>8221.1</v>
          </cell>
          <cell r="X740">
            <v>95.75</v>
          </cell>
          <cell r="Y740">
            <v>1300</v>
          </cell>
          <cell r="Z740">
            <v>1670</v>
          </cell>
          <cell r="AA740">
            <v>20686.89</v>
          </cell>
          <cell r="AB740">
            <v>6385.4</v>
          </cell>
          <cell r="AC740">
            <v>61036.609400000001</v>
          </cell>
          <cell r="AE740">
            <v>112.35</v>
          </cell>
          <cell r="AF740">
            <v>871.16</v>
          </cell>
          <cell r="AG740">
            <v>8702</v>
          </cell>
          <cell r="AH740">
            <v>1005</v>
          </cell>
          <cell r="AI740">
            <v>1715</v>
          </cell>
          <cell r="AJ740">
            <v>719.25</v>
          </cell>
          <cell r="AL740">
            <v>1411.63</v>
          </cell>
          <cell r="AP740">
            <v>5361.5739999999996</v>
          </cell>
          <cell r="AV740">
            <v>61</v>
          </cell>
          <cell r="AZ740">
            <v>295.8</v>
          </cell>
          <cell r="BE740">
            <v>27925</v>
          </cell>
          <cell r="BG740">
            <v>91</v>
          </cell>
          <cell r="BH740">
            <v>642.38</v>
          </cell>
          <cell r="BY740">
            <v>372.85</v>
          </cell>
          <cell r="CD740">
            <v>392.26</v>
          </cell>
          <cell r="CE740">
            <v>378.10300000000001</v>
          </cell>
          <cell r="CF740">
            <v>507.63</v>
          </cell>
          <cell r="CG740">
            <v>1590</v>
          </cell>
          <cell r="CH740">
            <v>1170</v>
          </cell>
          <cell r="CI740">
            <v>132</v>
          </cell>
          <cell r="CJ740">
            <v>325</v>
          </cell>
          <cell r="CK740">
            <v>1747</v>
          </cell>
          <cell r="CM740">
            <v>251.1</v>
          </cell>
          <cell r="CN740">
            <v>23.56</v>
          </cell>
          <cell r="CO740" t="str">
            <v>#N/A N/A</v>
          </cell>
          <cell r="CQ740">
            <v>7.51</v>
          </cell>
          <cell r="CR740">
            <v>90</v>
          </cell>
          <cell r="CS740">
            <v>2595.5</v>
          </cell>
          <cell r="CU740">
            <v>1710</v>
          </cell>
          <cell r="CW740">
            <v>77.210365853658544</v>
          </cell>
          <cell r="CX740">
            <v>738.35</v>
          </cell>
          <cell r="CZ740">
            <v>366.22</v>
          </cell>
          <cell r="DA740">
            <v>3513.5</v>
          </cell>
          <cell r="DB740">
            <v>13.4</v>
          </cell>
          <cell r="DC740">
            <v>348.65</v>
          </cell>
          <cell r="DD740">
            <v>132.69999999999999</v>
          </cell>
        </row>
        <row r="741">
          <cell r="A741">
            <v>39454</v>
          </cell>
          <cell r="C741">
            <v>28</v>
          </cell>
          <cell r="D741">
            <v>1.88</v>
          </cell>
          <cell r="E741">
            <v>5.62</v>
          </cell>
          <cell r="L741">
            <v>1831.14</v>
          </cell>
          <cell r="M741">
            <v>2499.46</v>
          </cell>
          <cell r="N741">
            <v>6335.7</v>
          </cell>
          <cell r="O741">
            <v>4887</v>
          </cell>
          <cell r="Q741">
            <v>520</v>
          </cell>
          <cell r="R741">
            <v>466.25</v>
          </cell>
          <cell r="S741">
            <v>903</v>
          </cell>
          <cell r="T741">
            <v>1249.75</v>
          </cell>
          <cell r="U741">
            <v>14500.55</v>
          </cell>
          <cell r="V741">
            <v>27179.49</v>
          </cell>
          <cell r="W741">
            <v>7883.37</v>
          </cell>
          <cell r="X741">
            <v>94.95</v>
          </cell>
          <cell r="Y741">
            <v>1300</v>
          </cell>
          <cell r="Z741">
            <v>1670</v>
          </cell>
          <cell r="AA741">
            <v>20812.650000000001</v>
          </cell>
          <cell r="AB741">
            <v>6240.4</v>
          </cell>
          <cell r="AC741">
            <v>60772.148399999998</v>
          </cell>
          <cell r="AE741">
            <v>112.1</v>
          </cell>
          <cell r="AF741">
            <v>871.16</v>
          </cell>
          <cell r="AG741">
            <v>8732</v>
          </cell>
          <cell r="AH741">
            <v>1005</v>
          </cell>
          <cell r="AI741">
            <v>1715</v>
          </cell>
          <cell r="AJ741">
            <v>711.77</v>
          </cell>
          <cell r="AL741">
            <v>1416.18</v>
          </cell>
          <cell r="AP741">
            <v>5393.3429999999998</v>
          </cell>
          <cell r="AV741">
            <v>61.5</v>
          </cell>
          <cell r="AZ741">
            <v>288.2</v>
          </cell>
          <cell r="BE741">
            <v>27925</v>
          </cell>
          <cell r="BG741">
            <v>91</v>
          </cell>
          <cell r="BH741">
            <v>651.26</v>
          </cell>
          <cell r="BY741">
            <v>371.61</v>
          </cell>
          <cell r="CD741">
            <v>390.22</v>
          </cell>
          <cell r="CE741">
            <v>376.59100000000001</v>
          </cell>
          <cell r="CF741">
            <v>498.05</v>
          </cell>
          <cell r="CG741">
            <v>1590</v>
          </cell>
          <cell r="CH741">
            <v>1170</v>
          </cell>
          <cell r="CI741">
            <v>132</v>
          </cell>
          <cell r="CJ741">
            <v>325</v>
          </cell>
          <cell r="CK741">
            <v>1681</v>
          </cell>
          <cell r="CM741">
            <v>242.98</v>
          </cell>
          <cell r="CN741">
            <v>23.6</v>
          </cell>
          <cell r="CO741" t="str">
            <v>#N/A N/A</v>
          </cell>
          <cell r="CQ741">
            <v>7.61</v>
          </cell>
          <cell r="CR741">
            <v>90</v>
          </cell>
          <cell r="CS741">
            <v>2582.5</v>
          </cell>
          <cell r="CU741">
            <v>1710</v>
          </cell>
          <cell r="CW741">
            <v>78.125</v>
          </cell>
          <cell r="CX741">
            <v>734.35</v>
          </cell>
          <cell r="CZ741">
            <v>362.32</v>
          </cell>
          <cell r="DA741">
            <v>3511.6</v>
          </cell>
          <cell r="DB741">
            <v>13.51</v>
          </cell>
          <cell r="DC741">
            <v>348.65</v>
          </cell>
          <cell r="DD741">
            <v>131.4</v>
          </cell>
        </row>
        <row r="742">
          <cell r="A742">
            <v>39455</v>
          </cell>
          <cell r="C742">
            <v>28</v>
          </cell>
          <cell r="D742">
            <v>1.88</v>
          </cell>
          <cell r="E742">
            <v>5.63</v>
          </cell>
          <cell r="L742">
            <v>1826.23</v>
          </cell>
          <cell r="M742">
            <v>2440.5100000000002</v>
          </cell>
          <cell r="N742">
            <v>6356.5</v>
          </cell>
          <cell r="O742">
            <v>4895</v>
          </cell>
          <cell r="Q742">
            <v>520</v>
          </cell>
          <cell r="R742">
            <v>478.75</v>
          </cell>
          <cell r="S742">
            <v>907.5</v>
          </cell>
          <cell r="T742">
            <v>1267</v>
          </cell>
          <cell r="U742">
            <v>14528.67</v>
          </cell>
          <cell r="V742">
            <v>27112.9</v>
          </cell>
          <cell r="W742">
            <v>7962.91</v>
          </cell>
          <cell r="X742">
            <v>95</v>
          </cell>
          <cell r="Y742">
            <v>1300</v>
          </cell>
          <cell r="Z742">
            <v>1670</v>
          </cell>
          <cell r="AA742">
            <v>20873.330000000002</v>
          </cell>
          <cell r="AB742">
            <v>6205.7</v>
          </cell>
          <cell r="AC742">
            <v>62080.730499999998</v>
          </cell>
          <cell r="AE742">
            <v>108.35</v>
          </cell>
          <cell r="AF742">
            <v>875.14</v>
          </cell>
          <cell r="AG742">
            <v>8730</v>
          </cell>
          <cell r="AH742">
            <v>1005</v>
          </cell>
          <cell r="AI742">
            <v>1715</v>
          </cell>
          <cell r="AJ742">
            <v>709.31</v>
          </cell>
          <cell r="AL742">
            <v>1390.19</v>
          </cell>
          <cell r="AP742">
            <v>5386.5309999999999</v>
          </cell>
          <cell r="AV742">
            <v>60.85</v>
          </cell>
          <cell r="AZ742">
            <v>291.3</v>
          </cell>
          <cell r="BE742">
            <v>29620</v>
          </cell>
          <cell r="BG742">
            <v>91</v>
          </cell>
          <cell r="BH742">
            <v>649.38</v>
          </cell>
          <cell r="BY742">
            <v>361.71</v>
          </cell>
          <cell r="CD742">
            <v>388.39</v>
          </cell>
          <cell r="CE742">
            <v>374.08499999999998</v>
          </cell>
          <cell r="CF742">
            <v>499.34</v>
          </cell>
          <cell r="CG742">
            <v>1590</v>
          </cell>
          <cell r="CH742">
            <v>1170</v>
          </cell>
          <cell r="CI742">
            <v>132</v>
          </cell>
          <cell r="CJ742">
            <v>325</v>
          </cell>
          <cell r="CK742">
            <v>1538</v>
          </cell>
          <cell r="CM742">
            <v>247.39</v>
          </cell>
          <cell r="CN742">
            <v>23.63</v>
          </cell>
          <cell r="CO742" t="str">
            <v>#N/A N/A</v>
          </cell>
          <cell r="CQ742">
            <v>7.58</v>
          </cell>
          <cell r="CR742">
            <v>90</v>
          </cell>
          <cell r="CS742">
            <v>2657.25</v>
          </cell>
          <cell r="CU742">
            <v>1710</v>
          </cell>
          <cell r="CW742">
            <v>77.057926829268297</v>
          </cell>
          <cell r="CX742">
            <v>735.75</v>
          </cell>
          <cell r="CZ742">
            <v>368.17</v>
          </cell>
          <cell r="DA742">
            <v>3646.9</v>
          </cell>
          <cell r="DB742">
            <v>13.75</v>
          </cell>
          <cell r="DC742">
            <v>348.65</v>
          </cell>
          <cell r="DD742">
            <v>135.44999999999999</v>
          </cell>
        </row>
        <row r="743">
          <cell r="A743">
            <v>39456</v>
          </cell>
          <cell r="C743">
            <v>28</v>
          </cell>
          <cell r="D743">
            <v>1.9</v>
          </cell>
          <cell r="E743">
            <v>5.63</v>
          </cell>
          <cell r="L743">
            <v>1844.47</v>
          </cell>
          <cell r="M743">
            <v>2474.5500000000002</v>
          </cell>
          <cell r="N743">
            <v>6272.7</v>
          </cell>
          <cell r="O743">
            <v>4895</v>
          </cell>
          <cell r="Q743">
            <v>520</v>
          </cell>
          <cell r="R743">
            <v>477.25</v>
          </cell>
          <cell r="S743">
            <v>889.5</v>
          </cell>
          <cell r="T743">
            <v>1262.5</v>
          </cell>
          <cell r="U743">
            <v>14599.16</v>
          </cell>
          <cell r="V743">
            <v>27615.85</v>
          </cell>
          <cell r="W743">
            <v>8085.06</v>
          </cell>
          <cell r="X743">
            <v>96.25</v>
          </cell>
          <cell r="Y743">
            <v>1300</v>
          </cell>
          <cell r="Z743">
            <v>1670</v>
          </cell>
          <cell r="AA743">
            <v>20869.78</v>
          </cell>
          <cell r="AB743">
            <v>6159.5</v>
          </cell>
          <cell r="AC743">
            <v>62673.691400000003</v>
          </cell>
          <cell r="AE743">
            <v>109.6</v>
          </cell>
          <cell r="AF743">
            <v>875.14</v>
          </cell>
          <cell r="AG743">
            <v>8621</v>
          </cell>
          <cell r="AH743">
            <v>1005</v>
          </cell>
          <cell r="AI743">
            <v>1715</v>
          </cell>
          <cell r="AJ743">
            <v>712.71</v>
          </cell>
          <cell r="AL743">
            <v>1409.13</v>
          </cell>
          <cell r="AP743">
            <v>5435.8069999999998</v>
          </cell>
          <cell r="AV743">
            <v>62.22</v>
          </cell>
          <cell r="AZ743">
            <v>289.89999999999998</v>
          </cell>
          <cell r="BE743">
            <v>29215</v>
          </cell>
          <cell r="BG743">
            <v>91</v>
          </cell>
          <cell r="BH743">
            <v>658.2</v>
          </cell>
          <cell r="BY743">
            <v>362.94</v>
          </cell>
          <cell r="CD743">
            <v>389.26</v>
          </cell>
          <cell r="CE743">
            <v>374.76600000000002</v>
          </cell>
          <cell r="CF743">
            <v>506.09</v>
          </cell>
          <cell r="CG743">
            <v>1590</v>
          </cell>
          <cell r="CH743">
            <v>1170</v>
          </cell>
          <cell r="CI743">
            <v>129</v>
          </cell>
          <cell r="CJ743">
            <v>326</v>
          </cell>
          <cell r="CK743">
            <v>1453</v>
          </cell>
          <cell r="CM743">
            <v>243.55</v>
          </cell>
          <cell r="CN743">
            <v>23.57</v>
          </cell>
          <cell r="CO743" t="str">
            <v>#N/A N/A</v>
          </cell>
          <cell r="CQ743">
            <v>7.88</v>
          </cell>
          <cell r="CR743">
            <v>89</v>
          </cell>
          <cell r="CS743">
            <v>2592</v>
          </cell>
          <cell r="CU743">
            <v>1710</v>
          </cell>
          <cell r="CW743">
            <v>75.152439024390247</v>
          </cell>
          <cell r="CX743">
            <v>718.43799999999999</v>
          </cell>
          <cell r="CZ743">
            <v>366.58</v>
          </cell>
          <cell r="DA743">
            <v>3620.9</v>
          </cell>
          <cell r="DB743">
            <v>13.45</v>
          </cell>
          <cell r="DC743">
            <v>348.65</v>
          </cell>
          <cell r="DD743">
            <v>135.6</v>
          </cell>
        </row>
        <row r="744">
          <cell r="A744">
            <v>39457</v>
          </cell>
          <cell r="C744">
            <v>28</v>
          </cell>
          <cell r="D744">
            <v>1.9</v>
          </cell>
          <cell r="E744">
            <v>5.57</v>
          </cell>
          <cell r="L744">
            <v>1824.78</v>
          </cell>
          <cell r="M744">
            <v>2488.52</v>
          </cell>
          <cell r="N744">
            <v>6222.7</v>
          </cell>
          <cell r="O744">
            <v>4891</v>
          </cell>
          <cell r="Q744">
            <v>520</v>
          </cell>
          <cell r="R744">
            <v>475</v>
          </cell>
          <cell r="S744">
            <v>882.5</v>
          </cell>
          <cell r="T744">
            <v>1260.25</v>
          </cell>
          <cell r="U744">
            <v>14388.11</v>
          </cell>
          <cell r="V744">
            <v>27230.86</v>
          </cell>
          <cell r="W744">
            <v>8057.27</v>
          </cell>
          <cell r="X744">
            <v>94.75</v>
          </cell>
          <cell r="Y744">
            <v>1300</v>
          </cell>
          <cell r="Z744">
            <v>1670</v>
          </cell>
          <cell r="AA744">
            <v>20582.080000000002</v>
          </cell>
          <cell r="AB744">
            <v>6147.3</v>
          </cell>
          <cell r="AC744">
            <v>63515.480499999998</v>
          </cell>
          <cell r="AE744">
            <v>108.5</v>
          </cell>
          <cell r="AF744">
            <v>875.14</v>
          </cell>
          <cell r="AG744">
            <v>8333</v>
          </cell>
          <cell r="AH744">
            <v>1005</v>
          </cell>
          <cell r="AI744">
            <v>1715</v>
          </cell>
          <cell r="AJ744">
            <v>713.36</v>
          </cell>
          <cell r="AL744">
            <v>1420.33</v>
          </cell>
          <cell r="AP744">
            <v>5456.5410000000002</v>
          </cell>
          <cell r="AV744">
            <v>63.13</v>
          </cell>
          <cell r="AZ744">
            <v>285.3</v>
          </cell>
          <cell r="BE744">
            <v>28422</v>
          </cell>
          <cell r="BG744">
            <v>91</v>
          </cell>
          <cell r="BH744">
            <v>668.15</v>
          </cell>
          <cell r="BY744">
            <v>362.55</v>
          </cell>
          <cell r="CD744">
            <v>389.1</v>
          </cell>
          <cell r="CE744">
            <v>374.81200000000001</v>
          </cell>
          <cell r="CF744">
            <v>500.83</v>
          </cell>
          <cell r="CG744">
            <v>1590</v>
          </cell>
          <cell r="CH744">
            <v>1170</v>
          </cell>
          <cell r="CI744">
            <v>129</v>
          </cell>
          <cell r="CJ744">
            <v>326</v>
          </cell>
          <cell r="CK744">
            <v>1415</v>
          </cell>
          <cell r="CM744">
            <v>236.01</v>
          </cell>
          <cell r="CN744">
            <v>23.14</v>
          </cell>
          <cell r="CO744" t="str">
            <v>#N/A N/A</v>
          </cell>
          <cell r="CQ744">
            <v>7.97</v>
          </cell>
          <cell r="CR744">
            <v>89</v>
          </cell>
          <cell r="CS744">
            <v>2559</v>
          </cell>
          <cell r="CU744">
            <v>1710</v>
          </cell>
          <cell r="CW744">
            <v>73.704268292682926</v>
          </cell>
          <cell r="CX744">
            <v>725.34699999999998</v>
          </cell>
          <cell r="CZ744">
            <v>363.89</v>
          </cell>
          <cell r="DA744">
            <v>3599.4</v>
          </cell>
          <cell r="DB744">
            <v>13.45</v>
          </cell>
          <cell r="DC744">
            <v>348.65</v>
          </cell>
          <cell r="DD744">
            <v>136.65</v>
          </cell>
        </row>
        <row r="745">
          <cell r="A745">
            <v>39458</v>
          </cell>
          <cell r="C745">
            <v>28</v>
          </cell>
          <cell r="D745">
            <v>1.9</v>
          </cell>
          <cell r="E745">
            <v>5.55</v>
          </cell>
          <cell r="L745">
            <v>1782.27</v>
          </cell>
          <cell r="M745">
            <v>2439.94</v>
          </cell>
          <cell r="N745">
            <v>6202</v>
          </cell>
          <cell r="O745">
            <v>4913</v>
          </cell>
          <cell r="Q745">
            <v>520</v>
          </cell>
          <cell r="R745">
            <v>495</v>
          </cell>
          <cell r="S745">
            <v>909.25</v>
          </cell>
          <cell r="T745">
            <v>1298.75</v>
          </cell>
          <cell r="U745">
            <v>14110.79</v>
          </cell>
          <cell r="V745">
            <v>26867.01</v>
          </cell>
          <cell r="W745">
            <v>8029.31</v>
          </cell>
          <cell r="X745">
            <v>93.55</v>
          </cell>
          <cell r="Y745">
            <v>1390</v>
          </cell>
          <cell r="Z745">
            <v>1690</v>
          </cell>
          <cell r="AA745">
            <v>20827.45</v>
          </cell>
          <cell r="AB745">
            <v>6054.4</v>
          </cell>
          <cell r="AC745">
            <v>61942.359400000001</v>
          </cell>
          <cell r="AE745">
            <v>105.4</v>
          </cell>
          <cell r="AF745">
            <v>875.14</v>
          </cell>
          <cell r="AG745">
            <v>7949</v>
          </cell>
          <cell r="AH745">
            <v>1020</v>
          </cell>
          <cell r="AI745">
            <v>1720</v>
          </cell>
          <cell r="AJ745">
            <v>699.24</v>
          </cell>
          <cell r="AL745">
            <v>1401.02</v>
          </cell>
          <cell r="AP745">
            <v>5484.6769999999997</v>
          </cell>
          <cell r="AV745">
            <v>60.34</v>
          </cell>
          <cell r="AZ745">
            <v>285</v>
          </cell>
          <cell r="BE745">
            <v>28381</v>
          </cell>
          <cell r="BG745">
            <v>89.9</v>
          </cell>
          <cell r="BH745">
            <v>670.4</v>
          </cell>
          <cell r="BY745">
            <v>353.89</v>
          </cell>
          <cell r="CD745">
            <v>385.68</v>
          </cell>
          <cell r="CE745">
            <v>371.39499999999998</v>
          </cell>
          <cell r="CF745">
            <v>497.87</v>
          </cell>
          <cell r="CG745">
            <v>1600</v>
          </cell>
          <cell r="CH745">
            <v>1205</v>
          </cell>
          <cell r="CI745">
            <v>129</v>
          </cell>
          <cell r="CJ745">
            <v>326</v>
          </cell>
          <cell r="CK745">
            <v>1411</v>
          </cell>
          <cell r="CM745">
            <v>232.03</v>
          </cell>
          <cell r="CN745">
            <v>23.09</v>
          </cell>
          <cell r="CO745" t="str">
            <v>#N/A N/A</v>
          </cell>
          <cell r="CQ745">
            <v>8.1199999999999992</v>
          </cell>
          <cell r="CR745">
            <v>89</v>
          </cell>
          <cell r="CS745">
            <v>2616</v>
          </cell>
          <cell r="CU745">
            <v>1735</v>
          </cell>
          <cell r="CW745">
            <v>72.332317073170742</v>
          </cell>
          <cell r="CX745">
            <v>726.13099999999997</v>
          </cell>
          <cell r="CZ745">
            <v>365.15</v>
          </cell>
          <cell r="DA745">
            <v>3631.3</v>
          </cell>
          <cell r="DB745">
            <v>13.58</v>
          </cell>
          <cell r="DC745">
            <v>348.65</v>
          </cell>
          <cell r="DD745">
            <v>136.30000000000001</v>
          </cell>
        </row>
        <row r="746">
          <cell r="A746">
            <v>39459</v>
          </cell>
          <cell r="C746">
            <v>28</v>
          </cell>
          <cell r="D746">
            <v>1.9</v>
          </cell>
          <cell r="E746">
            <v>5.55</v>
          </cell>
          <cell r="L746">
            <v>1782.27</v>
          </cell>
          <cell r="M746">
            <v>2439.94</v>
          </cell>
          <cell r="N746">
            <v>6202</v>
          </cell>
          <cell r="O746">
            <v>4913</v>
          </cell>
          <cell r="Q746">
            <v>520</v>
          </cell>
          <cell r="R746">
            <v>495</v>
          </cell>
          <cell r="S746">
            <v>909.25</v>
          </cell>
          <cell r="T746">
            <v>1298.75</v>
          </cell>
          <cell r="U746">
            <v>14110.79</v>
          </cell>
          <cell r="V746">
            <v>26867.01</v>
          </cell>
          <cell r="W746">
            <v>8029.31</v>
          </cell>
          <cell r="X746">
            <v>93.55</v>
          </cell>
          <cell r="Y746">
            <v>1390</v>
          </cell>
          <cell r="Z746">
            <v>1690</v>
          </cell>
          <cell r="AA746">
            <v>20827.45</v>
          </cell>
          <cell r="AB746">
            <v>6054.4</v>
          </cell>
          <cell r="AC746">
            <v>61942.359400000001</v>
          </cell>
          <cell r="AE746">
            <v>105.4</v>
          </cell>
          <cell r="AF746">
            <v>875.14</v>
          </cell>
          <cell r="AG746">
            <v>7949</v>
          </cell>
          <cell r="AH746">
            <v>1020</v>
          </cell>
          <cell r="AI746">
            <v>1720</v>
          </cell>
          <cell r="AJ746">
            <v>699.24</v>
          </cell>
          <cell r="AL746">
            <v>1401.02</v>
          </cell>
          <cell r="AP746">
            <v>5484.6769999999997</v>
          </cell>
          <cell r="AV746">
            <v>60.34</v>
          </cell>
          <cell r="AZ746">
            <v>285</v>
          </cell>
          <cell r="BE746">
            <v>28381</v>
          </cell>
          <cell r="BG746">
            <v>89.9</v>
          </cell>
          <cell r="BH746">
            <v>670.4</v>
          </cell>
          <cell r="BY746">
            <v>353.89</v>
          </cell>
          <cell r="CD746">
            <v>385.68</v>
          </cell>
          <cell r="CE746">
            <v>371.39499999999998</v>
          </cell>
          <cell r="CF746">
            <v>497.87</v>
          </cell>
          <cell r="CG746">
            <v>1600</v>
          </cell>
          <cell r="CH746">
            <v>1205</v>
          </cell>
          <cell r="CI746">
            <v>129</v>
          </cell>
          <cell r="CJ746">
            <v>326</v>
          </cell>
          <cell r="CK746">
            <v>1411</v>
          </cell>
          <cell r="CM746">
            <v>232.03</v>
          </cell>
          <cell r="CN746">
            <v>23.09</v>
          </cell>
          <cell r="CO746" t="str">
            <v>#N/A N/A</v>
          </cell>
          <cell r="CQ746">
            <v>8.1199999999999992</v>
          </cell>
          <cell r="CR746">
            <v>89</v>
          </cell>
          <cell r="CS746">
            <v>2616</v>
          </cell>
          <cell r="CU746">
            <v>1735</v>
          </cell>
          <cell r="CW746">
            <v>72.332317073170742</v>
          </cell>
          <cell r="CX746">
            <v>726.13099999999997</v>
          </cell>
          <cell r="CZ746">
            <v>365.15</v>
          </cell>
          <cell r="DA746">
            <v>3631.3</v>
          </cell>
          <cell r="DB746">
            <v>13.58</v>
          </cell>
          <cell r="DC746">
            <v>348.65</v>
          </cell>
          <cell r="DD746">
            <v>136.30000000000001</v>
          </cell>
        </row>
        <row r="747">
          <cell r="A747">
            <v>39460</v>
          </cell>
          <cell r="C747">
            <v>28</v>
          </cell>
          <cell r="D747">
            <v>1.9</v>
          </cell>
          <cell r="E747">
            <v>5.55</v>
          </cell>
          <cell r="L747">
            <v>1782.27</v>
          </cell>
          <cell r="M747">
            <v>2439.94</v>
          </cell>
          <cell r="N747">
            <v>6202</v>
          </cell>
          <cell r="O747">
            <v>4913</v>
          </cell>
          <cell r="Q747">
            <v>520</v>
          </cell>
          <cell r="R747">
            <v>495</v>
          </cell>
          <cell r="S747">
            <v>909.25</v>
          </cell>
          <cell r="T747">
            <v>1298.75</v>
          </cell>
          <cell r="U747">
            <v>14110.79</v>
          </cell>
          <cell r="V747">
            <v>26867.01</v>
          </cell>
          <cell r="W747">
            <v>8029.31</v>
          </cell>
          <cell r="X747">
            <v>93.55</v>
          </cell>
          <cell r="Y747">
            <v>1390</v>
          </cell>
          <cell r="Z747">
            <v>1690</v>
          </cell>
          <cell r="AA747">
            <v>20827.45</v>
          </cell>
          <cell r="AB747">
            <v>6054.4</v>
          </cell>
          <cell r="AC747">
            <v>61942.359400000001</v>
          </cell>
          <cell r="AE747">
            <v>105.4</v>
          </cell>
          <cell r="AF747">
            <v>875.14</v>
          </cell>
          <cell r="AG747">
            <v>7949</v>
          </cell>
          <cell r="AH747">
            <v>1020</v>
          </cell>
          <cell r="AI747">
            <v>1720</v>
          </cell>
          <cell r="AJ747">
            <v>699.24</v>
          </cell>
          <cell r="AL747">
            <v>1401.02</v>
          </cell>
          <cell r="AP747">
            <v>5484.6769999999997</v>
          </cell>
          <cell r="AV747">
            <v>60.34</v>
          </cell>
          <cell r="AZ747">
            <v>285</v>
          </cell>
          <cell r="BE747">
            <v>28381</v>
          </cell>
          <cell r="BG747">
            <v>89.9</v>
          </cell>
          <cell r="BH747">
            <v>670.4</v>
          </cell>
          <cell r="BY747">
            <v>353.89</v>
          </cell>
          <cell r="CD747">
            <v>385.68</v>
          </cell>
          <cell r="CE747">
            <v>371.39499999999998</v>
          </cell>
          <cell r="CF747">
            <v>497.87</v>
          </cell>
          <cell r="CG747">
            <v>1600</v>
          </cell>
          <cell r="CH747">
            <v>1205</v>
          </cell>
          <cell r="CI747">
            <v>129</v>
          </cell>
          <cell r="CJ747">
            <v>326</v>
          </cell>
          <cell r="CK747">
            <v>1411</v>
          </cell>
          <cell r="CM747">
            <v>232.03</v>
          </cell>
          <cell r="CN747">
            <v>23.09</v>
          </cell>
          <cell r="CO747" t="str">
            <v>#N/A N/A</v>
          </cell>
          <cell r="CQ747">
            <v>8.1199999999999992</v>
          </cell>
          <cell r="CR747">
            <v>89</v>
          </cell>
          <cell r="CS747">
            <v>2616</v>
          </cell>
          <cell r="CU747">
            <v>1735</v>
          </cell>
          <cell r="CW747">
            <v>72.332317073170742</v>
          </cell>
          <cell r="CX747">
            <v>726.13099999999997</v>
          </cell>
          <cell r="CZ747">
            <v>365.15</v>
          </cell>
          <cell r="DA747">
            <v>3631.3</v>
          </cell>
          <cell r="DB747">
            <v>13.58</v>
          </cell>
          <cell r="DC747">
            <v>348.65</v>
          </cell>
          <cell r="DD747">
            <v>136.30000000000001</v>
          </cell>
        </row>
        <row r="748">
          <cell r="A748">
            <v>39461</v>
          </cell>
          <cell r="C748">
            <v>28</v>
          </cell>
          <cell r="D748">
            <v>1.93</v>
          </cell>
          <cell r="E748">
            <v>5.55</v>
          </cell>
          <cell r="L748">
            <v>1765.88</v>
          </cell>
          <cell r="M748">
            <v>2478.3000000000002</v>
          </cell>
          <cell r="N748">
            <v>6215.7</v>
          </cell>
          <cell r="O748">
            <v>4911</v>
          </cell>
          <cell r="Q748">
            <v>520</v>
          </cell>
          <cell r="R748">
            <v>512</v>
          </cell>
          <cell r="S748">
            <v>917</v>
          </cell>
          <cell r="T748">
            <v>1296.5</v>
          </cell>
          <cell r="U748">
            <v>14110.79</v>
          </cell>
          <cell r="V748">
            <v>26468.13</v>
          </cell>
          <cell r="W748">
            <v>8173.41</v>
          </cell>
          <cell r="X748">
            <v>92.95</v>
          </cell>
          <cell r="Y748">
            <v>1390</v>
          </cell>
          <cell r="Z748">
            <v>1690</v>
          </cell>
          <cell r="AA748">
            <v>20728.05</v>
          </cell>
          <cell r="AB748">
            <v>6040.9</v>
          </cell>
          <cell r="AC748">
            <v>62187.781300000002</v>
          </cell>
          <cell r="AE748">
            <v>105.65</v>
          </cell>
          <cell r="AF748">
            <v>875.14</v>
          </cell>
          <cell r="AG748">
            <v>7654</v>
          </cell>
          <cell r="AH748">
            <v>1020</v>
          </cell>
          <cell r="AI748">
            <v>1720</v>
          </cell>
          <cell r="AJ748">
            <v>688.59</v>
          </cell>
          <cell r="AL748">
            <v>1416.25</v>
          </cell>
          <cell r="AP748">
            <v>5497.9009999999998</v>
          </cell>
          <cell r="AV748">
            <v>60.82</v>
          </cell>
          <cell r="AZ748">
            <v>285</v>
          </cell>
          <cell r="BE748">
            <v>29025</v>
          </cell>
          <cell r="BG748">
            <v>89.9</v>
          </cell>
          <cell r="BH748">
            <v>672.56</v>
          </cell>
          <cell r="BY748">
            <v>364.65</v>
          </cell>
          <cell r="CD748">
            <v>389.07</v>
          </cell>
          <cell r="CE748">
            <v>374.91199999999998</v>
          </cell>
          <cell r="CF748">
            <v>495.71</v>
          </cell>
          <cell r="CG748">
            <v>1600</v>
          </cell>
          <cell r="CH748">
            <v>1205</v>
          </cell>
          <cell r="CI748">
            <v>129</v>
          </cell>
          <cell r="CJ748">
            <v>326</v>
          </cell>
          <cell r="CK748">
            <v>1373</v>
          </cell>
          <cell r="CM748">
            <v>237.28</v>
          </cell>
          <cell r="CN748">
            <v>23.36</v>
          </cell>
          <cell r="CO748" t="str">
            <v>#N/A N/A</v>
          </cell>
          <cell r="CQ748">
            <v>8.4700000000000006</v>
          </cell>
          <cell r="CR748">
            <v>89</v>
          </cell>
          <cell r="CS748">
            <v>2723</v>
          </cell>
          <cell r="CU748">
            <v>1735</v>
          </cell>
          <cell r="CW748">
            <v>70.960365853658544</v>
          </cell>
          <cell r="CX748">
            <v>728.875</v>
          </cell>
          <cell r="CZ748">
            <v>370.22</v>
          </cell>
          <cell r="DA748">
            <v>3684.6</v>
          </cell>
          <cell r="DB748">
            <v>13.48</v>
          </cell>
          <cell r="DC748">
            <v>348.65</v>
          </cell>
          <cell r="DD748">
            <v>137.55000000000001</v>
          </cell>
        </row>
        <row r="749">
          <cell r="A749">
            <v>39462</v>
          </cell>
          <cell r="C749">
            <v>28</v>
          </cell>
          <cell r="D749">
            <v>1.93</v>
          </cell>
          <cell r="E749">
            <v>5.62</v>
          </cell>
          <cell r="L749">
            <v>1746.95</v>
          </cell>
          <cell r="M749">
            <v>2417.59</v>
          </cell>
          <cell r="N749">
            <v>6025.6</v>
          </cell>
          <cell r="O749">
            <v>4901</v>
          </cell>
          <cell r="Q749">
            <v>520</v>
          </cell>
          <cell r="R749">
            <v>509</v>
          </cell>
          <cell r="S749">
            <v>932</v>
          </cell>
          <cell r="T749">
            <v>1301.5</v>
          </cell>
          <cell r="U749">
            <v>13972.63</v>
          </cell>
          <cell r="V749">
            <v>25837.78</v>
          </cell>
          <cell r="W749">
            <v>8428.84</v>
          </cell>
          <cell r="X749">
            <v>94.05</v>
          </cell>
          <cell r="Y749">
            <v>1390</v>
          </cell>
          <cell r="Z749">
            <v>1690</v>
          </cell>
          <cell r="AA749">
            <v>20251.09</v>
          </cell>
          <cell r="AB749">
            <v>6019.8</v>
          </cell>
          <cell r="AC749">
            <v>59907.058599999997</v>
          </cell>
          <cell r="AE749">
            <v>106.1</v>
          </cell>
          <cell r="AF749">
            <v>876.73</v>
          </cell>
          <cell r="AG749">
            <v>7336</v>
          </cell>
          <cell r="AH749">
            <v>1020</v>
          </cell>
          <cell r="AI749">
            <v>1720</v>
          </cell>
          <cell r="AJ749">
            <v>673.25</v>
          </cell>
          <cell r="AL749">
            <v>1380.95</v>
          </cell>
          <cell r="AP749">
            <v>5443.7910000000002</v>
          </cell>
          <cell r="AV749">
            <v>58.25</v>
          </cell>
          <cell r="AZ749">
            <v>286.2</v>
          </cell>
          <cell r="BE749">
            <v>28160</v>
          </cell>
          <cell r="BG749">
            <v>89.9</v>
          </cell>
          <cell r="BH749">
            <v>662.11</v>
          </cell>
          <cell r="BY749">
            <v>353.18</v>
          </cell>
          <cell r="CD749">
            <v>380.13</v>
          </cell>
          <cell r="CE749">
            <v>366.04899999999998</v>
          </cell>
          <cell r="CF749">
            <v>491.14</v>
          </cell>
          <cell r="CG749">
            <v>1600</v>
          </cell>
          <cell r="CH749">
            <v>1205</v>
          </cell>
          <cell r="CI749">
            <v>129</v>
          </cell>
          <cell r="CJ749">
            <v>326</v>
          </cell>
          <cell r="CK749">
            <v>1379</v>
          </cell>
          <cell r="CM749">
            <v>230.92</v>
          </cell>
          <cell r="CN749">
            <v>23.18</v>
          </cell>
          <cell r="CO749" t="str">
            <v>#N/A N/A</v>
          </cell>
          <cell r="CQ749">
            <v>8.4</v>
          </cell>
          <cell r="CR749">
            <v>89</v>
          </cell>
          <cell r="CS749">
            <v>2643</v>
          </cell>
          <cell r="CU749">
            <v>1735</v>
          </cell>
          <cell r="CW749">
            <v>71.722560975609767</v>
          </cell>
          <cell r="CX749">
            <v>727.40499999999997</v>
          </cell>
          <cell r="CZ749">
            <v>365.57</v>
          </cell>
          <cell r="DA749">
            <v>3573.6</v>
          </cell>
          <cell r="DB749">
            <v>13.58</v>
          </cell>
          <cell r="DC749">
            <v>348.65</v>
          </cell>
          <cell r="DD749">
            <v>136.85</v>
          </cell>
        </row>
        <row r="750">
          <cell r="A750">
            <v>39463</v>
          </cell>
          <cell r="C750">
            <v>28</v>
          </cell>
          <cell r="D750">
            <v>1.94</v>
          </cell>
          <cell r="E750">
            <v>5.87</v>
          </cell>
          <cell r="L750">
            <v>1704.97</v>
          </cell>
          <cell r="M750">
            <v>2394.59</v>
          </cell>
          <cell r="N750">
            <v>5942.9</v>
          </cell>
          <cell r="O750">
            <v>4897</v>
          </cell>
          <cell r="Q750">
            <v>520</v>
          </cell>
          <cell r="R750">
            <v>502.5</v>
          </cell>
          <cell r="S750">
            <v>926.5</v>
          </cell>
          <cell r="T750">
            <v>1277</v>
          </cell>
          <cell r="U750">
            <v>13504.51</v>
          </cell>
          <cell r="V750">
            <v>24450.85</v>
          </cell>
          <cell r="W750">
            <v>8179.54</v>
          </cell>
          <cell r="X750">
            <v>91.5</v>
          </cell>
          <cell r="Y750">
            <v>1390</v>
          </cell>
          <cell r="Z750">
            <v>1690</v>
          </cell>
          <cell r="AA750">
            <v>19868.11</v>
          </cell>
          <cell r="AB750">
            <v>5870.8</v>
          </cell>
          <cell r="AC750">
            <v>58777.449200000003</v>
          </cell>
          <cell r="AE750">
            <v>104.4</v>
          </cell>
          <cell r="AF750">
            <v>876.73</v>
          </cell>
          <cell r="AG750">
            <v>6915</v>
          </cell>
          <cell r="AH750">
            <v>1020</v>
          </cell>
          <cell r="AI750">
            <v>1720</v>
          </cell>
          <cell r="AJ750">
            <v>651.36</v>
          </cell>
          <cell r="AL750">
            <v>1373.2</v>
          </cell>
          <cell r="AP750">
            <v>5290.6059999999998</v>
          </cell>
          <cell r="AV750">
            <v>56.99</v>
          </cell>
          <cell r="AZ750">
            <v>278.39999999999998</v>
          </cell>
          <cell r="BE750">
            <v>27605</v>
          </cell>
          <cell r="BG750">
            <v>89.9</v>
          </cell>
          <cell r="BH750">
            <v>634.37</v>
          </cell>
          <cell r="BY750">
            <v>355.52</v>
          </cell>
          <cell r="CD750">
            <v>372.82</v>
          </cell>
          <cell r="CE750">
            <v>360.03399999999999</v>
          </cell>
          <cell r="CF750">
            <v>472.21</v>
          </cell>
          <cell r="CG750">
            <v>1600</v>
          </cell>
          <cell r="CH750">
            <v>1205</v>
          </cell>
          <cell r="CI750">
            <v>129</v>
          </cell>
          <cell r="CJ750">
            <v>326</v>
          </cell>
          <cell r="CK750">
            <v>1367</v>
          </cell>
          <cell r="CM750">
            <v>227.83</v>
          </cell>
          <cell r="CN750">
            <v>22.73</v>
          </cell>
          <cell r="CO750" t="str">
            <v>#N/A N/A</v>
          </cell>
          <cell r="CQ750">
            <v>8.23</v>
          </cell>
          <cell r="CR750">
            <v>89</v>
          </cell>
          <cell r="CS750">
            <v>2599</v>
          </cell>
          <cell r="CU750">
            <v>1735</v>
          </cell>
          <cell r="CW750">
            <v>70.655487804878049</v>
          </cell>
          <cell r="CX750">
            <v>718.14400000000001</v>
          </cell>
          <cell r="CZ750">
            <v>361.26</v>
          </cell>
          <cell r="DA750">
            <v>3516.3</v>
          </cell>
          <cell r="DB750">
            <v>13.62</v>
          </cell>
          <cell r="DC750">
            <v>348.65</v>
          </cell>
          <cell r="DD750">
            <v>134.9</v>
          </cell>
        </row>
        <row r="751">
          <cell r="A751">
            <v>39464</v>
          </cell>
          <cell r="C751">
            <v>28</v>
          </cell>
          <cell r="D751">
            <v>1.97</v>
          </cell>
          <cell r="E751">
            <v>5.97</v>
          </cell>
          <cell r="L751">
            <v>1723.55</v>
          </cell>
          <cell r="M751">
            <v>2346.9</v>
          </cell>
          <cell r="N751">
            <v>5902.4</v>
          </cell>
          <cell r="O751">
            <v>4894</v>
          </cell>
          <cell r="Q751">
            <v>670</v>
          </cell>
          <cell r="R751">
            <v>502</v>
          </cell>
          <cell r="S751">
            <v>940.5</v>
          </cell>
          <cell r="T751">
            <v>1271</v>
          </cell>
          <cell r="U751">
            <v>13783.45</v>
          </cell>
          <cell r="V751">
            <v>25114.98</v>
          </cell>
          <cell r="W751">
            <v>8101.63</v>
          </cell>
          <cell r="X751">
            <v>91.6</v>
          </cell>
          <cell r="Y751">
            <v>1390</v>
          </cell>
          <cell r="Z751">
            <v>1690</v>
          </cell>
          <cell r="AA751">
            <v>19700.82</v>
          </cell>
          <cell r="AB751">
            <v>5857</v>
          </cell>
          <cell r="AC751">
            <v>57036.851600000002</v>
          </cell>
          <cell r="AE751">
            <v>104.65</v>
          </cell>
          <cell r="AF751">
            <v>876.73</v>
          </cell>
          <cell r="AG751">
            <v>6472</v>
          </cell>
          <cell r="AH751">
            <v>1020</v>
          </cell>
          <cell r="AI751">
            <v>1720</v>
          </cell>
          <cell r="AJ751">
            <v>651.91</v>
          </cell>
          <cell r="AL751">
            <v>1333.25</v>
          </cell>
          <cell r="AP751">
            <v>5151.6260000000002</v>
          </cell>
          <cell r="AV751">
            <v>56.66</v>
          </cell>
          <cell r="AZ751">
            <v>279.8</v>
          </cell>
          <cell r="BE751">
            <v>27310</v>
          </cell>
          <cell r="BG751">
            <v>89.9</v>
          </cell>
          <cell r="BH751">
            <v>624.69000000000005</v>
          </cell>
          <cell r="BY751">
            <v>349.85</v>
          </cell>
          <cell r="CD751">
            <v>367.89</v>
          </cell>
          <cell r="CE751">
            <v>354.94600000000003</v>
          </cell>
          <cell r="CF751">
            <v>474.96</v>
          </cell>
          <cell r="CG751">
            <v>1600</v>
          </cell>
          <cell r="CH751">
            <v>1205</v>
          </cell>
          <cell r="CI751">
            <v>129</v>
          </cell>
          <cell r="CJ751">
            <v>326</v>
          </cell>
          <cell r="CK751">
            <v>1320</v>
          </cell>
          <cell r="CM751">
            <v>226.68</v>
          </cell>
          <cell r="CN751">
            <v>22.39</v>
          </cell>
          <cell r="CO751" t="str">
            <v>#N/A N/A</v>
          </cell>
          <cell r="CQ751">
            <v>8.1</v>
          </cell>
          <cell r="CR751">
            <v>89</v>
          </cell>
          <cell r="CS751">
            <v>2523</v>
          </cell>
          <cell r="CU751">
            <v>1735</v>
          </cell>
          <cell r="CW751">
            <v>70.350609756097569</v>
          </cell>
          <cell r="CX751">
            <v>719.76100000000008</v>
          </cell>
          <cell r="CZ751">
            <v>361.41</v>
          </cell>
          <cell r="DA751">
            <v>3495.9</v>
          </cell>
          <cell r="DB751">
            <v>14.45</v>
          </cell>
          <cell r="DC751">
            <v>348.65</v>
          </cell>
          <cell r="DD751">
            <v>134.4</v>
          </cell>
        </row>
        <row r="752">
          <cell r="A752">
            <v>39465</v>
          </cell>
          <cell r="C752">
            <v>28</v>
          </cell>
          <cell r="D752">
            <v>2.1</v>
          </cell>
          <cell r="E752">
            <v>5.96</v>
          </cell>
          <cell r="L752">
            <v>1734.72</v>
          </cell>
          <cell r="M752">
            <v>2340.02</v>
          </cell>
          <cell r="N752">
            <v>5901.7</v>
          </cell>
          <cell r="O752">
            <v>4894</v>
          </cell>
          <cell r="Q752">
            <v>670</v>
          </cell>
          <cell r="R752">
            <v>498.25</v>
          </cell>
          <cell r="S752">
            <v>962.5</v>
          </cell>
          <cell r="T752">
            <v>1264</v>
          </cell>
          <cell r="U752">
            <v>13861.29</v>
          </cell>
          <cell r="V752">
            <v>25201.87</v>
          </cell>
          <cell r="W752">
            <v>8184.65</v>
          </cell>
          <cell r="X752">
            <v>91.6</v>
          </cell>
          <cell r="Y752">
            <v>1445</v>
          </cell>
          <cell r="Z752">
            <v>1695</v>
          </cell>
          <cell r="AA752">
            <v>19013.7</v>
          </cell>
          <cell r="AB752">
            <v>5799.4</v>
          </cell>
          <cell r="AC752">
            <v>57506.468800000002</v>
          </cell>
          <cell r="AE752">
            <v>103.45</v>
          </cell>
          <cell r="AF752">
            <v>876.73</v>
          </cell>
          <cell r="AG752">
            <v>6462</v>
          </cell>
          <cell r="AH752">
            <v>1030</v>
          </cell>
          <cell r="AI752">
            <v>1730</v>
          </cell>
          <cell r="AJ752">
            <v>666.32</v>
          </cell>
          <cell r="AL752">
            <v>1325.19</v>
          </cell>
          <cell r="AP752">
            <v>5180.5140000000001</v>
          </cell>
          <cell r="AV752">
            <v>58.12</v>
          </cell>
          <cell r="AZ752">
            <v>276.3</v>
          </cell>
          <cell r="BE752">
            <v>28482</v>
          </cell>
          <cell r="BG752">
            <v>90.2</v>
          </cell>
          <cell r="BH752">
            <v>630.07000000000005</v>
          </cell>
          <cell r="BY752">
            <v>358.35</v>
          </cell>
          <cell r="CD752">
            <v>365.26</v>
          </cell>
          <cell r="CE752">
            <v>352.25400000000002</v>
          </cell>
          <cell r="CF752">
            <v>472.9</v>
          </cell>
          <cell r="CG752">
            <v>1610</v>
          </cell>
          <cell r="CH752">
            <v>1255</v>
          </cell>
          <cell r="CI752">
            <v>129</v>
          </cell>
          <cell r="CJ752">
            <v>326</v>
          </cell>
          <cell r="CK752">
            <v>1310</v>
          </cell>
          <cell r="CM752">
            <v>230.34</v>
          </cell>
          <cell r="CN752">
            <v>22.27</v>
          </cell>
          <cell r="CO752" t="str">
            <v>#N/A N/A</v>
          </cell>
          <cell r="CQ752">
            <v>8.41</v>
          </cell>
          <cell r="CR752">
            <v>89</v>
          </cell>
          <cell r="CS752">
            <v>2586</v>
          </cell>
          <cell r="CU752">
            <v>1755</v>
          </cell>
          <cell r="CW752">
            <v>69.131097560975618</v>
          </cell>
          <cell r="CX752">
            <v>716.57599999999991</v>
          </cell>
          <cell r="CZ752">
            <v>360.87</v>
          </cell>
          <cell r="DA752">
            <v>3570.1</v>
          </cell>
          <cell r="DB752">
            <v>14.26</v>
          </cell>
          <cell r="DC752">
            <v>348.65</v>
          </cell>
          <cell r="DD752">
            <v>133.1</v>
          </cell>
        </row>
        <row r="753">
          <cell r="A753">
            <v>39466</v>
          </cell>
          <cell r="C753">
            <v>28</v>
          </cell>
          <cell r="D753">
            <v>2.1</v>
          </cell>
          <cell r="E753">
            <v>5.96</v>
          </cell>
          <cell r="L753">
            <v>1734.72</v>
          </cell>
          <cell r="M753">
            <v>2340.02</v>
          </cell>
          <cell r="N753">
            <v>5901.7</v>
          </cell>
          <cell r="O753">
            <v>4894</v>
          </cell>
          <cell r="Q753">
            <v>670</v>
          </cell>
          <cell r="R753">
            <v>498.25</v>
          </cell>
          <cell r="S753">
            <v>962.5</v>
          </cell>
          <cell r="T753">
            <v>1264</v>
          </cell>
          <cell r="U753">
            <v>13861.29</v>
          </cell>
          <cell r="V753">
            <v>25201.87</v>
          </cell>
          <cell r="W753">
            <v>8184.65</v>
          </cell>
          <cell r="X753">
            <v>91.6</v>
          </cell>
          <cell r="Y753">
            <v>1445</v>
          </cell>
          <cell r="Z753">
            <v>1695</v>
          </cell>
          <cell r="AA753">
            <v>19013.7</v>
          </cell>
          <cell r="AB753">
            <v>5799.4</v>
          </cell>
          <cell r="AC753">
            <v>57506.468800000002</v>
          </cell>
          <cell r="AE753">
            <v>103.45</v>
          </cell>
          <cell r="AF753">
            <v>876.73</v>
          </cell>
          <cell r="AG753">
            <v>6462</v>
          </cell>
          <cell r="AH753">
            <v>1030</v>
          </cell>
          <cell r="AI753">
            <v>1730</v>
          </cell>
          <cell r="AJ753">
            <v>666.32</v>
          </cell>
          <cell r="AL753">
            <v>1325.19</v>
          </cell>
          <cell r="AP753">
            <v>5180.5140000000001</v>
          </cell>
          <cell r="AV753">
            <v>58.12</v>
          </cell>
          <cell r="AZ753">
            <v>276.3</v>
          </cell>
          <cell r="BE753">
            <v>28482</v>
          </cell>
          <cell r="BG753">
            <v>90.2</v>
          </cell>
          <cell r="BH753">
            <v>630.07000000000005</v>
          </cell>
          <cell r="BY753">
            <v>358.35</v>
          </cell>
          <cell r="CD753">
            <v>365.26</v>
          </cell>
          <cell r="CE753">
            <v>352.25400000000002</v>
          </cell>
          <cell r="CF753">
            <v>472.9</v>
          </cell>
          <cell r="CG753">
            <v>1610</v>
          </cell>
          <cell r="CH753">
            <v>1255</v>
          </cell>
          <cell r="CI753">
            <v>129</v>
          </cell>
          <cell r="CJ753">
            <v>326</v>
          </cell>
          <cell r="CK753">
            <v>1310</v>
          </cell>
          <cell r="CM753">
            <v>230.34</v>
          </cell>
          <cell r="CN753">
            <v>22.27</v>
          </cell>
          <cell r="CO753" t="str">
            <v>#N/A N/A</v>
          </cell>
          <cell r="CQ753">
            <v>8.41</v>
          </cell>
          <cell r="CR753">
            <v>89</v>
          </cell>
          <cell r="CS753">
            <v>2586</v>
          </cell>
          <cell r="CU753">
            <v>1755</v>
          </cell>
          <cell r="CW753">
            <v>69.131097560975618</v>
          </cell>
          <cell r="CX753">
            <v>716.57599999999991</v>
          </cell>
          <cell r="CZ753">
            <v>360.87</v>
          </cell>
          <cell r="DA753">
            <v>3570.1</v>
          </cell>
          <cell r="DB753">
            <v>14.26</v>
          </cell>
          <cell r="DC753">
            <v>348.65</v>
          </cell>
          <cell r="DD753">
            <v>133.1</v>
          </cell>
        </row>
        <row r="754">
          <cell r="A754">
            <v>39467</v>
          </cell>
          <cell r="C754">
            <v>28</v>
          </cell>
          <cell r="D754">
            <v>2.1</v>
          </cell>
          <cell r="E754">
            <v>5.96</v>
          </cell>
          <cell r="L754">
            <v>1734.72</v>
          </cell>
          <cell r="M754">
            <v>2340.02</v>
          </cell>
          <cell r="N754">
            <v>5901.7</v>
          </cell>
          <cell r="O754">
            <v>4894</v>
          </cell>
          <cell r="Q754">
            <v>670</v>
          </cell>
          <cell r="R754">
            <v>498.25</v>
          </cell>
          <cell r="S754">
            <v>962.5</v>
          </cell>
          <cell r="T754">
            <v>1264</v>
          </cell>
          <cell r="U754">
            <v>13861.29</v>
          </cell>
          <cell r="V754">
            <v>25201.87</v>
          </cell>
          <cell r="W754">
            <v>8184.65</v>
          </cell>
          <cell r="X754">
            <v>91.6</v>
          </cell>
          <cell r="Y754">
            <v>1445</v>
          </cell>
          <cell r="Z754">
            <v>1695</v>
          </cell>
          <cell r="AA754">
            <v>19013.7</v>
          </cell>
          <cell r="AB754">
            <v>5799.4</v>
          </cell>
          <cell r="AC754">
            <v>57506.468800000002</v>
          </cell>
          <cell r="AE754">
            <v>103.45</v>
          </cell>
          <cell r="AF754">
            <v>876.73</v>
          </cell>
          <cell r="AG754">
            <v>6462</v>
          </cell>
          <cell r="AH754">
            <v>1030</v>
          </cell>
          <cell r="AI754">
            <v>1730</v>
          </cell>
          <cell r="AJ754">
            <v>666.32</v>
          </cell>
          <cell r="AL754">
            <v>1325.19</v>
          </cell>
          <cell r="AP754">
            <v>5180.5140000000001</v>
          </cell>
          <cell r="AV754">
            <v>58.12</v>
          </cell>
          <cell r="AZ754">
            <v>276.3</v>
          </cell>
          <cell r="BE754">
            <v>28482</v>
          </cell>
          <cell r="BG754">
            <v>90.2</v>
          </cell>
          <cell r="BH754">
            <v>630.07000000000005</v>
          </cell>
          <cell r="BY754">
            <v>358.35</v>
          </cell>
          <cell r="CD754">
            <v>365.26</v>
          </cell>
          <cell r="CE754">
            <v>352.25400000000002</v>
          </cell>
          <cell r="CF754">
            <v>472.9</v>
          </cell>
          <cell r="CG754">
            <v>1610</v>
          </cell>
          <cell r="CH754">
            <v>1255</v>
          </cell>
          <cell r="CI754">
            <v>129</v>
          </cell>
          <cell r="CJ754">
            <v>326</v>
          </cell>
          <cell r="CK754">
            <v>1310</v>
          </cell>
          <cell r="CM754">
            <v>230.34</v>
          </cell>
          <cell r="CN754">
            <v>22.27</v>
          </cell>
          <cell r="CO754" t="str">
            <v>#N/A N/A</v>
          </cell>
          <cell r="CQ754">
            <v>8.41</v>
          </cell>
          <cell r="CR754">
            <v>89</v>
          </cell>
          <cell r="CS754">
            <v>2586</v>
          </cell>
          <cell r="CU754">
            <v>1755</v>
          </cell>
          <cell r="CW754">
            <v>69.131097560975618</v>
          </cell>
          <cell r="CX754">
            <v>716.57599999999991</v>
          </cell>
          <cell r="CZ754">
            <v>360.87</v>
          </cell>
          <cell r="DA754">
            <v>3570.1</v>
          </cell>
          <cell r="DB754">
            <v>14.26</v>
          </cell>
          <cell r="DC754">
            <v>348.65</v>
          </cell>
          <cell r="DD754">
            <v>133.1</v>
          </cell>
        </row>
        <row r="755">
          <cell r="A755">
            <v>39468</v>
          </cell>
          <cell r="C755">
            <v>28</v>
          </cell>
          <cell r="D755">
            <v>2.2200000000000002</v>
          </cell>
          <cell r="E755">
            <v>5.94</v>
          </cell>
          <cell r="L755">
            <v>1683.56</v>
          </cell>
          <cell r="M755">
            <v>2340.02</v>
          </cell>
          <cell r="N755">
            <v>5578.2</v>
          </cell>
          <cell r="O755">
            <v>4889</v>
          </cell>
          <cell r="Q755">
            <v>670</v>
          </cell>
          <cell r="R755">
            <v>498.25</v>
          </cell>
          <cell r="S755">
            <v>962.5</v>
          </cell>
          <cell r="T755">
            <v>1264</v>
          </cell>
          <cell r="U755">
            <v>13325.94</v>
          </cell>
          <cell r="V755">
            <v>23818.86</v>
          </cell>
          <cell r="W755">
            <v>8110.2</v>
          </cell>
          <cell r="X755">
            <v>90.95</v>
          </cell>
          <cell r="Y755">
            <v>1445</v>
          </cell>
          <cell r="Z755">
            <v>1695</v>
          </cell>
          <cell r="AA755">
            <v>17605.349999999999</v>
          </cell>
          <cell r="AB755">
            <v>5630.9</v>
          </cell>
          <cell r="AC755">
            <v>53709.109400000001</v>
          </cell>
          <cell r="AE755">
            <v>102.55</v>
          </cell>
          <cell r="AF755">
            <v>876.73</v>
          </cell>
          <cell r="AG755">
            <v>6513</v>
          </cell>
          <cell r="AH755">
            <v>1030</v>
          </cell>
          <cell r="AI755">
            <v>1730</v>
          </cell>
          <cell r="AJ755">
            <v>651.87</v>
          </cell>
          <cell r="AL755">
            <v>1325.19</v>
          </cell>
          <cell r="AP755">
            <v>4914.4350000000004</v>
          </cell>
          <cell r="AV755">
            <v>58.12</v>
          </cell>
          <cell r="AZ755">
            <v>275.5</v>
          </cell>
          <cell r="BE755">
            <v>27415</v>
          </cell>
          <cell r="BG755">
            <v>90.2</v>
          </cell>
          <cell r="BH755">
            <v>607.4</v>
          </cell>
          <cell r="BY755">
            <v>358.35</v>
          </cell>
          <cell r="CD755">
            <v>353.25</v>
          </cell>
          <cell r="CE755">
            <v>341.84</v>
          </cell>
          <cell r="CF755">
            <v>450.42</v>
          </cell>
          <cell r="CG755">
            <v>1610</v>
          </cell>
          <cell r="CH755">
            <v>1255</v>
          </cell>
          <cell r="CI755">
            <v>127</v>
          </cell>
          <cell r="CJ755">
            <v>325</v>
          </cell>
          <cell r="CK755">
            <v>1290</v>
          </cell>
          <cell r="CM755">
            <v>230.34</v>
          </cell>
          <cell r="CN755">
            <v>20.68</v>
          </cell>
          <cell r="CO755" t="str">
            <v>#N/A N/A</v>
          </cell>
          <cell r="CQ755">
            <v>8.41</v>
          </cell>
          <cell r="CR755">
            <v>89</v>
          </cell>
          <cell r="CS755">
            <v>2497</v>
          </cell>
          <cell r="CU755">
            <v>1755</v>
          </cell>
          <cell r="CW755">
            <v>69.283536585365852</v>
          </cell>
          <cell r="CX755">
            <v>707.85399999999993</v>
          </cell>
          <cell r="CZ755">
            <v>360.87</v>
          </cell>
          <cell r="DA755">
            <v>3450</v>
          </cell>
          <cell r="DB755">
            <v>14.26</v>
          </cell>
          <cell r="DC755">
            <v>348.65</v>
          </cell>
          <cell r="DD755">
            <v>133.1</v>
          </cell>
        </row>
        <row r="756">
          <cell r="A756">
            <v>39469</v>
          </cell>
          <cell r="C756">
            <v>28</v>
          </cell>
          <cell r="D756">
            <v>2.21</v>
          </cell>
          <cell r="E756">
            <v>5.89</v>
          </cell>
          <cell r="L756">
            <v>1609.02</v>
          </cell>
          <cell r="M756">
            <v>2292.27</v>
          </cell>
          <cell r="N756">
            <v>5740.1</v>
          </cell>
          <cell r="O756">
            <v>4889</v>
          </cell>
          <cell r="Q756">
            <v>670</v>
          </cell>
          <cell r="R756">
            <v>489</v>
          </cell>
          <cell r="S756">
            <v>934</v>
          </cell>
          <cell r="T756">
            <v>1239.5</v>
          </cell>
          <cell r="U756">
            <v>12573.05</v>
          </cell>
          <cell r="V756">
            <v>21757.63</v>
          </cell>
          <cell r="W756">
            <v>7581.96</v>
          </cell>
          <cell r="X756">
            <v>87.45</v>
          </cell>
          <cell r="Y756">
            <v>1445</v>
          </cell>
          <cell r="Z756">
            <v>1695</v>
          </cell>
          <cell r="AA756">
            <v>16729.939999999999</v>
          </cell>
          <cell r="AB756">
            <v>5222</v>
          </cell>
          <cell r="AC756">
            <v>56097.179700000001</v>
          </cell>
          <cell r="AE756">
            <v>99.05</v>
          </cell>
          <cell r="AF756">
            <v>877.88</v>
          </cell>
          <cell r="AG756">
            <v>6437</v>
          </cell>
          <cell r="AH756">
            <v>1030</v>
          </cell>
          <cell r="AI756">
            <v>1730</v>
          </cell>
          <cell r="AJ756">
            <v>614.79999999999995</v>
          </cell>
          <cell r="AL756">
            <v>1310.5</v>
          </cell>
          <cell r="AP756">
            <v>4559.7510000000002</v>
          </cell>
          <cell r="AV756">
            <v>56.27</v>
          </cell>
          <cell r="AZ756">
            <v>268</v>
          </cell>
          <cell r="BE756">
            <v>27265</v>
          </cell>
          <cell r="BG756">
            <v>90.2</v>
          </cell>
          <cell r="BH756">
            <v>568.75</v>
          </cell>
          <cell r="BY756">
            <v>347.98</v>
          </cell>
          <cell r="CD756">
            <v>351.34</v>
          </cell>
          <cell r="CE756">
            <v>340.90800000000002</v>
          </cell>
          <cell r="CF756">
            <v>419.45</v>
          </cell>
          <cell r="CG756">
            <v>1610</v>
          </cell>
          <cell r="CH756">
            <v>1255</v>
          </cell>
          <cell r="CI756">
            <v>127</v>
          </cell>
          <cell r="CJ756">
            <v>325</v>
          </cell>
          <cell r="CK756">
            <v>1261</v>
          </cell>
          <cell r="CM756">
            <v>228.06</v>
          </cell>
          <cell r="CN756">
            <v>20.32</v>
          </cell>
          <cell r="CO756" t="str">
            <v>#N/A N/A</v>
          </cell>
          <cell r="CQ756">
            <v>7.97</v>
          </cell>
          <cell r="CR756">
            <v>89</v>
          </cell>
          <cell r="CS756">
            <v>2560</v>
          </cell>
          <cell r="CU756">
            <v>1755</v>
          </cell>
          <cell r="CW756">
            <v>65.396341463414643</v>
          </cell>
          <cell r="CX756">
            <v>715.64499999999998</v>
          </cell>
          <cell r="CZ756">
            <v>356.81</v>
          </cell>
          <cell r="DA756">
            <v>3508</v>
          </cell>
          <cell r="DB756">
            <v>13.72</v>
          </cell>
          <cell r="DC756">
            <v>348.65</v>
          </cell>
          <cell r="DD756">
            <v>135</v>
          </cell>
        </row>
        <row r="757">
          <cell r="A757">
            <v>39470</v>
          </cell>
          <cell r="C757">
            <v>28</v>
          </cell>
          <cell r="D757">
            <v>2.2400000000000002</v>
          </cell>
          <cell r="E757">
            <v>5.84</v>
          </cell>
          <cell r="L757">
            <v>1628.42</v>
          </cell>
          <cell r="M757">
            <v>2316.41</v>
          </cell>
          <cell r="N757">
            <v>5609.3</v>
          </cell>
          <cell r="O757">
            <v>4893</v>
          </cell>
          <cell r="Q757">
            <v>670</v>
          </cell>
          <cell r="R757">
            <v>469.25</v>
          </cell>
          <cell r="S757">
            <v>905</v>
          </cell>
          <cell r="T757">
            <v>1189.5</v>
          </cell>
          <cell r="U757">
            <v>12829.06</v>
          </cell>
          <cell r="V757">
            <v>24090.17</v>
          </cell>
          <cell r="W757">
            <v>7408.4</v>
          </cell>
          <cell r="X757">
            <v>90.65</v>
          </cell>
          <cell r="Y757">
            <v>1445</v>
          </cell>
          <cell r="Z757">
            <v>1695</v>
          </cell>
          <cell r="AA757">
            <v>17594.07</v>
          </cell>
          <cell r="AB757">
            <v>5445.6</v>
          </cell>
          <cell r="AC757">
            <v>54234.820299999999</v>
          </cell>
          <cell r="AE757">
            <v>102.65</v>
          </cell>
          <cell r="AF757">
            <v>877.88</v>
          </cell>
          <cell r="AG757">
            <v>6246</v>
          </cell>
          <cell r="AH757">
            <v>1030</v>
          </cell>
          <cell r="AI757">
            <v>1730</v>
          </cell>
          <cell r="AJ757">
            <v>619.98</v>
          </cell>
          <cell r="AL757">
            <v>1338.6</v>
          </cell>
          <cell r="AP757">
            <v>4703.0469999999996</v>
          </cell>
          <cell r="AV757">
            <v>56.49</v>
          </cell>
          <cell r="AZ757">
            <v>269.10000000000002</v>
          </cell>
          <cell r="BE757">
            <v>26655</v>
          </cell>
          <cell r="BG757">
            <v>90.2</v>
          </cell>
          <cell r="BH757">
            <v>589.53</v>
          </cell>
          <cell r="BY757">
            <v>352.26</v>
          </cell>
          <cell r="CD757">
            <v>353.14</v>
          </cell>
          <cell r="CE757">
            <v>342.30099999999999</v>
          </cell>
          <cell r="CF757">
            <v>436.62</v>
          </cell>
          <cell r="CG757">
            <v>1610</v>
          </cell>
          <cell r="CH757">
            <v>1255</v>
          </cell>
          <cell r="CI757">
            <v>127</v>
          </cell>
          <cell r="CJ757">
            <v>325</v>
          </cell>
          <cell r="CK757">
            <v>1223</v>
          </cell>
          <cell r="CM757">
            <v>225.08</v>
          </cell>
          <cell r="CN757">
            <v>19.88</v>
          </cell>
          <cell r="CO757" t="str">
            <v>#N/A N/A</v>
          </cell>
          <cell r="CQ757">
            <v>7.86</v>
          </cell>
          <cell r="CR757">
            <v>84</v>
          </cell>
          <cell r="CS757">
            <v>2495.5</v>
          </cell>
          <cell r="CU757">
            <v>1755</v>
          </cell>
          <cell r="CW757">
            <v>68.521341463414643</v>
          </cell>
          <cell r="CX757">
            <v>713.34199999999998</v>
          </cell>
          <cell r="CZ757">
            <v>349.24</v>
          </cell>
          <cell r="DA757">
            <v>3443.4</v>
          </cell>
          <cell r="DB757">
            <v>13.66</v>
          </cell>
          <cell r="DC757">
            <v>348.65</v>
          </cell>
          <cell r="DD757">
            <v>131.30000000000001</v>
          </cell>
        </row>
        <row r="758">
          <cell r="A758">
            <v>39471</v>
          </cell>
          <cell r="C758">
            <v>28</v>
          </cell>
          <cell r="D758">
            <v>2.23</v>
          </cell>
          <cell r="E758">
            <v>5.84</v>
          </cell>
          <cell r="L758">
            <v>1663</v>
          </cell>
          <cell r="M758">
            <v>2360.92</v>
          </cell>
          <cell r="N758">
            <v>5875.8</v>
          </cell>
          <cell r="O758">
            <v>4893</v>
          </cell>
          <cell r="Q758">
            <v>670</v>
          </cell>
          <cell r="R758">
            <v>489.25</v>
          </cell>
          <cell r="S758">
            <v>909</v>
          </cell>
          <cell r="T758">
            <v>1230.5</v>
          </cell>
          <cell r="U758">
            <v>13092.78</v>
          </cell>
          <cell r="V758">
            <v>23539.27</v>
          </cell>
          <cell r="W758">
            <v>7517.05</v>
          </cell>
          <cell r="X758">
            <v>90.35</v>
          </cell>
          <cell r="Y758">
            <v>1445</v>
          </cell>
          <cell r="Z758">
            <v>1695</v>
          </cell>
          <cell r="AA758">
            <v>17221.740000000002</v>
          </cell>
          <cell r="AB758">
            <v>5605.8</v>
          </cell>
          <cell r="AC758">
            <v>57463.308599999997</v>
          </cell>
          <cell r="AE758">
            <v>101.65</v>
          </cell>
          <cell r="AF758">
            <v>877.88</v>
          </cell>
          <cell r="AG758">
            <v>5948</v>
          </cell>
          <cell r="AH758">
            <v>1030</v>
          </cell>
          <cell r="AI758">
            <v>1730</v>
          </cell>
          <cell r="AJ758">
            <v>638.98</v>
          </cell>
          <cell r="AL758">
            <v>1352.07</v>
          </cell>
          <cell r="AP758">
            <v>4717.7340000000004</v>
          </cell>
          <cell r="AV758">
            <v>56.95</v>
          </cell>
          <cell r="AZ758">
            <v>269.8</v>
          </cell>
          <cell r="BE758">
            <v>27000</v>
          </cell>
          <cell r="BG758">
            <v>90.2</v>
          </cell>
          <cell r="BH758">
            <v>602.62</v>
          </cell>
          <cell r="BY758">
            <v>361.06</v>
          </cell>
          <cell r="CD758">
            <v>363.81</v>
          </cell>
          <cell r="CE758">
            <v>352.79700000000003</v>
          </cell>
          <cell r="CF758">
            <v>437.23</v>
          </cell>
          <cell r="CG758">
            <v>1610</v>
          </cell>
          <cell r="CH758">
            <v>1255</v>
          </cell>
          <cell r="CI758">
            <v>127</v>
          </cell>
          <cell r="CJ758">
            <v>325</v>
          </cell>
          <cell r="CK758">
            <v>1218</v>
          </cell>
          <cell r="CM758">
            <v>228.28</v>
          </cell>
          <cell r="CN758">
            <v>19.88</v>
          </cell>
          <cell r="CO758" t="str">
            <v>#N/A N/A</v>
          </cell>
          <cell r="CQ758">
            <v>7.84</v>
          </cell>
          <cell r="CR758">
            <v>84</v>
          </cell>
          <cell r="CS758">
            <v>2607.5</v>
          </cell>
          <cell r="CU758">
            <v>1755</v>
          </cell>
          <cell r="CW758">
            <v>67.759146341463421</v>
          </cell>
          <cell r="CX758">
            <v>721.96600000000001</v>
          </cell>
          <cell r="CZ758">
            <v>357.36</v>
          </cell>
          <cell r="DA758">
            <v>3512.5</v>
          </cell>
          <cell r="DB758">
            <v>13.43</v>
          </cell>
          <cell r="DC758">
            <v>348.65</v>
          </cell>
          <cell r="DD758">
            <v>132.35</v>
          </cell>
        </row>
        <row r="759">
          <cell r="A759">
            <v>39472</v>
          </cell>
          <cell r="C759">
            <v>28</v>
          </cell>
          <cell r="D759">
            <v>2.2200000000000002</v>
          </cell>
          <cell r="E759">
            <v>5.89</v>
          </cell>
          <cell r="L759">
            <v>1692.41</v>
          </cell>
          <cell r="M759">
            <v>2326.1999999999998</v>
          </cell>
          <cell r="N759">
            <v>5869</v>
          </cell>
          <cell r="O759">
            <v>4907</v>
          </cell>
          <cell r="Q759">
            <v>670</v>
          </cell>
          <cell r="R759">
            <v>498.25</v>
          </cell>
          <cell r="S759">
            <v>933</v>
          </cell>
          <cell r="T759">
            <v>1243</v>
          </cell>
          <cell r="U759">
            <v>13629.16</v>
          </cell>
          <cell r="V759">
            <v>25122.37</v>
          </cell>
          <cell r="W759">
            <v>7739.59</v>
          </cell>
          <cell r="X759">
            <v>92.45</v>
          </cell>
          <cell r="Y759">
            <v>1455</v>
          </cell>
          <cell r="Z759">
            <v>1720</v>
          </cell>
          <cell r="AA759">
            <v>18361.66</v>
          </cell>
          <cell r="AB759">
            <v>5886.3</v>
          </cell>
          <cell r="AC759">
            <v>57463.308599999997</v>
          </cell>
          <cell r="AE759">
            <v>103.75</v>
          </cell>
          <cell r="AF759">
            <v>877.88</v>
          </cell>
          <cell r="AG759">
            <v>5780</v>
          </cell>
          <cell r="AH759">
            <v>1030</v>
          </cell>
          <cell r="AI759">
            <v>1730</v>
          </cell>
          <cell r="AJ759">
            <v>653.78</v>
          </cell>
          <cell r="AL759">
            <v>1330.61</v>
          </cell>
          <cell r="AP759">
            <v>4761.6880000000001</v>
          </cell>
          <cell r="AV759">
            <v>56.68</v>
          </cell>
          <cell r="AZ759">
            <v>277.8</v>
          </cell>
          <cell r="BE759">
            <v>26625</v>
          </cell>
          <cell r="BG759">
            <v>93.7</v>
          </cell>
          <cell r="BH759">
            <v>625.01</v>
          </cell>
          <cell r="BY759">
            <v>354.5</v>
          </cell>
          <cell r="CD759">
            <v>364.6</v>
          </cell>
          <cell r="CE759">
            <v>352.53800000000001</v>
          </cell>
          <cell r="CF759">
            <v>458.33</v>
          </cell>
          <cell r="CG759">
            <v>1630</v>
          </cell>
          <cell r="CH759">
            <v>1255</v>
          </cell>
          <cell r="CI759">
            <v>127</v>
          </cell>
          <cell r="CJ759">
            <v>325</v>
          </cell>
          <cell r="CK759">
            <v>1194</v>
          </cell>
          <cell r="CM759">
            <v>231.82</v>
          </cell>
          <cell r="CN759">
            <v>20.7</v>
          </cell>
          <cell r="CO759" t="str">
            <v>#N/A N/A</v>
          </cell>
          <cell r="CQ759">
            <v>7.79</v>
          </cell>
          <cell r="CR759">
            <v>84</v>
          </cell>
          <cell r="CS759">
            <v>2606</v>
          </cell>
          <cell r="CU759">
            <v>1755</v>
          </cell>
          <cell r="CW759">
            <v>70.807926829268297</v>
          </cell>
          <cell r="CX759">
            <v>718.83</v>
          </cell>
          <cell r="CZ759">
            <v>361.64</v>
          </cell>
          <cell r="DA759">
            <v>3525.1</v>
          </cell>
          <cell r="DB759">
            <v>13.85</v>
          </cell>
          <cell r="DC759">
            <v>348.65</v>
          </cell>
          <cell r="DD759">
            <v>131.44999999999999</v>
          </cell>
        </row>
        <row r="760">
          <cell r="A760">
            <v>39473</v>
          </cell>
          <cell r="C760">
            <v>28</v>
          </cell>
          <cell r="D760">
            <v>2.2200000000000002</v>
          </cell>
          <cell r="E760">
            <v>5.89</v>
          </cell>
          <cell r="L760">
            <v>1692.41</v>
          </cell>
          <cell r="M760">
            <v>2326.1999999999998</v>
          </cell>
          <cell r="N760">
            <v>5869</v>
          </cell>
          <cell r="O760">
            <v>4907</v>
          </cell>
          <cell r="Q760">
            <v>670</v>
          </cell>
          <cell r="R760">
            <v>498.25</v>
          </cell>
          <cell r="S760">
            <v>933</v>
          </cell>
          <cell r="T760">
            <v>1243</v>
          </cell>
          <cell r="U760">
            <v>13629.16</v>
          </cell>
          <cell r="V760">
            <v>25122.37</v>
          </cell>
          <cell r="W760">
            <v>7739.59</v>
          </cell>
          <cell r="X760">
            <v>92.45</v>
          </cell>
          <cell r="Y760">
            <v>1455</v>
          </cell>
          <cell r="Z760">
            <v>1720</v>
          </cell>
          <cell r="AA760">
            <v>18361.66</v>
          </cell>
          <cell r="AB760">
            <v>5886.3</v>
          </cell>
          <cell r="AC760">
            <v>57463.308599999997</v>
          </cell>
          <cell r="AE760">
            <v>103.75</v>
          </cell>
          <cell r="AF760">
            <v>877.88</v>
          </cell>
          <cell r="AG760">
            <v>5780</v>
          </cell>
          <cell r="AH760">
            <v>1030</v>
          </cell>
          <cell r="AI760">
            <v>1730</v>
          </cell>
          <cell r="AJ760">
            <v>653.78</v>
          </cell>
          <cell r="AL760">
            <v>1330.61</v>
          </cell>
          <cell r="AP760">
            <v>4761.6880000000001</v>
          </cell>
          <cell r="AV760">
            <v>56.68</v>
          </cell>
          <cell r="AZ760">
            <v>277.8</v>
          </cell>
          <cell r="BE760">
            <v>26625</v>
          </cell>
          <cell r="BG760">
            <v>93.7</v>
          </cell>
          <cell r="BH760">
            <v>625.01</v>
          </cell>
          <cell r="BY760">
            <v>354.5</v>
          </cell>
          <cell r="CD760">
            <v>364.6</v>
          </cell>
          <cell r="CE760">
            <v>352.53800000000001</v>
          </cell>
          <cell r="CF760">
            <v>458.33</v>
          </cell>
          <cell r="CG760">
            <v>1630</v>
          </cell>
          <cell r="CH760">
            <v>1255</v>
          </cell>
          <cell r="CI760">
            <v>127</v>
          </cell>
          <cell r="CJ760">
            <v>325</v>
          </cell>
          <cell r="CK760">
            <v>1194</v>
          </cell>
          <cell r="CM760">
            <v>231.82</v>
          </cell>
          <cell r="CN760">
            <v>20.7</v>
          </cell>
          <cell r="CO760" t="str">
            <v>#N/A N/A</v>
          </cell>
          <cell r="CQ760">
            <v>7.79</v>
          </cell>
          <cell r="CR760">
            <v>84</v>
          </cell>
          <cell r="CS760">
            <v>2606</v>
          </cell>
          <cell r="CU760">
            <v>1755</v>
          </cell>
          <cell r="CW760">
            <v>70.807926829268297</v>
          </cell>
          <cell r="CX760">
            <v>718.83</v>
          </cell>
          <cell r="CZ760">
            <v>361.64</v>
          </cell>
          <cell r="DA760">
            <v>3525.1</v>
          </cell>
          <cell r="DB760">
            <v>13.85</v>
          </cell>
          <cell r="DC760">
            <v>348.65</v>
          </cell>
          <cell r="DD760">
            <v>131.44999999999999</v>
          </cell>
        </row>
        <row r="761">
          <cell r="A761">
            <v>39474</v>
          </cell>
          <cell r="C761">
            <v>28</v>
          </cell>
          <cell r="D761">
            <v>2.2200000000000002</v>
          </cell>
          <cell r="E761">
            <v>5.89</v>
          </cell>
          <cell r="L761">
            <v>1692.41</v>
          </cell>
          <cell r="M761">
            <v>2326.1999999999998</v>
          </cell>
          <cell r="N761">
            <v>5869</v>
          </cell>
          <cell r="O761">
            <v>4907</v>
          </cell>
          <cell r="Q761">
            <v>670</v>
          </cell>
          <cell r="R761">
            <v>498.25</v>
          </cell>
          <cell r="S761">
            <v>933</v>
          </cell>
          <cell r="T761">
            <v>1243</v>
          </cell>
          <cell r="U761">
            <v>13629.16</v>
          </cell>
          <cell r="V761">
            <v>25122.37</v>
          </cell>
          <cell r="W761">
            <v>7739.59</v>
          </cell>
          <cell r="X761">
            <v>92.45</v>
          </cell>
          <cell r="Y761">
            <v>1455</v>
          </cell>
          <cell r="Z761">
            <v>1720</v>
          </cell>
          <cell r="AA761">
            <v>18361.66</v>
          </cell>
          <cell r="AB761">
            <v>5886.3</v>
          </cell>
          <cell r="AC761">
            <v>57463.308599999997</v>
          </cell>
          <cell r="AE761">
            <v>103.75</v>
          </cell>
          <cell r="AF761">
            <v>877.88</v>
          </cell>
          <cell r="AG761">
            <v>5780</v>
          </cell>
          <cell r="AH761">
            <v>1030</v>
          </cell>
          <cell r="AI761">
            <v>1730</v>
          </cell>
          <cell r="AJ761">
            <v>653.78</v>
          </cell>
          <cell r="AL761">
            <v>1330.61</v>
          </cell>
          <cell r="AP761">
            <v>4761.6880000000001</v>
          </cell>
          <cell r="AV761">
            <v>56.68</v>
          </cell>
          <cell r="AZ761">
            <v>277.8</v>
          </cell>
          <cell r="BE761">
            <v>26625</v>
          </cell>
          <cell r="BG761">
            <v>93.7</v>
          </cell>
          <cell r="BH761">
            <v>625.01</v>
          </cell>
          <cell r="BY761">
            <v>354.5</v>
          </cell>
          <cell r="CD761">
            <v>364.6</v>
          </cell>
          <cell r="CE761">
            <v>352.53800000000001</v>
          </cell>
          <cell r="CF761">
            <v>458.33</v>
          </cell>
          <cell r="CG761">
            <v>1630</v>
          </cell>
          <cell r="CH761">
            <v>1255</v>
          </cell>
          <cell r="CI761">
            <v>127</v>
          </cell>
          <cell r="CJ761">
            <v>325</v>
          </cell>
          <cell r="CK761">
            <v>1194</v>
          </cell>
          <cell r="CM761">
            <v>231.82</v>
          </cell>
          <cell r="CN761">
            <v>20.7</v>
          </cell>
          <cell r="CO761" t="str">
            <v>#N/A N/A</v>
          </cell>
          <cell r="CQ761">
            <v>7.79</v>
          </cell>
          <cell r="CR761">
            <v>84</v>
          </cell>
          <cell r="CS761">
            <v>2606</v>
          </cell>
          <cell r="CU761">
            <v>1755</v>
          </cell>
          <cell r="CW761">
            <v>70.807926829268297</v>
          </cell>
          <cell r="CX761">
            <v>718.83</v>
          </cell>
          <cell r="CZ761">
            <v>361.64</v>
          </cell>
          <cell r="DA761">
            <v>3525.1</v>
          </cell>
          <cell r="DB761">
            <v>13.85</v>
          </cell>
          <cell r="DC761">
            <v>348.65</v>
          </cell>
          <cell r="DD761">
            <v>131.44999999999999</v>
          </cell>
        </row>
        <row r="762">
          <cell r="A762">
            <v>39475</v>
          </cell>
          <cell r="C762">
            <v>28</v>
          </cell>
          <cell r="D762">
            <v>2.2200000000000002</v>
          </cell>
          <cell r="E762">
            <v>5.89</v>
          </cell>
          <cell r="L762">
            <v>1627.19</v>
          </cell>
          <cell r="M762">
            <v>2349.91</v>
          </cell>
          <cell r="N762">
            <v>5788.9</v>
          </cell>
          <cell r="O762">
            <v>4909</v>
          </cell>
          <cell r="Q762">
            <v>670</v>
          </cell>
          <cell r="R762">
            <v>502.25</v>
          </cell>
          <cell r="S762">
            <v>963</v>
          </cell>
          <cell r="T762">
            <v>1253.75</v>
          </cell>
          <cell r="U762">
            <v>13087.91</v>
          </cell>
          <cell r="V762">
            <v>24053.61</v>
          </cell>
          <cell r="W762">
            <v>7485.79</v>
          </cell>
          <cell r="X762">
            <v>92.25</v>
          </cell>
          <cell r="Y762">
            <v>1455</v>
          </cell>
          <cell r="Z762">
            <v>1720</v>
          </cell>
          <cell r="AA762">
            <v>18152.78</v>
          </cell>
          <cell r="AB762">
            <v>5886.3</v>
          </cell>
          <cell r="AC762">
            <v>58593.781300000002</v>
          </cell>
          <cell r="AE762">
            <v>102.9</v>
          </cell>
          <cell r="AF762">
            <v>877.88</v>
          </cell>
          <cell r="AG762">
            <v>5692</v>
          </cell>
          <cell r="AH762">
            <v>1030</v>
          </cell>
          <cell r="AI762">
            <v>1730</v>
          </cell>
          <cell r="AJ762">
            <v>634.52</v>
          </cell>
          <cell r="AL762">
            <v>1353.97</v>
          </cell>
          <cell r="AP762">
            <v>4419.2939999999999</v>
          </cell>
          <cell r="AV762">
            <v>56.16</v>
          </cell>
          <cell r="AZ762">
            <v>276.89999999999998</v>
          </cell>
          <cell r="BE762">
            <v>26745</v>
          </cell>
          <cell r="BG762">
            <v>93.7</v>
          </cell>
          <cell r="BH762">
            <v>631.83000000000004</v>
          </cell>
          <cell r="BY762">
            <v>359.74</v>
          </cell>
          <cell r="CD762">
            <v>364.73</v>
          </cell>
          <cell r="CE762">
            <v>353.62299999999999</v>
          </cell>
          <cell r="CF762">
            <v>442.33</v>
          </cell>
          <cell r="CG762">
            <v>1630</v>
          </cell>
          <cell r="CH762">
            <v>1255</v>
          </cell>
          <cell r="CI762">
            <v>127</v>
          </cell>
          <cell r="CJ762">
            <v>325</v>
          </cell>
          <cell r="CK762">
            <v>1197</v>
          </cell>
          <cell r="CM762">
            <v>232.53</v>
          </cell>
          <cell r="CN762">
            <v>20.5</v>
          </cell>
          <cell r="CO762" t="str">
            <v>#N/A N/A</v>
          </cell>
          <cell r="CQ762">
            <v>7.9</v>
          </cell>
          <cell r="CR762">
            <v>84</v>
          </cell>
          <cell r="CS762">
            <v>2654</v>
          </cell>
          <cell r="CU762">
            <v>1755</v>
          </cell>
          <cell r="CW762">
            <v>69.283536585365852</v>
          </cell>
          <cell r="CX762">
            <v>724.31799999999998</v>
          </cell>
          <cell r="CZ762">
            <v>364.16</v>
          </cell>
          <cell r="DA762">
            <v>3537.4</v>
          </cell>
          <cell r="DB762">
            <v>14.4</v>
          </cell>
          <cell r="DC762">
            <v>348.65</v>
          </cell>
          <cell r="DD762">
            <v>134.19999999999999</v>
          </cell>
        </row>
        <row r="763">
          <cell r="A763">
            <v>39476</v>
          </cell>
          <cell r="C763">
            <v>28</v>
          </cell>
          <cell r="D763">
            <v>2.2000000000000002</v>
          </cell>
          <cell r="E763">
            <v>5.82</v>
          </cell>
          <cell r="L763">
            <v>1637.91</v>
          </cell>
          <cell r="M763">
            <v>2358.06</v>
          </cell>
          <cell r="N763">
            <v>5885.2</v>
          </cell>
          <cell r="O763">
            <v>4909</v>
          </cell>
          <cell r="Q763">
            <v>670</v>
          </cell>
          <cell r="R763">
            <v>501</v>
          </cell>
          <cell r="S763">
            <v>944</v>
          </cell>
          <cell r="T763">
            <v>1266.75</v>
          </cell>
          <cell r="U763">
            <v>13478.86</v>
          </cell>
          <cell r="V763">
            <v>24291.8</v>
          </cell>
          <cell r="W763">
            <v>7576.42</v>
          </cell>
          <cell r="X763">
            <v>92.95</v>
          </cell>
          <cell r="Y763">
            <v>1455</v>
          </cell>
          <cell r="Z763">
            <v>1720</v>
          </cell>
          <cell r="AA763">
            <v>18091.939999999999</v>
          </cell>
          <cell r="AB763">
            <v>5754.5</v>
          </cell>
          <cell r="AC763">
            <v>59529.578099999999</v>
          </cell>
          <cell r="AE763">
            <v>104.55</v>
          </cell>
          <cell r="AF763">
            <v>880</v>
          </cell>
          <cell r="AG763">
            <v>5615</v>
          </cell>
          <cell r="AH763">
            <v>1030</v>
          </cell>
          <cell r="AI763">
            <v>1730</v>
          </cell>
          <cell r="AJ763">
            <v>632.66999999999996</v>
          </cell>
          <cell r="AL763">
            <v>1362.3</v>
          </cell>
          <cell r="AP763">
            <v>4457.9440000000004</v>
          </cell>
          <cell r="AV763">
            <v>56.48</v>
          </cell>
          <cell r="AZ763">
            <v>278.89999999999998</v>
          </cell>
          <cell r="BE763">
            <v>27500</v>
          </cell>
          <cell r="BG763">
            <v>93.7</v>
          </cell>
          <cell r="BH763">
            <v>630.71</v>
          </cell>
          <cell r="BY763">
            <v>357.9</v>
          </cell>
          <cell r="CD763">
            <v>368.63</v>
          </cell>
          <cell r="CE763">
            <v>357.26400000000001</v>
          </cell>
          <cell r="CF763">
            <v>446.62</v>
          </cell>
          <cell r="CG763">
            <v>1630</v>
          </cell>
          <cell r="CH763">
            <v>1255</v>
          </cell>
          <cell r="CI763">
            <v>127</v>
          </cell>
          <cell r="CJ763">
            <v>325</v>
          </cell>
          <cell r="CK763">
            <v>1201</v>
          </cell>
          <cell r="CM763">
            <v>232.95</v>
          </cell>
          <cell r="CN763">
            <v>20.58</v>
          </cell>
          <cell r="CO763" t="str">
            <v>#N/A N/A</v>
          </cell>
          <cell r="CQ763">
            <v>8.11</v>
          </cell>
          <cell r="CR763">
            <v>84</v>
          </cell>
          <cell r="CS763">
            <v>2774</v>
          </cell>
          <cell r="CU763">
            <v>1755</v>
          </cell>
          <cell r="CW763">
            <v>71.265243902439025</v>
          </cell>
          <cell r="CX763">
            <v>723.87700000000007</v>
          </cell>
          <cell r="CZ763">
            <v>367.19</v>
          </cell>
          <cell r="DA763">
            <v>3673.1</v>
          </cell>
          <cell r="DB763">
            <v>14.32</v>
          </cell>
          <cell r="DC763">
            <v>348.65</v>
          </cell>
          <cell r="DD763">
            <v>133.69999999999999</v>
          </cell>
        </row>
        <row r="764">
          <cell r="A764">
            <v>39477</v>
          </cell>
          <cell r="C764">
            <v>28</v>
          </cell>
          <cell r="D764">
            <v>2.1800000000000002</v>
          </cell>
          <cell r="E764">
            <v>5.82</v>
          </cell>
          <cell r="L764">
            <v>1589.06</v>
          </cell>
          <cell r="M764">
            <v>2349</v>
          </cell>
          <cell r="N764">
            <v>5837.3</v>
          </cell>
          <cell r="O764">
            <v>4909</v>
          </cell>
          <cell r="Q764">
            <v>670</v>
          </cell>
          <cell r="R764">
            <v>498.5</v>
          </cell>
          <cell r="S764">
            <v>922.5</v>
          </cell>
          <cell r="T764">
            <v>1275.75</v>
          </cell>
          <cell r="U764">
            <v>13345.03</v>
          </cell>
          <cell r="V764">
            <v>23653.69</v>
          </cell>
          <cell r="W764">
            <v>7543.5</v>
          </cell>
          <cell r="X764">
            <v>93.1</v>
          </cell>
          <cell r="Y764">
            <v>1455</v>
          </cell>
          <cell r="Z764">
            <v>1720</v>
          </cell>
          <cell r="AA764">
            <v>17758.64</v>
          </cell>
          <cell r="AB764">
            <v>5665.3</v>
          </cell>
          <cell r="AC764">
            <v>60289.410199999998</v>
          </cell>
          <cell r="AE764">
            <v>105.9</v>
          </cell>
          <cell r="AF764">
            <v>880</v>
          </cell>
          <cell r="AG764">
            <v>5900</v>
          </cell>
          <cell r="AH764">
            <v>1030</v>
          </cell>
          <cell r="AI764">
            <v>1730</v>
          </cell>
          <cell r="AJ764">
            <v>603.11</v>
          </cell>
          <cell r="AL764">
            <v>1355.81</v>
          </cell>
          <cell r="AP764">
            <v>4417.8490000000002</v>
          </cell>
          <cell r="AV764">
            <v>54.72</v>
          </cell>
          <cell r="AZ764">
            <v>280.39999999999998</v>
          </cell>
          <cell r="BE764">
            <v>27010</v>
          </cell>
          <cell r="BG764">
            <v>93.7</v>
          </cell>
          <cell r="BH764">
            <v>611.38</v>
          </cell>
          <cell r="BY764">
            <v>358.81</v>
          </cell>
          <cell r="CD764">
            <v>366.21</v>
          </cell>
          <cell r="CE764">
            <v>355.08800000000002</v>
          </cell>
          <cell r="CF764">
            <v>436.88</v>
          </cell>
          <cell r="CG764">
            <v>1630</v>
          </cell>
          <cell r="CH764">
            <v>1255</v>
          </cell>
          <cell r="CI764">
            <v>127</v>
          </cell>
          <cell r="CJ764">
            <v>325</v>
          </cell>
          <cell r="CK764">
            <v>1203</v>
          </cell>
          <cell r="CM764">
            <v>233.4</v>
          </cell>
          <cell r="CN764">
            <v>20.190000000000001</v>
          </cell>
          <cell r="CO764" t="str">
            <v>#N/A N/A</v>
          </cell>
          <cell r="CQ764">
            <v>8.16</v>
          </cell>
          <cell r="CR764">
            <v>84</v>
          </cell>
          <cell r="CS764">
            <v>2725</v>
          </cell>
          <cell r="CU764">
            <v>1755</v>
          </cell>
          <cell r="CW764">
            <v>71.265243902439025</v>
          </cell>
          <cell r="CX764">
            <v>835.40900000000011</v>
          </cell>
          <cell r="CZ764">
            <v>368.52</v>
          </cell>
          <cell r="DA764">
            <v>3621.4</v>
          </cell>
          <cell r="DB764">
            <v>14.52</v>
          </cell>
          <cell r="DC764">
            <v>348.65</v>
          </cell>
          <cell r="DD764">
            <v>136.55000000000001</v>
          </cell>
        </row>
        <row r="765">
          <cell r="A765">
            <v>39478</v>
          </cell>
          <cell r="C765">
            <v>28</v>
          </cell>
          <cell r="D765">
            <v>2.17</v>
          </cell>
          <cell r="E765">
            <v>5.8</v>
          </cell>
          <cell r="L765">
            <v>1624.68</v>
          </cell>
          <cell r="M765">
            <v>2389.86</v>
          </cell>
          <cell r="N765">
            <v>5879.8</v>
          </cell>
          <cell r="O765">
            <v>4912</v>
          </cell>
          <cell r="Q765">
            <v>670</v>
          </cell>
          <cell r="R765">
            <v>501.25</v>
          </cell>
          <cell r="S765">
            <v>929.5</v>
          </cell>
          <cell r="T765">
            <v>1274.5</v>
          </cell>
          <cell r="U765">
            <v>13592.47</v>
          </cell>
          <cell r="V765">
            <v>23455.74</v>
          </cell>
          <cell r="W765">
            <v>7521.13</v>
          </cell>
          <cell r="X765">
            <v>92.1</v>
          </cell>
          <cell r="Y765">
            <v>1455</v>
          </cell>
          <cell r="Z765">
            <v>1720</v>
          </cell>
          <cell r="AA765">
            <v>17648.71</v>
          </cell>
          <cell r="AB765">
            <v>5697</v>
          </cell>
          <cell r="AC765">
            <v>59490.398399999998</v>
          </cell>
          <cell r="AE765">
            <v>105.95</v>
          </cell>
          <cell r="AF765">
            <v>880</v>
          </cell>
          <cell r="AG765">
            <v>6052</v>
          </cell>
          <cell r="AH765">
            <v>1030</v>
          </cell>
          <cell r="AI765">
            <v>1730</v>
          </cell>
          <cell r="AJ765">
            <v>608.84</v>
          </cell>
          <cell r="AL765">
            <v>1378.55</v>
          </cell>
          <cell r="AP765">
            <v>4383.393</v>
          </cell>
          <cell r="AV765">
            <v>56.65</v>
          </cell>
          <cell r="AZ765">
            <v>282</v>
          </cell>
          <cell r="BE765">
            <v>27180</v>
          </cell>
          <cell r="BG765">
            <v>93.7</v>
          </cell>
          <cell r="BH765">
            <v>597.15</v>
          </cell>
          <cell r="BY765">
            <v>359</v>
          </cell>
          <cell r="CD765">
            <v>369.93</v>
          </cell>
          <cell r="CE765">
            <v>359.24700000000001</v>
          </cell>
          <cell r="CF765">
            <v>439.46</v>
          </cell>
          <cell r="CG765">
            <v>1630</v>
          </cell>
          <cell r="CH765">
            <v>1255</v>
          </cell>
          <cell r="CI765">
            <v>127</v>
          </cell>
          <cell r="CJ765">
            <v>325</v>
          </cell>
          <cell r="CK765">
            <v>1188</v>
          </cell>
          <cell r="CM765">
            <v>230.91</v>
          </cell>
          <cell r="CN765">
            <v>19.16</v>
          </cell>
          <cell r="CO765" t="str">
            <v>#N/A N/A</v>
          </cell>
          <cell r="CQ765">
            <v>8.1</v>
          </cell>
          <cell r="CR765">
            <v>84</v>
          </cell>
          <cell r="CS765">
            <v>2813.5</v>
          </cell>
          <cell r="CU765">
            <v>1755</v>
          </cell>
          <cell r="CW765">
            <v>71.265243902439025</v>
          </cell>
          <cell r="CX765">
            <v>838.96850000000006</v>
          </cell>
          <cell r="CZ765">
            <v>369.46</v>
          </cell>
          <cell r="DA765">
            <v>3720.7</v>
          </cell>
          <cell r="DB765">
            <v>14.46</v>
          </cell>
          <cell r="DC765">
            <v>348.65</v>
          </cell>
          <cell r="DD765">
            <v>138.15</v>
          </cell>
        </row>
        <row r="766">
          <cell r="A766">
            <v>39479</v>
          </cell>
          <cell r="C766">
            <v>28</v>
          </cell>
          <cell r="D766">
            <v>2.17</v>
          </cell>
          <cell r="E766">
            <v>5.81</v>
          </cell>
          <cell r="L766">
            <v>1634.53</v>
          </cell>
          <cell r="M766">
            <v>2413.36</v>
          </cell>
          <cell r="N766">
            <v>6029.2</v>
          </cell>
          <cell r="O766">
            <v>4919</v>
          </cell>
          <cell r="Q766">
            <v>670</v>
          </cell>
          <cell r="R766">
            <v>500.5</v>
          </cell>
          <cell r="S766">
            <v>943</v>
          </cell>
          <cell r="T766">
            <v>1287.25</v>
          </cell>
          <cell r="U766">
            <v>13497.16</v>
          </cell>
          <cell r="V766">
            <v>24123.58</v>
          </cell>
          <cell r="W766">
            <v>7673.99</v>
          </cell>
          <cell r="X766">
            <v>92.65</v>
          </cell>
          <cell r="Y766">
            <v>1455</v>
          </cell>
          <cell r="Z766">
            <v>1730</v>
          </cell>
          <cell r="AA766">
            <v>18242.580000000002</v>
          </cell>
          <cell r="AB766">
            <v>5882.3</v>
          </cell>
          <cell r="AC766">
            <v>61079.828099999999</v>
          </cell>
          <cell r="AE766">
            <v>105.55</v>
          </cell>
          <cell r="AF766">
            <v>880</v>
          </cell>
          <cell r="AG766">
            <v>6134</v>
          </cell>
          <cell r="AH766">
            <v>1040</v>
          </cell>
          <cell r="AI766">
            <v>1730</v>
          </cell>
          <cell r="AJ766">
            <v>612.57000000000005</v>
          </cell>
          <cell r="AL766">
            <v>1395.42</v>
          </cell>
          <cell r="AP766">
            <v>4320.7669999999998</v>
          </cell>
          <cell r="AV766">
            <v>57.55</v>
          </cell>
          <cell r="AZ766">
            <v>290.89999999999998</v>
          </cell>
          <cell r="BE766">
            <v>27785</v>
          </cell>
          <cell r="BG766">
            <v>124</v>
          </cell>
          <cell r="BH766">
            <v>608.45000000000005</v>
          </cell>
          <cell r="BY766">
            <v>379.73</v>
          </cell>
          <cell r="CD766">
            <v>375.86</v>
          </cell>
          <cell r="CE766">
            <v>364.44400000000002</v>
          </cell>
          <cell r="CF766">
            <v>450.34</v>
          </cell>
          <cell r="CG766">
            <v>1635</v>
          </cell>
          <cell r="CH766">
            <v>1250</v>
          </cell>
          <cell r="CI766">
            <v>127</v>
          </cell>
          <cell r="CJ766">
            <v>325</v>
          </cell>
          <cell r="CK766">
            <v>1174</v>
          </cell>
          <cell r="CM766">
            <v>228.34</v>
          </cell>
          <cell r="CN766">
            <v>19.149999999999999</v>
          </cell>
          <cell r="CO766" t="str">
            <v>#N/A N/A</v>
          </cell>
          <cell r="CQ766">
            <v>7.88</v>
          </cell>
          <cell r="CR766">
            <v>84</v>
          </cell>
          <cell r="CS766">
            <v>2824.5</v>
          </cell>
          <cell r="CU766">
            <v>1800</v>
          </cell>
          <cell r="CW766">
            <v>69.740853658536594</v>
          </cell>
          <cell r="CX766">
            <v>836.93450000000007</v>
          </cell>
          <cell r="CZ766">
            <v>364.34</v>
          </cell>
          <cell r="DA766">
            <v>3677.1</v>
          </cell>
          <cell r="DB766">
            <v>14.38</v>
          </cell>
          <cell r="DC766">
            <v>417.05</v>
          </cell>
          <cell r="DD766">
            <v>139.1</v>
          </cell>
        </row>
        <row r="767">
          <cell r="A767">
            <v>39480</v>
          </cell>
          <cell r="C767">
            <v>28</v>
          </cell>
          <cell r="D767">
            <v>2.17</v>
          </cell>
          <cell r="E767">
            <v>5.81</v>
          </cell>
          <cell r="L767">
            <v>1634.53</v>
          </cell>
          <cell r="M767">
            <v>2413.36</v>
          </cell>
          <cell r="N767">
            <v>6029.2</v>
          </cell>
          <cell r="O767">
            <v>4919</v>
          </cell>
          <cell r="Q767">
            <v>670</v>
          </cell>
          <cell r="R767">
            <v>500.5</v>
          </cell>
          <cell r="S767">
            <v>943</v>
          </cell>
          <cell r="T767">
            <v>1287.25</v>
          </cell>
          <cell r="U767">
            <v>13497.16</v>
          </cell>
          <cell r="V767">
            <v>24123.58</v>
          </cell>
          <cell r="W767">
            <v>7673.99</v>
          </cell>
          <cell r="X767">
            <v>92.65</v>
          </cell>
          <cell r="Y767">
            <v>1455</v>
          </cell>
          <cell r="Z767">
            <v>1730</v>
          </cell>
          <cell r="AA767">
            <v>18242.580000000002</v>
          </cell>
          <cell r="AB767">
            <v>5882.3</v>
          </cell>
          <cell r="AC767">
            <v>61079.828099999999</v>
          </cell>
          <cell r="AE767">
            <v>105.55</v>
          </cell>
          <cell r="AF767">
            <v>880</v>
          </cell>
          <cell r="AG767">
            <v>6134</v>
          </cell>
          <cell r="AH767">
            <v>1040</v>
          </cell>
          <cell r="AI767">
            <v>1730</v>
          </cell>
          <cell r="AJ767">
            <v>612.57000000000005</v>
          </cell>
          <cell r="AL767">
            <v>1395.42</v>
          </cell>
          <cell r="AP767">
            <v>4320.7669999999998</v>
          </cell>
          <cell r="AV767">
            <v>57.55</v>
          </cell>
          <cell r="AZ767">
            <v>290.89999999999998</v>
          </cell>
          <cell r="BE767">
            <v>27785</v>
          </cell>
          <cell r="BG767">
            <v>124</v>
          </cell>
          <cell r="BH767">
            <v>608.45000000000005</v>
          </cell>
          <cell r="BY767">
            <v>379.73</v>
          </cell>
          <cell r="CD767">
            <v>375.86</v>
          </cell>
          <cell r="CE767">
            <v>364.44400000000002</v>
          </cell>
          <cell r="CF767">
            <v>450.34</v>
          </cell>
          <cell r="CG767">
            <v>1635</v>
          </cell>
          <cell r="CH767">
            <v>1250</v>
          </cell>
          <cell r="CI767">
            <v>127</v>
          </cell>
          <cell r="CJ767">
            <v>325</v>
          </cell>
          <cell r="CK767">
            <v>1174</v>
          </cell>
          <cell r="CM767">
            <v>228.34</v>
          </cell>
          <cell r="CN767">
            <v>19.149999999999999</v>
          </cell>
          <cell r="CO767" t="str">
            <v>#N/A N/A</v>
          </cell>
          <cell r="CQ767">
            <v>7.88</v>
          </cell>
          <cell r="CR767">
            <v>84</v>
          </cell>
          <cell r="CS767">
            <v>2824.5</v>
          </cell>
          <cell r="CU767">
            <v>1800</v>
          </cell>
          <cell r="CW767">
            <v>69.740853658536594</v>
          </cell>
          <cell r="CX767">
            <v>836.93450000000007</v>
          </cell>
          <cell r="CZ767">
            <v>364.34</v>
          </cell>
          <cell r="DA767">
            <v>3677.1</v>
          </cell>
          <cell r="DB767">
            <v>14.38</v>
          </cell>
          <cell r="DC767">
            <v>417.05</v>
          </cell>
          <cell r="DD767">
            <v>139.1</v>
          </cell>
        </row>
        <row r="768">
          <cell r="A768">
            <v>39481</v>
          </cell>
          <cell r="C768">
            <v>28</v>
          </cell>
          <cell r="D768">
            <v>2.17</v>
          </cell>
          <cell r="E768">
            <v>5.81</v>
          </cell>
          <cell r="L768">
            <v>1634.53</v>
          </cell>
          <cell r="M768">
            <v>2413.36</v>
          </cell>
          <cell r="N768">
            <v>6029.2</v>
          </cell>
          <cell r="O768">
            <v>4919</v>
          </cell>
          <cell r="Q768">
            <v>670</v>
          </cell>
          <cell r="R768">
            <v>500.5</v>
          </cell>
          <cell r="S768">
            <v>943</v>
          </cell>
          <cell r="T768">
            <v>1287.25</v>
          </cell>
          <cell r="U768">
            <v>13497.16</v>
          </cell>
          <cell r="V768">
            <v>24123.58</v>
          </cell>
          <cell r="W768">
            <v>7673.99</v>
          </cell>
          <cell r="X768">
            <v>92.65</v>
          </cell>
          <cell r="Y768">
            <v>1455</v>
          </cell>
          <cell r="Z768">
            <v>1730</v>
          </cell>
          <cell r="AA768">
            <v>18242.580000000002</v>
          </cell>
          <cell r="AB768">
            <v>5882.3</v>
          </cell>
          <cell r="AC768">
            <v>61079.828099999999</v>
          </cell>
          <cell r="AE768">
            <v>105.55</v>
          </cell>
          <cell r="AF768">
            <v>880</v>
          </cell>
          <cell r="AG768">
            <v>6134</v>
          </cell>
          <cell r="AH768">
            <v>1040</v>
          </cell>
          <cell r="AI768">
            <v>1730</v>
          </cell>
          <cell r="AJ768">
            <v>612.57000000000005</v>
          </cell>
          <cell r="AL768">
            <v>1395.42</v>
          </cell>
          <cell r="AP768">
            <v>4320.7669999999998</v>
          </cell>
          <cell r="AV768">
            <v>57.55</v>
          </cell>
          <cell r="AZ768">
            <v>290.89999999999998</v>
          </cell>
          <cell r="BE768">
            <v>27785</v>
          </cell>
          <cell r="BG768">
            <v>124</v>
          </cell>
          <cell r="BH768">
            <v>608.45000000000005</v>
          </cell>
          <cell r="BY768">
            <v>379.73</v>
          </cell>
          <cell r="CD768">
            <v>375.86</v>
          </cell>
          <cell r="CE768">
            <v>364.44400000000002</v>
          </cell>
          <cell r="CF768">
            <v>450.34</v>
          </cell>
          <cell r="CG768">
            <v>1635</v>
          </cell>
          <cell r="CH768">
            <v>1250</v>
          </cell>
          <cell r="CI768">
            <v>127</v>
          </cell>
          <cell r="CJ768">
            <v>325</v>
          </cell>
          <cell r="CK768">
            <v>1174</v>
          </cell>
          <cell r="CM768">
            <v>228.34</v>
          </cell>
          <cell r="CN768">
            <v>19.149999999999999</v>
          </cell>
          <cell r="CO768" t="str">
            <v>#N/A N/A</v>
          </cell>
          <cell r="CQ768">
            <v>7.88</v>
          </cell>
          <cell r="CR768">
            <v>84</v>
          </cell>
          <cell r="CS768">
            <v>2824.5</v>
          </cell>
          <cell r="CU768">
            <v>1800</v>
          </cell>
          <cell r="CW768">
            <v>69.740853658536594</v>
          </cell>
          <cell r="CX768">
            <v>836.93450000000007</v>
          </cell>
          <cell r="CZ768">
            <v>364.34</v>
          </cell>
          <cell r="DA768">
            <v>3677.1</v>
          </cell>
          <cell r="DB768">
            <v>14.38</v>
          </cell>
          <cell r="DC768">
            <v>417.05</v>
          </cell>
          <cell r="DD768">
            <v>139.1</v>
          </cell>
        </row>
        <row r="769">
          <cell r="A769">
            <v>39482</v>
          </cell>
          <cell r="C769">
            <v>28</v>
          </cell>
          <cell r="D769">
            <v>2.1800000000000002</v>
          </cell>
          <cell r="E769">
            <v>5.81</v>
          </cell>
          <cell r="L769">
            <v>1690.13</v>
          </cell>
          <cell r="M769">
            <v>2382.85</v>
          </cell>
          <cell r="N769">
            <v>6026.2</v>
          </cell>
          <cell r="O769">
            <v>4919</v>
          </cell>
          <cell r="Q769">
            <v>670</v>
          </cell>
          <cell r="R769">
            <v>510.5</v>
          </cell>
          <cell r="S769">
            <v>973</v>
          </cell>
          <cell r="T769">
            <v>1326</v>
          </cell>
          <cell r="U769">
            <v>13859.7</v>
          </cell>
          <cell r="V769">
            <v>25032.080000000002</v>
          </cell>
          <cell r="W769">
            <v>7673.99</v>
          </cell>
          <cell r="X769">
            <v>90.15</v>
          </cell>
          <cell r="Y769">
            <v>1455</v>
          </cell>
          <cell r="Z769">
            <v>1730</v>
          </cell>
          <cell r="AA769">
            <v>18660.32</v>
          </cell>
          <cell r="AB769">
            <v>5921.7</v>
          </cell>
          <cell r="AC769">
            <v>61079.828099999999</v>
          </cell>
          <cell r="AE769">
            <v>102.55</v>
          </cell>
          <cell r="AF769">
            <v>880</v>
          </cell>
          <cell r="AG769">
            <v>6121</v>
          </cell>
          <cell r="AH769">
            <v>1040</v>
          </cell>
          <cell r="AI769">
            <v>1730</v>
          </cell>
          <cell r="AJ769">
            <v>638.38</v>
          </cell>
          <cell r="AL769">
            <v>1380.82</v>
          </cell>
          <cell r="AP769">
            <v>4672.17</v>
          </cell>
          <cell r="AV769">
            <v>58.23</v>
          </cell>
          <cell r="AZ769">
            <v>291.60000000000002</v>
          </cell>
          <cell r="BE769">
            <v>26875</v>
          </cell>
          <cell r="BG769">
            <v>124</v>
          </cell>
          <cell r="BH769">
            <v>633.94000000000005</v>
          </cell>
          <cell r="BY769">
            <v>371.48</v>
          </cell>
          <cell r="CD769">
            <v>375.96</v>
          </cell>
          <cell r="CE769">
            <v>363.65199999999999</v>
          </cell>
          <cell r="CF769">
            <v>465.07</v>
          </cell>
          <cell r="CG769">
            <v>1635</v>
          </cell>
          <cell r="CH769">
            <v>1250</v>
          </cell>
          <cell r="CI769">
            <v>127</v>
          </cell>
          <cell r="CJ769">
            <v>325</v>
          </cell>
          <cell r="CK769">
            <v>1145</v>
          </cell>
          <cell r="CM769">
            <v>231.17</v>
          </cell>
          <cell r="CN769">
            <v>19.149999999999999</v>
          </cell>
          <cell r="CO769" t="str">
            <v>#N/A N/A</v>
          </cell>
          <cell r="CQ769">
            <v>7.56</v>
          </cell>
          <cell r="CR769">
            <v>84</v>
          </cell>
          <cell r="CS769">
            <v>2804.5</v>
          </cell>
          <cell r="CU769">
            <v>1800</v>
          </cell>
          <cell r="CW769">
            <v>68.445121951219519</v>
          </cell>
          <cell r="CX769">
            <v>838.29050000000007</v>
          </cell>
          <cell r="CZ769">
            <v>367.85</v>
          </cell>
          <cell r="DA769">
            <v>3667.8</v>
          </cell>
          <cell r="DB769">
            <v>14.3</v>
          </cell>
          <cell r="DC769">
            <v>431</v>
          </cell>
          <cell r="DD769">
            <v>142.69999999999999</v>
          </cell>
        </row>
        <row r="770">
          <cell r="A770">
            <v>39483</v>
          </cell>
          <cell r="C770">
            <v>28</v>
          </cell>
          <cell r="D770">
            <v>2.1800000000000002</v>
          </cell>
          <cell r="E770">
            <v>5.81</v>
          </cell>
          <cell r="L770">
            <v>1696.57</v>
          </cell>
          <cell r="M770">
            <v>2309.5700000000002</v>
          </cell>
          <cell r="N770">
            <v>5868</v>
          </cell>
          <cell r="O770">
            <v>4919</v>
          </cell>
          <cell r="Q770">
            <v>670</v>
          </cell>
          <cell r="R770">
            <v>509.25</v>
          </cell>
          <cell r="S770">
            <v>1003</v>
          </cell>
          <cell r="T770">
            <v>1323</v>
          </cell>
          <cell r="U770">
            <v>13745.5</v>
          </cell>
          <cell r="V770">
            <v>24808.7</v>
          </cell>
          <cell r="W770">
            <v>7673.99</v>
          </cell>
          <cell r="X770">
            <v>90.95</v>
          </cell>
          <cell r="Y770">
            <v>1455</v>
          </cell>
          <cell r="Z770">
            <v>1730</v>
          </cell>
          <cell r="AA770">
            <v>18663.16</v>
          </cell>
          <cell r="AB770">
            <v>5852.1</v>
          </cell>
          <cell r="AC770">
            <v>61079.828099999999</v>
          </cell>
          <cell r="AE770">
            <v>103.65</v>
          </cell>
          <cell r="AF770">
            <v>880</v>
          </cell>
          <cell r="AG770">
            <v>6032</v>
          </cell>
          <cell r="AH770">
            <v>1040</v>
          </cell>
          <cell r="AI770">
            <v>1730</v>
          </cell>
          <cell r="AJ770">
            <v>642.35</v>
          </cell>
          <cell r="AL770">
            <v>1336.64</v>
          </cell>
          <cell r="AP770">
            <v>4599.6959999999999</v>
          </cell>
          <cell r="AV770">
            <v>55.86</v>
          </cell>
          <cell r="AZ770">
            <v>286.2</v>
          </cell>
          <cell r="BE770">
            <v>26575</v>
          </cell>
          <cell r="BG770">
            <v>124</v>
          </cell>
          <cell r="BH770">
            <v>622.97</v>
          </cell>
          <cell r="BY770">
            <v>357.11</v>
          </cell>
          <cell r="CD770">
            <v>364.58</v>
          </cell>
          <cell r="CE770">
            <v>351.85599999999999</v>
          </cell>
          <cell r="CF770">
            <v>465.79</v>
          </cell>
          <cell r="CG770">
            <v>1635</v>
          </cell>
          <cell r="CH770">
            <v>1250</v>
          </cell>
          <cell r="CI770">
            <v>127</v>
          </cell>
          <cell r="CJ770">
            <v>325</v>
          </cell>
          <cell r="CK770">
            <v>1103</v>
          </cell>
          <cell r="CM770">
            <v>226.47</v>
          </cell>
          <cell r="CN770">
            <v>18.98</v>
          </cell>
          <cell r="CO770" t="str">
            <v>#N/A N/A</v>
          </cell>
          <cell r="CQ770">
            <v>7.82</v>
          </cell>
          <cell r="CR770">
            <v>84</v>
          </cell>
          <cell r="CS770">
            <v>2777</v>
          </cell>
          <cell r="CU770">
            <v>1800</v>
          </cell>
          <cell r="CW770">
            <v>67.530487804878049</v>
          </cell>
          <cell r="CX770">
            <v>827.49899999999991</v>
          </cell>
          <cell r="CZ770">
            <v>363.79</v>
          </cell>
          <cell r="DA770">
            <v>3604</v>
          </cell>
          <cell r="DB770">
            <v>13.94</v>
          </cell>
          <cell r="DC770">
            <v>423.1</v>
          </cell>
          <cell r="DD770">
            <v>142.6</v>
          </cell>
        </row>
        <row r="771">
          <cell r="A771">
            <v>39484</v>
          </cell>
          <cell r="C771">
            <v>28</v>
          </cell>
          <cell r="D771">
            <v>2.1800000000000002</v>
          </cell>
          <cell r="E771">
            <v>5.81</v>
          </cell>
          <cell r="L771">
            <v>1696.57</v>
          </cell>
          <cell r="M771">
            <v>2278.75</v>
          </cell>
          <cell r="N771">
            <v>5875.4</v>
          </cell>
          <cell r="O771">
            <v>4919</v>
          </cell>
          <cell r="Q771">
            <v>670</v>
          </cell>
          <cell r="R771">
            <v>501.5</v>
          </cell>
          <cell r="S771">
            <v>1033</v>
          </cell>
          <cell r="T771">
            <v>1318.5</v>
          </cell>
          <cell r="U771">
            <v>13099.24</v>
          </cell>
          <cell r="V771">
            <v>23469.46</v>
          </cell>
          <cell r="W771">
            <v>7673.99</v>
          </cell>
          <cell r="X771">
            <v>88.95</v>
          </cell>
          <cell r="Y771">
            <v>1455</v>
          </cell>
          <cell r="Z771">
            <v>1730</v>
          </cell>
          <cell r="AA771">
            <v>18139.490000000002</v>
          </cell>
          <cell r="AB771">
            <v>5677.6</v>
          </cell>
          <cell r="AC771">
            <v>58968.531300000002</v>
          </cell>
          <cell r="AE771">
            <v>102.05</v>
          </cell>
          <cell r="AF771">
            <v>880</v>
          </cell>
          <cell r="AG771">
            <v>6002</v>
          </cell>
          <cell r="AH771">
            <v>1040</v>
          </cell>
          <cell r="AI771">
            <v>1730</v>
          </cell>
          <cell r="AJ771">
            <v>642.35</v>
          </cell>
          <cell r="AL771">
            <v>1326.45</v>
          </cell>
          <cell r="AP771">
            <v>4599.6959999999999</v>
          </cell>
          <cell r="AV771">
            <v>54.94</v>
          </cell>
          <cell r="AZ771">
            <v>276.60000000000002</v>
          </cell>
          <cell r="BE771">
            <v>26670</v>
          </cell>
          <cell r="BG771">
            <v>124</v>
          </cell>
          <cell r="BH771">
            <v>612.48</v>
          </cell>
          <cell r="BY771">
            <v>346.91</v>
          </cell>
          <cell r="CD771">
            <v>361.24</v>
          </cell>
          <cell r="CE771">
            <v>349.13400000000001</v>
          </cell>
          <cell r="CF771">
            <v>454.84</v>
          </cell>
          <cell r="CG771">
            <v>1635</v>
          </cell>
          <cell r="CH771">
            <v>1250</v>
          </cell>
          <cell r="CI771">
            <v>127</v>
          </cell>
          <cell r="CJ771">
            <v>325</v>
          </cell>
          <cell r="CK771">
            <v>1093</v>
          </cell>
          <cell r="CM771">
            <v>223.99</v>
          </cell>
          <cell r="CN771">
            <v>19.690000000000001</v>
          </cell>
          <cell r="CO771" t="str">
            <v>#N/A N/A</v>
          </cell>
          <cell r="CQ771">
            <v>7.95</v>
          </cell>
          <cell r="CR771">
            <v>75</v>
          </cell>
          <cell r="CS771">
            <v>2820</v>
          </cell>
          <cell r="CU771">
            <v>1800</v>
          </cell>
          <cell r="CW771">
            <v>66.006097560975618</v>
          </cell>
          <cell r="CX771">
            <v>856.44</v>
          </cell>
          <cell r="CZ771">
            <v>364.11</v>
          </cell>
          <cell r="DA771">
            <v>3667.5</v>
          </cell>
          <cell r="DB771">
            <v>14.13</v>
          </cell>
          <cell r="DC771">
            <v>423.45</v>
          </cell>
          <cell r="DD771">
            <v>143.15</v>
          </cell>
        </row>
        <row r="772">
          <cell r="A772">
            <v>39485</v>
          </cell>
          <cell r="C772">
            <v>28</v>
          </cell>
          <cell r="D772">
            <v>2.1800000000000002</v>
          </cell>
          <cell r="E772">
            <v>5.81</v>
          </cell>
          <cell r="L772">
            <v>1696.57</v>
          </cell>
          <cell r="M772">
            <v>2293.0300000000002</v>
          </cell>
          <cell r="N772">
            <v>5724.1</v>
          </cell>
          <cell r="O772">
            <v>4919</v>
          </cell>
          <cell r="Q772">
            <v>700</v>
          </cell>
          <cell r="R772">
            <v>499.5</v>
          </cell>
          <cell r="S772">
            <v>1063</v>
          </cell>
          <cell r="T772">
            <v>1331.5</v>
          </cell>
          <cell r="U772">
            <v>13207.15</v>
          </cell>
          <cell r="V772">
            <v>23469.46</v>
          </cell>
          <cell r="W772">
            <v>7673.99</v>
          </cell>
          <cell r="X772">
            <v>88.95</v>
          </cell>
          <cell r="Y772">
            <v>1455</v>
          </cell>
          <cell r="Z772">
            <v>1730</v>
          </cell>
          <cell r="AA772">
            <v>17526.93</v>
          </cell>
          <cell r="AB772">
            <v>5668.3</v>
          </cell>
          <cell r="AC772">
            <v>58965.480499999998</v>
          </cell>
          <cell r="AE772">
            <v>102.05</v>
          </cell>
          <cell r="AF772">
            <v>880</v>
          </cell>
          <cell r="AG772">
            <v>6135</v>
          </cell>
          <cell r="AH772">
            <v>1040</v>
          </cell>
          <cell r="AI772">
            <v>1730</v>
          </cell>
          <cell r="AJ772">
            <v>642.35</v>
          </cell>
          <cell r="AL772">
            <v>1336.91</v>
          </cell>
          <cell r="AP772">
            <v>4599.6959999999999</v>
          </cell>
          <cell r="AV772">
            <v>55.74</v>
          </cell>
          <cell r="AZ772">
            <v>279.5</v>
          </cell>
          <cell r="BE772">
            <v>27230</v>
          </cell>
          <cell r="BG772">
            <v>124</v>
          </cell>
          <cell r="BH772">
            <v>615.08000000000004</v>
          </cell>
          <cell r="BY772">
            <v>347.55</v>
          </cell>
          <cell r="CD772">
            <v>358.95</v>
          </cell>
          <cell r="CE772">
            <v>347.03300000000002</v>
          </cell>
          <cell r="CF772">
            <v>452.44</v>
          </cell>
          <cell r="CG772">
            <v>1635</v>
          </cell>
          <cell r="CH772">
            <v>1250</v>
          </cell>
          <cell r="CI772">
            <v>127</v>
          </cell>
          <cell r="CJ772">
            <v>325</v>
          </cell>
          <cell r="CK772">
            <v>1082</v>
          </cell>
          <cell r="CM772">
            <v>226.78</v>
          </cell>
          <cell r="CN772">
            <v>20.399999999999999</v>
          </cell>
          <cell r="CO772">
            <v>14.55</v>
          </cell>
          <cell r="CQ772">
            <v>7.99</v>
          </cell>
          <cell r="CR772">
            <v>75</v>
          </cell>
          <cell r="CS772">
            <v>2783.5</v>
          </cell>
          <cell r="CU772">
            <v>1800</v>
          </cell>
          <cell r="CW772">
            <v>66.006097560975618</v>
          </cell>
          <cell r="CX772">
            <v>847.31399999999996</v>
          </cell>
          <cell r="CZ772">
            <v>367.25</v>
          </cell>
          <cell r="DA772">
            <v>3737.7</v>
          </cell>
          <cell r="DB772">
            <v>14.17</v>
          </cell>
          <cell r="DC772">
            <v>428.45</v>
          </cell>
          <cell r="DD772">
            <v>143.30000000000001</v>
          </cell>
        </row>
        <row r="773">
          <cell r="A773">
            <v>39486</v>
          </cell>
          <cell r="C773">
            <v>28</v>
          </cell>
          <cell r="D773">
            <v>2.1800000000000002</v>
          </cell>
          <cell r="E773">
            <v>5.81</v>
          </cell>
          <cell r="L773">
            <v>1696.57</v>
          </cell>
          <cell r="M773">
            <v>2304.85</v>
          </cell>
          <cell r="N773">
            <v>5784</v>
          </cell>
          <cell r="O773">
            <v>4919</v>
          </cell>
          <cell r="Q773">
            <v>700</v>
          </cell>
          <cell r="R773">
            <v>508</v>
          </cell>
          <cell r="S773">
            <v>1093</v>
          </cell>
          <cell r="T773">
            <v>1339</v>
          </cell>
          <cell r="U773">
            <v>13017.24</v>
          </cell>
          <cell r="V773">
            <v>23469.46</v>
          </cell>
          <cell r="W773">
            <v>7673.99</v>
          </cell>
          <cell r="X773">
            <v>88.95</v>
          </cell>
          <cell r="Y773">
            <v>1455</v>
          </cell>
          <cell r="Z773">
            <v>1730</v>
          </cell>
          <cell r="AA773">
            <v>17464.89</v>
          </cell>
          <cell r="AB773">
            <v>5723.9</v>
          </cell>
          <cell r="AC773">
            <v>59075.980499999998</v>
          </cell>
          <cell r="AE773">
            <v>102.05</v>
          </cell>
          <cell r="AF773">
            <v>880</v>
          </cell>
          <cell r="AG773">
            <v>6353</v>
          </cell>
          <cell r="AH773">
            <v>1040</v>
          </cell>
          <cell r="AI773">
            <v>1730</v>
          </cell>
          <cell r="AJ773">
            <v>642.35</v>
          </cell>
          <cell r="AL773">
            <v>1331.29</v>
          </cell>
          <cell r="AP773">
            <v>4599.6959999999999</v>
          </cell>
          <cell r="AV773">
            <v>56.4</v>
          </cell>
          <cell r="AZ773">
            <v>287.39999999999998</v>
          </cell>
          <cell r="BE773">
            <v>28090</v>
          </cell>
          <cell r="BG773">
            <v>127.55</v>
          </cell>
          <cell r="BH773">
            <v>619.38</v>
          </cell>
          <cell r="BY773">
            <v>349.74</v>
          </cell>
          <cell r="CD773">
            <v>358.53</v>
          </cell>
          <cell r="CE773">
            <v>346.565</v>
          </cell>
          <cell r="CF773">
            <v>451.9</v>
          </cell>
          <cell r="CG773">
            <v>1635</v>
          </cell>
          <cell r="CH773">
            <v>1230</v>
          </cell>
          <cell r="CI773">
            <v>127</v>
          </cell>
          <cell r="CJ773">
            <v>325</v>
          </cell>
          <cell r="CK773">
            <v>1070</v>
          </cell>
          <cell r="CM773">
            <v>235.72</v>
          </cell>
          <cell r="CN773">
            <v>20.48</v>
          </cell>
          <cell r="CO773">
            <v>14.7</v>
          </cell>
          <cell r="CQ773">
            <v>8.06</v>
          </cell>
          <cell r="CR773">
            <v>75</v>
          </cell>
          <cell r="CS773">
            <v>2995</v>
          </cell>
          <cell r="CU773">
            <v>1780</v>
          </cell>
          <cell r="CW773">
            <v>66.006097560975618</v>
          </cell>
          <cell r="CX773">
            <v>848.60100000000011</v>
          </cell>
          <cell r="CZ773">
            <v>375.67</v>
          </cell>
          <cell r="DA773">
            <v>3823.3</v>
          </cell>
          <cell r="DB773">
            <v>14.44</v>
          </cell>
          <cell r="DC773">
            <v>440.85</v>
          </cell>
          <cell r="DD773">
            <v>147.19999999999999</v>
          </cell>
        </row>
        <row r="774">
          <cell r="A774">
            <v>39487</v>
          </cell>
          <cell r="C774">
            <v>28</v>
          </cell>
          <cell r="D774">
            <v>2.1800000000000002</v>
          </cell>
          <cell r="E774">
            <v>5.81</v>
          </cell>
          <cell r="L774">
            <v>1696.57</v>
          </cell>
          <cell r="M774">
            <v>2304.85</v>
          </cell>
          <cell r="N774">
            <v>5784</v>
          </cell>
          <cell r="O774">
            <v>4919</v>
          </cell>
          <cell r="Q774">
            <v>700</v>
          </cell>
          <cell r="R774">
            <v>508</v>
          </cell>
          <cell r="S774">
            <v>1093</v>
          </cell>
          <cell r="T774">
            <v>1339</v>
          </cell>
          <cell r="U774">
            <v>13017.24</v>
          </cell>
          <cell r="V774">
            <v>23469.46</v>
          </cell>
          <cell r="W774">
            <v>7673.99</v>
          </cell>
          <cell r="X774">
            <v>88.95</v>
          </cell>
          <cell r="Y774">
            <v>1455</v>
          </cell>
          <cell r="Z774">
            <v>1730</v>
          </cell>
          <cell r="AA774">
            <v>17464.89</v>
          </cell>
          <cell r="AB774">
            <v>5723.9</v>
          </cell>
          <cell r="AC774">
            <v>59075.980499999998</v>
          </cell>
          <cell r="AE774">
            <v>102.05</v>
          </cell>
          <cell r="AF774">
            <v>880</v>
          </cell>
          <cell r="AG774">
            <v>6353</v>
          </cell>
          <cell r="AH774">
            <v>1040</v>
          </cell>
          <cell r="AI774">
            <v>1730</v>
          </cell>
          <cell r="AJ774">
            <v>642.35</v>
          </cell>
          <cell r="AL774">
            <v>1331.29</v>
          </cell>
          <cell r="AP774">
            <v>4599.6959999999999</v>
          </cell>
          <cell r="AV774">
            <v>56.4</v>
          </cell>
          <cell r="AZ774">
            <v>287.39999999999998</v>
          </cell>
          <cell r="BE774">
            <v>28090</v>
          </cell>
          <cell r="BG774">
            <v>127.55</v>
          </cell>
          <cell r="BH774">
            <v>619.38</v>
          </cell>
          <cell r="BY774">
            <v>349.74</v>
          </cell>
          <cell r="CD774">
            <v>358.53</v>
          </cell>
          <cell r="CE774">
            <v>346.565</v>
          </cell>
          <cell r="CF774">
            <v>451.9</v>
          </cell>
          <cell r="CG774">
            <v>1635</v>
          </cell>
          <cell r="CH774">
            <v>1230</v>
          </cell>
          <cell r="CI774">
            <v>127</v>
          </cell>
          <cell r="CJ774">
            <v>325</v>
          </cell>
          <cell r="CK774">
            <v>1070</v>
          </cell>
          <cell r="CM774">
            <v>235.72</v>
          </cell>
          <cell r="CN774">
            <v>20.48</v>
          </cell>
          <cell r="CO774">
            <v>14.7</v>
          </cell>
          <cell r="CQ774">
            <v>8.06</v>
          </cell>
          <cell r="CR774">
            <v>75</v>
          </cell>
          <cell r="CS774">
            <v>2995</v>
          </cell>
          <cell r="CU774">
            <v>1780</v>
          </cell>
          <cell r="CW774">
            <v>66.006097560975618</v>
          </cell>
          <cell r="CX774">
            <v>848.60100000000011</v>
          </cell>
          <cell r="CZ774">
            <v>375.67</v>
          </cell>
          <cell r="DA774">
            <v>3823.3</v>
          </cell>
          <cell r="DB774">
            <v>14.44</v>
          </cell>
          <cell r="DC774">
            <v>440.85</v>
          </cell>
          <cell r="DD774">
            <v>147.19999999999999</v>
          </cell>
        </row>
        <row r="775">
          <cell r="A775">
            <v>39488</v>
          </cell>
          <cell r="C775">
            <v>28</v>
          </cell>
          <cell r="D775">
            <v>2.1800000000000002</v>
          </cell>
          <cell r="E775">
            <v>5.81</v>
          </cell>
          <cell r="L775">
            <v>1696.57</v>
          </cell>
          <cell r="M775">
            <v>2304.85</v>
          </cell>
          <cell r="N775">
            <v>5784</v>
          </cell>
          <cell r="O775">
            <v>4919</v>
          </cell>
          <cell r="Q775">
            <v>700</v>
          </cell>
          <cell r="R775">
            <v>508</v>
          </cell>
          <cell r="S775">
            <v>1093</v>
          </cell>
          <cell r="T775">
            <v>1339</v>
          </cell>
          <cell r="U775">
            <v>13017.24</v>
          </cell>
          <cell r="V775">
            <v>23469.46</v>
          </cell>
          <cell r="W775">
            <v>7673.99</v>
          </cell>
          <cell r="X775">
            <v>88.95</v>
          </cell>
          <cell r="Y775">
            <v>1455</v>
          </cell>
          <cell r="Z775">
            <v>1730</v>
          </cell>
          <cell r="AA775">
            <v>17464.89</v>
          </cell>
          <cell r="AB775">
            <v>5723.9</v>
          </cell>
          <cell r="AC775">
            <v>59075.980499999998</v>
          </cell>
          <cell r="AE775">
            <v>102.05</v>
          </cell>
          <cell r="AF775">
            <v>880</v>
          </cell>
          <cell r="AG775">
            <v>6353</v>
          </cell>
          <cell r="AH775">
            <v>1040</v>
          </cell>
          <cell r="AI775">
            <v>1730</v>
          </cell>
          <cell r="AJ775">
            <v>642.35</v>
          </cell>
          <cell r="AL775">
            <v>1331.29</v>
          </cell>
          <cell r="AP775">
            <v>4599.6959999999999</v>
          </cell>
          <cell r="AV775">
            <v>56.4</v>
          </cell>
          <cell r="AZ775">
            <v>287.39999999999998</v>
          </cell>
          <cell r="BE775">
            <v>28090</v>
          </cell>
          <cell r="BG775">
            <v>127.55</v>
          </cell>
          <cell r="BH775">
            <v>619.38</v>
          </cell>
          <cell r="BY775">
            <v>349.74</v>
          </cell>
          <cell r="CD775">
            <v>358.53</v>
          </cell>
          <cell r="CE775">
            <v>346.565</v>
          </cell>
          <cell r="CF775">
            <v>451.9</v>
          </cell>
          <cell r="CG775">
            <v>1635</v>
          </cell>
          <cell r="CH775">
            <v>1230</v>
          </cell>
          <cell r="CI775">
            <v>127</v>
          </cell>
          <cell r="CJ775">
            <v>325</v>
          </cell>
          <cell r="CK775">
            <v>1070</v>
          </cell>
          <cell r="CM775">
            <v>235.72</v>
          </cell>
          <cell r="CN775">
            <v>20.48</v>
          </cell>
          <cell r="CO775">
            <v>14.7</v>
          </cell>
          <cell r="CQ775">
            <v>8.06</v>
          </cell>
          <cell r="CR775">
            <v>75</v>
          </cell>
          <cell r="CS775">
            <v>2995</v>
          </cell>
          <cell r="CU775">
            <v>1780</v>
          </cell>
          <cell r="CW775">
            <v>66.006097560975618</v>
          </cell>
          <cell r="CX775">
            <v>848.60100000000011</v>
          </cell>
          <cell r="CZ775">
            <v>375.67</v>
          </cell>
          <cell r="DA775">
            <v>3823.3</v>
          </cell>
          <cell r="DB775">
            <v>14.44</v>
          </cell>
          <cell r="DC775">
            <v>440.85</v>
          </cell>
          <cell r="DD775">
            <v>147.19999999999999</v>
          </cell>
        </row>
        <row r="776">
          <cell r="A776">
            <v>39489</v>
          </cell>
          <cell r="C776">
            <v>28</v>
          </cell>
          <cell r="D776">
            <v>2.1800000000000002</v>
          </cell>
          <cell r="E776">
            <v>5.81</v>
          </cell>
          <cell r="L776">
            <v>1640.67</v>
          </cell>
          <cell r="M776">
            <v>2320.06</v>
          </cell>
          <cell r="N776">
            <v>5707.7</v>
          </cell>
          <cell r="O776">
            <v>4919</v>
          </cell>
          <cell r="Q776">
            <v>700</v>
          </cell>
          <cell r="R776">
            <v>503.5</v>
          </cell>
          <cell r="S776">
            <v>1048</v>
          </cell>
          <cell r="T776">
            <v>1326</v>
          </cell>
          <cell r="U776">
            <v>13017.24</v>
          </cell>
          <cell r="V776">
            <v>22616.11</v>
          </cell>
          <cell r="W776">
            <v>7673.99</v>
          </cell>
          <cell r="X776">
            <v>91.05</v>
          </cell>
          <cell r="Y776">
            <v>1455</v>
          </cell>
          <cell r="Z776">
            <v>1730</v>
          </cell>
          <cell r="AA776">
            <v>16630.91</v>
          </cell>
          <cell r="AB776">
            <v>5603.1</v>
          </cell>
          <cell r="AC776">
            <v>60643.218800000002</v>
          </cell>
          <cell r="AE776">
            <v>106.55</v>
          </cell>
          <cell r="AF776">
            <v>880</v>
          </cell>
          <cell r="AG776">
            <v>6520</v>
          </cell>
          <cell r="AH776">
            <v>1040</v>
          </cell>
          <cell r="AI776">
            <v>1730</v>
          </cell>
          <cell r="AJ776">
            <v>629.94000000000005</v>
          </cell>
          <cell r="AL776">
            <v>1339.13</v>
          </cell>
          <cell r="AP776">
            <v>4599.6959999999999</v>
          </cell>
          <cell r="AV776">
            <v>56.6</v>
          </cell>
          <cell r="AZ776">
            <v>287.39999999999998</v>
          </cell>
          <cell r="BE776">
            <v>27880</v>
          </cell>
          <cell r="BG776">
            <v>127.55</v>
          </cell>
          <cell r="BH776">
            <v>621.16</v>
          </cell>
          <cell r="BY776">
            <v>355.16</v>
          </cell>
          <cell r="CD776">
            <v>358.09</v>
          </cell>
          <cell r="CE776">
            <v>346.53199999999998</v>
          </cell>
          <cell r="CF776">
            <v>437.84</v>
          </cell>
          <cell r="CG776">
            <v>1635</v>
          </cell>
          <cell r="CH776">
            <v>1230</v>
          </cell>
          <cell r="CI776">
            <v>127</v>
          </cell>
          <cell r="CJ776">
            <v>325</v>
          </cell>
          <cell r="CK776">
            <v>1060</v>
          </cell>
          <cell r="CM776">
            <v>239.62</v>
          </cell>
          <cell r="CN776">
            <v>20.41</v>
          </cell>
          <cell r="CO776">
            <v>14.7</v>
          </cell>
          <cell r="CQ776">
            <v>8.39</v>
          </cell>
          <cell r="CR776">
            <v>75</v>
          </cell>
          <cell r="CS776">
            <v>3049.5</v>
          </cell>
          <cell r="CU776">
            <v>1780</v>
          </cell>
          <cell r="CW776">
            <v>67.225609756097569</v>
          </cell>
          <cell r="CX776">
            <v>848.36699999999996</v>
          </cell>
          <cell r="CZ776">
            <v>377.99</v>
          </cell>
          <cell r="DA776">
            <v>3835.6</v>
          </cell>
          <cell r="DB776">
            <v>14.72</v>
          </cell>
          <cell r="DC776">
            <v>443.4</v>
          </cell>
          <cell r="DD776">
            <v>147.9</v>
          </cell>
        </row>
        <row r="777">
          <cell r="A777">
            <v>39490</v>
          </cell>
          <cell r="C777">
            <v>28</v>
          </cell>
          <cell r="D777">
            <v>2.1800000000000002</v>
          </cell>
          <cell r="E777">
            <v>5.81</v>
          </cell>
          <cell r="L777">
            <v>1643.29</v>
          </cell>
          <cell r="M777">
            <v>2320.04</v>
          </cell>
          <cell r="N777">
            <v>5910</v>
          </cell>
          <cell r="O777">
            <v>4919</v>
          </cell>
          <cell r="Q777">
            <v>700</v>
          </cell>
          <cell r="R777">
            <v>497.75</v>
          </cell>
          <cell r="S777">
            <v>1007</v>
          </cell>
          <cell r="T777">
            <v>1321</v>
          </cell>
          <cell r="U777">
            <v>13021.96</v>
          </cell>
          <cell r="V777">
            <v>22921.67</v>
          </cell>
          <cell r="W777">
            <v>7553.3</v>
          </cell>
          <cell r="X777">
            <v>91.85</v>
          </cell>
          <cell r="Y777">
            <v>1455</v>
          </cell>
          <cell r="Z777">
            <v>1730</v>
          </cell>
          <cell r="AA777">
            <v>16608.009999999998</v>
          </cell>
          <cell r="AB777">
            <v>5669.4</v>
          </cell>
          <cell r="AC777">
            <v>61805.468800000002</v>
          </cell>
          <cell r="AE777">
            <v>108.15</v>
          </cell>
          <cell r="AF777">
            <v>880</v>
          </cell>
          <cell r="AG777">
            <v>6712</v>
          </cell>
          <cell r="AH777">
            <v>1040</v>
          </cell>
          <cell r="AI777">
            <v>1730</v>
          </cell>
          <cell r="AJ777">
            <v>636.29</v>
          </cell>
          <cell r="AL777">
            <v>1348.86</v>
          </cell>
          <cell r="AP777">
            <v>4599.6959999999999</v>
          </cell>
          <cell r="AV777">
            <v>56.94</v>
          </cell>
          <cell r="AZ777">
            <v>294.8</v>
          </cell>
          <cell r="BE777">
            <v>27885</v>
          </cell>
          <cell r="BG777">
            <v>127.55</v>
          </cell>
          <cell r="BH777">
            <v>613.86</v>
          </cell>
          <cell r="BY777">
            <v>352.82</v>
          </cell>
          <cell r="CD777">
            <v>364.05</v>
          </cell>
          <cell r="CE777">
            <v>352.33199999999999</v>
          </cell>
          <cell r="CF777">
            <v>439.01</v>
          </cell>
          <cell r="CG777">
            <v>1635</v>
          </cell>
          <cell r="CH777">
            <v>1230</v>
          </cell>
          <cell r="CI777">
            <v>127</v>
          </cell>
          <cell r="CJ777">
            <v>325</v>
          </cell>
          <cell r="CK777">
            <v>1065</v>
          </cell>
          <cell r="CM777">
            <v>236.8</v>
          </cell>
          <cell r="CN777">
            <v>20.079999999999998</v>
          </cell>
          <cell r="CO777">
            <v>14.6</v>
          </cell>
          <cell r="CQ777">
            <v>8.3699999999999992</v>
          </cell>
          <cell r="CR777">
            <v>75</v>
          </cell>
          <cell r="CS777">
            <v>3082</v>
          </cell>
          <cell r="CU777">
            <v>1780</v>
          </cell>
          <cell r="CW777">
            <v>68.445121951219519</v>
          </cell>
          <cell r="CX777">
            <v>853.16399999999999</v>
          </cell>
          <cell r="CZ777">
            <v>375.37</v>
          </cell>
          <cell r="DA777">
            <v>3859.3</v>
          </cell>
          <cell r="DB777">
            <v>14.55</v>
          </cell>
          <cell r="DC777">
            <v>431.5</v>
          </cell>
          <cell r="DD777">
            <v>147.94999999999999</v>
          </cell>
        </row>
        <row r="778">
          <cell r="A778">
            <v>39491</v>
          </cell>
          <cell r="C778">
            <v>28</v>
          </cell>
          <cell r="D778">
            <v>2.16</v>
          </cell>
          <cell r="E778">
            <v>5.68</v>
          </cell>
          <cell r="L778">
            <v>1631.78</v>
          </cell>
          <cell r="M778">
            <v>2373.9299999999998</v>
          </cell>
          <cell r="N778">
            <v>5880.1</v>
          </cell>
          <cell r="O778">
            <v>4919</v>
          </cell>
          <cell r="Q778">
            <v>700</v>
          </cell>
          <cell r="R778">
            <v>497</v>
          </cell>
          <cell r="S778">
            <v>991.5</v>
          </cell>
          <cell r="T778">
            <v>1328.5</v>
          </cell>
          <cell r="U778">
            <v>13068.3</v>
          </cell>
          <cell r="V778">
            <v>23169.55</v>
          </cell>
          <cell r="W778">
            <v>7550.55</v>
          </cell>
          <cell r="X778">
            <v>91.8</v>
          </cell>
          <cell r="Y778">
            <v>1455</v>
          </cell>
          <cell r="Z778">
            <v>1730</v>
          </cell>
          <cell r="AA778">
            <v>16949.14</v>
          </cell>
          <cell r="AB778">
            <v>5615.3</v>
          </cell>
          <cell r="AC778">
            <v>62590.648399999998</v>
          </cell>
          <cell r="AE778">
            <v>108.45</v>
          </cell>
          <cell r="AF778">
            <v>880</v>
          </cell>
          <cell r="AG778">
            <v>6965</v>
          </cell>
          <cell r="AH778">
            <v>1040</v>
          </cell>
          <cell r="AI778">
            <v>1730</v>
          </cell>
          <cell r="AJ778">
            <v>635.89</v>
          </cell>
          <cell r="AL778">
            <v>1367.21</v>
          </cell>
          <cell r="AP778">
            <v>4490.7209999999995</v>
          </cell>
          <cell r="AV778">
            <v>56.82</v>
          </cell>
          <cell r="AZ778">
            <v>293.39999999999998</v>
          </cell>
          <cell r="BE778">
            <v>27778</v>
          </cell>
          <cell r="BG778">
            <v>127.55</v>
          </cell>
          <cell r="BH778">
            <v>615.47</v>
          </cell>
          <cell r="BY778">
            <v>363.49</v>
          </cell>
          <cell r="CD778">
            <v>366.08</v>
          </cell>
          <cell r="CE778">
            <v>354.13299999999998</v>
          </cell>
          <cell r="CF778">
            <v>442.27</v>
          </cell>
          <cell r="CG778">
            <v>1635</v>
          </cell>
          <cell r="CH778">
            <v>1230</v>
          </cell>
          <cell r="CI778">
            <v>127</v>
          </cell>
          <cell r="CJ778">
            <v>325</v>
          </cell>
          <cell r="CK778">
            <v>1053</v>
          </cell>
          <cell r="CM778">
            <v>238.99</v>
          </cell>
          <cell r="CN778">
            <v>19.97</v>
          </cell>
          <cell r="CO778">
            <v>14.9</v>
          </cell>
          <cell r="CQ778">
            <v>8.35</v>
          </cell>
          <cell r="CR778">
            <v>75</v>
          </cell>
          <cell r="CS778">
            <v>3039</v>
          </cell>
          <cell r="CU778">
            <v>1780</v>
          </cell>
          <cell r="CW778">
            <v>70.960365853658544</v>
          </cell>
          <cell r="CX778">
            <v>852.57900000000006</v>
          </cell>
          <cell r="CZ778">
            <v>376.94</v>
          </cell>
          <cell r="DA778">
            <v>3833.5</v>
          </cell>
          <cell r="DB778">
            <v>14.56</v>
          </cell>
          <cell r="DC778">
            <v>439.05</v>
          </cell>
          <cell r="DD778">
            <v>149.5</v>
          </cell>
        </row>
        <row r="779">
          <cell r="A779">
            <v>39492</v>
          </cell>
          <cell r="C779">
            <v>28</v>
          </cell>
          <cell r="D779">
            <v>2.15</v>
          </cell>
          <cell r="E779">
            <v>5.54</v>
          </cell>
          <cell r="L779">
            <v>1697.45</v>
          </cell>
          <cell r="M779">
            <v>2332.54</v>
          </cell>
          <cell r="N779">
            <v>5879.3</v>
          </cell>
          <cell r="O779">
            <v>4919</v>
          </cell>
          <cell r="Q779">
            <v>700</v>
          </cell>
          <cell r="R779">
            <v>511</v>
          </cell>
          <cell r="S779">
            <v>1032</v>
          </cell>
          <cell r="T779">
            <v>1368</v>
          </cell>
          <cell r="U779">
            <v>13626.45</v>
          </cell>
          <cell r="V779">
            <v>24021.68</v>
          </cell>
          <cell r="W779">
            <v>7865.28</v>
          </cell>
          <cell r="X779">
            <v>93.65</v>
          </cell>
          <cell r="Y779">
            <v>1455</v>
          </cell>
          <cell r="Z779">
            <v>1730</v>
          </cell>
          <cell r="AA779">
            <v>17766.63</v>
          </cell>
          <cell r="AB779">
            <v>5748.2</v>
          </cell>
          <cell r="AC779">
            <v>61818.988299999997</v>
          </cell>
          <cell r="AE779">
            <v>110.15</v>
          </cell>
          <cell r="AF779">
            <v>880</v>
          </cell>
          <cell r="AG779">
            <v>7212</v>
          </cell>
          <cell r="AH779">
            <v>1040</v>
          </cell>
          <cell r="AI779">
            <v>1730</v>
          </cell>
          <cell r="AJ779">
            <v>649.53</v>
          </cell>
          <cell r="AL779">
            <v>1348.86</v>
          </cell>
          <cell r="AP779">
            <v>4552.3159999999998</v>
          </cell>
          <cell r="AV779">
            <v>57.36</v>
          </cell>
          <cell r="AZ779">
            <v>296.2</v>
          </cell>
          <cell r="BE779">
            <v>27687</v>
          </cell>
          <cell r="BG779">
            <v>127.55</v>
          </cell>
          <cell r="BH779">
            <v>623.1</v>
          </cell>
          <cell r="BY779">
            <v>353.26</v>
          </cell>
          <cell r="CD779">
            <v>367.08</v>
          </cell>
          <cell r="CE779">
            <v>354.25200000000001</v>
          </cell>
          <cell r="CF779">
            <v>459.96</v>
          </cell>
          <cell r="CG779">
            <v>1635</v>
          </cell>
          <cell r="CH779">
            <v>1230</v>
          </cell>
          <cell r="CI779">
            <v>127</v>
          </cell>
          <cell r="CJ779">
            <v>325</v>
          </cell>
          <cell r="CK779">
            <v>1058</v>
          </cell>
          <cell r="CM779">
            <v>247.61</v>
          </cell>
          <cell r="CN779">
            <v>20.61</v>
          </cell>
          <cell r="CO779">
            <v>15.2</v>
          </cell>
          <cell r="CQ779">
            <v>8.5</v>
          </cell>
          <cell r="CR779">
            <v>75</v>
          </cell>
          <cell r="CS779">
            <v>3023.75</v>
          </cell>
          <cell r="CU779">
            <v>1780</v>
          </cell>
          <cell r="CW779">
            <v>72.78963414634147</v>
          </cell>
          <cell r="CX779">
            <v>855.85500000000002</v>
          </cell>
          <cell r="CZ779">
            <v>384.39</v>
          </cell>
          <cell r="DA779">
            <v>3839.4</v>
          </cell>
          <cell r="DB779">
            <v>15.06</v>
          </cell>
          <cell r="DC779">
            <v>441.15</v>
          </cell>
          <cell r="DD779">
            <v>152.6</v>
          </cell>
        </row>
        <row r="780">
          <cell r="A780">
            <v>39493</v>
          </cell>
          <cell r="C780">
            <v>28</v>
          </cell>
          <cell r="D780">
            <v>2.13</v>
          </cell>
          <cell r="E780">
            <v>5.46</v>
          </cell>
          <cell r="L780">
            <v>1694.77</v>
          </cell>
          <cell r="M780">
            <v>2321.8000000000002</v>
          </cell>
          <cell r="N780">
            <v>5787.6</v>
          </cell>
          <cell r="O780">
            <v>4919</v>
          </cell>
          <cell r="Q780">
            <v>700</v>
          </cell>
          <cell r="R780">
            <v>514.75</v>
          </cell>
          <cell r="S780">
            <v>1027.5</v>
          </cell>
          <cell r="T780">
            <v>1373.75</v>
          </cell>
          <cell r="U780">
            <v>13622.56</v>
          </cell>
          <cell r="V780">
            <v>24148.43</v>
          </cell>
          <cell r="W780">
            <v>7876.37</v>
          </cell>
          <cell r="X780">
            <v>96.35</v>
          </cell>
          <cell r="Y780">
            <v>1455</v>
          </cell>
          <cell r="Z780">
            <v>1730</v>
          </cell>
          <cell r="AA780">
            <v>18115.25</v>
          </cell>
          <cell r="AB780">
            <v>5679.8</v>
          </cell>
          <cell r="AC780">
            <v>61271.871099999997</v>
          </cell>
          <cell r="AE780">
            <v>111.85</v>
          </cell>
          <cell r="AF780">
            <v>880</v>
          </cell>
          <cell r="AG780">
            <v>7355</v>
          </cell>
          <cell r="AH780">
            <v>1040</v>
          </cell>
          <cell r="AI780">
            <v>1735</v>
          </cell>
          <cell r="AJ780">
            <v>651.57000000000005</v>
          </cell>
          <cell r="AL780">
            <v>1349.99</v>
          </cell>
          <cell r="AP780">
            <v>4497.1270000000004</v>
          </cell>
          <cell r="AV780">
            <v>57.22</v>
          </cell>
          <cell r="AZ780">
            <v>294</v>
          </cell>
          <cell r="BE780">
            <v>27402</v>
          </cell>
          <cell r="BG780">
            <v>142</v>
          </cell>
          <cell r="BH780">
            <v>616.29999999999995</v>
          </cell>
          <cell r="BY780">
            <v>347.56</v>
          </cell>
          <cell r="CD780">
            <v>365.55</v>
          </cell>
          <cell r="CE780">
            <v>352.67</v>
          </cell>
          <cell r="CF780">
            <v>463.11</v>
          </cell>
          <cell r="CG780">
            <v>1635</v>
          </cell>
          <cell r="CH780">
            <v>1220</v>
          </cell>
          <cell r="CI780">
            <v>127</v>
          </cell>
          <cell r="CJ780">
            <v>325</v>
          </cell>
          <cell r="CK780">
            <v>1060</v>
          </cell>
          <cell r="CM780">
            <v>249.38</v>
          </cell>
          <cell r="CN780">
            <v>20.89</v>
          </cell>
          <cell r="CO780">
            <v>15.35</v>
          </cell>
          <cell r="CQ780">
            <v>8.73</v>
          </cell>
          <cell r="CR780">
            <v>75</v>
          </cell>
          <cell r="CS780">
            <v>2979</v>
          </cell>
          <cell r="CU780">
            <v>1735</v>
          </cell>
          <cell r="CW780">
            <v>73.856707317073173</v>
          </cell>
          <cell r="CX780">
            <v>858.13649999999996</v>
          </cell>
          <cell r="CZ780">
            <v>384.23</v>
          </cell>
          <cell r="DA780">
            <v>3843.1</v>
          </cell>
          <cell r="DB780">
            <v>15.21</v>
          </cell>
          <cell r="DC780">
            <v>451.7</v>
          </cell>
          <cell r="DD780">
            <v>149.85</v>
          </cell>
        </row>
        <row r="781">
          <cell r="A781">
            <v>39494</v>
          </cell>
          <cell r="C781">
            <v>28</v>
          </cell>
          <cell r="D781">
            <v>2.13</v>
          </cell>
          <cell r="E781">
            <v>5.46</v>
          </cell>
          <cell r="L781">
            <v>1694.77</v>
          </cell>
          <cell r="M781">
            <v>2321.8000000000002</v>
          </cell>
          <cell r="N781">
            <v>5787.6</v>
          </cell>
          <cell r="O781">
            <v>4919</v>
          </cell>
          <cell r="Q781">
            <v>700</v>
          </cell>
          <cell r="R781">
            <v>514.75</v>
          </cell>
          <cell r="S781">
            <v>1027.5</v>
          </cell>
          <cell r="T781">
            <v>1373.75</v>
          </cell>
          <cell r="U781">
            <v>13622.56</v>
          </cell>
          <cell r="V781">
            <v>24148.43</v>
          </cell>
          <cell r="W781">
            <v>7876.37</v>
          </cell>
          <cell r="X781">
            <v>96.35</v>
          </cell>
          <cell r="Y781">
            <v>1455</v>
          </cell>
          <cell r="Z781">
            <v>1730</v>
          </cell>
          <cell r="AA781">
            <v>18115.25</v>
          </cell>
          <cell r="AB781">
            <v>5679.8</v>
          </cell>
          <cell r="AC781">
            <v>61271.871099999997</v>
          </cell>
          <cell r="AE781">
            <v>111.85</v>
          </cell>
          <cell r="AF781">
            <v>880</v>
          </cell>
          <cell r="AG781">
            <v>7355</v>
          </cell>
          <cell r="AH781">
            <v>1040</v>
          </cell>
          <cell r="AI781">
            <v>1735</v>
          </cell>
          <cell r="AJ781">
            <v>651.57000000000005</v>
          </cell>
          <cell r="AL781">
            <v>1349.99</v>
          </cell>
          <cell r="AP781">
            <v>4497.1270000000004</v>
          </cell>
          <cell r="AV781">
            <v>57.22</v>
          </cell>
          <cell r="AZ781">
            <v>294</v>
          </cell>
          <cell r="BE781">
            <v>27402</v>
          </cell>
          <cell r="BG781">
            <v>142</v>
          </cell>
          <cell r="BH781">
            <v>616.29999999999995</v>
          </cell>
          <cell r="BY781">
            <v>347.56</v>
          </cell>
          <cell r="CD781">
            <v>365.55</v>
          </cell>
          <cell r="CE781">
            <v>352.67</v>
          </cell>
          <cell r="CF781">
            <v>463.11</v>
          </cell>
          <cell r="CG781">
            <v>1635</v>
          </cell>
          <cell r="CH781">
            <v>1220</v>
          </cell>
          <cell r="CI781">
            <v>127</v>
          </cell>
          <cell r="CJ781">
            <v>325</v>
          </cell>
          <cell r="CK781">
            <v>1060</v>
          </cell>
          <cell r="CM781">
            <v>249.38</v>
          </cell>
          <cell r="CN781">
            <v>20.89</v>
          </cell>
          <cell r="CO781">
            <v>15.35</v>
          </cell>
          <cell r="CQ781">
            <v>8.73</v>
          </cell>
          <cell r="CR781">
            <v>75</v>
          </cell>
          <cell r="CS781">
            <v>2979</v>
          </cell>
          <cell r="CU781">
            <v>1735</v>
          </cell>
          <cell r="CW781">
            <v>73.856707317073173</v>
          </cell>
          <cell r="CX781">
            <v>858.13649999999996</v>
          </cell>
          <cell r="CZ781">
            <v>384.23</v>
          </cell>
          <cell r="DA781">
            <v>3843.1</v>
          </cell>
          <cell r="DB781">
            <v>15.21</v>
          </cell>
          <cell r="DC781">
            <v>451.7</v>
          </cell>
          <cell r="DD781">
            <v>149.85</v>
          </cell>
        </row>
        <row r="782">
          <cell r="A782">
            <v>39495</v>
          </cell>
          <cell r="C782">
            <v>28</v>
          </cell>
          <cell r="D782">
            <v>2.13</v>
          </cell>
          <cell r="E782">
            <v>5.46</v>
          </cell>
          <cell r="L782">
            <v>1694.77</v>
          </cell>
          <cell r="M782">
            <v>2321.8000000000002</v>
          </cell>
          <cell r="N782">
            <v>5787.6</v>
          </cell>
          <cell r="O782">
            <v>4919</v>
          </cell>
          <cell r="Q782">
            <v>700</v>
          </cell>
          <cell r="R782">
            <v>514.75</v>
          </cell>
          <cell r="S782">
            <v>1027.5</v>
          </cell>
          <cell r="T782">
            <v>1373.75</v>
          </cell>
          <cell r="U782">
            <v>13622.56</v>
          </cell>
          <cell r="V782">
            <v>24148.43</v>
          </cell>
          <cell r="W782">
            <v>7876.37</v>
          </cell>
          <cell r="X782">
            <v>96.35</v>
          </cell>
          <cell r="Y782">
            <v>1455</v>
          </cell>
          <cell r="Z782">
            <v>1730</v>
          </cell>
          <cell r="AA782">
            <v>18115.25</v>
          </cell>
          <cell r="AB782">
            <v>5679.8</v>
          </cell>
          <cell r="AC782">
            <v>61271.871099999997</v>
          </cell>
          <cell r="AE782">
            <v>111.85</v>
          </cell>
          <cell r="AF782">
            <v>880</v>
          </cell>
          <cell r="AG782">
            <v>7355</v>
          </cell>
          <cell r="AH782">
            <v>1040</v>
          </cell>
          <cell r="AI782">
            <v>1735</v>
          </cell>
          <cell r="AJ782">
            <v>651.57000000000005</v>
          </cell>
          <cell r="AL782">
            <v>1349.99</v>
          </cell>
          <cell r="AP782">
            <v>4497.1270000000004</v>
          </cell>
          <cell r="AV782">
            <v>57.22</v>
          </cell>
          <cell r="AZ782">
            <v>294</v>
          </cell>
          <cell r="BE782">
            <v>27402</v>
          </cell>
          <cell r="BG782">
            <v>142</v>
          </cell>
          <cell r="BH782">
            <v>616.29999999999995</v>
          </cell>
          <cell r="BY782">
            <v>347.56</v>
          </cell>
          <cell r="CD782">
            <v>365.55</v>
          </cell>
          <cell r="CE782">
            <v>352.67</v>
          </cell>
          <cell r="CF782">
            <v>463.11</v>
          </cell>
          <cell r="CG782">
            <v>1635</v>
          </cell>
          <cell r="CH782">
            <v>1220</v>
          </cell>
          <cell r="CI782">
            <v>127</v>
          </cell>
          <cell r="CJ782">
            <v>325</v>
          </cell>
          <cell r="CK782">
            <v>1060</v>
          </cell>
          <cell r="CM782">
            <v>249.38</v>
          </cell>
          <cell r="CN782">
            <v>20.89</v>
          </cell>
          <cell r="CO782">
            <v>15.35</v>
          </cell>
          <cell r="CQ782">
            <v>8.73</v>
          </cell>
          <cell r="CR782">
            <v>75</v>
          </cell>
          <cell r="CS782">
            <v>2979</v>
          </cell>
          <cell r="CU782">
            <v>1735</v>
          </cell>
          <cell r="CW782">
            <v>73.856707317073173</v>
          </cell>
          <cell r="CX782">
            <v>858.13649999999996</v>
          </cell>
          <cell r="CZ782">
            <v>384.23</v>
          </cell>
          <cell r="DA782">
            <v>3843.1</v>
          </cell>
          <cell r="DB782">
            <v>15.21</v>
          </cell>
          <cell r="DC782">
            <v>451.7</v>
          </cell>
          <cell r="DD782">
            <v>149.85</v>
          </cell>
        </row>
        <row r="783">
          <cell r="A783">
            <v>39496</v>
          </cell>
          <cell r="C783">
            <v>28</v>
          </cell>
          <cell r="D783">
            <v>2.12</v>
          </cell>
          <cell r="E783">
            <v>5.46</v>
          </cell>
          <cell r="L783">
            <v>1696.24</v>
          </cell>
          <cell r="M783">
            <v>2321.8000000000002</v>
          </cell>
          <cell r="N783">
            <v>5946.6</v>
          </cell>
          <cell r="O783">
            <v>5008</v>
          </cell>
          <cell r="Q783">
            <v>700</v>
          </cell>
          <cell r="R783">
            <v>514.75</v>
          </cell>
          <cell r="S783">
            <v>1027.5</v>
          </cell>
          <cell r="T783">
            <v>1373.75</v>
          </cell>
          <cell r="U783">
            <v>13635.4</v>
          </cell>
          <cell r="V783">
            <v>23759.25</v>
          </cell>
          <cell r="W783">
            <v>7890.9</v>
          </cell>
          <cell r="X783">
            <v>96.25</v>
          </cell>
          <cell r="Y783">
            <v>1455</v>
          </cell>
          <cell r="Z783">
            <v>1730</v>
          </cell>
          <cell r="AA783">
            <v>18048.05</v>
          </cell>
          <cell r="AB783">
            <v>5634</v>
          </cell>
          <cell r="AC783">
            <v>62801.429700000001</v>
          </cell>
          <cell r="AE783">
            <v>112.05</v>
          </cell>
          <cell r="AF783">
            <v>880</v>
          </cell>
          <cell r="AG783">
            <v>7381</v>
          </cell>
          <cell r="AH783">
            <v>1040</v>
          </cell>
          <cell r="AI783">
            <v>1735</v>
          </cell>
          <cell r="AJ783">
            <v>654.71</v>
          </cell>
          <cell r="AL783">
            <v>1349.99</v>
          </cell>
          <cell r="AP783">
            <v>4568.1509999999998</v>
          </cell>
          <cell r="AV783">
            <v>57.22</v>
          </cell>
          <cell r="AZ783">
            <v>296.2</v>
          </cell>
          <cell r="BE783">
            <v>27420</v>
          </cell>
          <cell r="BG783">
            <v>142</v>
          </cell>
          <cell r="BH783">
            <v>628.05999999999995</v>
          </cell>
          <cell r="BY783">
            <v>347.56</v>
          </cell>
          <cell r="CD783">
            <v>367.28</v>
          </cell>
          <cell r="CE783">
            <v>354.23200000000003</v>
          </cell>
          <cell r="CF783">
            <v>460.55</v>
          </cell>
          <cell r="CG783">
            <v>1635</v>
          </cell>
          <cell r="CH783">
            <v>1220</v>
          </cell>
          <cell r="CI783">
            <v>127</v>
          </cell>
          <cell r="CJ783">
            <v>325</v>
          </cell>
          <cell r="CK783">
            <v>1066</v>
          </cell>
          <cell r="CM783">
            <v>249.38</v>
          </cell>
          <cell r="CN783">
            <v>20.96</v>
          </cell>
          <cell r="CO783">
            <v>15.3</v>
          </cell>
          <cell r="CQ783">
            <v>8.73</v>
          </cell>
          <cell r="CR783">
            <v>75</v>
          </cell>
          <cell r="CS783">
            <v>3038</v>
          </cell>
          <cell r="CU783">
            <v>1735</v>
          </cell>
          <cell r="CW783">
            <v>72.78963414634147</v>
          </cell>
          <cell r="CX783">
            <v>857.20050000000003</v>
          </cell>
          <cell r="CZ783">
            <v>384.23</v>
          </cell>
          <cell r="DA783">
            <v>3917.1</v>
          </cell>
          <cell r="DB783">
            <v>15.21</v>
          </cell>
          <cell r="DC783">
            <v>451.7</v>
          </cell>
          <cell r="DD783">
            <v>149.85</v>
          </cell>
        </row>
        <row r="784">
          <cell r="A784">
            <v>39497</v>
          </cell>
          <cell r="C784">
            <v>28</v>
          </cell>
          <cell r="D784">
            <v>2.09</v>
          </cell>
          <cell r="E784">
            <v>5.43</v>
          </cell>
          <cell r="L784">
            <v>1720.52</v>
          </cell>
          <cell r="M784">
            <v>2306.1999999999998</v>
          </cell>
          <cell r="N784">
            <v>5966.9</v>
          </cell>
          <cell r="O784">
            <v>5061</v>
          </cell>
          <cell r="Q784">
            <v>700</v>
          </cell>
          <cell r="R784">
            <v>520</v>
          </cell>
          <cell r="S784">
            <v>1036</v>
          </cell>
          <cell r="T784">
            <v>1398.5</v>
          </cell>
          <cell r="U784">
            <v>13757.91</v>
          </cell>
          <cell r="V784">
            <v>24123.17</v>
          </cell>
          <cell r="W784">
            <v>8024.41</v>
          </cell>
          <cell r="X784">
            <v>96.35</v>
          </cell>
          <cell r="Y784">
            <v>1455</v>
          </cell>
          <cell r="Z784">
            <v>1730</v>
          </cell>
          <cell r="AA784">
            <v>18075.66</v>
          </cell>
          <cell r="AB784">
            <v>5688.6</v>
          </cell>
          <cell r="AC784">
            <v>62296.539100000002</v>
          </cell>
          <cell r="AE784">
            <v>113.2</v>
          </cell>
          <cell r="AF784">
            <v>880</v>
          </cell>
          <cell r="AG784">
            <v>7319</v>
          </cell>
          <cell r="AH784">
            <v>1040</v>
          </cell>
          <cell r="AI784">
            <v>1735</v>
          </cell>
          <cell r="AJ784">
            <v>660.75</v>
          </cell>
          <cell r="AL784">
            <v>1348.78</v>
          </cell>
          <cell r="AP784">
            <v>4664.2950000000001</v>
          </cell>
          <cell r="AV784">
            <v>58.34</v>
          </cell>
          <cell r="AZ784">
            <v>301.10000000000002</v>
          </cell>
          <cell r="BE784">
            <v>27975</v>
          </cell>
          <cell r="BG784">
            <v>142</v>
          </cell>
          <cell r="BH784">
            <v>646.17999999999995</v>
          </cell>
          <cell r="BY784">
            <v>343.01</v>
          </cell>
          <cell r="CD784">
            <v>369.42</v>
          </cell>
          <cell r="CE784">
            <v>356.08100000000002</v>
          </cell>
          <cell r="CF784">
            <v>467.09</v>
          </cell>
          <cell r="CG784">
            <v>1635</v>
          </cell>
          <cell r="CH784">
            <v>1220</v>
          </cell>
          <cell r="CI784">
            <v>127</v>
          </cell>
          <cell r="CJ784">
            <v>325</v>
          </cell>
          <cell r="CK784">
            <v>1067</v>
          </cell>
          <cell r="CM784">
            <v>260.31</v>
          </cell>
          <cell r="CN784">
            <v>21.3</v>
          </cell>
          <cell r="CO784">
            <v>16</v>
          </cell>
          <cell r="CQ784">
            <v>8.91</v>
          </cell>
          <cell r="CR784">
            <v>75</v>
          </cell>
          <cell r="CS784">
            <v>3157</v>
          </cell>
          <cell r="CU784">
            <v>1735</v>
          </cell>
          <cell r="CW784">
            <v>73.399390243902445</v>
          </cell>
          <cell r="CX784">
            <v>862.23149999999998</v>
          </cell>
          <cell r="CZ784">
            <v>395.25</v>
          </cell>
          <cell r="DA784">
            <v>4012.4</v>
          </cell>
          <cell r="DB784">
            <v>15.52</v>
          </cell>
          <cell r="DC784">
            <v>499.3</v>
          </cell>
          <cell r="DD784">
            <v>155.05000000000001</v>
          </cell>
        </row>
        <row r="785">
          <cell r="A785">
            <v>39498</v>
          </cell>
          <cell r="C785">
            <v>28</v>
          </cell>
          <cell r="D785">
            <v>2.0499999999999998</v>
          </cell>
          <cell r="E785">
            <v>5.39</v>
          </cell>
          <cell r="L785">
            <v>1687.91</v>
          </cell>
          <cell r="M785">
            <v>2327.1</v>
          </cell>
          <cell r="N785">
            <v>5893.6</v>
          </cell>
          <cell r="O785">
            <v>5111</v>
          </cell>
          <cell r="Q785">
            <v>700</v>
          </cell>
          <cell r="R785">
            <v>523.5</v>
          </cell>
          <cell r="S785">
            <v>1020</v>
          </cell>
          <cell r="T785">
            <v>1397.75</v>
          </cell>
          <cell r="U785">
            <v>13310.37</v>
          </cell>
          <cell r="V785">
            <v>23590.58</v>
          </cell>
          <cell r="W785">
            <v>7894.47</v>
          </cell>
          <cell r="X785">
            <v>97.75</v>
          </cell>
          <cell r="Y785">
            <v>1455</v>
          </cell>
          <cell r="Z785">
            <v>1730</v>
          </cell>
          <cell r="AA785">
            <v>17617.599999999999</v>
          </cell>
          <cell r="AB785">
            <v>5577.3</v>
          </cell>
          <cell r="AC785">
            <v>63747.488299999997</v>
          </cell>
          <cell r="AE785">
            <v>115.55</v>
          </cell>
          <cell r="AF785">
            <v>880</v>
          </cell>
          <cell r="AG785">
            <v>7081</v>
          </cell>
          <cell r="AH785">
            <v>1040</v>
          </cell>
          <cell r="AI785">
            <v>1735</v>
          </cell>
          <cell r="AJ785">
            <v>652.76</v>
          </cell>
          <cell r="AL785">
            <v>1360.03</v>
          </cell>
          <cell r="AP785">
            <v>4567.0259999999998</v>
          </cell>
          <cell r="AV785">
            <v>57.86</v>
          </cell>
          <cell r="AZ785">
            <v>297.2</v>
          </cell>
          <cell r="BE785">
            <v>27878</v>
          </cell>
          <cell r="BG785">
            <v>142</v>
          </cell>
          <cell r="BH785">
            <v>642.98</v>
          </cell>
          <cell r="BY785">
            <v>352.42</v>
          </cell>
          <cell r="CD785">
            <v>366.6</v>
          </cell>
          <cell r="CE785">
            <v>353.58499999999998</v>
          </cell>
          <cell r="CF785">
            <v>457.29</v>
          </cell>
          <cell r="CG785">
            <v>1635</v>
          </cell>
          <cell r="CH785">
            <v>1220</v>
          </cell>
          <cell r="CI785">
            <v>127</v>
          </cell>
          <cell r="CJ785">
            <v>325</v>
          </cell>
          <cell r="CK785">
            <v>1057</v>
          </cell>
          <cell r="CM785">
            <v>258.52</v>
          </cell>
          <cell r="CN785">
            <v>21.65</v>
          </cell>
          <cell r="CO785">
            <v>15.9</v>
          </cell>
          <cell r="CQ785">
            <v>9.07</v>
          </cell>
          <cell r="CR785">
            <v>75</v>
          </cell>
          <cell r="CS785">
            <v>3290</v>
          </cell>
          <cell r="CU785">
            <v>1735</v>
          </cell>
          <cell r="CW785">
            <v>74.314024390243901</v>
          </cell>
          <cell r="CX785">
            <v>888.86599999999999</v>
          </cell>
          <cell r="CZ785">
            <v>395.45</v>
          </cell>
          <cell r="DA785">
            <v>4008.7</v>
          </cell>
          <cell r="DB785">
            <v>15.59</v>
          </cell>
          <cell r="DC785">
            <v>494.2</v>
          </cell>
          <cell r="DD785">
            <v>154.6</v>
          </cell>
        </row>
        <row r="786">
          <cell r="A786">
            <v>39499</v>
          </cell>
          <cell r="C786">
            <v>28</v>
          </cell>
          <cell r="D786">
            <v>2</v>
          </cell>
          <cell r="E786">
            <v>5.45</v>
          </cell>
          <cell r="L786">
            <v>1704.36</v>
          </cell>
          <cell r="M786">
            <v>2299.7800000000002</v>
          </cell>
          <cell r="N786">
            <v>5932.2</v>
          </cell>
          <cell r="O786">
            <v>5200</v>
          </cell>
          <cell r="Q786">
            <v>700</v>
          </cell>
          <cell r="R786">
            <v>524.5</v>
          </cell>
          <cell r="S786">
            <v>1029.5</v>
          </cell>
          <cell r="T786">
            <v>1405.75</v>
          </cell>
          <cell r="U786">
            <v>13688.28</v>
          </cell>
          <cell r="V786">
            <v>23623</v>
          </cell>
          <cell r="W786">
            <v>8085.93</v>
          </cell>
          <cell r="X786">
            <v>98.55</v>
          </cell>
          <cell r="Y786">
            <v>1455</v>
          </cell>
          <cell r="Z786">
            <v>1730</v>
          </cell>
          <cell r="AA786">
            <v>17734.68</v>
          </cell>
          <cell r="AB786">
            <v>5663</v>
          </cell>
          <cell r="AC786">
            <v>63792.230499999998</v>
          </cell>
          <cell r="AE786">
            <v>117.35</v>
          </cell>
          <cell r="AF786">
            <v>880</v>
          </cell>
          <cell r="AG786">
            <v>6998</v>
          </cell>
          <cell r="AH786">
            <v>1040</v>
          </cell>
          <cell r="AI786">
            <v>1735</v>
          </cell>
          <cell r="AJ786">
            <v>654.41</v>
          </cell>
          <cell r="AL786">
            <v>1342.53</v>
          </cell>
          <cell r="AP786">
            <v>4527.1769999999997</v>
          </cell>
          <cell r="AV786">
            <v>57.15</v>
          </cell>
          <cell r="AZ786">
            <v>305.39999999999998</v>
          </cell>
          <cell r="BE786">
            <v>29035</v>
          </cell>
          <cell r="BG786">
            <v>142</v>
          </cell>
          <cell r="BH786">
            <v>644.94000000000005</v>
          </cell>
          <cell r="BY786">
            <v>351.43</v>
          </cell>
          <cell r="CD786">
            <v>368.08</v>
          </cell>
          <cell r="CE786">
            <v>354.59399999999999</v>
          </cell>
          <cell r="CF786">
            <v>462.04</v>
          </cell>
          <cell r="CG786">
            <v>1635</v>
          </cell>
          <cell r="CH786">
            <v>1220</v>
          </cell>
          <cell r="CI786">
            <v>127</v>
          </cell>
          <cell r="CJ786">
            <v>325</v>
          </cell>
          <cell r="CK786">
            <v>1056</v>
          </cell>
          <cell r="CM786">
            <v>252.2</v>
          </cell>
          <cell r="CN786">
            <v>21.77</v>
          </cell>
          <cell r="CO786">
            <v>15.85</v>
          </cell>
          <cell r="CQ786">
            <v>8.9</v>
          </cell>
          <cell r="CR786">
            <v>75</v>
          </cell>
          <cell r="CS786">
            <v>3353.5</v>
          </cell>
          <cell r="CU786">
            <v>1735</v>
          </cell>
          <cell r="CW786">
            <v>74.923780487804876</v>
          </cell>
          <cell r="CX786">
            <v>896.36800000000005</v>
          </cell>
          <cell r="CZ786">
            <v>396.72</v>
          </cell>
          <cell r="DA786">
            <v>4134.8999999999996</v>
          </cell>
          <cell r="DB786">
            <v>15.78</v>
          </cell>
          <cell r="DC786">
            <v>515.5</v>
          </cell>
          <cell r="DD786">
            <v>156.35</v>
          </cell>
        </row>
        <row r="787">
          <cell r="A787">
            <v>39500</v>
          </cell>
          <cell r="C787">
            <v>28</v>
          </cell>
          <cell r="D787">
            <v>2</v>
          </cell>
          <cell r="E787">
            <v>5.4</v>
          </cell>
          <cell r="L787">
            <v>1686.45</v>
          </cell>
          <cell r="M787">
            <v>2303.35</v>
          </cell>
          <cell r="N787">
            <v>5888.5</v>
          </cell>
          <cell r="O787">
            <v>5234</v>
          </cell>
          <cell r="Q787">
            <v>700</v>
          </cell>
          <cell r="R787">
            <v>522.25</v>
          </cell>
          <cell r="S787">
            <v>1049.5</v>
          </cell>
          <cell r="T787">
            <v>1420</v>
          </cell>
          <cell r="U787">
            <v>13500.46</v>
          </cell>
          <cell r="V787">
            <v>23305.040000000001</v>
          </cell>
          <cell r="W787">
            <v>8108.71</v>
          </cell>
          <cell r="X787">
            <v>96.65</v>
          </cell>
          <cell r="Y787">
            <v>1360</v>
          </cell>
          <cell r="Z787">
            <v>1735</v>
          </cell>
          <cell r="AA787">
            <v>17349.07</v>
          </cell>
          <cell r="AB787">
            <v>5644.5</v>
          </cell>
          <cell r="AC787">
            <v>64608.781300000002</v>
          </cell>
          <cell r="AE787">
            <v>113.85</v>
          </cell>
          <cell r="AF787">
            <v>880</v>
          </cell>
          <cell r="AG787">
            <v>7187</v>
          </cell>
          <cell r="AH787">
            <v>1040</v>
          </cell>
          <cell r="AI787">
            <v>1750</v>
          </cell>
          <cell r="AJ787">
            <v>653.12</v>
          </cell>
          <cell r="AL787">
            <v>1353.11</v>
          </cell>
          <cell r="AP787">
            <v>4370.2849999999999</v>
          </cell>
          <cell r="AV787">
            <v>57.73</v>
          </cell>
          <cell r="AZ787">
            <v>303.60000000000002</v>
          </cell>
          <cell r="BE787">
            <v>28190</v>
          </cell>
          <cell r="BG787">
            <v>135</v>
          </cell>
          <cell r="BH787">
            <v>664.47</v>
          </cell>
          <cell r="BY787">
            <v>351.88</v>
          </cell>
          <cell r="CD787">
            <v>368.28</v>
          </cell>
          <cell r="CE787">
            <v>354.97899999999998</v>
          </cell>
          <cell r="CF787">
            <v>457.62</v>
          </cell>
          <cell r="CG787">
            <v>1640</v>
          </cell>
          <cell r="CH787">
            <v>1170</v>
          </cell>
          <cell r="CI787">
            <v>127</v>
          </cell>
          <cell r="CJ787">
            <v>325</v>
          </cell>
          <cell r="CK787">
            <v>1070</v>
          </cell>
          <cell r="CM787">
            <v>253.37</v>
          </cell>
          <cell r="CN787">
            <v>21.59</v>
          </cell>
          <cell r="CO787">
            <v>16</v>
          </cell>
          <cell r="CQ787">
            <v>8.64</v>
          </cell>
          <cell r="CR787">
            <v>75</v>
          </cell>
          <cell r="CS787">
            <v>3273</v>
          </cell>
          <cell r="CU787">
            <v>1665</v>
          </cell>
          <cell r="CW787">
            <v>73.704268292682926</v>
          </cell>
          <cell r="CX787">
            <v>896.79149999999993</v>
          </cell>
          <cell r="CZ787">
            <v>398.67</v>
          </cell>
          <cell r="DA787">
            <v>4081.4</v>
          </cell>
          <cell r="DB787">
            <v>15.89</v>
          </cell>
          <cell r="DC787">
            <v>515.85</v>
          </cell>
          <cell r="DD787">
            <v>160.15</v>
          </cell>
        </row>
        <row r="788">
          <cell r="A788">
            <v>39501</v>
          </cell>
          <cell r="C788">
            <v>28</v>
          </cell>
          <cell r="D788">
            <v>2</v>
          </cell>
          <cell r="E788">
            <v>5.4</v>
          </cell>
          <cell r="L788">
            <v>1686.45</v>
          </cell>
          <cell r="M788">
            <v>2303.35</v>
          </cell>
          <cell r="N788">
            <v>5888.5</v>
          </cell>
          <cell r="O788">
            <v>5234</v>
          </cell>
          <cell r="Q788">
            <v>700</v>
          </cell>
          <cell r="R788">
            <v>522.25</v>
          </cell>
          <cell r="S788">
            <v>1049.5</v>
          </cell>
          <cell r="T788">
            <v>1420</v>
          </cell>
          <cell r="U788">
            <v>13500.46</v>
          </cell>
          <cell r="V788">
            <v>23305.040000000001</v>
          </cell>
          <cell r="W788">
            <v>8108.71</v>
          </cell>
          <cell r="X788">
            <v>96.65</v>
          </cell>
          <cell r="Y788">
            <v>1360</v>
          </cell>
          <cell r="Z788">
            <v>1735</v>
          </cell>
          <cell r="AA788">
            <v>17349.07</v>
          </cell>
          <cell r="AB788">
            <v>5644.5</v>
          </cell>
          <cell r="AC788">
            <v>64608.781300000002</v>
          </cell>
          <cell r="AE788">
            <v>113.85</v>
          </cell>
          <cell r="AF788">
            <v>880</v>
          </cell>
          <cell r="AG788">
            <v>7187</v>
          </cell>
          <cell r="AH788">
            <v>1040</v>
          </cell>
          <cell r="AI788">
            <v>1750</v>
          </cell>
          <cell r="AJ788">
            <v>653.12</v>
          </cell>
          <cell r="AL788">
            <v>1353.11</v>
          </cell>
          <cell r="AP788">
            <v>4370.2849999999999</v>
          </cell>
          <cell r="AV788">
            <v>57.73</v>
          </cell>
          <cell r="AZ788">
            <v>303.60000000000002</v>
          </cell>
          <cell r="BE788">
            <v>28190</v>
          </cell>
          <cell r="BG788">
            <v>135</v>
          </cell>
          <cell r="BH788">
            <v>664.47</v>
          </cell>
          <cell r="BY788">
            <v>351.88</v>
          </cell>
          <cell r="CD788">
            <v>368.28</v>
          </cell>
          <cell r="CE788">
            <v>354.97899999999998</v>
          </cell>
          <cell r="CF788">
            <v>457.62</v>
          </cell>
          <cell r="CG788">
            <v>1640</v>
          </cell>
          <cell r="CH788">
            <v>1170</v>
          </cell>
          <cell r="CI788">
            <v>127</v>
          </cell>
          <cell r="CJ788">
            <v>325</v>
          </cell>
          <cell r="CK788">
            <v>1070</v>
          </cell>
          <cell r="CM788">
            <v>253.37</v>
          </cell>
          <cell r="CN788">
            <v>21.59</v>
          </cell>
          <cell r="CO788">
            <v>16</v>
          </cell>
          <cell r="CQ788">
            <v>8.64</v>
          </cell>
          <cell r="CR788">
            <v>75</v>
          </cell>
          <cell r="CS788">
            <v>3273</v>
          </cell>
          <cell r="CU788">
            <v>1665</v>
          </cell>
          <cell r="CW788">
            <v>73.704268292682926</v>
          </cell>
          <cell r="CX788">
            <v>896.79149999999993</v>
          </cell>
          <cell r="CZ788">
            <v>398.67</v>
          </cell>
          <cell r="DA788">
            <v>4081.4</v>
          </cell>
          <cell r="DB788">
            <v>15.89</v>
          </cell>
          <cell r="DC788">
            <v>515.85</v>
          </cell>
          <cell r="DD788">
            <v>160.15</v>
          </cell>
        </row>
        <row r="789">
          <cell r="A789">
            <v>39502</v>
          </cell>
          <cell r="C789">
            <v>28</v>
          </cell>
          <cell r="D789">
            <v>2</v>
          </cell>
          <cell r="E789">
            <v>5.4</v>
          </cell>
          <cell r="L789">
            <v>1686.45</v>
          </cell>
          <cell r="M789">
            <v>2303.35</v>
          </cell>
          <cell r="N789">
            <v>5888.5</v>
          </cell>
          <cell r="O789">
            <v>5234</v>
          </cell>
          <cell r="Q789">
            <v>700</v>
          </cell>
          <cell r="R789">
            <v>522.25</v>
          </cell>
          <cell r="S789">
            <v>1049.5</v>
          </cell>
          <cell r="T789">
            <v>1420</v>
          </cell>
          <cell r="U789">
            <v>13500.46</v>
          </cell>
          <cell r="V789">
            <v>23305.040000000001</v>
          </cell>
          <cell r="W789">
            <v>8108.71</v>
          </cell>
          <cell r="X789">
            <v>96.65</v>
          </cell>
          <cell r="Y789">
            <v>1360</v>
          </cell>
          <cell r="Z789">
            <v>1735</v>
          </cell>
          <cell r="AA789">
            <v>17349.07</v>
          </cell>
          <cell r="AB789">
            <v>5644.5</v>
          </cell>
          <cell r="AC789">
            <v>64608.781300000002</v>
          </cell>
          <cell r="AE789">
            <v>113.85</v>
          </cell>
          <cell r="AF789">
            <v>880</v>
          </cell>
          <cell r="AG789">
            <v>7187</v>
          </cell>
          <cell r="AH789">
            <v>1040</v>
          </cell>
          <cell r="AI789">
            <v>1750</v>
          </cell>
          <cell r="AJ789">
            <v>653.12</v>
          </cell>
          <cell r="AL789">
            <v>1353.11</v>
          </cell>
          <cell r="AP789">
            <v>4370.2849999999999</v>
          </cell>
          <cell r="AV789">
            <v>57.73</v>
          </cell>
          <cell r="AZ789">
            <v>303.60000000000002</v>
          </cell>
          <cell r="BE789">
            <v>28190</v>
          </cell>
          <cell r="BG789">
            <v>135</v>
          </cell>
          <cell r="BH789">
            <v>664.47</v>
          </cell>
          <cell r="BY789">
            <v>351.88</v>
          </cell>
          <cell r="CD789">
            <v>368.28</v>
          </cell>
          <cell r="CE789">
            <v>354.97899999999998</v>
          </cell>
          <cell r="CF789">
            <v>457.62</v>
          </cell>
          <cell r="CG789">
            <v>1640</v>
          </cell>
          <cell r="CH789">
            <v>1170</v>
          </cell>
          <cell r="CI789">
            <v>127</v>
          </cell>
          <cell r="CJ789">
            <v>325</v>
          </cell>
          <cell r="CK789">
            <v>1070</v>
          </cell>
          <cell r="CM789">
            <v>253.37</v>
          </cell>
          <cell r="CN789">
            <v>21.59</v>
          </cell>
          <cell r="CO789">
            <v>16</v>
          </cell>
          <cell r="CQ789">
            <v>8.64</v>
          </cell>
          <cell r="CR789">
            <v>75</v>
          </cell>
          <cell r="CS789">
            <v>3273</v>
          </cell>
          <cell r="CU789">
            <v>1665</v>
          </cell>
          <cell r="CW789">
            <v>73.704268292682926</v>
          </cell>
          <cell r="CX789">
            <v>896.79149999999993</v>
          </cell>
          <cell r="CZ789">
            <v>398.67</v>
          </cell>
          <cell r="DA789">
            <v>4081.4</v>
          </cell>
          <cell r="DB789">
            <v>15.89</v>
          </cell>
          <cell r="DC789">
            <v>515.85</v>
          </cell>
          <cell r="DD789">
            <v>160.15</v>
          </cell>
        </row>
        <row r="790">
          <cell r="A790">
            <v>39503</v>
          </cell>
          <cell r="C790">
            <v>28</v>
          </cell>
          <cell r="D790">
            <v>2</v>
          </cell>
          <cell r="E790">
            <v>5.39</v>
          </cell>
          <cell r="L790">
            <v>1709.13</v>
          </cell>
          <cell r="M790">
            <v>2327.48</v>
          </cell>
          <cell r="N790">
            <v>5999.5</v>
          </cell>
          <cell r="O790">
            <v>5289</v>
          </cell>
          <cell r="Q790">
            <v>700</v>
          </cell>
          <cell r="R790">
            <v>533.25</v>
          </cell>
          <cell r="S790">
            <v>1109.5</v>
          </cell>
          <cell r="T790">
            <v>1452</v>
          </cell>
          <cell r="U790">
            <v>13914.57</v>
          </cell>
          <cell r="V790">
            <v>23269.14</v>
          </cell>
          <cell r="W790">
            <v>8286.31</v>
          </cell>
          <cell r="X790">
            <v>97.45</v>
          </cell>
          <cell r="Y790">
            <v>1360</v>
          </cell>
          <cell r="Z790">
            <v>1735</v>
          </cell>
          <cell r="AA790">
            <v>17650.57</v>
          </cell>
          <cell r="AB790">
            <v>5699.8</v>
          </cell>
          <cell r="AC790">
            <v>65000.941400000003</v>
          </cell>
          <cell r="AE790">
            <v>115.6</v>
          </cell>
          <cell r="AF790">
            <v>880</v>
          </cell>
          <cell r="AG790">
            <v>7296</v>
          </cell>
          <cell r="AH790">
            <v>1040</v>
          </cell>
          <cell r="AI790">
            <v>1750</v>
          </cell>
          <cell r="AJ790">
            <v>653.83000000000004</v>
          </cell>
          <cell r="AL790">
            <v>1371.8</v>
          </cell>
          <cell r="AP790">
            <v>4192.5330000000004</v>
          </cell>
          <cell r="AV790">
            <v>58.85</v>
          </cell>
          <cell r="AZ790">
            <v>307.2</v>
          </cell>
          <cell r="BE790">
            <v>28035</v>
          </cell>
          <cell r="BG790">
            <v>135</v>
          </cell>
          <cell r="BH790">
            <v>667.94</v>
          </cell>
          <cell r="BY790">
            <v>356.57</v>
          </cell>
          <cell r="CD790">
            <v>373.84</v>
          </cell>
          <cell r="CE790">
            <v>360.59100000000001</v>
          </cell>
          <cell r="CF790">
            <v>462.49</v>
          </cell>
          <cell r="CG790">
            <v>1640</v>
          </cell>
          <cell r="CH790">
            <v>1170</v>
          </cell>
          <cell r="CI790">
            <v>127</v>
          </cell>
          <cell r="CJ790">
            <v>325</v>
          </cell>
          <cell r="CK790">
            <v>1093</v>
          </cell>
          <cell r="CM790">
            <v>254.19</v>
          </cell>
          <cell r="CN790">
            <v>21.61</v>
          </cell>
          <cell r="CO790">
            <v>15.9</v>
          </cell>
          <cell r="CQ790">
            <v>9.14</v>
          </cell>
          <cell r="CR790">
            <v>75</v>
          </cell>
          <cell r="CS790">
            <v>3233</v>
          </cell>
          <cell r="CU790">
            <v>1665</v>
          </cell>
          <cell r="CW790">
            <v>73.704268292682926</v>
          </cell>
          <cell r="CX790">
            <v>897.09400000000005</v>
          </cell>
          <cell r="CZ790">
            <v>401.26</v>
          </cell>
          <cell r="DA790">
            <v>4038.8</v>
          </cell>
          <cell r="DB790">
            <v>15.93</v>
          </cell>
          <cell r="DC790">
            <v>524.70000000000005</v>
          </cell>
          <cell r="DD790">
            <v>161.69999999999999</v>
          </cell>
        </row>
        <row r="791">
          <cell r="A791">
            <v>39504</v>
          </cell>
          <cell r="C791">
            <v>28</v>
          </cell>
          <cell r="D791">
            <v>2</v>
          </cell>
          <cell r="E791">
            <v>5.37</v>
          </cell>
          <cell r="L791">
            <v>1709.13</v>
          </cell>
          <cell r="M791">
            <v>2344.9899999999998</v>
          </cell>
          <cell r="N791">
            <v>6087.4</v>
          </cell>
          <cell r="O791">
            <v>5341</v>
          </cell>
          <cell r="Q791">
            <v>700</v>
          </cell>
          <cell r="R791">
            <v>530.5</v>
          </cell>
          <cell r="S791">
            <v>1199.5</v>
          </cell>
          <cell r="T791">
            <v>1466.75</v>
          </cell>
          <cell r="U791">
            <v>13824.72</v>
          </cell>
          <cell r="V791">
            <v>23714.75</v>
          </cell>
          <cell r="W791">
            <v>8307.67</v>
          </cell>
          <cell r="X791">
            <v>97.5</v>
          </cell>
          <cell r="Y791">
            <v>1360</v>
          </cell>
          <cell r="Z791">
            <v>1735</v>
          </cell>
          <cell r="AA791">
            <v>17806.189999999999</v>
          </cell>
          <cell r="AB791">
            <v>5745.8</v>
          </cell>
          <cell r="AC791">
            <v>65182.609400000001</v>
          </cell>
          <cell r="AE791">
            <v>115.15</v>
          </cell>
          <cell r="AF791">
            <v>880</v>
          </cell>
          <cell r="AG791">
            <v>7312</v>
          </cell>
          <cell r="AH791">
            <v>1040</v>
          </cell>
          <cell r="AI791">
            <v>1750</v>
          </cell>
          <cell r="AJ791">
            <v>656.43</v>
          </cell>
          <cell r="AL791">
            <v>1381.29</v>
          </cell>
          <cell r="AP791">
            <v>4238.1790000000001</v>
          </cell>
          <cell r="AV791">
            <v>58.95</v>
          </cell>
          <cell r="AZ791">
            <v>300</v>
          </cell>
          <cell r="BE791">
            <v>27729</v>
          </cell>
          <cell r="BG791">
            <v>135</v>
          </cell>
          <cell r="BH791">
            <v>673.98</v>
          </cell>
          <cell r="BY791">
            <v>362.86</v>
          </cell>
          <cell r="CD791">
            <v>377.75</v>
          </cell>
          <cell r="CE791">
            <v>364.411</v>
          </cell>
          <cell r="CF791">
            <v>465.45</v>
          </cell>
          <cell r="CG791">
            <v>1640</v>
          </cell>
          <cell r="CH791">
            <v>1170</v>
          </cell>
          <cell r="CI791">
            <v>127</v>
          </cell>
          <cell r="CJ791">
            <v>325</v>
          </cell>
          <cell r="CK791">
            <v>1104</v>
          </cell>
          <cell r="CM791">
            <v>255.05</v>
          </cell>
          <cell r="CN791">
            <v>21.65</v>
          </cell>
          <cell r="CO791">
            <v>15.75</v>
          </cell>
          <cell r="CQ791">
            <v>9.23</v>
          </cell>
          <cell r="CR791">
            <v>75</v>
          </cell>
          <cell r="CS791">
            <v>3254</v>
          </cell>
          <cell r="CU791">
            <v>1665</v>
          </cell>
          <cell r="CW791">
            <v>72.484756097560975</v>
          </cell>
          <cell r="CX791">
            <v>902.29700000000003</v>
          </cell>
          <cell r="CZ791">
            <v>405.47</v>
          </cell>
          <cell r="DA791">
            <v>4081.3</v>
          </cell>
          <cell r="DB791">
            <v>16.059999999999999</v>
          </cell>
          <cell r="DC791">
            <v>536.35</v>
          </cell>
          <cell r="DD791">
            <v>158.19999999999999</v>
          </cell>
        </row>
        <row r="792">
          <cell r="A792">
            <v>39505</v>
          </cell>
          <cell r="C792">
            <v>28</v>
          </cell>
          <cell r="D792">
            <v>2.02</v>
          </cell>
          <cell r="E792">
            <v>5.34</v>
          </cell>
          <cell r="L792">
            <v>1720.89</v>
          </cell>
          <cell r="M792">
            <v>2353.7800000000002</v>
          </cell>
          <cell r="N792">
            <v>6076.5</v>
          </cell>
          <cell r="O792">
            <v>5357</v>
          </cell>
          <cell r="Q792">
            <v>700</v>
          </cell>
          <cell r="R792">
            <v>525</v>
          </cell>
          <cell r="S792">
            <v>1280</v>
          </cell>
          <cell r="T792">
            <v>1459</v>
          </cell>
          <cell r="U792">
            <v>14031.3</v>
          </cell>
          <cell r="V792">
            <v>24483.84</v>
          </cell>
          <cell r="W792">
            <v>8462.08</v>
          </cell>
          <cell r="X792">
            <v>98.65</v>
          </cell>
          <cell r="Y792">
            <v>1360</v>
          </cell>
          <cell r="Z792">
            <v>1735</v>
          </cell>
          <cell r="AA792">
            <v>17825.990000000002</v>
          </cell>
          <cell r="AB792">
            <v>5842.5</v>
          </cell>
          <cell r="AC792">
            <v>65494.851600000002</v>
          </cell>
          <cell r="AE792">
            <v>116.85</v>
          </cell>
          <cell r="AF792">
            <v>880</v>
          </cell>
          <cell r="AG792">
            <v>7299</v>
          </cell>
          <cell r="AH792">
            <v>1040</v>
          </cell>
          <cell r="AI792">
            <v>1750</v>
          </cell>
          <cell r="AJ792">
            <v>655.04999999999995</v>
          </cell>
          <cell r="AL792">
            <v>1380.02</v>
          </cell>
          <cell r="AP792">
            <v>4334.0469999999996</v>
          </cell>
          <cell r="AV792">
            <v>59.25</v>
          </cell>
          <cell r="AZ792">
            <v>299</v>
          </cell>
          <cell r="BE792">
            <v>28995</v>
          </cell>
          <cell r="BG792">
            <v>135</v>
          </cell>
          <cell r="BH792">
            <v>679.76</v>
          </cell>
          <cell r="BY792">
            <v>367.26</v>
          </cell>
          <cell r="CD792">
            <v>380.86</v>
          </cell>
          <cell r="CE792">
            <v>367.05200000000002</v>
          </cell>
          <cell r="CF792">
            <v>474.75</v>
          </cell>
          <cell r="CG792">
            <v>1640</v>
          </cell>
          <cell r="CH792">
            <v>1170</v>
          </cell>
          <cell r="CI792">
            <v>127</v>
          </cell>
          <cell r="CJ792">
            <v>325</v>
          </cell>
          <cell r="CK792">
            <v>1127</v>
          </cell>
          <cell r="CM792">
            <v>247.77</v>
          </cell>
          <cell r="CN792">
            <v>21.33</v>
          </cell>
          <cell r="CO792">
            <v>15.5</v>
          </cell>
          <cell r="CQ792">
            <v>9.2100000000000009</v>
          </cell>
          <cell r="CR792">
            <v>75</v>
          </cell>
          <cell r="CS792">
            <v>3360.5</v>
          </cell>
          <cell r="CU792">
            <v>1665</v>
          </cell>
          <cell r="CW792">
            <v>74.009146341463421</v>
          </cell>
          <cell r="CX792">
            <v>915.0625</v>
          </cell>
          <cell r="CZ792">
            <v>405.42</v>
          </cell>
          <cell r="DA792">
            <v>4208.6000000000004</v>
          </cell>
          <cell r="DB792">
            <v>16.22</v>
          </cell>
          <cell r="DC792">
            <v>555.54999999999995</v>
          </cell>
          <cell r="DD792">
            <v>161.5</v>
          </cell>
        </row>
        <row r="793">
          <cell r="A793">
            <v>39506</v>
          </cell>
          <cell r="C793">
            <v>28</v>
          </cell>
          <cell r="D793">
            <v>2.02</v>
          </cell>
          <cell r="E793">
            <v>5.31</v>
          </cell>
          <cell r="L793">
            <v>1736.17</v>
          </cell>
          <cell r="M793">
            <v>2331.5700000000002</v>
          </cell>
          <cell r="N793">
            <v>5965.7</v>
          </cell>
          <cell r="O793">
            <v>5380</v>
          </cell>
          <cell r="Q793">
            <v>700</v>
          </cell>
          <cell r="R793">
            <v>543.25</v>
          </cell>
          <cell r="S793">
            <v>1169</v>
          </cell>
          <cell r="T793">
            <v>1498.5</v>
          </cell>
          <cell r="U793">
            <v>13925.51</v>
          </cell>
          <cell r="V793">
            <v>24591.69</v>
          </cell>
          <cell r="W793">
            <v>8462.08</v>
          </cell>
          <cell r="X793">
            <v>97.15</v>
          </cell>
          <cell r="Y793">
            <v>1360</v>
          </cell>
          <cell r="Z793">
            <v>1735</v>
          </cell>
          <cell r="AA793">
            <v>17824.48</v>
          </cell>
          <cell r="AB793">
            <v>5746.1</v>
          </cell>
          <cell r="AC793">
            <v>65555.078099999999</v>
          </cell>
          <cell r="AE793">
            <v>115.25</v>
          </cell>
          <cell r="AF793">
            <v>880</v>
          </cell>
          <cell r="AG793">
            <v>7332</v>
          </cell>
          <cell r="AH793">
            <v>1040</v>
          </cell>
          <cell r="AI793">
            <v>1750</v>
          </cell>
          <cell r="AJ793">
            <v>659.28</v>
          </cell>
          <cell r="AL793">
            <v>1367.68</v>
          </cell>
          <cell r="AP793">
            <v>4299.5129999999999</v>
          </cell>
          <cell r="AV793">
            <v>59.16</v>
          </cell>
          <cell r="AZ793">
            <v>291</v>
          </cell>
          <cell r="BE793">
            <v>30925</v>
          </cell>
          <cell r="BG793">
            <v>135</v>
          </cell>
          <cell r="BH793">
            <v>705.08</v>
          </cell>
          <cell r="BY793">
            <v>357.82</v>
          </cell>
          <cell r="CD793">
            <v>378.03</v>
          </cell>
          <cell r="CE793">
            <v>363.92099999999999</v>
          </cell>
          <cell r="CF793">
            <v>476.88</v>
          </cell>
          <cell r="CG793">
            <v>1640</v>
          </cell>
          <cell r="CH793">
            <v>1170</v>
          </cell>
          <cell r="CI793">
            <v>127</v>
          </cell>
          <cell r="CJ793">
            <v>325</v>
          </cell>
          <cell r="CK793">
            <v>1151</v>
          </cell>
          <cell r="CM793">
            <v>249.57</v>
          </cell>
          <cell r="CN793">
            <v>21.26</v>
          </cell>
          <cell r="CO793">
            <v>15.5</v>
          </cell>
          <cell r="CQ793">
            <v>9.1199999999999992</v>
          </cell>
          <cell r="CR793">
            <v>75</v>
          </cell>
          <cell r="CS793">
            <v>3410</v>
          </cell>
          <cell r="CU793">
            <v>1665</v>
          </cell>
          <cell r="CW793">
            <v>73.094512195121951</v>
          </cell>
          <cell r="CX793">
            <v>920.62850000000003</v>
          </cell>
          <cell r="CZ793">
            <v>413.48</v>
          </cell>
          <cell r="DA793">
            <v>4297</v>
          </cell>
          <cell r="DB793">
            <v>16.36</v>
          </cell>
          <cell r="DC793">
            <v>585.25</v>
          </cell>
          <cell r="DD793">
            <v>165</v>
          </cell>
        </row>
        <row r="794">
          <cell r="A794">
            <v>39507</v>
          </cell>
          <cell r="C794">
            <v>28</v>
          </cell>
          <cell r="D794">
            <v>2.02</v>
          </cell>
          <cell r="E794">
            <v>5.17</v>
          </cell>
          <cell r="L794">
            <v>1711.62</v>
          </cell>
          <cell r="M794">
            <v>2271.48</v>
          </cell>
          <cell r="N794">
            <v>5884.3</v>
          </cell>
          <cell r="O794">
            <v>5392</v>
          </cell>
          <cell r="Q794">
            <v>700</v>
          </cell>
          <cell r="R794">
            <v>546</v>
          </cell>
          <cell r="S794">
            <v>1073</v>
          </cell>
          <cell r="T794">
            <v>1522</v>
          </cell>
          <cell r="U794">
            <v>13603.02</v>
          </cell>
          <cell r="V794">
            <v>24331.67</v>
          </cell>
          <cell r="W794">
            <v>8412.76</v>
          </cell>
          <cell r="X794">
            <v>97.95</v>
          </cell>
          <cell r="Y794">
            <v>1310</v>
          </cell>
          <cell r="Z794">
            <v>1745</v>
          </cell>
          <cell r="AA794">
            <v>17578.72</v>
          </cell>
          <cell r="AB794">
            <v>5674.7</v>
          </cell>
          <cell r="AC794">
            <v>63489.300799999997</v>
          </cell>
          <cell r="AE794">
            <v>117.55</v>
          </cell>
          <cell r="AF794">
            <v>880</v>
          </cell>
          <cell r="AG794">
            <v>7613</v>
          </cell>
          <cell r="AH794">
            <v>1080</v>
          </cell>
          <cell r="AI794">
            <v>1790</v>
          </cell>
          <cell r="AJ794">
            <v>655.94</v>
          </cell>
          <cell r="AL794">
            <v>1330.63</v>
          </cell>
          <cell r="AP794">
            <v>4348.5429999999997</v>
          </cell>
          <cell r="AV794">
            <v>56.94</v>
          </cell>
          <cell r="AZ794">
            <v>292.5</v>
          </cell>
          <cell r="BE794">
            <v>31325</v>
          </cell>
          <cell r="BG794">
            <v>132.19999999999999</v>
          </cell>
          <cell r="BH794">
            <v>689.94</v>
          </cell>
          <cell r="BY794">
            <v>348.05</v>
          </cell>
          <cell r="CD794">
            <v>370.41</v>
          </cell>
          <cell r="CE794">
            <v>356.60500000000002</v>
          </cell>
          <cell r="CF794">
            <v>471.04</v>
          </cell>
          <cell r="CG794">
            <v>1650</v>
          </cell>
          <cell r="CH794">
            <v>1160</v>
          </cell>
          <cell r="CI794">
            <v>127</v>
          </cell>
          <cell r="CJ794">
            <v>325</v>
          </cell>
          <cell r="CK794">
            <v>1167</v>
          </cell>
          <cell r="CM794">
            <v>251.23</v>
          </cell>
          <cell r="CN794">
            <v>21.44</v>
          </cell>
          <cell r="CO794">
            <v>15.7</v>
          </cell>
          <cell r="CQ794">
            <v>9.09</v>
          </cell>
          <cell r="CR794">
            <v>75</v>
          </cell>
          <cell r="CS794">
            <v>3335</v>
          </cell>
          <cell r="CU794">
            <v>1660</v>
          </cell>
          <cell r="CW794">
            <v>74.923780487804876</v>
          </cell>
          <cell r="CX794">
            <v>918.08749999999998</v>
          </cell>
          <cell r="CZ794">
            <v>412.69</v>
          </cell>
          <cell r="DA794">
            <v>4260.3</v>
          </cell>
          <cell r="DB794">
            <v>16.329999999999998</v>
          </cell>
          <cell r="DC794">
            <v>571.95000000000005</v>
          </cell>
          <cell r="DD794">
            <v>164.6</v>
          </cell>
        </row>
        <row r="795">
          <cell r="A795">
            <v>39508</v>
          </cell>
          <cell r="C795">
            <v>28</v>
          </cell>
          <cell r="D795">
            <v>2.02</v>
          </cell>
          <cell r="E795">
            <v>5.17</v>
          </cell>
          <cell r="L795">
            <v>1711.62</v>
          </cell>
          <cell r="M795">
            <v>2271.48</v>
          </cell>
          <cell r="N795">
            <v>5884.3</v>
          </cell>
          <cell r="O795">
            <v>5392</v>
          </cell>
          <cell r="Q795">
            <v>700</v>
          </cell>
          <cell r="R795">
            <v>546</v>
          </cell>
          <cell r="S795">
            <v>1073</v>
          </cell>
          <cell r="T795">
            <v>1522</v>
          </cell>
          <cell r="U795">
            <v>13603.02</v>
          </cell>
          <cell r="V795">
            <v>24331.67</v>
          </cell>
          <cell r="W795">
            <v>8412.76</v>
          </cell>
          <cell r="X795">
            <v>97.95</v>
          </cell>
          <cell r="Y795">
            <v>1310</v>
          </cell>
          <cell r="Z795">
            <v>1745</v>
          </cell>
          <cell r="AA795">
            <v>17578.72</v>
          </cell>
          <cell r="AB795">
            <v>5674.7</v>
          </cell>
          <cell r="AC795">
            <v>63489.300799999997</v>
          </cell>
          <cell r="AE795">
            <v>117.55</v>
          </cell>
          <cell r="AF795">
            <v>880</v>
          </cell>
          <cell r="AG795">
            <v>7613</v>
          </cell>
          <cell r="AH795">
            <v>1080</v>
          </cell>
          <cell r="AI795">
            <v>1790</v>
          </cell>
          <cell r="AJ795">
            <v>655.94</v>
          </cell>
          <cell r="AL795">
            <v>1330.63</v>
          </cell>
          <cell r="AP795">
            <v>4348.5429999999997</v>
          </cell>
          <cell r="AV795">
            <v>56.94</v>
          </cell>
          <cell r="AZ795">
            <v>292.5</v>
          </cell>
          <cell r="BE795">
            <v>31325</v>
          </cell>
          <cell r="BG795">
            <v>132.19999999999999</v>
          </cell>
          <cell r="BH795">
            <v>689.94</v>
          </cell>
          <cell r="BY795">
            <v>348.05</v>
          </cell>
          <cell r="CD795">
            <v>370.41</v>
          </cell>
          <cell r="CE795">
            <v>356.60500000000002</v>
          </cell>
          <cell r="CF795">
            <v>471.04</v>
          </cell>
          <cell r="CG795">
            <v>1650</v>
          </cell>
          <cell r="CH795">
            <v>1160</v>
          </cell>
          <cell r="CI795">
            <v>127</v>
          </cell>
          <cell r="CJ795">
            <v>325</v>
          </cell>
          <cell r="CK795">
            <v>1167</v>
          </cell>
          <cell r="CM795">
            <v>251.23</v>
          </cell>
          <cell r="CN795">
            <v>21.44</v>
          </cell>
          <cell r="CO795">
            <v>15.7</v>
          </cell>
          <cell r="CQ795">
            <v>9.09</v>
          </cell>
          <cell r="CR795">
            <v>75</v>
          </cell>
          <cell r="CS795">
            <v>3335</v>
          </cell>
          <cell r="CU795">
            <v>1660</v>
          </cell>
          <cell r="CW795">
            <v>74.923780487804876</v>
          </cell>
          <cell r="CX795">
            <v>918.08749999999998</v>
          </cell>
          <cell r="CZ795">
            <v>412.69</v>
          </cell>
          <cell r="DA795">
            <v>4260.3</v>
          </cell>
          <cell r="DB795">
            <v>16.329999999999998</v>
          </cell>
          <cell r="DC795">
            <v>571.95000000000005</v>
          </cell>
          <cell r="DD795">
            <v>164.6</v>
          </cell>
        </row>
        <row r="796">
          <cell r="A796">
            <v>39509</v>
          </cell>
          <cell r="C796">
            <v>28</v>
          </cell>
          <cell r="D796">
            <v>2.02</v>
          </cell>
          <cell r="E796">
            <v>5.17</v>
          </cell>
          <cell r="L796">
            <v>1711.62</v>
          </cell>
          <cell r="M796">
            <v>2271.48</v>
          </cell>
          <cell r="N796">
            <v>5884.3</v>
          </cell>
          <cell r="O796">
            <v>5392</v>
          </cell>
          <cell r="Q796">
            <v>700</v>
          </cell>
          <cell r="R796">
            <v>546</v>
          </cell>
          <cell r="S796">
            <v>1073</v>
          </cell>
          <cell r="T796">
            <v>1522</v>
          </cell>
          <cell r="U796">
            <v>13603.02</v>
          </cell>
          <cell r="V796">
            <v>24331.67</v>
          </cell>
          <cell r="W796">
            <v>8412.76</v>
          </cell>
          <cell r="X796">
            <v>97.95</v>
          </cell>
          <cell r="Y796">
            <v>1310</v>
          </cell>
          <cell r="Z796">
            <v>1745</v>
          </cell>
          <cell r="AA796">
            <v>17578.72</v>
          </cell>
          <cell r="AB796">
            <v>5674.7</v>
          </cell>
          <cell r="AC796">
            <v>63489.300799999997</v>
          </cell>
          <cell r="AE796">
            <v>117.55</v>
          </cell>
          <cell r="AF796">
            <v>880</v>
          </cell>
          <cell r="AG796">
            <v>7613</v>
          </cell>
          <cell r="AH796">
            <v>1080</v>
          </cell>
          <cell r="AI796">
            <v>1790</v>
          </cell>
          <cell r="AJ796">
            <v>655.94</v>
          </cell>
          <cell r="AL796">
            <v>1330.63</v>
          </cell>
          <cell r="AP796">
            <v>4348.5429999999997</v>
          </cell>
          <cell r="AV796">
            <v>56.94</v>
          </cell>
          <cell r="AZ796">
            <v>292.5</v>
          </cell>
          <cell r="BE796">
            <v>31325</v>
          </cell>
          <cell r="BG796">
            <v>132.19999999999999</v>
          </cell>
          <cell r="BH796">
            <v>689.94</v>
          </cell>
          <cell r="BY796">
            <v>348.05</v>
          </cell>
          <cell r="CD796">
            <v>370.41</v>
          </cell>
          <cell r="CE796">
            <v>356.60500000000002</v>
          </cell>
          <cell r="CF796">
            <v>471.04</v>
          </cell>
          <cell r="CG796">
            <v>1650</v>
          </cell>
          <cell r="CH796">
            <v>1160</v>
          </cell>
          <cell r="CI796">
            <v>127</v>
          </cell>
          <cell r="CJ796">
            <v>325</v>
          </cell>
          <cell r="CK796">
            <v>1167</v>
          </cell>
          <cell r="CM796">
            <v>251.23</v>
          </cell>
          <cell r="CN796">
            <v>21.44</v>
          </cell>
          <cell r="CO796">
            <v>15.7</v>
          </cell>
          <cell r="CQ796">
            <v>9.09</v>
          </cell>
          <cell r="CR796">
            <v>75</v>
          </cell>
          <cell r="CS796">
            <v>3335</v>
          </cell>
          <cell r="CU796">
            <v>1660</v>
          </cell>
          <cell r="CW796">
            <v>74.923780487804876</v>
          </cell>
          <cell r="CX796">
            <v>918.08749999999998</v>
          </cell>
          <cell r="CZ796">
            <v>412.69</v>
          </cell>
          <cell r="DA796">
            <v>4260.3</v>
          </cell>
          <cell r="DB796">
            <v>16.329999999999998</v>
          </cell>
          <cell r="DC796">
            <v>571.95000000000005</v>
          </cell>
          <cell r="DD796">
            <v>164.6</v>
          </cell>
        </row>
        <row r="797">
          <cell r="A797">
            <v>39510</v>
          </cell>
          <cell r="C797">
            <v>28</v>
          </cell>
          <cell r="D797">
            <v>2.02</v>
          </cell>
          <cell r="E797">
            <v>5.1100000000000003</v>
          </cell>
          <cell r="L797">
            <v>1671.73</v>
          </cell>
          <cell r="M797">
            <v>2258.6</v>
          </cell>
          <cell r="N797">
            <v>5818.6</v>
          </cell>
          <cell r="O797">
            <v>5481</v>
          </cell>
          <cell r="Q797">
            <v>700</v>
          </cell>
          <cell r="R797">
            <v>566.5</v>
          </cell>
          <cell r="S797">
            <v>1102.5</v>
          </cell>
          <cell r="T797">
            <v>1559.5</v>
          </cell>
          <cell r="U797">
            <v>12992.18</v>
          </cell>
          <cell r="V797">
            <v>23584.97</v>
          </cell>
          <cell r="W797">
            <v>8262.8700000000008</v>
          </cell>
          <cell r="X797">
            <v>98.6</v>
          </cell>
          <cell r="Y797">
            <v>1310</v>
          </cell>
          <cell r="Z797">
            <v>1745</v>
          </cell>
          <cell r="AA797">
            <v>16677.88</v>
          </cell>
          <cell r="AB797">
            <v>5510.7</v>
          </cell>
          <cell r="AC797">
            <v>64490.460899999998</v>
          </cell>
          <cell r="AE797">
            <v>118</v>
          </cell>
          <cell r="AF797">
            <v>880</v>
          </cell>
          <cell r="AG797">
            <v>7878</v>
          </cell>
          <cell r="AH797">
            <v>1080</v>
          </cell>
          <cell r="AI797">
            <v>1790</v>
          </cell>
          <cell r="AJ797">
            <v>644.51</v>
          </cell>
          <cell r="AL797">
            <v>1331.34</v>
          </cell>
          <cell r="AP797">
            <v>4438.2650000000003</v>
          </cell>
          <cell r="AV797">
            <v>56.88</v>
          </cell>
          <cell r="AZ797">
            <v>296.2</v>
          </cell>
          <cell r="BE797">
            <v>33025</v>
          </cell>
          <cell r="BG797">
            <v>132.19999999999999</v>
          </cell>
          <cell r="BH797">
            <v>702.21</v>
          </cell>
          <cell r="BY797">
            <v>345.5</v>
          </cell>
          <cell r="CD797">
            <v>366.46</v>
          </cell>
          <cell r="CE797">
            <v>353.22</v>
          </cell>
          <cell r="CF797">
            <v>454.65</v>
          </cell>
          <cell r="CG797">
            <v>1650</v>
          </cell>
          <cell r="CH797">
            <v>1160</v>
          </cell>
          <cell r="CI797">
            <v>127</v>
          </cell>
          <cell r="CJ797">
            <v>325</v>
          </cell>
          <cell r="CK797">
            <v>1164</v>
          </cell>
          <cell r="CM797">
            <v>267.2</v>
          </cell>
          <cell r="CN797">
            <v>21.13</v>
          </cell>
          <cell r="CO797">
            <v>15</v>
          </cell>
          <cell r="CQ797">
            <v>9.08</v>
          </cell>
          <cell r="CR797">
            <v>75</v>
          </cell>
          <cell r="CS797">
            <v>3423</v>
          </cell>
          <cell r="CU797">
            <v>1660</v>
          </cell>
          <cell r="CW797">
            <v>75.228658536585371</v>
          </cell>
          <cell r="CX797">
            <v>918.6925</v>
          </cell>
          <cell r="CZ797">
            <v>416.74</v>
          </cell>
          <cell r="DA797">
            <v>4351.8</v>
          </cell>
          <cell r="DB797">
            <v>16.7</v>
          </cell>
          <cell r="DC797">
            <v>571.95000000000005</v>
          </cell>
          <cell r="DD797">
            <v>167.55</v>
          </cell>
        </row>
        <row r="798">
          <cell r="A798">
            <v>39511</v>
          </cell>
          <cell r="C798">
            <v>28</v>
          </cell>
          <cell r="D798">
            <v>2.0099999999999998</v>
          </cell>
          <cell r="E798">
            <v>5.1100000000000003</v>
          </cell>
          <cell r="L798">
            <v>1676.18</v>
          </cell>
          <cell r="M798">
            <v>2260.2800000000002</v>
          </cell>
          <cell r="N798">
            <v>5767.7</v>
          </cell>
          <cell r="O798">
            <v>5501</v>
          </cell>
          <cell r="Q798">
            <v>700</v>
          </cell>
          <cell r="R798">
            <v>554.5</v>
          </cell>
          <cell r="S798">
            <v>1087.5</v>
          </cell>
          <cell r="T798">
            <v>1510.75</v>
          </cell>
          <cell r="U798">
            <v>12992.28</v>
          </cell>
          <cell r="V798">
            <v>23119.87</v>
          </cell>
          <cell r="W798">
            <v>8470.11</v>
          </cell>
          <cell r="X798">
            <v>98.75</v>
          </cell>
          <cell r="Y798">
            <v>1310</v>
          </cell>
          <cell r="Z798">
            <v>1745</v>
          </cell>
          <cell r="AA798">
            <v>16339.89</v>
          </cell>
          <cell r="AB798">
            <v>5479.2</v>
          </cell>
          <cell r="AC798">
            <v>63655.539100000002</v>
          </cell>
          <cell r="AE798">
            <v>118.95</v>
          </cell>
          <cell r="AF798">
            <v>880</v>
          </cell>
          <cell r="AG798">
            <v>7993</v>
          </cell>
          <cell r="AH798">
            <v>1080</v>
          </cell>
          <cell r="AI798">
            <v>1790</v>
          </cell>
          <cell r="AJ798">
            <v>645.39</v>
          </cell>
          <cell r="AL798">
            <v>1326.75</v>
          </cell>
          <cell r="AP798">
            <v>4335.4459999999999</v>
          </cell>
          <cell r="AV798">
            <v>56.5</v>
          </cell>
          <cell r="AZ798">
            <v>296.8</v>
          </cell>
          <cell r="BE798">
            <v>32635</v>
          </cell>
          <cell r="BG798">
            <v>132.19999999999999</v>
          </cell>
          <cell r="BH798">
            <v>715.02</v>
          </cell>
          <cell r="BY798">
            <v>348.29</v>
          </cell>
          <cell r="CD798">
            <v>364.16</v>
          </cell>
          <cell r="CE798">
            <v>351.06599999999997</v>
          </cell>
          <cell r="CF798">
            <v>451.73</v>
          </cell>
          <cell r="CG798">
            <v>1650</v>
          </cell>
          <cell r="CH798">
            <v>1160</v>
          </cell>
          <cell r="CI798">
            <v>127</v>
          </cell>
          <cell r="CJ798">
            <v>325</v>
          </cell>
          <cell r="CK798">
            <v>1169</v>
          </cell>
          <cell r="CM798">
            <v>252.91</v>
          </cell>
          <cell r="CN798">
            <v>20.79</v>
          </cell>
          <cell r="CO798">
            <v>15.1</v>
          </cell>
          <cell r="CQ798">
            <v>9.24</v>
          </cell>
          <cell r="CR798">
            <v>75</v>
          </cell>
          <cell r="CS798">
            <v>3365</v>
          </cell>
          <cell r="CU798">
            <v>1660</v>
          </cell>
          <cell r="CW798">
            <v>75.228658536585371</v>
          </cell>
          <cell r="CX798">
            <v>921.11249999999995</v>
          </cell>
          <cell r="CZ798">
            <v>408.84</v>
          </cell>
          <cell r="DA798">
            <v>4290.6000000000004</v>
          </cell>
          <cell r="DB798">
            <v>16.239999999999998</v>
          </cell>
          <cell r="DC798">
            <v>571.95000000000005</v>
          </cell>
          <cell r="DD798">
            <v>165.05</v>
          </cell>
        </row>
        <row r="799">
          <cell r="A799">
            <v>39512</v>
          </cell>
          <cell r="C799">
            <v>28</v>
          </cell>
          <cell r="D799">
            <v>2</v>
          </cell>
          <cell r="E799">
            <v>5.12</v>
          </cell>
          <cell r="L799">
            <v>1677.1</v>
          </cell>
          <cell r="M799">
            <v>2272.81</v>
          </cell>
          <cell r="N799">
            <v>5853.5</v>
          </cell>
          <cell r="O799">
            <v>5496</v>
          </cell>
          <cell r="Q799">
            <v>700</v>
          </cell>
          <cell r="R799">
            <v>567</v>
          </cell>
          <cell r="S799">
            <v>1105</v>
          </cell>
          <cell r="T799">
            <v>1508.5</v>
          </cell>
          <cell r="U799">
            <v>12972.06</v>
          </cell>
          <cell r="V799">
            <v>23114.34</v>
          </cell>
          <cell r="W799">
            <v>8483.9500000000007</v>
          </cell>
          <cell r="X799">
            <v>95.75</v>
          </cell>
          <cell r="Y799">
            <v>1310</v>
          </cell>
          <cell r="Z799">
            <v>1745</v>
          </cell>
          <cell r="AA799">
            <v>16542.080000000002</v>
          </cell>
          <cell r="AB799">
            <v>5471.6</v>
          </cell>
          <cell r="AC799">
            <v>64629.480499999998</v>
          </cell>
          <cell r="AE799">
            <v>116.95</v>
          </cell>
          <cell r="AF799">
            <v>880</v>
          </cell>
          <cell r="AG799">
            <v>8162</v>
          </cell>
          <cell r="AH799">
            <v>1080</v>
          </cell>
          <cell r="AI799">
            <v>1790</v>
          </cell>
          <cell r="AJ799">
            <v>645.42999999999995</v>
          </cell>
          <cell r="AL799">
            <v>1333.7</v>
          </cell>
          <cell r="AP799">
            <v>4292.6540000000005</v>
          </cell>
          <cell r="AV799">
            <v>57.3</v>
          </cell>
          <cell r="AZ799">
            <v>295</v>
          </cell>
          <cell r="BE799">
            <v>33185</v>
          </cell>
          <cell r="BG799">
            <v>132.19999999999999</v>
          </cell>
          <cell r="BH799">
            <v>700.42</v>
          </cell>
          <cell r="BY799">
            <v>351.83</v>
          </cell>
          <cell r="CD799">
            <v>367.09</v>
          </cell>
          <cell r="CE799">
            <v>354.01600000000002</v>
          </cell>
          <cell r="CF799">
            <v>450.49</v>
          </cell>
          <cell r="CG799">
            <v>1650</v>
          </cell>
          <cell r="CH799">
            <v>1160</v>
          </cell>
          <cell r="CI799">
            <v>127</v>
          </cell>
          <cell r="CJ799">
            <v>325</v>
          </cell>
          <cell r="CK799">
            <v>1170</v>
          </cell>
          <cell r="CM799">
            <v>264.20999999999998</v>
          </cell>
          <cell r="CN799">
            <v>21.24</v>
          </cell>
          <cell r="CO799">
            <v>15.45</v>
          </cell>
          <cell r="CQ799">
            <v>9.3800000000000008</v>
          </cell>
          <cell r="CR799">
            <v>73</v>
          </cell>
          <cell r="CS799">
            <v>3348</v>
          </cell>
          <cell r="CU799">
            <v>1660</v>
          </cell>
          <cell r="CW799">
            <v>74.695121951219519</v>
          </cell>
          <cell r="CX799">
            <v>1016.3194999999999</v>
          </cell>
          <cell r="CZ799">
            <v>419.75</v>
          </cell>
          <cell r="DA799">
            <v>4399.7</v>
          </cell>
          <cell r="DB799">
            <v>16.399999999999999</v>
          </cell>
          <cell r="DC799">
            <v>571.95000000000005</v>
          </cell>
          <cell r="DD799">
            <v>163.9</v>
          </cell>
        </row>
        <row r="800">
          <cell r="A800">
            <v>39513</v>
          </cell>
          <cell r="C800">
            <v>28</v>
          </cell>
          <cell r="D800">
            <v>1.98</v>
          </cell>
          <cell r="E800">
            <v>5.12</v>
          </cell>
          <cell r="L800">
            <v>1697.44</v>
          </cell>
          <cell r="M800">
            <v>2220.5</v>
          </cell>
          <cell r="N800">
            <v>5766.4</v>
          </cell>
          <cell r="O800">
            <v>5496</v>
          </cell>
          <cell r="Q800">
            <v>830</v>
          </cell>
          <cell r="R800">
            <v>567.25</v>
          </cell>
          <cell r="S800">
            <v>1125</v>
          </cell>
          <cell r="T800">
            <v>1458.75</v>
          </cell>
          <cell r="U800">
            <v>13215.42</v>
          </cell>
          <cell r="V800">
            <v>23342.73</v>
          </cell>
          <cell r="W800">
            <v>8658.64</v>
          </cell>
          <cell r="X800">
            <v>97.65</v>
          </cell>
          <cell r="Y800">
            <v>1310</v>
          </cell>
          <cell r="Z800">
            <v>1745</v>
          </cell>
          <cell r="AA800">
            <v>16542.080000000002</v>
          </cell>
          <cell r="AB800">
            <v>5531.9</v>
          </cell>
          <cell r="AC800">
            <v>62974.648399999998</v>
          </cell>
          <cell r="AE800">
            <v>121.55</v>
          </cell>
          <cell r="AF800">
            <v>880</v>
          </cell>
          <cell r="AG800">
            <v>8403</v>
          </cell>
          <cell r="AH800">
            <v>1080</v>
          </cell>
          <cell r="AI800">
            <v>1790</v>
          </cell>
          <cell r="AJ800">
            <v>652.54999999999995</v>
          </cell>
          <cell r="AL800">
            <v>1304.3399999999999</v>
          </cell>
          <cell r="AP800">
            <v>4360.9859999999999</v>
          </cell>
          <cell r="AV800">
            <v>56</v>
          </cell>
          <cell r="AZ800">
            <v>294.7</v>
          </cell>
          <cell r="BE800">
            <v>32680</v>
          </cell>
          <cell r="BG800">
            <v>132.19999999999999</v>
          </cell>
          <cell r="BH800">
            <v>694.67</v>
          </cell>
          <cell r="BY800">
            <v>342.56</v>
          </cell>
          <cell r="CD800">
            <v>363.76</v>
          </cell>
          <cell r="CE800">
            <v>350.29500000000002</v>
          </cell>
          <cell r="CF800">
            <v>457.38</v>
          </cell>
          <cell r="CG800">
            <v>1650</v>
          </cell>
          <cell r="CH800">
            <v>1160</v>
          </cell>
          <cell r="CI800">
            <v>121</v>
          </cell>
          <cell r="CJ800">
            <v>325</v>
          </cell>
          <cell r="CK800">
            <v>1171</v>
          </cell>
          <cell r="CM800">
            <v>265.32</v>
          </cell>
          <cell r="CN800">
            <v>21.44</v>
          </cell>
          <cell r="CO800">
            <v>15.5</v>
          </cell>
          <cell r="CQ800">
            <v>9.6999999999999993</v>
          </cell>
          <cell r="CR800">
            <v>73</v>
          </cell>
          <cell r="CS800">
            <v>3237</v>
          </cell>
          <cell r="CU800">
            <v>1660</v>
          </cell>
          <cell r="CW800">
            <v>74.923780487804876</v>
          </cell>
          <cell r="CX800">
            <v>1022.0385000000001</v>
          </cell>
          <cell r="CZ800">
            <v>415.28</v>
          </cell>
          <cell r="DA800">
            <v>4340.5</v>
          </cell>
          <cell r="DB800">
            <v>15.64</v>
          </cell>
          <cell r="DC800">
            <v>571.95000000000005</v>
          </cell>
          <cell r="DD800">
            <v>154.75</v>
          </cell>
        </row>
        <row r="801">
          <cell r="A801">
            <v>39514</v>
          </cell>
          <cell r="C801">
            <v>28</v>
          </cell>
          <cell r="D801">
            <v>1.98</v>
          </cell>
          <cell r="E801">
            <v>5.04</v>
          </cell>
          <cell r="L801">
            <v>1663.97</v>
          </cell>
          <cell r="M801">
            <v>2212.4899999999998</v>
          </cell>
          <cell r="N801">
            <v>5699.9</v>
          </cell>
          <cell r="O801">
            <v>5483</v>
          </cell>
          <cell r="Q801">
            <v>830</v>
          </cell>
          <cell r="R801">
            <v>547.25</v>
          </cell>
          <cell r="S801">
            <v>1105</v>
          </cell>
          <cell r="T801">
            <v>1408.75</v>
          </cell>
          <cell r="U801">
            <v>12782.8</v>
          </cell>
          <cell r="V801">
            <v>22501.33</v>
          </cell>
          <cell r="W801">
            <v>8531.3799999999992</v>
          </cell>
          <cell r="X801">
            <v>98.1</v>
          </cell>
          <cell r="Y801">
            <v>1200</v>
          </cell>
          <cell r="Z801">
            <v>1760</v>
          </cell>
          <cell r="AA801">
            <v>15975.52</v>
          </cell>
          <cell r="AB801">
            <v>5368.9</v>
          </cell>
          <cell r="AC801">
            <v>61867.988299999997</v>
          </cell>
          <cell r="AE801">
            <v>122.95</v>
          </cell>
          <cell r="AF801">
            <v>880</v>
          </cell>
          <cell r="AG801">
            <v>8536</v>
          </cell>
          <cell r="AH801">
            <v>1090</v>
          </cell>
          <cell r="AI801">
            <v>1810</v>
          </cell>
          <cell r="AJ801">
            <v>643.75</v>
          </cell>
          <cell r="AL801">
            <v>1293.3699999999999</v>
          </cell>
          <cell r="AP801">
            <v>4300.5150000000003</v>
          </cell>
          <cell r="AV801">
            <v>55.03</v>
          </cell>
          <cell r="AZ801">
            <v>286</v>
          </cell>
          <cell r="BE801">
            <v>33140</v>
          </cell>
          <cell r="BG801">
            <v>131.80000000000001</v>
          </cell>
          <cell r="BH801">
            <v>687.97</v>
          </cell>
          <cell r="BY801">
            <v>344.62</v>
          </cell>
          <cell r="CD801">
            <v>358.59</v>
          </cell>
          <cell r="CE801">
            <v>345.75299999999999</v>
          </cell>
          <cell r="CF801">
            <v>445.06</v>
          </cell>
          <cell r="CG801">
            <v>1650</v>
          </cell>
          <cell r="CH801">
            <v>1130</v>
          </cell>
          <cell r="CI801">
            <v>121</v>
          </cell>
          <cell r="CJ801">
            <v>325</v>
          </cell>
          <cell r="CK801">
            <v>1162</v>
          </cell>
          <cell r="CM801">
            <v>269.43</v>
          </cell>
          <cell r="CN801">
            <v>21.49</v>
          </cell>
          <cell r="CO801">
            <v>15.83</v>
          </cell>
          <cell r="CQ801">
            <v>9.82</v>
          </cell>
          <cell r="CR801">
            <v>73</v>
          </cell>
          <cell r="CS801">
            <v>3096</v>
          </cell>
          <cell r="CU801">
            <v>1715</v>
          </cell>
          <cell r="CW801">
            <v>74.923780487804876</v>
          </cell>
          <cell r="CX801">
            <v>1020.376</v>
          </cell>
          <cell r="CZ801">
            <v>411.65</v>
          </cell>
          <cell r="DA801">
            <v>4337.8</v>
          </cell>
          <cell r="DB801">
            <v>14.96</v>
          </cell>
          <cell r="DC801">
            <v>571.95000000000005</v>
          </cell>
          <cell r="DD801">
            <v>151.44999999999999</v>
          </cell>
        </row>
        <row r="802">
          <cell r="A802">
            <v>39515</v>
          </cell>
          <cell r="C802">
            <v>28</v>
          </cell>
          <cell r="D802">
            <v>1.98</v>
          </cell>
          <cell r="E802">
            <v>5.04</v>
          </cell>
          <cell r="L802">
            <v>1663.97</v>
          </cell>
          <cell r="M802">
            <v>2212.4899999999998</v>
          </cell>
          <cell r="N802">
            <v>5699.9</v>
          </cell>
          <cell r="O802">
            <v>5483</v>
          </cell>
          <cell r="Q802">
            <v>830</v>
          </cell>
          <cell r="R802">
            <v>547.25</v>
          </cell>
          <cell r="S802">
            <v>1105</v>
          </cell>
          <cell r="T802">
            <v>1408.75</v>
          </cell>
          <cell r="U802">
            <v>12782.8</v>
          </cell>
          <cell r="V802">
            <v>22501.33</v>
          </cell>
          <cell r="W802">
            <v>8531.3799999999992</v>
          </cell>
          <cell r="X802">
            <v>98.1</v>
          </cell>
          <cell r="Y802">
            <v>1200</v>
          </cell>
          <cell r="Z802">
            <v>1760</v>
          </cell>
          <cell r="AA802">
            <v>15975.52</v>
          </cell>
          <cell r="AB802">
            <v>5368.9</v>
          </cell>
          <cell r="AC802">
            <v>61867.988299999997</v>
          </cell>
          <cell r="AE802">
            <v>122.95</v>
          </cell>
          <cell r="AF802">
            <v>880</v>
          </cell>
          <cell r="AG802">
            <v>8536</v>
          </cell>
          <cell r="AH802">
            <v>1090</v>
          </cell>
          <cell r="AI802">
            <v>1810</v>
          </cell>
          <cell r="AJ802">
            <v>643.75</v>
          </cell>
          <cell r="AL802">
            <v>1293.3699999999999</v>
          </cell>
          <cell r="AP802">
            <v>4300.5150000000003</v>
          </cell>
          <cell r="AV802">
            <v>55.03</v>
          </cell>
          <cell r="AZ802">
            <v>286</v>
          </cell>
          <cell r="BE802">
            <v>33140</v>
          </cell>
          <cell r="BG802">
            <v>131.80000000000001</v>
          </cell>
          <cell r="BH802">
            <v>687.97</v>
          </cell>
          <cell r="BY802">
            <v>344.62</v>
          </cell>
          <cell r="CD802">
            <v>358.59</v>
          </cell>
          <cell r="CE802">
            <v>345.75299999999999</v>
          </cell>
          <cell r="CF802">
            <v>445.06</v>
          </cell>
          <cell r="CG802">
            <v>1650</v>
          </cell>
          <cell r="CH802">
            <v>1130</v>
          </cell>
          <cell r="CI802">
            <v>121</v>
          </cell>
          <cell r="CJ802">
            <v>325</v>
          </cell>
          <cell r="CK802">
            <v>1162</v>
          </cell>
          <cell r="CM802">
            <v>269.43</v>
          </cell>
          <cell r="CN802">
            <v>21.49</v>
          </cell>
          <cell r="CO802">
            <v>15.83</v>
          </cell>
          <cell r="CQ802">
            <v>9.82</v>
          </cell>
          <cell r="CR802">
            <v>73</v>
          </cell>
          <cell r="CS802">
            <v>3096</v>
          </cell>
          <cell r="CU802">
            <v>1715</v>
          </cell>
          <cell r="CW802">
            <v>74.923780487804876</v>
          </cell>
          <cell r="CX802">
            <v>1020.376</v>
          </cell>
          <cell r="CZ802">
            <v>411.65</v>
          </cell>
          <cell r="DA802">
            <v>4337.8</v>
          </cell>
          <cell r="DB802">
            <v>14.96</v>
          </cell>
          <cell r="DC802">
            <v>571.95000000000005</v>
          </cell>
          <cell r="DD802">
            <v>151.44999999999999</v>
          </cell>
        </row>
        <row r="803">
          <cell r="A803">
            <v>39516</v>
          </cell>
          <cell r="C803">
            <v>28</v>
          </cell>
          <cell r="D803">
            <v>1.98</v>
          </cell>
          <cell r="E803">
            <v>5.04</v>
          </cell>
          <cell r="L803">
            <v>1663.97</v>
          </cell>
          <cell r="M803">
            <v>2212.4899999999998</v>
          </cell>
          <cell r="N803">
            <v>5699.9</v>
          </cell>
          <cell r="O803">
            <v>5483</v>
          </cell>
          <cell r="Q803">
            <v>830</v>
          </cell>
          <cell r="R803">
            <v>547.25</v>
          </cell>
          <cell r="S803">
            <v>1105</v>
          </cell>
          <cell r="T803">
            <v>1408.75</v>
          </cell>
          <cell r="U803">
            <v>12782.8</v>
          </cell>
          <cell r="V803">
            <v>22501.33</v>
          </cell>
          <cell r="W803">
            <v>8531.3799999999992</v>
          </cell>
          <cell r="X803">
            <v>98.1</v>
          </cell>
          <cell r="Y803">
            <v>1200</v>
          </cell>
          <cell r="Z803">
            <v>1760</v>
          </cell>
          <cell r="AA803">
            <v>15975.52</v>
          </cell>
          <cell r="AB803">
            <v>5368.9</v>
          </cell>
          <cell r="AC803">
            <v>61867.988299999997</v>
          </cell>
          <cell r="AE803">
            <v>122.95</v>
          </cell>
          <cell r="AF803">
            <v>880</v>
          </cell>
          <cell r="AG803">
            <v>8536</v>
          </cell>
          <cell r="AH803">
            <v>1090</v>
          </cell>
          <cell r="AI803">
            <v>1810</v>
          </cell>
          <cell r="AJ803">
            <v>643.75</v>
          </cell>
          <cell r="AL803">
            <v>1293.3699999999999</v>
          </cell>
          <cell r="AP803">
            <v>4300.5150000000003</v>
          </cell>
          <cell r="AV803">
            <v>55.03</v>
          </cell>
          <cell r="AZ803">
            <v>286</v>
          </cell>
          <cell r="BE803">
            <v>33140</v>
          </cell>
          <cell r="BG803">
            <v>131.80000000000001</v>
          </cell>
          <cell r="BH803">
            <v>687.97</v>
          </cell>
          <cell r="BY803">
            <v>344.62</v>
          </cell>
          <cell r="CD803">
            <v>358.59</v>
          </cell>
          <cell r="CE803">
            <v>345.75299999999999</v>
          </cell>
          <cell r="CF803">
            <v>445.06</v>
          </cell>
          <cell r="CG803">
            <v>1650</v>
          </cell>
          <cell r="CH803">
            <v>1130</v>
          </cell>
          <cell r="CI803">
            <v>121</v>
          </cell>
          <cell r="CJ803">
            <v>325</v>
          </cell>
          <cell r="CK803">
            <v>1162</v>
          </cell>
          <cell r="CM803">
            <v>269.43</v>
          </cell>
          <cell r="CN803">
            <v>21.49</v>
          </cell>
          <cell r="CO803">
            <v>15.83</v>
          </cell>
          <cell r="CQ803">
            <v>9.82</v>
          </cell>
          <cell r="CR803">
            <v>73</v>
          </cell>
          <cell r="CS803">
            <v>3096</v>
          </cell>
          <cell r="CU803">
            <v>1715</v>
          </cell>
          <cell r="CW803">
            <v>74.923780487804876</v>
          </cell>
          <cell r="CX803">
            <v>1020.376</v>
          </cell>
          <cell r="CZ803">
            <v>411.65</v>
          </cell>
          <cell r="DA803">
            <v>4337.8</v>
          </cell>
          <cell r="DB803">
            <v>14.96</v>
          </cell>
          <cell r="DC803">
            <v>571.95000000000005</v>
          </cell>
          <cell r="DD803">
            <v>151.44999999999999</v>
          </cell>
        </row>
        <row r="804">
          <cell r="A804">
            <v>39517</v>
          </cell>
          <cell r="C804">
            <v>28</v>
          </cell>
          <cell r="D804">
            <v>1.98</v>
          </cell>
          <cell r="E804">
            <v>5.04</v>
          </cell>
          <cell r="L804">
            <v>1625.17</v>
          </cell>
          <cell r="M804">
            <v>2169.34</v>
          </cell>
          <cell r="N804">
            <v>5629.1</v>
          </cell>
          <cell r="O804">
            <v>5475</v>
          </cell>
          <cell r="Q804">
            <v>830</v>
          </cell>
          <cell r="R804">
            <v>565.75</v>
          </cell>
          <cell r="S804">
            <v>1163</v>
          </cell>
          <cell r="T804">
            <v>1406.5</v>
          </cell>
          <cell r="U804">
            <v>12532.13</v>
          </cell>
          <cell r="V804">
            <v>22705.05</v>
          </cell>
          <cell r="W804">
            <v>8299.3700000000008</v>
          </cell>
          <cell r="X804">
            <v>99.35</v>
          </cell>
          <cell r="Y804">
            <v>1200</v>
          </cell>
          <cell r="Z804">
            <v>1760</v>
          </cell>
          <cell r="AA804">
            <v>15923.72</v>
          </cell>
          <cell r="AB804">
            <v>5275.7</v>
          </cell>
          <cell r="AC804">
            <v>59999.269500000002</v>
          </cell>
          <cell r="AE804">
            <v>124.4</v>
          </cell>
          <cell r="AF804">
            <v>880</v>
          </cell>
          <cell r="AG804">
            <v>8624</v>
          </cell>
          <cell r="AH804">
            <v>1090</v>
          </cell>
          <cell r="AI804">
            <v>1810</v>
          </cell>
          <cell r="AJ804">
            <v>622.6</v>
          </cell>
          <cell r="AL804">
            <v>1273.3699999999999</v>
          </cell>
          <cell r="AP804">
            <v>4146.299</v>
          </cell>
          <cell r="AV804">
            <v>53.82</v>
          </cell>
          <cell r="AZ804">
            <v>285</v>
          </cell>
          <cell r="BE804">
            <v>32235</v>
          </cell>
          <cell r="BG804">
            <v>131.80000000000001</v>
          </cell>
          <cell r="BH804">
            <v>665.69</v>
          </cell>
          <cell r="BY804">
            <v>339.73</v>
          </cell>
          <cell r="CD804">
            <v>353.12</v>
          </cell>
          <cell r="CE804">
            <v>340.74099999999999</v>
          </cell>
          <cell r="CF804">
            <v>434.59</v>
          </cell>
          <cell r="CG804">
            <v>1650</v>
          </cell>
          <cell r="CH804">
            <v>1130</v>
          </cell>
          <cell r="CI804">
            <v>121</v>
          </cell>
          <cell r="CJ804">
            <v>325</v>
          </cell>
          <cell r="CK804">
            <v>1146</v>
          </cell>
          <cell r="CM804">
            <v>271.49</v>
          </cell>
          <cell r="CN804">
            <v>21.74</v>
          </cell>
          <cell r="CO804">
            <v>15.9</v>
          </cell>
          <cell r="CQ804">
            <v>9.57</v>
          </cell>
          <cell r="CR804">
            <v>73</v>
          </cell>
          <cell r="CS804">
            <v>3004</v>
          </cell>
          <cell r="CU804">
            <v>1715</v>
          </cell>
          <cell r="CW804">
            <v>75.076219512195124</v>
          </cell>
          <cell r="CX804">
            <v>1020.0435</v>
          </cell>
          <cell r="CZ804">
            <v>412.16</v>
          </cell>
          <cell r="DA804">
            <v>4218.3999999999996</v>
          </cell>
          <cell r="DB804">
            <v>14.67</v>
          </cell>
          <cell r="DC804">
            <v>571.95000000000005</v>
          </cell>
          <cell r="DD804">
            <v>150.5</v>
          </cell>
        </row>
        <row r="805">
          <cell r="A805">
            <v>39518</v>
          </cell>
          <cell r="C805">
            <v>28</v>
          </cell>
          <cell r="D805">
            <v>1.95</v>
          </cell>
          <cell r="E805">
            <v>5.17</v>
          </cell>
          <cell r="L805">
            <v>1641.48</v>
          </cell>
          <cell r="M805">
            <v>2255.7600000000002</v>
          </cell>
          <cell r="N805">
            <v>5690.4</v>
          </cell>
          <cell r="O805">
            <v>5475</v>
          </cell>
          <cell r="Q805">
            <v>830</v>
          </cell>
          <cell r="R805">
            <v>572.5</v>
          </cell>
          <cell r="S805">
            <v>1223</v>
          </cell>
          <cell r="T805">
            <v>1407.75</v>
          </cell>
          <cell r="U805">
            <v>12658.28</v>
          </cell>
          <cell r="V805">
            <v>22995.35</v>
          </cell>
          <cell r="W805">
            <v>8381.6</v>
          </cell>
          <cell r="X805">
            <v>99.45</v>
          </cell>
          <cell r="Y805">
            <v>1200</v>
          </cell>
          <cell r="Z805">
            <v>1760</v>
          </cell>
          <cell r="AA805">
            <v>16123.15</v>
          </cell>
          <cell r="AB805">
            <v>5211.1000000000004</v>
          </cell>
          <cell r="AC805">
            <v>62367.718800000002</v>
          </cell>
          <cell r="AE805">
            <v>127.25</v>
          </cell>
          <cell r="AF805">
            <v>880</v>
          </cell>
          <cell r="AG805">
            <v>8560</v>
          </cell>
          <cell r="AH805">
            <v>1090</v>
          </cell>
          <cell r="AI805">
            <v>1810</v>
          </cell>
          <cell r="AJ805">
            <v>627.14</v>
          </cell>
          <cell r="AL805">
            <v>1320.65</v>
          </cell>
          <cell r="AP805">
            <v>4165.8779999999997</v>
          </cell>
          <cell r="AV805">
            <v>56.16</v>
          </cell>
          <cell r="AZ805">
            <v>286</v>
          </cell>
          <cell r="BE805">
            <v>31335</v>
          </cell>
          <cell r="BG805">
            <v>131.80000000000001</v>
          </cell>
          <cell r="BH805">
            <v>682.06</v>
          </cell>
          <cell r="BY805">
            <v>350.54</v>
          </cell>
          <cell r="CD805">
            <v>360.78</v>
          </cell>
          <cell r="CE805">
            <v>348.10199999999998</v>
          </cell>
          <cell r="CF805">
            <v>438.48</v>
          </cell>
          <cell r="CG805">
            <v>1650</v>
          </cell>
          <cell r="CH805">
            <v>1130</v>
          </cell>
          <cell r="CI805">
            <v>121</v>
          </cell>
          <cell r="CJ805">
            <v>325</v>
          </cell>
          <cell r="CK805">
            <v>1137</v>
          </cell>
          <cell r="CM805">
            <v>272.61</v>
          </cell>
          <cell r="CN805">
            <v>21.89</v>
          </cell>
          <cell r="CO805">
            <v>15.9</v>
          </cell>
          <cell r="CQ805">
            <v>9.85</v>
          </cell>
          <cell r="CR805">
            <v>73</v>
          </cell>
          <cell r="CS805">
            <v>3036.5</v>
          </cell>
          <cell r="CU805">
            <v>1715</v>
          </cell>
          <cell r="CW805">
            <v>75.228658536585371</v>
          </cell>
          <cell r="CX805">
            <v>1019.578</v>
          </cell>
          <cell r="CZ805">
            <v>415.45</v>
          </cell>
          <cell r="DA805">
            <v>4171.8</v>
          </cell>
          <cell r="DB805">
            <v>15</v>
          </cell>
          <cell r="DC805">
            <v>571.95000000000005</v>
          </cell>
          <cell r="DD805">
            <v>152.05000000000001</v>
          </cell>
        </row>
        <row r="806">
          <cell r="A806">
            <v>39519</v>
          </cell>
          <cell r="C806">
            <v>28</v>
          </cell>
          <cell r="D806">
            <v>1.93</v>
          </cell>
          <cell r="E806">
            <v>5.15</v>
          </cell>
          <cell r="L806">
            <v>1658.83</v>
          </cell>
          <cell r="M806">
            <v>2243.87</v>
          </cell>
          <cell r="N806">
            <v>5776.4</v>
          </cell>
          <cell r="O806">
            <v>5474</v>
          </cell>
          <cell r="Q806">
            <v>830</v>
          </cell>
          <cell r="R806">
            <v>567.25</v>
          </cell>
          <cell r="S806">
            <v>1282.5</v>
          </cell>
          <cell r="T806">
            <v>1395</v>
          </cell>
          <cell r="U806">
            <v>12861.13</v>
          </cell>
          <cell r="V806">
            <v>23422.76</v>
          </cell>
          <cell r="W806">
            <v>8435.2999999999993</v>
          </cell>
          <cell r="X806">
            <v>98.95</v>
          </cell>
          <cell r="Y806">
            <v>1200</v>
          </cell>
          <cell r="Z806">
            <v>1760</v>
          </cell>
          <cell r="AA806">
            <v>16127.98</v>
          </cell>
          <cell r="AB806">
            <v>5334.1</v>
          </cell>
          <cell r="AC806">
            <v>62176.578099999999</v>
          </cell>
          <cell r="AE806">
            <v>126.45</v>
          </cell>
          <cell r="AF806">
            <v>880</v>
          </cell>
          <cell r="AG806">
            <v>8346</v>
          </cell>
          <cell r="AH806">
            <v>1090</v>
          </cell>
          <cell r="AI806">
            <v>1810</v>
          </cell>
          <cell r="AJ806">
            <v>631.29</v>
          </cell>
          <cell r="AL806">
            <v>1308.77</v>
          </cell>
          <cell r="AP806">
            <v>4070.116</v>
          </cell>
          <cell r="AV806">
            <v>54.92</v>
          </cell>
          <cell r="AZ806">
            <v>286.7</v>
          </cell>
          <cell r="BE806">
            <v>31695</v>
          </cell>
          <cell r="BG806">
            <v>131.80000000000001</v>
          </cell>
          <cell r="BH806">
            <v>683.11</v>
          </cell>
          <cell r="BY806">
            <v>345.13</v>
          </cell>
          <cell r="CD806">
            <v>363.52</v>
          </cell>
          <cell r="CE806">
            <v>350.57100000000003</v>
          </cell>
          <cell r="CF806">
            <v>443.61</v>
          </cell>
          <cell r="CG806">
            <v>1650</v>
          </cell>
          <cell r="CH806">
            <v>1130</v>
          </cell>
          <cell r="CI806">
            <v>121</v>
          </cell>
          <cell r="CJ806">
            <v>325</v>
          </cell>
          <cell r="CK806">
            <v>1151</v>
          </cell>
          <cell r="CM806">
            <v>272.86</v>
          </cell>
          <cell r="CN806">
            <v>22.07</v>
          </cell>
          <cell r="CO806">
            <v>16.350000000000001</v>
          </cell>
          <cell r="CQ806">
            <v>9.69</v>
          </cell>
          <cell r="CR806">
            <v>74</v>
          </cell>
          <cell r="CS806">
            <v>3126</v>
          </cell>
          <cell r="CU806">
            <v>1715</v>
          </cell>
          <cell r="CW806">
            <v>75.228658536585371</v>
          </cell>
          <cell r="CX806">
            <v>1031.7474999999999</v>
          </cell>
          <cell r="CZ806">
            <v>417.5</v>
          </cell>
          <cell r="DA806">
            <v>4248.1000000000004</v>
          </cell>
          <cell r="DB806">
            <v>15</v>
          </cell>
          <cell r="DC806">
            <v>571.95000000000005</v>
          </cell>
          <cell r="DD806">
            <v>153.94999999999999</v>
          </cell>
        </row>
        <row r="807">
          <cell r="A807">
            <v>39520</v>
          </cell>
          <cell r="C807">
            <v>28</v>
          </cell>
          <cell r="D807">
            <v>1.92</v>
          </cell>
          <cell r="E807">
            <v>5.16</v>
          </cell>
          <cell r="L807">
            <v>1615.62</v>
          </cell>
          <cell r="M807">
            <v>2263.61</v>
          </cell>
          <cell r="N807">
            <v>5692.4</v>
          </cell>
          <cell r="O807">
            <v>5466</v>
          </cell>
          <cell r="Q807">
            <v>830</v>
          </cell>
          <cell r="R807">
            <v>569.5</v>
          </cell>
          <cell r="S807">
            <v>1244</v>
          </cell>
          <cell r="T807">
            <v>1402.75</v>
          </cell>
          <cell r="U807">
            <v>12433.44</v>
          </cell>
          <cell r="V807">
            <v>22301.64</v>
          </cell>
          <cell r="W807">
            <v>8210.99</v>
          </cell>
          <cell r="X807">
            <v>98.65</v>
          </cell>
          <cell r="Y807">
            <v>1200</v>
          </cell>
          <cell r="Z807">
            <v>1760</v>
          </cell>
          <cell r="AA807">
            <v>15357.35</v>
          </cell>
          <cell r="AB807">
            <v>5215.7</v>
          </cell>
          <cell r="AC807">
            <v>62279.710899999998</v>
          </cell>
          <cell r="AE807">
            <v>128.35</v>
          </cell>
          <cell r="AF807">
            <v>880</v>
          </cell>
          <cell r="AG807">
            <v>8092</v>
          </cell>
          <cell r="AH807">
            <v>1090</v>
          </cell>
          <cell r="AI807">
            <v>1810</v>
          </cell>
          <cell r="AJ807">
            <v>621.80999999999995</v>
          </cell>
          <cell r="AL807">
            <v>1315.48</v>
          </cell>
          <cell r="AP807">
            <v>3971.2570000000001</v>
          </cell>
          <cell r="AV807">
            <v>53.23</v>
          </cell>
          <cell r="AZ807">
            <v>278.5</v>
          </cell>
          <cell r="BE807">
            <v>31972</v>
          </cell>
          <cell r="BG807">
            <v>131.80000000000001</v>
          </cell>
          <cell r="BH807">
            <v>684.61</v>
          </cell>
          <cell r="BY807">
            <v>349.12</v>
          </cell>
          <cell r="CD807">
            <v>361.84</v>
          </cell>
          <cell r="CE807">
            <v>350.00400000000002</v>
          </cell>
          <cell r="CF807">
            <v>425.12</v>
          </cell>
          <cell r="CG807">
            <v>1650</v>
          </cell>
          <cell r="CH807">
            <v>1130</v>
          </cell>
          <cell r="CI807">
            <v>121</v>
          </cell>
          <cell r="CJ807">
            <v>325</v>
          </cell>
          <cell r="CK807">
            <v>1178</v>
          </cell>
          <cell r="CM807">
            <v>268.27999999999997</v>
          </cell>
          <cell r="CN807">
            <v>22.46</v>
          </cell>
          <cell r="CO807">
            <v>16.55</v>
          </cell>
          <cell r="CQ807">
            <v>9.74</v>
          </cell>
          <cell r="CR807">
            <v>74</v>
          </cell>
          <cell r="CS807">
            <v>3111</v>
          </cell>
          <cell r="CU807">
            <v>1715</v>
          </cell>
          <cell r="CW807">
            <v>75.381097560975618</v>
          </cell>
          <cell r="CX807">
            <v>1035.6045000000001</v>
          </cell>
          <cell r="CZ807">
            <v>420.64</v>
          </cell>
          <cell r="DA807">
            <v>4245.6000000000004</v>
          </cell>
          <cell r="DB807">
            <v>15.22</v>
          </cell>
          <cell r="DC807">
            <v>571.95000000000005</v>
          </cell>
          <cell r="DD807">
            <v>157.85</v>
          </cell>
        </row>
        <row r="808">
          <cell r="A808">
            <v>39521</v>
          </cell>
          <cell r="C808">
            <v>28</v>
          </cell>
          <cell r="D808">
            <v>1.91</v>
          </cell>
          <cell r="E808">
            <v>5.16</v>
          </cell>
          <cell r="L808">
            <v>1600.26</v>
          </cell>
          <cell r="M808">
            <v>2212.4899999999998</v>
          </cell>
          <cell r="N808">
            <v>5631.7</v>
          </cell>
          <cell r="O808">
            <v>5461</v>
          </cell>
          <cell r="Q808">
            <v>830</v>
          </cell>
          <cell r="R808">
            <v>559.25</v>
          </cell>
          <cell r="S808">
            <v>1191.5</v>
          </cell>
          <cell r="T808">
            <v>1352.75</v>
          </cell>
          <cell r="U808">
            <v>12241.6</v>
          </cell>
          <cell r="V808">
            <v>22237.11</v>
          </cell>
          <cell r="W808">
            <v>8161.39</v>
          </cell>
          <cell r="X808">
            <v>97.75</v>
          </cell>
          <cell r="Y808">
            <v>1190</v>
          </cell>
          <cell r="Z808">
            <v>1760</v>
          </cell>
          <cell r="AA808">
            <v>15760.52</v>
          </cell>
          <cell r="AB808">
            <v>5288.5</v>
          </cell>
          <cell r="AC808">
            <v>61990.988299999997</v>
          </cell>
          <cell r="AE808">
            <v>129.9</v>
          </cell>
          <cell r="AF808">
            <v>880</v>
          </cell>
          <cell r="AG808">
            <v>7972</v>
          </cell>
          <cell r="AH808">
            <v>1100</v>
          </cell>
          <cell r="AI808">
            <v>1800</v>
          </cell>
          <cell r="AJ808">
            <v>617.71</v>
          </cell>
          <cell r="AL808">
            <v>1288.1400000000001</v>
          </cell>
          <cell r="AP808">
            <v>3962.6729999999998</v>
          </cell>
          <cell r="AV808">
            <v>50.94</v>
          </cell>
          <cell r="AZ808">
            <v>282</v>
          </cell>
          <cell r="BE808">
            <v>32381</v>
          </cell>
          <cell r="BG808">
            <v>129.5</v>
          </cell>
          <cell r="BH808">
            <v>671.32</v>
          </cell>
          <cell r="BY808">
            <v>338.58</v>
          </cell>
          <cell r="CD808">
            <v>356.93</v>
          </cell>
          <cell r="CE808">
            <v>344.95100000000002</v>
          </cell>
          <cell r="CF808">
            <v>421.1</v>
          </cell>
          <cell r="CG808">
            <v>1660</v>
          </cell>
          <cell r="CH808">
            <v>1160</v>
          </cell>
          <cell r="CI808">
            <v>121</v>
          </cell>
          <cell r="CJ808">
            <v>325</v>
          </cell>
          <cell r="CK808">
            <v>1209</v>
          </cell>
          <cell r="CM808">
            <v>268.94</v>
          </cell>
          <cell r="CN808">
            <v>22.42</v>
          </cell>
          <cell r="CO808">
            <v>16.2</v>
          </cell>
          <cell r="CQ808">
            <v>9.86</v>
          </cell>
          <cell r="CR808">
            <v>74</v>
          </cell>
          <cell r="CS808">
            <v>3094.5</v>
          </cell>
          <cell r="CU808">
            <v>1665</v>
          </cell>
          <cell r="CW808">
            <v>76.067073170731717</v>
          </cell>
          <cell r="CX808">
            <v>1040.4590000000001</v>
          </cell>
          <cell r="CZ808">
            <v>416.4</v>
          </cell>
          <cell r="DA808">
            <v>4239.3</v>
          </cell>
          <cell r="DB808">
            <v>15.14</v>
          </cell>
          <cell r="DC808">
            <v>571.95000000000005</v>
          </cell>
          <cell r="DD808">
            <v>152.19999999999999</v>
          </cell>
        </row>
        <row r="809">
          <cell r="A809">
            <v>39522</v>
          </cell>
          <cell r="C809">
            <v>28</v>
          </cell>
          <cell r="D809">
            <v>1.91</v>
          </cell>
          <cell r="E809">
            <v>5.16</v>
          </cell>
          <cell r="L809">
            <v>1600.26</v>
          </cell>
          <cell r="M809">
            <v>2212.4899999999998</v>
          </cell>
          <cell r="N809">
            <v>5631.7</v>
          </cell>
          <cell r="O809">
            <v>5461</v>
          </cell>
          <cell r="Q809">
            <v>830</v>
          </cell>
          <cell r="R809">
            <v>559.25</v>
          </cell>
          <cell r="S809">
            <v>1191.5</v>
          </cell>
          <cell r="T809">
            <v>1352.75</v>
          </cell>
          <cell r="U809">
            <v>12241.6</v>
          </cell>
          <cell r="V809">
            <v>22237.11</v>
          </cell>
          <cell r="W809">
            <v>8161.39</v>
          </cell>
          <cell r="X809">
            <v>97.75</v>
          </cell>
          <cell r="Y809">
            <v>1190</v>
          </cell>
          <cell r="Z809">
            <v>1760</v>
          </cell>
          <cell r="AA809">
            <v>15760.52</v>
          </cell>
          <cell r="AB809">
            <v>5288.5</v>
          </cell>
          <cell r="AC809">
            <v>61990.988299999997</v>
          </cell>
          <cell r="AE809">
            <v>129.9</v>
          </cell>
          <cell r="AF809">
            <v>880</v>
          </cell>
          <cell r="AG809">
            <v>7972</v>
          </cell>
          <cell r="AH809">
            <v>1100</v>
          </cell>
          <cell r="AI809">
            <v>1800</v>
          </cell>
          <cell r="AJ809">
            <v>617.71</v>
          </cell>
          <cell r="AL809">
            <v>1288.1400000000001</v>
          </cell>
          <cell r="AP809">
            <v>3962.6729999999998</v>
          </cell>
          <cell r="AV809">
            <v>50.94</v>
          </cell>
          <cell r="AZ809">
            <v>282</v>
          </cell>
          <cell r="BE809">
            <v>32381</v>
          </cell>
          <cell r="BG809">
            <v>129.5</v>
          </cell>
          <cell r="BH809">
            <v>671.32</v>
          </cell>
          <cell r="BY809">
            <v>338.58</v>
          </cell>
          <cell r="CD809">
            <v>356.93</v>
          </cell>
          <cell r="CE809">
            <v>344.95100000000002</v>
          </cell>
          <cell r="CF809">
            <v>421.1</v>
          </cell>
          <cell r="CG809">
            <v>1660</v>
          </cell>
          <cell r="CH809">
            <v>1160</v>
          </cell>
          <cell r="CI809">
            <v>121</v>
          </cell>
          <cell r="CJ809">
            <v>325</v>
          </cell>
          <cell r="CK809">
            <v>1209</v>
          </cell>
          <cell r="CM809">
            <v>268.94</v>
          </cell>
          <cell r="CN809">
            <v>22.42</v>
          </cell>
          <cell r="CO809">
            <v>16.2</v>
          </cell>
          <cell r="CQ809">
            <v>9.86</v>
          </cell>
          <cell r="CR809">
            <v>74</v>
          </cell>
          <cell r="CS809">
            <v>3094.5</v>
          </cell>
          <cell r="CU809">
            <v>1665</v>
          </cell>
          <cell r="CW809">
            <v>76.067073170731717</v>
          </cell>
          <cell r="CX809">
            <v>1040.4590000000001</v>
          </cell>
          <cell r="CZ809">
            <v>416.4</v>
          </cell>
          <cell r="DA809">
            <v>4239.3</v>
          </cell>
          <cell r="DB809">
            <v>15.14</v>
          </cell>
          <cell r="DC809">
            <v>571.95000000000005</v>
          </cell>
          <cell r="DD809">
            <v>152.19999999999999</v>
          </cell>
        </row>
        <row r="810">
          <cell r="A810">
            <v>39523</v>
          </cell>
          <cell r="C810">
            <v>28</v>
          </cell>
          <cell r="D810">
            <v>1.91</v>
          </cell>
          <cell r="E810">
            <v>5.16</v>
          </cell>
          <cell r="L810">
            <v>1600.26</v>
          </cell>
          <cell r="M810">
            <v>2212.4899999999998</v>
          </cell>
          <cell r="N810">
            <v>5631.7</v>
          </cell>
          <cell r="O810">
            <v>5461</v>
          </cell>
          <cell r="Q810">
            <v>830</v>
          </cell>
          <cell r="R810">
            <v>559.25</v>
          </cell>
          <cell r="S810">
            <v>1191.5</v>
          </cell>
          <cell r="T810">
            <v>1352.75</v>
          </cell>
          <cell r="U810">
            <v>12241.6</v>
          </cell>
          <cell r="V810">
            <v>22237.11</v>
          </cell>
          <cell r="W810">
            <v>8161.39</v>
          </cell>
          <cell r="X810">
            <v>97.75</v>
          </cell>
          <cell r="Y810">
            <v>1190</v>
          </cell>
          <cell r="Z810">
            <v>1760</v>
          </cell>
          <cell r="AA810">
            <v>15760.52</v>
          </cell>
          <cell r="AB810">
            <v>5288.5</v>
          </cell>
          <cell r="AC810">
            <v>61990.988299999997</v>
          </cell>
          <cell r="AE810">
            <v>129.9</v>
          </cell>
          <cell r="AF810">
            <v>880</v>
          </cell>
          <cell r="AG810">
            <v>7972</v>
          </cell>
          <cell r="AH810">
            <v>1100</v>
          </cell>
          <cell r="AI810">
            <v>1800</v>
          </cell>
          <cell r="AJ810">
            <v>617.71</v>
          </cell>
          <cell r="AL810">
            <v>1288.1400000000001</v>
          </cell>
          <cell r="AP810">
            <v>3962.6729999999998</v>
          </cell>
          <cell r="AV810">
            <v>50.94</v>
          </cell>
          <cell r="AZ810">
            <v>282</v>
          </cell>
          <cell r="BE810">
            <v>32381</v>
          </cell>
          <cell r="BG810">
            <v>129.5</v>
          </cell>
          <cell r="BH810">
            <v>671.32</v>
          </cell>
          <cell r="BY810">
            <v>338.58</v>
          </cell>
          <cell r="CD810">
            <v>356.93</v>
          </cell>
          <cell r="CE810">
            <v>344.95100000000002</v>
          </cell>
          <cell r="CF810">
            <v>421.1</v>
          </cell>
          <cell r="CG810">
            <v>1660</v>
          </cell>
          <cell r="CH810">
            <v>1160</v>
          </cell>
          <cell r="CI810">
            <v>121</v>
          </cell>
          <cell r="CJ810">
            <v>325</v>
          </cell>
          <cell r="CK810">
            <v>1209</v>
          </cell>
          <cell r="CM810">
            <v>268.94</v>
          </cell>
          <cell r="CN810">
            <v>22.42</v>
          </cell>
          <cell r="CO810">
            <v>16.2</v>
          </cell>
          <cell r="CQ810">
            <v>9.86</v>
          </cell>
          <cell r="CR810">
            <v>74</v>
          </cell>
          <cell r="CS810">
            <v>3094.5</v>
          </cell>
          <cell r="CU810">
            <v>1665</v>
          </cell>
          <cell r="CW810">
            <v>76.067073170731717</v>
          </cell>
          <cell r="CX810">
            <v>1040.4590000000001</v>
          </cell>
          <cell r="CZ810">
            <v>416.4</v>
          </cell>
          <cell r="DA810">
            <v>4239.3</v>
          </cell>
          <cell r="DB810">
            <v>15.14</v>
          </cell>
          <cell r="DC810">
            <v>571.95000000000005</v>
          </cell>
          <cell r="DD810">
            <v>152.19999999999999</v>
          </cell>
        </row>
        <row r="811">
          <cell r="A811">
            <v>39524</v>
          </cell>
          <cell r="C811">
            <v>28</v>
          </cell>
          <cell r="D811">
            <v>1.9</v>
          </cell>
          <cell r="E811">
            <v>5.1100000000000003</v>
          </cell>
          <cell r="L811">
            <v>1574.44</v>
          </cell>
          <cell r="M811">
            <v>2177.0100000000002</v>
          </cell>
          <cell r="N811">
            <v>5414.4</v>
          </cell>
          <cell r="O811">
            <v>5452</v>
          </cell>
          <cell r="Q811">
            <v>830</v>
          </cell>
          <cell r="R811">
            <v>539.25</v>
          </cell>
          <cell r="S811">
            <v>1131.5</v>
          </cell>
          <cell r="T811">
            <v>1302.75</v>
          </cell>
          <cell r="U811">
            <v>11787.51</v>
          </cell>
          <cell r="V811">
            <v>21084.61</v>
          </cell>
          <cell r="W811">
            <v>8005.46</v>
          </cell>
          <cell r="X811">
            <v>99.55</v>
          </cell>
          <cell r="Y811">
            <v>1190</v>
          </cell>
          <cell r="Z811">
            <v>1760</v>
          </cell>
          <cell r="AA811">
            <v>14809.49</v>
          </cell>
          <cell r="AB811">
            <v>5173.2</v>
          </cell>
          <cell r="AC811">
            <v>60011.839800000002</v>
          </cell>
          <cell r="AE811">
            <v>131.55000000000001</v>
          </cell>
          <cell r="AF811">
            <v>880</v>
          </cell>
          <cell r="AG811">
            <v>7913</v>
          </cell>
          <cell r="AH811">
            <v>1100</v>
          </cell>
          <cell r="AI811">
            <v>1800</v>
          </cell>
          <cell r="AJ811">
            <v>600.67999999999995</v>
          </cell>
          <cell r="AL811">
            <v>1276.5999999999999</v>
          </cell>
          <cell r="AP811">
            <v>3820.0479999999998</v>
          </cell>
          <cell r="AV811">
            <v>49.78</v>
          </cell>
          <cell r="AZ811">
            <v>278.2</v>
          </cell>
          <cell r="BE811">
            <v>29220</v>
          </cell>
          <cell r="BG811">
            <v>129.5</v>
          </cell>
          <cell r="BH811">
            <v>628.84</v>
          </cell>
          <cell r="BY811">
            <v>337.07</v>
          </cell>
          <cell r="CD811">
            <v>348.54</v>
          </cell>
          <cell r="CE811">
            <v>337.73899999999998</v>
          </cell>
          <cell r="CF811">
            <v>400.81</v>
          </cell>
          <cell r="CG811">
            <v>1660</v>
          </cell>
          <cell r="CH811">
            <v>1160</v>
          </cell>
          <cell r="CI811">
            <v>121</v>
          </cell>
          <cell r="CJ811">
            <v>325</v>
          </cell>
          <cell r="CK811">
            <v>1257</v>
          </cell>
          <cell r="CM811">
            <v>250.42</v>
          </cell>
          <cell r="CN811">
            <v>21.83</v>
          </cell>
          <cell r="CO811">
            <v>15.7</v>
          </cell>
          <cell r="CQ811">
            <v>9.61</v>
          </cell>
          <cell r="CR811">
            <v>74</v>
          </cell>
          <cell r="CS811">
            <v>2902</v>
          </cell>
          <cell r="CU811">
            <v>1665</v>
          </cell>
          <cell r="CW811">
            <v>77.057926829268297</v>
          </cell>
          <cell r="CX811">
            <v>1045.2470000000001</v>
          </cell>
          <cell r="CZ811">
            <v>397.15</v>
          </cell>
          <cell r="DA811">
            <v>4038.6</v>
          </cell>
          <cell r="DB811">
            <v>14.01</v>
          </cell>
          <cell r="DC811">
            <v>571.95000000000005</v>
          </cell>
          <cell r="DD811">
            <v>136</v>
          </cell>
        </row>
        <row r="812">
          <cell r="A812">
            <v>39525</v>
          </cell>
          <cell r="C812">
            <v>28</v>
          </cell>
          <cell r="D812">
            <v>1.92</v>
          </cell>
          <cell r="E812">
            <v>5.09</v>
          </cell>
          <cell r="L812">
            <v>1588.75</v>
          </cell>
          <cell r="M812">
            <v>2268.2600000000002</v>
          </cell>
          <cell r="N812">
            <v>5605.8</v>
          </cell>
          <cell r="O812">
            <v>5446</v>
          </cell>
          <cell r="Q812">
            <v>830</v>
          </cell>
          <cell r="R812">
            <v>547.25</v>
          </cell>
          <cell r="S812">
            <v>1164</v>
          </cell>
          <cell r="T812">
            <v>1307</v>
          </cell>
          <cell r="U812">
            <v>11964.16</v>
          </cell>
          <cell r="V812">
            <v>21384.61</v>
          </cell>
          <cell r="W812">
            <v>8057.82</v>
          </cell>
          <cell r="X812">
            <v>94.65</v>
          </cell>
          <cell r="Y812">
            <v>1190</v>
          </cell>
          <cell r="Z812">
            <v>1760</v>
          </cell>
          <cell r="AA812">
            <v>14833.46</v>
          </cell>
          <cell r="AB812">
            <v>5163.8</v>
          </cell>
          <cell r="AC812">
            <v>61932.781300000002</v>
          </cell>
          <cell r="AE812">
            <v>127.15</v>
          </cell>
          <cell r="AF812">
            <v>880</v>
          </cell>
          <cell r="AG812">
            <v>7893</v>
          </cell>
          <cell r="AH812">
            <v>1100</v>
          </cell>
          <cell r="AI812">
            <v>1800</v>
          </cell>
          <cell r="AJ812">
            <v>600.1</v>
          </cell>
          <cell r="AL812">
            <v>1330.74</v>
          </cell>
          <cell r="AP812">
            <v>3668.8969999999999</v>
          </cell>
          <cell r="AV812">
            <v>52</v>
          </cell>
          <cell r="AZ812">
            <v>272.2</v>
          </cell>
          <cell r="BE812">
            <v>29945</v>
          </cell>
          <cell r="BG812">
            <v>129.5</v>
          </cell>
          <cell r="BH812">
            <v>621.23</v>
          </cell>
          <cell r="BY812">
            <v>349.96</v>
          </cell>
          <cell r="CD812">
            <v>359.64</v>
          </cell>
          <cell r="CE812">
            <v>349.01400000000001</v>
          </cell>
          <cell r="CF812">
            <v>404.75</v>
          </cell>
          <cell r="CG812">
            <v>1660</v>
          </cell>
          <cell r="CH812">
            <v>1160</v>
          </cell>
          <cell r="CI812">
            <v>121</v>
          </cell>
          <cell r="CJ812">
            <v>325</v>
          </cell>
          <cell r="CK812">
            <v>1413</v>
          </cell>
          <cell r="CM812">
            <v>266</v>
          </cell>
          <cell r="CN812">
            <v>21.69</v>
          </cell>
          <cell r="CO812">
            <v>15.95</v>
          </cell>
          <cell r="CQ812">
            <v>9.09</v>
          </cell>
          <cell r="CR812">
            <v>74</v>
          </cell>
          <cell r="CS812">
            <v>2943.5</v>
          </cell>
          <cell r="CU812">
            <v>1665</v>
          </cell>
          <cell r="CW812">
            <v>75.381097560975618</v>
          </cell>
          <cell r="CX812">
            <v>1050.7665</v>
          </cell>
          <cell r="CZ812">
            <v>404.77</v>
          </cell>
          <cell r="DA812">
            <v>4117.8999999999996</v>
          </cell>
          <cell r="DB812">
            <v>14.08</v>
          </cell>
          <cell r="DC812">
            <v>571.95000000000005</v>
          </cell>
          <cell r="DD812">
            <v>137.55000000000001</v>
          </cell>
        </row>
        <row r="813">
          <cell r="A813">
            <v>39526</v>
          </cell>
          <cell r="C813">
            <v>28</v>
          </cell>
          <cell r="D813">
            <v>1.92</v>
          </cell>
          <cell r="E813">
            <v>5.0999999999999996</v>
          </cell>
          <cell r="L813">
            <v>1622.23</v>
          </cell>
          <cell r="M813">
            <v>2209.96</v>
          </cell>
          <cell r="N813">
            <v>5545.6</v>
          </cell>
          <cell r="O813">
            <v>5434</v>
          </cell>
          <cell r="Q813">
            <v>830</v>
          </cell>
          <cell r="R813">
            <v>527.25</v>
          </cell>
          <cell r="S813">
            <v>1074</v>
          </cell>
          <cell r="T813">
            <v>1257</v>
          </cell>
          <cell r="U813">
            <v>12260.44</v>
          </cell>
          <cell r="V813">
            <v>21866.94</v>
          </cell>
          <cell r="W813">
            <v>8179.35</v>
          </cell>
          <cell r="X813">
            <v>97.65</v>
          </cell>
          <cell r="Y813">
            <v>1190</v>
          </cell>
          <cell r="Z813">
            <v>1760</v>
          </cell>
          <cell r="AA813">
            <v>14994.83</v>
          </cell>
          <cell r="AB813">
            <v>5349.2</v>
          </cell>
          <cell r="AC813">
            <v>58827.359400000001</v>
          </cell>
          <cell r="AE813">
            <v>130.05000000000001</v>
          </cell>
          <cell r="AF813">
            <v>880</v>
          </cell>
          <cell r="AG813">
            <v>7801</v>
          </cell>
          <cell r="AH813">
            <v>1100</v>
          </cell>
          <cell r="AI813">
            <v>1800</v>
          </cell>
          <cell r="AJ813">
            <v>612.13</v>
          </cell>
          <cell r="AL813">
            <v>1298.42</v>
          </cell>
          <cell r="AP813">
            <v>3761.605</v>
          </cell>
          <cell r="AV813">
            <v>50.97</v>
          </cell>
          <cell r="AZ813">
            <v>272.10000000000002</v>
          </cell>
          <cell r="BE813">
            <v>29155</v>
          </cell>
          <cell r="BG813">
            <v>129.5</v>
          </cell>
          <cell r="BH813">
            <v>609.98</v>
          </cell>
          <cell r="BY813">
            <v>334.93</v>
          </cell>
          <cell r="CD813">
            <v>354.23</v>
          </cell>
          <cell r="CE813">
            <v>343.07900000000001</v>
          </cell>
          <cell r="CF813">
            <v>414.17</v>
          </cell>
          <cell r="CG813">
            <v>1660</v>
          </cell>
          <cell r="CH813">
            <v>1160</v>
          </cell>
          <cell r="CI813">
            <v>121</v>
          </cell>
          <cell r="CJ813">
            <v>325</v>
          </cell>
          <cell r="CK813">
            <v>1554</v>
          </cell>
          <cell r="CM813">
            <v>256.02999999999997</v>
          </cell>
          <cell r="CN813">
            <v>21.79</v>
          </cell>
          <cell r="CO813">
            <v>15.83</v>
          </cell>
          <cell r="CQ813">
            <v>9.11</v>
          </cell>
          <cell r="CR813">
            <v>74</v>
          </cell>
          <cell r="CS813">
            <v>2824.25</v>
          </cell>
          <cell r="CU813">
            <v>1665</v>
          </cell>
          <cell r="CW813">
            <v>76.905487804878049</v>
          </cell>
          <cell r="CX813">
            <v>1073.3264999999999</v>
          </cell>
          <cell r="CZ813">
            <v>388.3</v>
          </cell>
          <cell r="DA813">
            <v>4001.3</v>
          </cell>
          <cell r="DB813">
            <v>13.38</v>
          </cell>
          <cell r="DC813">
            <v>571.95000000000005</v>
          </cell>
          <cell r="DD813">
            <v>132.94999999999999</v>
          </cell>
        </row>
        <row r="814">
          <cell r="A814">
            <v>39527</v>
          </cell>
          <cell r="C814">
            <v>28</v>
          </cell>
          <cell r="D814">
            <v>1.94</v>
          </cell>
          <cell r="E814">
            <v>5.07</v>
          </cell>
          <cell r="L814">
            <v>1623.39</v>
          </cell>
          <cell r="M814">
            <v>2258.11</v>
          </cell>
          <cell r="N814">
            <v>5495.2</v>
          </cell>
          <cell r="O814">
            <v>5421</v>
          </cell>
          <cell r="Q814">
            <v>830</v>
          </cell>
          <cell r="R814">
            <v>507.5</v>
          </cell>
          <cell r="S814">
            <v>987.5</v>
          </cell>
          <cell r="T814">
            <v>1207</v>
          </cell>
          <cell r="U814">
            <v>12260.44</v>
          </cell>
          <cell r="V814">
            <v>21108.22</v>
          </cell>
          <cell r="W814">
            <v>8337.6200000000008</v>
          </cell>
          <cell r="X814">
            <v>93.95</v>
          </cell>
          <cell r="Y814">
            <v>1190</v>
          </cell>
          <cell r="Z814">
            <v>1760</v>
          </cell>
          <cell r="AA814">
            <v>14994.83</v>
          </cell>
          <cell r="AB814">
            <v>5182.3999999999996</v>
          </cell>
          <cell r="AC814">
            <v>58987.308599999997</v>
          </cell>
          <cell r="AE814">
            <v>124.55</v>
          </cell>
          <cell r="AF814">
            <v>880</v>
          </cell>
          <cell r="AG814">
            <v>7684</v>
          </cell>
          <cell r="AH814">
            <v>1100</v>
          </cell>
          <cell r="AI814">
            <v>1800</v>
          </cell>
          <cell r="AJ814">
            <v>609.32000000000005</v>
          </cell>
          <cell r="AL814">
            <v>1329.51</v>
          </cell>
          <cell r="AP814">
            <v>3804.0540000000001</v>
          </cell>
          <cell r="AV814">
            <v>52.9</v>
          </cell>
          <cell r="AZ814">
            <v>272.10000000000002</v>
          </cell>
          <cell r="BE814">
            <v>28380</v>
          </cell>
          <cell r="BG814">
            <v>129.5</v>
          </cell>
          <cell r="BH814">
            <v>597.20000000000005</v>
          </cell>
          <cell r="BY814">
            <v>339.89</v>
          </cell>
          <cell r="CD814">
            <v>354.39</v>
          </cell>
          <cell r="CE814">
            <v>344.07299999999998</v>
          </cell>
          <cell r="CF814">
            <v>410.39</v>
          </cell>
          <cell r="CG814">
            <v>1660</v>
          </cell>
          <cell r="CH814">
            <v>1160</v>
          </cell>
          <cell r="CI814">
            <v>120</v>
          </cell>
          <cell r="CJ814">
            <v>325</v>
          </cell>
          <cell r="CK814">
            <v>1591</v>
          </cell>
          <cell r="CM814">
            <v>260.51</v>
          </cell>
          <cell r="CN814">
            <v>21.96</v>
          </cell>
          <cell r="CO814">
            <v>16.3</v>
          </cell>
          <cell r="CQ814">
            <v>8.59</v>
          </cell>
          <cell r="CR814">
            <v>74</v>
          </cell>
          <cell r="CS814">
            <v>2700.5</v>
          </cell>
          <cell r="CU814">
            <v>1665</v>
          </cell>
          <cell r="CW814">
            <v>73.856707317073173</v>
          </cell>
          <cell r="CX814">
            <v>1059.558</v>
          </cell>
          <cell r="CZ814">
            <v>381.74</v>
          </cell>
          <cell r="DA814">
            <v>3901.6</v>
          </cell>
          <cell r="DB814">
            <v>13.51</v>
          </cell>
          <cell r="DC814">
            <v>571.95000000000005</v>
          </cell>
          <cell r="DD814">
            <v>130.9</v>
          </cell>
        </row>
        <row r="815">
          <cell r="A815">
            <v>39528</v>
          </cell>
          <cell r="C815">
            <v>28</v>
          </cell>
          <cell r="D815">
            <v>1.94</v>
          </cell>
          <cell r="E815">
            <v>5.05</v>
          </cell>
          <cell r="L815">
            <v>1645.69</v>
          </cell>
          <cell r="M815">
            <v>2258.11</v>
          </cell>
          <cell r="N815">
            <v>5495.2</v>
          </cell>
          <cell r="O815">
            <v>5421</v>
          </cell>
          <cell r="Q815">
            <v>830</v>
          </cell>
          <cell r="R815">
            <v>507.5</v>
          </cell>
          <cell r="S815">
            <v>987.5</v>
          </cell>
          <cell r="T815">
            <v>1207</v>
          </cell>
          <cell r="U815">
            <v>12482.57</v>
          </cell>
          <cell r="V815">
            <v>21108.22</v>
          </cell>
          <cell r="W815">
            <v>8524.99</v>
          </cell>
          <cell r="X815">
            <v>93.95</v>
          </cell>
          <cell r="Y815">
            <v>1200</v>
          </cell>
          <cell r="Z815">
            <v>1770</v>
          </cell>
          <cell r="AA815">
            <v>14994.83</v>
          </cell>
          <cell r="AB815">
            <v>5182.3999999999996</v>
          </cell>
          <cell r="AC815">
            <v>58987.308599999997</v>
          </cell>
          <cell r="AE815">
            <v>124.55</v>
          </cell>
          <cell r="AF815">
            <v>880</v>
          </cell>
          <cell r="AG815">
            <v>7684</v>
          </cell>
          <cell r="AH815">
            <v>1115</v>
          </cell>
          <cell r="AI815">
            <v>1805</v>
          </cell>
          <cell r="AJ815">
            <v>615.92999999999995</v>
          </cell>
          <cell r="AL815">
            <v>1329.51</v>
          </cell>
          <cell r="AP815">
            <v>3796.576</v>
          </cell>
          <cell r="AV815">
            <v>52.9</v>
          </cell>
          <cell r="AZ815">
            <v>263</v>
          </cell>
          <cell r="BE815">
            <v>28380</v>
          </cell>
          <cell r="BG815">
            <v>129.5</v>
          </cell>
          <cell r="BH815">
            <v>598.29999999999995</v>
          </cell>
          <cell r="BY815">
            <v>339.89</v>
          </cell>
          <cell r="CD815">
            <v>355.2</v>
          </cell>
          <cell r="CE815">
            <v>344.70299999999997</v>
          </cell>
          <cell r="CF815">
            <v>414.5</v>
          </cell>
          <cell r="CG815">
            <v>1660</v>
          </cell>
          <cell r="CH815">
            <v>1210</v>
          </cell>
          <cell r="CI815">
            <v>120</v>
          </cell>
          <cell r="CJ815">
            <v>325</v>
          </cell>
          <cell r="CK815">
            <v>1591</v>
          </cell>
          <cell r="CM815">
            <v>260.51</v>
          </cell>
          <cell r="CN815">
            <v>21.99</v>
          </cell>
          <cell r="CO815">
            <v>16.3</v>
          </cell>
          <cell r="CQ815">
            <v>8.59</v>
          </cell>
          <cell r="CR815">
            <v>74</v>
          </cell>
          <cell r="CS815">
            <v>2700.5</v>
          </cell>
          <cell r="CU815">
            <v>1680</v>
          </cell>
          <cell r="CW815">
            <v>73.856707317073173</v>
          </cell>
          <cell r="CX815">
            <v>1058.5305000000001</v>
          </cell>
          <cell r="CZ815">
            <v>381.74</v>
          </cell>
          <cell r="DA815">
            <v>3901.6</v>
          </cell>
          <cell r="DB815">
            <v>13.51</v>
          </cell>
          <cell r="DC815">
            <v>571.95000000000005</v>
          </cell>
          <cell r="DD815">
            <v>130.9</v>
          </cell>
        </row>
        <row r="816">
          <cell r="A816">
            <v>39529</v>
          </cell>
          <cell r="C816">
            <v>28</v>
          </cell>
          <cell r="D816">
            <v>1.94</v>
          </cell>
          <cell r="E816">
            <v>5.05</v>
          </cell>
          <cell r="L816">
            <v>1645.69</v>
          </cell>
          <cell r="M816">
            <v>2258.11</v>
          </cell>
          <cell r="N816">
            <v>5495.2</v>
          </cell>
          <cell r="O816">
            <v>5421</v>
          </cell>
          <cell r="Q816">
            <v>830</v>
          </cell>
          <cell r="R816">
            <v>507.5</v>
          </cell>
          <cell r="S816">
            <v>987.5</v>
          </cell>
          <cell r="T816">
            <v>1207</v>
          </cell>
          <cell r="U816">
            <v>12482.57</v>
          </cell>
          <cell r="V816">
            <v>21108.22</v>
          </cell>
          <cell r="W816">
            <v>8524.99</v>
          </cell>
          <cell r="X816">
            <v>93.95</v>
          </cell>
          <cell r="Y816">
            <v>1200</v>
          </cell>
          <cell r="Z816">
            <v>1770</v>
          </cell>
          <cell r="AA816">
            <v>14994.83</v>
          </cell>
          <cell r="AB816">
            <v>5182.3999999999996</v>
          </cell>
          <cell r="AC816">
            <v>58987.308599999997</v>
          </cell>
          <cell r="AE816">
            <v>124.55</v>
          </cell>
          <cell r="AF816">
            <v>880</v>
          </cell>
          <cell r="AG816">
            <v>7684</v>
          </cell>
          <cell r="AH816">
            <v>1115</v>
          </cell>
          <cell r="AI816">
            <v>1805</v>
          </cell>
          <cell r="AJ816">
            <v>615.92999999999995</v>
          </cell>
          <cell r="AL816">
            <v>1329.51</v>
          </cell>
          <cell r="AP816">
            <v>3796.576</v>
          </cell>
          <cell r="AV816">
            <v>52.9</v>
          </cell>
          <cell r="AZ816">
            <v>263</v>
          </cell>
          <cell r="BE816">
            <v>28380</v>
          </cell>
          <cell r="BG816">
            <v>129.5</v>
          </cell>
          <cell r="BH816">
            <v>598.29999999999995</v>
          </cell>
          <cell r="BY816">
            <v>339.89</v>
          </cell>
          <cell r="CD816">
            <v>355.2</v>
          </cell>
          <cell r="CE816">
            <v>344.70299999999997</v>
          </cell>
          <cell r="CF816">
            <v>414.5</v>
          </cell>
          <cell r="CG816">
            <v>1660</v>
          </cell>
          <cell r="CH816">
            <v>1210</v>
          </cell>
          <cell r="CI816">
            <v>120</v>
          </cell>
          <cell r="CJ816">
            <v>325</v>
          </cell>
          <cell r="CK816">
            <v>1591</v>
          </cell>
          <cell r="CM816">
            <v>260.51</v>
          </cell>
          <cell r="CN816">
            <v>21.99</v>
          </cell>
          <cell r="CO816">
            <v>16.3</v>
          </cell>
          <cell r="CQ816">
            <v>8.59</v>
          </cell>
          <cell r="CR816">
            <v>74</v>
          </cell>
          <cell r="CS816">
            <v>2700.5</v>
          </cell>
          <cell r="CU816">
            <v>1680</v>
          </cell>
          <cell r="CW816">
            <v>73.856707317073173</v>
          </cell>
          <cell r="CX816">
            <v>1058.5305000000001</v>
          </cell>
          <cell r="CZ816">
            <v>381.74</v>
          </cell>
          <cell r="DA816">
            <v>3901.6</v>
          </cell>
          <cell r="DB816">
            <v>13.51</v>
          </cell>
          <cell r="DC816">
            <v>571.95000000000005</v>
          </cell>
          <cell r="DD816">
            <v>130.9</v>
          </cell>
        </row>
        <row r="817">
          <cell r="A817">
            <v>39530</v>
          </cell>
          <cell r="C817">
            <v>28</v>
          </cell>
          <cell r="D817">
            <v>1.94</v>
          </cell>
          <cell r="E817">
            <v>5.05</v>
          </cell>
          <cell r="L817">
            <v>1645.69</v>
          </cell>
          <cell r="M817">
            <v>2258.11</v>
          </cell>
          <cell r="N817">
            <v>5495.2</v>
          </cell>
          <cell r="O817">
            <v>5421</v>
          </cell>
          <cell r="Q817">
            <v>830</v>
          </cell>
          <cell r="R817">
            <v>507.5</v>
          </cell>
          <cell r="S817">
            <v>987.5</v>
          </cell>
          <cell r="T817">
            <v>1207</v>
          </cell>
          <cell r="U817">
            <v>12482.57</v>
          </cell>
          <cell r="V817">
            <v>21108.22</v>
          </cell>
          <cell r="W817">
            <v>8524.99</v>
          </cell>
          <cell r="X817">
            <v>93.95</v>
          </cell>
          <cell r="Y817">
            <v>1200</v>
          </cell>
          <cell r="Z817">
            <v>1770</v>
          </cell>
          <cell r="AA817">
            <v>14994.83</v>
          </cell>
          <cell r="AB817">
            <v>5182.3999999999996</v>
          </cell>
          <cell r="AC817">
            <v>58987.308599999997</v>
          </cell>
          <cell r="AE817">
            <v>124.55</v>
          </cell>
          <cell r="AF817">
            <v>880</v>
          </cell>
          <cell r="AG817">
            <v>7684</v>
          </cell>
          <cell r="AH817">
            <v>1115</v>
          </cell>
          <cell r="AI817">
            <v>1805</v>
          </cell>
          <cell r="AJ817">
            <v>615.92999999999995</v>
          </cell>
          <cell r="AL817">
            <v>1329.51</v>
          </cell>
          <cell r="AP817">
            <v>3796.576</v>
          </cell>
          <cell r="AV817">
            <v>52.9</v>
          </cell>
          <cell r="AZ817">
            <v>263</v>
          </cell>
          <cell r="BE817">
            <v>28380</v>
          </cell>
          <cell r="BG817">
            <v>129.5</v>
          </cell>
          <cell r="BH817">
            <v>598.29999999999995</v>
          </cell>
          <cell r="BY817">
            <v>339.89</v>
          </cell>
          <cell r="CD817">
            <v>355.2</v>
          </cell>
          <cell r="CE817">
            <v>344.70299999999997</v>
          </cell>
          <cell r="CF817">
            <v>414.5</v>
          </cell>
          <cell r="CG817">
            <v>1660</v>
          </cell>
          <cell r="CH817">
            <v>1210</v>
          </cell>
          <cell r="CI817">
            <v>120</v>
          </cell>
          <cell r="CJ817">
            <v>325</v>
          </cell>
          <cell r="CK817">
            <v>1591</v>
          </cell>
          <cell r="CM817">
            <v>260.51</v>
          </cell>
          <cell r="CN817">
            <v>21.99</v>
          </cell>
          <cell r="CO817">
            <v>16.3</v>
          </cell>
          <cell r="CQ817">
            <v>8.59</v>
          </cell>
          <cell r="CR817">
            <v>74</v>
          </cell>
          <cell r="CS817">
            <v>2700.5</v>
          </cell>
          <cell r="CU817">
            <v>1680</v>
          </cell>
          <cell r="CW817">
            <v>73.856707317073173</v>
          </cell>
          <cell r="CX817">
            <v>1058.5305000000001</v>
          </cell>
          <cell r="CZ817">
            <v>381.74</v>
          </cell>
          <cell r="DA817">
            <v>3901.6</v>
          </cell>
          <cell r="DB817">
            <v>13.51</v>
          </cell>
          <cell r="DC817">
            <v>571.95000000000005</v>
          </cell>
          <cell r="DD817">
            <v>130.9</v>
          </cell>
        </row>
        <row r="818">
          <cell r="A818">
            <v>39531</v>
          </cell>
          <cell r="C818">
            <v>28</v>
          </cell>
          <cell r="D818">
            <v>1.94</v>
          </cell>
          <cell r="E818">
            <v>5.05</v>
          </cell>
          <cell r="L818">
            <v>1655.3</v>
          </cell>
          <cell r="M818">
            <v>2326.75</v>
          </cell>
          <cell r="N818">
            <v>5495.2</v>
          </cell>
          <cell r="O818">
            <v>5427</v>
          </cell>
          <cell r="Q818">
            <v>830</v>
          </cell>
          <cell r="R818">
            <v>524.75</v>
          </cell>
          <cell r="S818">
            <v>1020</v>
          </cell>
          <cell r="T818">
            <v>1257</v>
          </cell>
          <cell r="U818">
            <v>12480.09</v>
          </cell>
          <cell r="V818">
            <v>21108.22</v>
          </cell>
          <cell r="W818">
            <v>8865.35</v>
          </cell>
          <cell r="X818">
            <v>95.05</v>
          </cell>
          <cell r="Y818">
            <v>1200</v>
          </cell>
          <cell r="Z818">
            <v>1770</v>
          </cell>
          <cell r="AA818">
            <v>15289.4</v>
          </cell>
          <cell r="AB818">
            <v>5182.3999999999996</v>
          </cell>
          <cell r="AC818">
            <v>59812.531300000002</v>
          </cell>
          <cell r="AE818">
            <v>123.25</v>
          </cell>
          <cell r="AF818">
            <v>880</v>
          </cell>
          <cell r="AG818">
            <v>7684</v>
          </cell>
          <cell r="AH818">
            <v>1115</v>
          </cell>
          <cell r="AI818">
            <v>1805</v>
          </cell>
          <cell r="AJ818">
            <v>619.6</v>
          </cell>
          <cell r="AL818">
            <v>1349.88</v>
          </cell>
          <cell r="AP818">
            <v>3626.1880000000001</v>
          </cell>
          <cell r="AV818">
            <v>54.8</v>
          </cell>
          <cell r="AZ818">
            <v>263.89999999999998</v>
          </cell>
          <cell r="BE818">
            <v>28380</v>
          </cell>
          <cell r="BG818">
            <v>129.5</v>
          </cell>
          <cell r="BH818">
            <v>595.98</v>
          </cell>
          <cell r="BY818">
            <v>352.5</v>
          </cell>
          <cell r="CD818">
            <v>358.24</v>
          </cell>
          <cell r="CE818">
            <v>347.17899999999997</v>
          </cell>
          <cell r="CF818">
            <v>422.89</v>
          </cell>
          <cell r="CG818">
            <v>1660</v>
          </cell>
          <cell r="CH818">
            <v>1210</v>
          </cell>
          <cell r="CI818">
            <v>120</v>
          </cell>
          <cell r="CJ818">
            <v>325</v>
          </cell>
          <cell r="CK818">
            <v>1591</v>
          </cell>
          <cell r="CM818">
            <v>264.12</v>
          </cell>
          <cell r="CN818">
            <v>21.99</v>
          </cell>
          <cell r="CO818">
            <v>16.3</v>
          </cell>
          <cell r="CQ818">
            <v>8.89</v>
          </cell>
          <cell r="CR818">
            <v>74</v>
          </cell>
          <cell r="CS818">
            <v>2700.5</v>
          </cell>
          <cell r="CU818">
            <v>1680</v>
          </cell>
          <cell r="CW818">
            <v>73.399390243902445</v>
          </cell>
          <cell r="CX818">
            <v>1056.27</v>
          </cell>
          <cell r="CZ818">
            <v>383.52</v>
          </cell>
          <cell r="DA818">
            <v>3901.6</v>
          </cell>
          <cell r="DB818">
            <v>13.63</v>
          </cell>
          <cell r="DC818">
            <v>571.95000000000005</v>
          </cell>
          <cell r="DD818">
            <v>128.75</v>
          </cell>
        </row>
        <row r="819">
          <cell r="A819">
            <v>39532</v>
          </cell>
          <cell r="C819">
            <v>28</v>
          </cell>
          <cell r="D819">
            <v>1.94</v>
          </cell>
          <cell r="E819">
            <v>5.0599999999999996</v>
          </cell>
          <cell r="L819">
            <v>1674.93</v>
          </cell>
          <cell r="M819">
            <v>2341.0500000000002</v>
          </cell>
          <cell r="N819">
            <v>5689.1</v>
          </cell>
          <cell r="O819">
            <v>5439</v>
          </cell>
          <cell r="Q819">
            <v>830</v>
          </cell>
          <cell r="R819">
            <v>544.75</v>
          </cell>
          <cell r="S819">
            <v>1067.5</v>
          </cell>
          <cell r="T819">
            <v>1307</v>
          </cell>
          <cell r="U819">
            <v>12745.22</v>
          </cell>
          <cell r="V819">
            <v>22464.52</v>
          </cell>
          <cell r="W819">
            <v>8795.09</v>
          </cell>
          <cell r="X819">
            <v>95.95</v>
          </cell>
          <cell r="Y819">
            <v>1200</v>
          </cell>
          <cell r="Z819">
            <v>1770</v>
          </cell>
          <cell r="AA819">
            <v>16217.49</v>
          </cell>
          <cell r="AB819">
            <v>5355.7</v>
          </cell>
          <cell r="AC819">
            <v>61234.058599999997</v>
          </cell>
          <cell r="AE819">
            <v>123.85</v>
          </cell>
          <cell r="AF819">
            <v>880</v>
          </cell>
          <cell r="AG819">
            <v>7619</v>
          </cell>
          <cell r="AH819">
            <v>1115</v>
          </cell>
          <cell r="AI819">
            <v>1805</v>
          </cell>
          <cell r="AJ819">
            <v>628.22</v>
          </cell>
          <cell r="AL819">
            <v>1352.99</v>
          </cell>
          <cell r="AP819">
            <v>3629.6190000000001</v>
          </cell>
          <cell r="AV819">
            <v>55.32</v>
          </cell>
          <cell r="AZ819">
            <v>269.8</v>
          </cell>
          <cell r="BE819">
            <v>29360</v>
          </cell>
          <cell r="BG819">
            <v>129.5</v>
          </cell>
          <cell r="BH819">
            <v>610.9</v>
          </cell>
          <cell r="BY819">
            <v>352.72</v>
          </cell>
          <cell r="CD819">
            <v>366.43</v>
          </cell>
          <cell r="CE819">
            <v>354.89100000000002</v>
          </cell>
          <cell r="CF819">
            <v>439.97</v>
          </cell>
          <cell r="CG819">
            <v>1660</v>
          </cell>
          <cell r="CH819">
            <v>1210</v>
          </cell>
          <cell r="CI819">
            <v>120</v>
          </cell>
          <cell r="CJ819">
            <v>325</v>
          </cell>
          <cell r="CK819">
            <v>1594</v>
          </cell>
          <cell r="CM819">
            <v>268.02</v>
          </cell>
          <cell r="CN819">
            <v>22.42</v>
          </cell>
          <cell r="CO819">
            <v>16.649999999999999</v>
          </cell>
          <cell r="CQ819">
            <v>9.2799999999999994</v>
          </cell>
          <cell r="CR819">
            <v>74</v>
          </cell>
          <cell r="CS819">
            <v>2742</v>
          </cell>
          <cell r="CU819">
            <v>1680</v>
          </cell>
          <cell r="CW819">
            <v>73.551829268292693</v>
          </cell>
          <cell r="CX819">
            <v>1068.3944999999999</v>
          </cell>
          <cell r="CZ819">
            <v>389.77</v>
          </cell>
          <cell r="DA819">
            <v>4005.7</v>
          </cell>
          <cell r="DB819">
            <v>13.89</v>
          </cell>
          <cell r="DC819">
            <v>571.95000000000005</v>
          </cell>
          <cell r="DD819">
            <v>132.65</v>
          </cell>
        </row>
        <row r="820">
          <cell r="A820">
            <v>39533</v>
          </cell>
          <cell r="C820">
            <v>28</v>
          </cell>
          <cell r="D820">
            <v>1.95</v>
          </cell>
          <cell r="E820">
            <v>5.03</v>
          </cell>
          <cell r="L820">
            <v>1679.67</v>
          </cell>
          <cell r="M820">
            <v>2324.36</v>
          </cell>
          <cell r="N820">
            <v>5660.4</v>
          </cell>
          <cell r="O820">
            <v>5442</v>
          </cell>
          <cell r="Q820">
            <v>830</v>
          </cell>
          <cell r="R820">
            <v>552.25</v>
          </cell>
          <cell r="S820">
            <v>1033</v>
          </cell>
          <cell r="T820">
            <v>1352</v>
          </cell>
          <cell r="U820">
            <v>12706.63</v>
          </cell>
          <cell r="V820">
            <v>22617.01</v>
          </cell>
          <cell r="W820">
            <v>8768.02</v>
          </cell>
          <cell r="X820">
            <v>96.55</v>
          </cell>
          <cell r="Y820">
            <v>1200</v>
          </cell>
          <cell r="Z820">
            <v>1770</v>
          </cell>
          <cell r="AA820">
            <v>16086.83</v>
          </cell>
          <cell r="AB820">
            <v>5421.3</v>
          </cell>
          <cell r="AC820">
            <v>61415.281300000002</v>
          </cell>
          <cell r="AE820">
            <v>123.75</v>
          </cell>
          <cell r="AF820">
            <v>880</v>
          </cell>
          <cell r="AG820">
            <v>7679</v>
          </cell>
          <cell r="AH820">
            <v>1115</v>
          </cell>
          <cell r="AI820">
            <v>1805</v>
          </cell>
          <cell r="AJ820">
            <v>628.38</v>
          </cell>
          <cell r="AL820">
            <v>1341.13</v>
          </cell>
          <cell r="AP820">
            <v>3606.857</v>
          </cell>
          <cell r="AV820">
            <v>55.16</v>
          </cell>
          <cell r="AZ820">
            <v>270.89999999999998</v>
          </cell>
          <cell r="BE820">
            <v>29550</v>
          </cell>
          <cell r="BG820">
            <v>129.5</v>
          </cell>
          <cell r="BH820">
            <v>621.78</v>
          </cell>
          <cell r="BY820">
            <v>347.74</v>
          </cell>
          <cell r="CD820">
            <v>366.2</v>
          </cell>
          <cell r="CE820">
            <v>354.44499999999999</v>
          </cell>
          <cell r="CF820">
            <v>440.47</v>
          </cell>
          <cell r="CG820">
            <v>1660</v>
          </cell>
          <cell r="CH820">
            <v>1210</v>
          </cell>
          <cell r="CI820">
            <v>120</v>
          </cell>
          <cell r="CJ820">
            <v>325</v>
          </cell>
          <cell r="CK820">
            <v>1549</v>
          </cell>
          <cell r="CM820">
            <v>274.29000000000002</v>
          </cell>
          <cell r="CN820">
            <v>22.61</v>
          </cell>
          <cell r="CO820">
            <v>16.399999999999999</v>
          </cell>
          <cell r="CQ820">
            <v>9.25</v>
          </cell>
          <cell r="CR820">
            <v>74</v>
          </cell>
          <cell r="CS820">
            <v>2783</v>
          </cell>
          <cell r="CU820">
            <v>1680</v>
          </cell>
          <cell r="CW820">
            <v>74.923780487804876</v>
          </cell>
          <cell r="CX820">
            <v>1082.711</v>
          </cell>
          <cell r="CZ820">
            <v>397.69</v>
          </cell>
          <cell r="DA820">
            <v>4052.4</v>
          </cell>
          <cell r="DB820">
            <v>13.9</v>
          </cell>
          <cell r="DC820">
            <v>571.95000000000005</v>
          </cell>
          <cell r="DD820">
            <v>132.30000000000001</v>
          </cell>
        </row>
        <row r="821">
          <cell r="A821">
            <v>39534</v>
          </cell>
          <cell r="C821">
            <v>28</v>
          </cell>
          <cell r="D821">
            <v>1.95</v>
          </cell>
          <cell r="E821">
            <v>4.97</v>
          </cell>
          <cell r="L821">
            <v>1676.24</v>
          </cell>
          <cell r="M821">
            <v>2280.83</v>
          </cell>
          <cell r="N821">
            <v>5717.5</v>
          </cell>
          <cell r="O821">
            <v>5461</v>
          </cell>
          <cell r="Q821">
            <v>830</v>
          </cell>
          <cell r="R821">
            <v>555.5</v>
          </cell>
          <cell r="S821">
            <v>1014</v>
          </cell>
          <cell r="T821">
            <v>1327.25</v>
          </cell>
          <cell r="U821">
            <v>12604.58</v>
          </cell>
          <cell r="V821">
            <v>22664.22</v>
          </cell>
          <cell r="W821">
            <v>8605.9500000000007</v>
          </cell>
          <cell r="X821">
            <v>98.25</v>
          </cell>
          <cell r="Y821">
            <v>1200</v>
          </cell>
          <cell r="Z821">
            <v>1770</v>
          </cell>
          <cell r="AA821">
            <v>16015.56</v>
          </cell>
          <cell r="AB821">
            <v>5418.5</v>
          </cell>
          <cell r="AC821">
            <v>60761.679700000001</v>
          </cell>
          <cell r="AE821">
            <v>128.44999999999999</v>
          </cell>
          <cell r="AF821">
            <v>880</v>
          </cell>
          <cell r="AG821">
            <v>7884</v>
          </cell>
          <cell r="AH821">
            <v>1115</v>
          </cell>
          <cell r="AI821">
            <v>1805</v>
          </cell>
          <cell r="AJ821">
            <v>629.61</v>
          </cell>
          <cell r="AL821">
            <v>1325.76</v>
          </cell>
          <cell r="AP821">
            <v>3411.4929999999999</v>
          </cell>
          <cell r="AV821">
            <v>54.91</v>
          </cell>
          <cell r="AZ821">
            <v>274.60000000000002</v>
          </cell>
          <cell r="BE821">
            <v>31140</v>
          </cell>
          <cell r="BG821">
            <v>129.5</v>
          </cell>
          <cell r="BH821">
            <v>615.76</v>
          </cell>
          <cell r="BY821">
            <v>342.74</v>
          </cell>
          <cell r="CD821">
            <v>365.47</v>
          </cell>
          <cell r="CE821">
            <v>353.68900000000002</v>
          </cell>
          <cell r="CF821">
            <v>437.84</v>
          </cell>
          <cell r="CG821">
            <v>1660</v>
          </cell>
          <cell r="CH821">
            <v>1210</v>
          </cell>
          <cell r="CI821">
            <v>120</v>
          </cell>
          <cell r="CJ821">
            <v>325</v>
          </cell>
          <cell r="CK821">
            <v>1528</v>
          </cell>
          <cell r="CM821">
            <v>271.63</v>
          </cell>
          <cell r="CN821">
            <v>22.44</v>
          </cell>
          <cell r="CO821">
            <v>15.85</v>
          </cell>
          <cell r="CQ821">
            <v>9.2899999999999991</v>
          </cell>
          <cell r="CR821">
            <v>74</v>
          </cell>
          <cell r="CS821">
            <v>2886.5</v>
          </cell>
          <cell r="CU821">
            <v>1680</v>
          </cell>
          <cell r="CW821">
            <v>77.667682926829272</v>
          </cell>
          <cell r="CX821">
            <v>1082.9165</v>
          </cell>
          <cell r="CZ821">
            <v>400.31</v>
          </cell>
          <cell r="DA821">
            <v>4204.3</v>
          </cell>
          <cell r="DB821">
            <v>13.84</v>
          </cell>
          <cell r="DC821">
            <v>571.95000000000005</v>
          </cell>
          <cell r="DD821">
            <v>132.55000000000001</v>
          </cell>
        </row>
        <row r="822">
          <cell r="A822">
            <v>39535</v>
          </cell>
          <cell r="C822">
            <v>28</v>
          </cell>
          <cell r="D822">
            <v>1.94</v>
          </cell>
          <cell r="E822">
            <v>4.95</v>
          </cell>
          <cell r="L822">
            <v>1701.83</v>
          </cell>
          <cell r="M822">
            <v>2261.1799999999998</v>
          </cell>
          <cell r="N822">
            <v>5692.9</v>
          </cell>
          <cell r="O822">
            <v>5484</v>
          </cell>
          <cell r="Q822">
            <v>830</v>
          </cell>
          <cell r="R822">
            <v>560.5</v>
          </cell>
          <cell r="S822">
            <v>989</v>
          </cell>
          <cell r="T822">
            <v>1267.25</v>
          </cell>
          <cell r="U822">
            <v>12820.47</v>
          </cell>
          <cell r="V822">
            <v>23285.95</v>
          </cell>
          <cell r="W822">
            <v>8623.48</v>
          </cell>
          <cell r="X822">
            <v>97.55</v>
          </cell>
          <cell r="Y822">
            <v>1240</v>
          </cell>
          <cell r="Z822">
            <v>1770</v>
          </cell>
          <cell r="AA822">
            <v>16371.29</v>
          </cell>
          <cell r="AB822">
            <v>5401.2</v>
          </cell>
          <cell r="AC822">
            <v>60452.121099999997</v>
          </cell>
          <cell r="AE822">
            <v>130.19999999999999</v>
          </cell>
          <cell r="AF822">
            <v>880</v>
          </cell>
          <cell r="AG822">
            <v>8069</v>
          </cell>
          <cell r="AH822">
            <v>1120</v>
          </cell>
          <cell r="AI822">
            <v>1810</v>
          </cell>
          <cell r="AJ822">
            <v>636.66999999999996</v>
          </cell>
          <cell r="AL822">
            <v>1315.22</v>
          </cell>
          <cell r="AP822">
            <v>3580.1460000000002</v>
          </cell>
          <cell r="AV822">
            <v>55.14</v>
          </cell>
          <cell r="AZ822">
            <v>270.8</v>
          </cell>
          <cell r="BE822">
            <v>30240</v>
          </cell>
          <cell r="BG822">
            <v>121</v>
          </cell>
          <cell r="BH822">
            <v>629.45000000000005</v>
          </cell>
          <cell r="BY822">
            <v>339.28</v>
          </cell>
          <cell r="CD822">
            <v>363.89</v>
          </cell>
          <cell r="CE822">
            <v>351.71899999999999</v>
          </cell>
          <cell r="CF822">
            <v>445.27</v>
          </cell>
          <cell r="CG822">
            <v>1650</v>
          </cell>
          <cell r="CH822">
            <v>1270</v>
          </cell>
          <cell r="CI822">
            <v>120</v>
          </cell>
          <cell r="CJ822">
            <v>325</v>
          </cell>
          <cell r="CK822">
            <v>1524</v>
          </cell>
          <cell r="CM822">
            <v>271.7</v>
          </cell>
          <cell r="CN822">
            <v>22.09</v>
          </cell>
          <cell r="CO822">
            <v>15.33</v>
          </cell>
          <cell r="CQ822">
            <v>9.35</v>
          </cell>
          <cell r="CR822">
            <v>74</v>
          </cell>
          <cell r="CS822">
            <v>2846.5</v>
          </cell>
          <cell r="CU822">
            <v>1700</v>
          </cell>
          <cell r="CW822">
            <v>77.667682926829272</v>
          </cell>
          <cell r="CX822">
            <v>1080.2449999999999</v>
          </cell>
          <cell r="CZ822">
            <v>394.54</v>
          </cell>
          <cell r="DA822">
            <v>4149.5</v>
          </cell>
          <cell r="DB822">
            <v>13.53</v>
          </cell>
          <cell r="DC822">
            <v>571.95000000000005</v>
          </cell>
          <cell r="DD822">
            <v>130.4</v>
          </cell>
        </row>
        <row r="823">
          <cell r="A823">
            <v>39536</v>
          </cell>
          <cell r="C823">
            <v>28</v>
          </cell>
          <cell r="D823">
            <v>1.94</v>
          </cell>
          <cell r="E823">
            <v>4.95</v>
          </cell>
          <cell r="L823">
            <v>1701.83</v>
          </cell>
          <cell r="M823">
            <v>2261.1799999999998</v>
          </cell>
          <cell r="N823">
            <v>5692.9</v>
          </cell>
          <cell r="O823">
            <v>5484</v>
          </cell>
          <cell r="Q823">
            <v>830</v>
          </cell>
          <cell r="R823">
            <v>560.5</v>
          </cell>
          <cell r="S823">
            <v>989</v>
          </cell>
          <cell r="T823">
            <v>1267.25</v>
          </cell>
          <cell r="U823">
            <v>12820.47</v>
          </cell>
          <cell r="V823">
            <v>23285.95</v>
          </cell>
          <cell r="W823">
            <v>8623.48</v>
          </cell>
          <cell r="X823">
            <v>97.55</v>
          </cell>
          <cell r="Y823">
            <v>1240</v>
          </cell>
          <cell r="Z823">
            <v>1770</v>
          </cell>
          <cell r="AA823">
            <v>16371.29</v>
          </cell>
          <cell r="AB823">
            <v>5401.2</v>
          </cell>
          <cell r="AC823">
            <v>60452.121099999997</v>
          </cell>
          <cell r="AE823">
            <v>130.19999999999999</v>
          </cell>
          <cell r="AF823">
            <v>880</v>
          </cell>
          <cell r="AG823">
            <v>8069</v>
          </cell>
          <cell r="AH823">
            <v>1120</v>
          </cell>
          <cell r="AI823">
            <v>1810</v>
          </cell>
          <cell r="AJ823">
            <v>636.66999999999996</v>
          </cell>
          <cell r="AL823">
            <v>1315.22</v>
          </cell>
          <cell r="AP823">
            <v>3580.1460000000002</v>
          </cell>
          <cell r="AV823">
            <v>55.14</v>
          </cell>
          <cell r="AZ823">
            <v>270.8</v>
          </cell>
          <cell r="BE823">
            <v>30240</v>
          </cell>
          <cell r="BG823">
            <v>121</v>
          </cell>
          <cell r="BH823">
            <v>629.45000000000005</v>
          </cell>
          <cell r="BY823">
            <v>339.28</v>
          </cell>
          <cell r="CD823">
            <v>363.89</v>
          </cell>
          <cell r="CE823">
            <v>351.71899999999999</v>
          </cell>
          <cell r="CF823">
            <v>445.27</v>
          </cell>
          <cell r="CG823">
            <v>1650</v>
          </cell>
          <cell r="CH823">
            <v>1270</v>
          </cell>
          <cell r="CI823">
            <v>120</v>
          </cell>
          <cell r="CJ823">
            <v>325</v>
          </cell>
          <cell r="CK823">
            <v>1524</v>
          </cell>
          <cell r="CM823">
            <v>271.7</v>
          </cell>
          <cell r="CN823">
            <v>22.09</v>
          </cell>
          <cell r="CO823">
            <v>15.33</v>
          </cell>
          <cell r="CQ823">
            <v>9.35</v>
          </cell>
          <cell r="CR823">
            <v>74</v>
          </cell>
          <cell r="CS823">
            <v>2846.5</v>
          </cell>
          <cell r="CU823">
            <v>1700</v>
          </cell>
          <cell r="CW823">
            <v>77.667682926829272</v>
          </cell>
          <cell r="CX823">
            <v>1080.2449999999999</v>
          </cell>
          <cell r="CZ823">
            <v>394.54</v>
          </cell>
          <cell r="DA823">
            <v>4149.5</v>
          </cell>
          <cell r="DB823">
            <v>13.53</v>
          </cell>
          <cell r="DC823">
            <v>571.95000000000005</v>
          </cell>
          <cell r="DD823">
            <v>130.4</v>
          </cell>
        </row>
        <row r="824">
          <cell r="A824">
            <v>39537</v>
          </cell>
          <cell r="C824">
            <v>28</v>
          </cell>
          <cell r="D824">
            <v>1.94</v>
          </cell>
          <cell r="E824">
            <v>4.95</v>
          </cell>
          <cell r="L824">
            <v>1701.83</v>
          </cell>
          <cell r="M824">
            <v>2261.1799999999998</v>
          </cell>
          <cell r="N824">
            <v>5692.9</v>
          </cell>
          <cell r="O824">
            <v>5484</v>
          </cell>
          <cell r="Q824">
            <v>830</v>
          </cell>
          <cell r="R824">
            <v>560.5</v>
          </cell>
          <cell r="S824">
            <v>989</v>
          </cell>
          <cell r="T824">
            <v>1267.25</v>
          </cell>
          <cell r="U824">
            <v>12820.47</v>
          </cell>
          <cell r="V824">
            <v>23285.95</v>
          </cell>
          <cell r="W824">
            <v>8623.48</v>
          </cell>
          <cell r="X824">
            <v>97.55</v>
          </cell>
          <cell r="Y824">
            <v>1240</v>
          </cell>
          <cell r="Z824">
            <v>1770</v>
          </cell>
          <cell r="AA824">
            <v>16371.29</v>
          </cell>
          <cell r="AB824">
            <v>5401.2</v>
          </cell>
          <cell r="AC824">
            <v>60452.121099999997</v>
          </cell>
          <cell r="AE824">
            <v>130.19999999999999</v>
          </cell>
          <cell r="AF824">
            <v>880</v>
          </cell>
          <cell r="AG824">
            <v>8069</v>
          </cell>
          <cell r="AH824">
            <v>1120</v>
          </cell>
          <cell r="AI824">
            <v>1810</v>
          </cell>
          <cell r="AJ824">
            <v>636.66999999999996</v>
          </cell>
          <cell r="AL824">
            <v>1315.22</v>
          </cell>
          <cell r="AP824">
            <v>3580.1460000000002</v>
          </cell>
          <cell r="AV824">
            <v>55.14</v>
          </cell>
          <cell r="AZ824">
            <v>270.8</v>
          </cell>
          <cell r="BE824">
            <v>30240</v>
          </cell>
          <cell r="BG824">
            <v>121</v>
          </cell>
          <cell r="BH824">
            <v>629.45000000000005</v>
          </cell>
          <cell r="BY824">
            <v>339.28</v>
          </cell>
          <cell r="CD824">
            <v>363.89</v>
          </cell>
          <cell r="CE824">
            <v>351.71899999999999</v>
          </cell>
          <cell r="CF824">
            <v>445.27</v>
          </cell>
          <cell r="CG824">
            <v>1650</v>
          </cell>
          <cell r="CH824">
            <v>1270</v>
          </cell>
          <cell r="CI824">
            <v>120</v>
          </cell>
          <cell r="CJ824">
            <v>325</v>
          </cell>
          <cell r="CK824">
            <v>1524</v>
          </cell>
          <cell r="CM824">
            <v>271.7</v>
          </cell>
          <cell r="CN824">
            <v>22.09</v>
          </cell>
          <cell r="CO824">
            <v>15.33</v>
          </cell>
          <cell r="CQ824">
            <v>9.35</v>
          </cell>
          <cell r="CR824">
            <v>74</v>
          </cell>
          <cell r="CS824">
            <v>2846.5</v>
          </cell>
          <cell r="CU824">
            <v>1700</v>
          </cell>
          <cell r="CW824">
            <v>77.667682926829272</v>
          </cell>
          <cell r="CX824">
            <v>1080.2449999999999</v>
          </cell>
          <cell r="CZ824">
            <v>394.54</v>
          </cell>
          <cell r="DA824">
            <v>4149.5</v>
          </cell>
          <cell r="DB824">
            <v>13.53</v>
          </cell>
          <cell r="DC824">
            <v>571.95000000000005</v>
          </cell>
          <cell r="DD824">
            <v>130.4</v>
          </cell>
        </row>
        <row r="825">
          <cell r="A825">
            <v>39538</v>
          </cell>
          <cell r="C825">
            <v>28</v>
          </cell>
          <cell r="D825">
            <v>1.94</v>
          </cell>
          <cell r="E825">
            <v>4.91</v>
          </cell>
          <cell r="L825">
            <v>1703.99</v>
          </cell>
          <cell r="M825">
            <v>2279.1</v>
          </cell>
          <cell r="N825">
            <v>5702.1</v>
          </cell>
          <cell r="O825">
            <v>5512</v>
          </cell>
          <cell r="Q825">
            <v>830</v>
          </cell>
          <cell r="R825">
            <v>567.25</v>
          </cell>
          <cell r="S825">
            <v>929</v>
          </cell>
          <cell r="T825">
            <v>1197.25</v>
          </cell>
          <cell r="U825">
            <v>12525.54</v>
          </cell>
          <cell r="V825">
            <v>22849.200000000001</v>
          </cell>
          <cell r="W825">
            <v>8572.59</v>
          </cell>
          <cell r="X825">
            <v>98.55</v>
          </cell>
          <cell r="Y825">
            <v>1240</v>
          </cell>
          <cell r="Z825">
            <v>1770</v>
          </cell>
          <cell r="AA825">
            <v>15644.44</v>
          </cell>
          <cell r="AB825">
            <v>5409.7</v>
          </cell>
          <cell r="AC825">
            <v>60968.070299999999</v>
          </cell>
          <cell r="AE825">
            <v>128.85</v>
          </cell>
          <cell r="AF825">
            <v>880</v>
          </cell>
          <cell r="AG825">
            <v>8081</v>
          </cell>
          <cell r="AH825">
            <v>1120</v>
          </cell>
          <cell r="AI825">
            <v>1810</v>
          </cell>
          <cell r="AJ825">
            <v>644.45000000000005</v>
          </cell>
          <cell r="AL825">
            <v>1322.7</v>
          </cell>
          <cell r="AP825">
            <v>3472.7130000000002</v>
          </cell>
          <cell r="AV825">
            <v>55.79</v>
          </cell>
          <cell r="AZ825">
            <v>277.8</v>
          </cell>
          <cell r="BE825">
            <v>29495</v>
          </cell>
          <cell r="BG825">
            <v>121</v>
          </cell>
          <cell r="BH825">
            <v>619.65</v>
          </cell>
          <cell r="BY825">
            <v>343.94</v>
          </cell>
          <cell r="CD825">
            <v>363.99</v>
          </cell>
          <cell r="CE825">
            <v>352.15600000000001</v>
          </cell>
          <cell r="CF825">
            <v>439.01</v>
          </cell>
          <cell r="CG825">
            <v>1650</v>
          </cell>
          <cell r="CH825">
            <v>1270</v>
          </cell>
          <cell r="CI825">
            <v>120</v>
          </cell>
          <cell r="CJ825">
            <v>325</v>
          </cell>
          <cell r="CK825">
            <v>1510</v>
          </cell>
          <cell r="CM825">
            <v>261.63</v>
          </cell>
          <cell r="CN825">
            <v>22.27</v>
          </cell>
          <cell r="CO825">
            <v>15.43</v>
          </cell>
          <cell r="CQ825">
            <v>9.83</v>
          </cell>
          <cell r="CR825">
            <v>74</v>
          </cell>
          <cell r="CS825">
            <v>2776.5</v>
          </cell>
          <cell r="CU825">
            <v>1700</v>
          </cell>
          <cell r="CW825">
            <v>76.143292682926827</v>
          </cell>
          <cell r="CX825">
            <v>1082.9165</v>
          </cell>
          <cell r="CZ825">
            <v>386.89</v>
          </cell>
          <cell r="DA825">
            <v>4117.2</v>
          </cell>
          <cell r="DB825">
            <v>13.23</v>
          </cell>
          <cell r="DC825">
            <v>571.95000000000005</v>
          </cell>
          <cell r="DD825">
            <v>127.4</v>
          </cell>
        </row>
        <row r="826">
          <cell r="A826">
            <v>39539</v>
          </cell>
          <cell r="C826">
            <v>28</v>
          </cell>
          <cell r="D826">
            <v>1.94</v>
          </cell>
          <cell r="E826">
            <v>4.91</v>
          </cell>
          <cell r="L826">
            <v>1702.25</v>
          </cell>
          <cell r="M826">
            <v>2362.75</v>
          </cell>
          <cell r="N826">
            <v>5852.6</v>
          </cell>
          <cell r="O826">
            <v>5559</v>
          </cell>
          <cell r="Q826">
            <v>830</v>
          </cell>
          <cell r="R826">
            <v>584</v>
          </cell>
          <cell r="S826">
            <v>895</v>
          </cell>
          <cell r="T826">
            <v>1211</v>
          </cell>
          <cell r="U826">
            <v>12656.42</v>
          </cell>
          <cell r="V826">
            <v>23137.46</v>
          </cell>
          <cell r="W826">
            <v>8419.7199999999993</v>
          </cell>
          <cell r="X826">
            <v>95.55</v>
          </cell>
          <cell r="Y826">
            <v>1240</v>
          </cell>
          <cell r="Z826">
            <v>1770</v>
          </cell>
          <cell r="AA826">
            <v>15626.62</v>
          </cell>
          <cell r="AB826">
            <v>5414.5</v>
          </cell>
          <cell r="AC826">
            <v>62774.851600000002</v>
          </cell>
          <cell r="AE826">
            <v>125.3</v>
          </cell>
          <cell r="AF826">
            <v>880</v>
          </cell>
          <cell r="AG826">
            <v>7890</v>
          </cell>
          <cell r="AH826">
            <v>1120</v>
          </cell>
          <cell r="AI826">
            <v>1810</v>
          </cell>
          <cell r="AJ826">
            <v>643.46</v>
          </cell>
          <cell r="AL826">
            <v>1370.18</v>
          </cell>
          <cell r="AP826">
            <v>3329.1619999999998</v>
          </cell>
          <cell r="AV826">
            <v>58.210099999999997</v>
          </cell>
          <cell r="AZ826">
            <v>273.60000000000002</v>
          </cell>
          <cell r="BE826">
            <v>29100</v>
          </cell>
          <cell r="BG826">
            <v>121</v>
          </cell>
          <cell r="BH826">
            <v>611.19000000000005</v>
          </cell>
          <cell r="BY826">
            <v>358.46</v>
          </cell>
          <cell r="CD826">
            <v>371.15</v>
          </cell>
          <cell r="CE826">
            <v>359.59500000000003</v>
          </cell>
          <cell r="CF826">
            <v>439.23</v>
          </cell>
          <cell r="CG826">
            <v>1650</v>
          </cell>
          <cell r="CH826">
            <v>1270</v>
          </cell>
          <cell r="CI826">
            <v>120</v>
          </cell>
          <cell r="CJ826">
            <v>325</v>
          </cell>
          <cell r="CK826">
            <v>1482</v>
          </cell>
          <cell r="CM826">
            <v>263.92</v>
          </cell>
          <cell r="CN826">
            <v>22.53</v>
          </cell>
          <cell r="CO826">
            <v>15.4</v>
          </cell>
          <cell r="CQ826">
            <v>9.93</v>
          </cell>
          <cell r="CR826">
            <v>74</v>
          </cell>
          <cell r="CS826">
            <v>2761.75</v>
          </cell>
          <cell r="CU826">
            <v>1700</v>
          </cell>
          <cell r="CW826">
            <v>75.076219512195124</v>
          </cell>
          <cell r="CX826">
            <v>1069.2165</v>
          </cell>
          <cell r="CZ826">
            <v>384.93</v>
          </cell>
          <cell r="DA826">
            <v>4085.3</v>
          </cell>
          <cell r="DB826">
            <v>13.3</v>
          </cell>
          <cell r="DC826">
            <v>571.95000000000005</v>
          </cell>
          <cell r="DD826">
            <v>129.1</v>
          </cell>
        </row>
        <row r="827">
          <cell r="A827">
            <v>39540</v>
          </cell>
          <cell r="C827">
            <v>28</v>
          </cell>
          <cell r="D827">
            <v>1.94</v>
          </cell>
          <cell r="E827">
            <v>4.87</v>
          </cell>
          <cell r="L827">
            <v>1742.19</v>
          </cell>
          <cell r="M827">
            <v>2361.4</v>
          </cell>
          <cell r="N827">
            <v>5915.9</v>
          </cell>
          <cell r="O827">
            <v>5559</v>
          </cell>
          <cell r="Q827">
            <v>830</v>
          </cell>
          <cell r="R827">
            <v>595.75</v>
          </cell>
          <cell r="S827">
            <v>936.5</v>
          </cell>
          <cell r="T827">
            <v>1243</v>
          </cell>
          <cell r="U827">
            <v>13189.36</v>
          </cell>
          <cell r="V827">
            <v>23872.43</v>
          </cell>
          <cell r="W827">
            <v>8605.32</v>
          </cell>
          <cell r="X827">
            <v>97.25</v>
          </cell>
          <cell r="Y827">
            <v>1240</v>
          </cell>
          <cell r="Z827">
            <v>1770</v>
          </cell>
          <cell r="AA827">
            <v>15750.4</v>
          </cell>
          <cell r="AB827">
            <v>5544.9</v>
          </cell>
          <cell r="AC827">
            <v>63364.359400000001</v>
          </cell>
          <cell r="AE827">
            <v>126.2</v>
          </cell>
          <cell r="AF827">
            <v>880</v>
          </cell>
          <cell r="AG827">
            <v>7655</v>
          </cell>
          <cell r="AH827">
            <v>1120</v>
          </cell>
          <cell r="AI827">
            <v>1810</v>
          </cell>
          <cell r="AJ827">
            <v>647.91999999999996</v>
          </cell>
          <cell r="AL827">
            <v>1367.53</v>
          </cell>
          <cell r="AP827">
            <v>3347.8820000000001</v>
          </cell>
          <cell r="AV827">
            <v>58.54</v>
          </cell>
          <cell r="AZ827">
            <v>277.7</v>
          </cell>
          <cell r="BE827">
            <v>28105</v>
          </cell>
          <cell r="BG827">
            <v>121</v>
          </cell>
          <cell r="BH827">
            <v>602.34</v>
          </cell>
          <cell r="BY827">
            <v>361.22</v>
          </cell>
          <cell r="CD827">
            <v>375.06</v>
          </cell>
          <cell r="CE827">
            <v>362.89400000000001</v>
          </cell>
          <cell r="CF827">
            <v>450.55</v>
          </cell>
          <cell r="CG827">
            <v>1650</v>
          </cell>
          <cell r="CH827">
            <v>1270</v>
          </cell>
          <cell r="CI827">
            <v>120</v>
          </cell>
          <cell r="CJ827">
            <v>325</v>
          </cell>
          <cell r="CK827">
            <v>1439</v>
          </cell>
          <cell r="CM827">
            <v>277.36</v>
          </cell>
          <cell r="CN827">
            <v>23.3</v>
          </cell>
          <cell r="CO827">
            <v>15.8</v>
          </cell>
          <cell r="CQ827">
            <v>9.6</v>
          </cell>
          <cell r="CR827">
            <v>71</v>
          </cell>
          <cell r="CS827">
            <v>2857</v>
          </cell>
          <cell r="CU827">
            <v>1700</v>
          </cell>
          <cell r="CW827">
            <v>75.838414634146346</v>
          </cell>
          <cell r="CX827">
            <v>1072.0935000000002</v>
          </cell>
          <cell r="CZ827">
            <v>391.38</v>
          </cell>
          <cell r="DA827">
            <v>4122.3999999999996</v>
          </cell>
          <cell r="DB827">
            <v>13.34</v>
          </cell>
          <cell r="DC827">
            <v>571.95000000000005</v>
          </cell>
          <cell r="DD827">
            <v>128.65</v>
          </cell>
        </row>
        <row r="828">
          <cell r="A828">
            <v>39541</v>
          </cell>
          <cell r="C828">
            <v>28</v>
          </cell>
          <cell r="D828">
            <v>1.97</v>
          </cell>
          <cell r="E828">
            <v>4.9000000000000004</v>
          </cell>
          <cell r="L828">
            <v>1763.63</v>
          </cell>
          <cell r="M828">
            <v>2363.3000000000002</v>
          </cell>
          <cell r="N828">
            <v>5891.3</v>
          </cell>
          <cell r="O828">
            <v>5554</v>
          </cell>
          <cell r="Q828">
            <v>855</v>
          </cell>
          <cell r="R828">
            <v>600</v>
          </cell>
          <cell r="S828">
            <v>937</v>
          </cell>
          <cell r="T828">
            <v>1257</v>
          </cell>
          <cell r="U828">
            <v>13389.9</v>
          </cell>
          <cell r="V828">
            <v>24264.63</v>
          </cell>
          <cell r="W828">
            <v>8596.34</v>
          </cell>
          <cell r="X828">
            <v>98.65</v>
          </cell>
          <cell r="Y828">
            <v>1240</v>
          </cell>
          <cell r="Z828">
            <v>1770</v>
          </cell>
          <cell r="AA828">
            <v>15832.55</v>
          </cell>
          <cell r="AB828">
            <v>5645.8</v>
          </cell>
          <cell r="AC828">
            <v>64175.050799999997</v>
          </cell>
          <cell r="AE828">
            <v>130.65</v>
          </cell>
          <cell r="AF828">
            <v>880</v>
          </cell>
          <cell r="AG828">
            <v>7690</v>
          </cell>
          <cell r="AH828">
            <v>1120</v>
          </cell>
          <cell r="AI828">
            <v>1810</v>
          </cell>
          <cell r="AJ828">
            <v>649.26</v>
          </cell>
          <cell r="AL828">
            <v>1369.31</v>
          </cell>
          <cell r="AP828">
            <v>3446.2440000000001</v>
          </cell>
          <cell r="AV828">
            <v>59.17</v>
          </cell>
          <cell r="AZ828">
            <v>282.60000000000002</v>
          </cell>
          <cell r="BE828">
            <v>28782</v>
          </cell>
          <cell r="BG828">
            <v>121</v>
          </cell>
          <cell r="BH828">
            <v>610.84</v>
          </cell>
          <cell r="BY828">
            <v>370.49</v>
          </cell>
          <cell r="CD828">
            <v>376.21</v>
          </cell>
          <cell r="CE828">
            <v>363.93599999999998</v>
          </cell>
          <cell r="CF828">
            <v>453.62</v>
          </cell>
          <cell r="CG828">
            <v>1650</v>
          </cell>
          <cell r="CH828">
            <v>1270</v>
          </cell>
          <cell r="CI828">
            <v>120</v>
          </cell>
          <cell r="CJ828">
            <v>325</v>
          </cell>
          <cell r="CK828">
            <v>1387</v>
          </cell>
          <cell r="CM828">
            <v>272.43</v>
          </cell>
          <cell r="CN828">
            <v>23.72</v>
          </cell>
          <cell r="CO828">
            <v>15.8</v>
          </cell>
          <cell r="CQ828">
            <v>9.66</v>
          </cell>
          <cell r="CR828">
            <v>71</v>
          </cell>
          <cell r="CS828">
            <v>2948</v>
          </cell>
          <cell r="CU828">
            <v>1700</v>
          </cell>
          <cell r="CW828">
            <v>77.057926829268297</v>
          </cell>
          <cell r="CX828">
            <v>1072.7785000000001</v>
          </cell>
          <cell r="CZ828">
            <v>390.91</v>
          </cell>
          <cell r="DA828">
            <v>4127</v>
          </cell>
          <cell r="DB828">
            <v>13.59</v>
          </cell>
          <cell r="DC828">
            <v>571.95000000000005</v>
          </cell>
          <cell r="DD828">
            <v>131.30000000000001</v>
          </cell>
        </row>
        <row r="829">
          <cell r="A829">
            <v>39542</v>
          </cell>
          <cell r="C829">
            <v>28</v>
          </cell>
          <cell r="D829">
            <v>1.97</v>
          </cell>
          <cell r="E829">
            <v>4.9000000000000004</v>
          </cell>
          <cell r="L829">
            <v>1766.49</v>
          </cell>
          <cell r="M829">
            <v>2370.98</v>
          </cell>
          <cell r="N829">
            <v>5947.1</v>
          </cell>
          <cell r="O829">
            <v>5554</v>
          </cell>
          <cell r="Q829">
            <v>855</v>
          </cell>
          <cell r="R829">
            <v>598</v>
          </cell>
          <cell r="S829">
            <v>974.25</v>
          </cell>
          <cell r="T829">
            <v>1277</v>
          </cell>
          <cell r="U829">
            <v>13293.22</v>
          </cell>
          <cell r="V829">
            <v>24264.63</v>
          </cell>
          <cell r="W829">
            <v>8596.34</v>
          </cell>
          <cell r="X829">
            <v>97.85</v>
          </cell>
          <cell r="Y829">
            <v>1240</v>
          </cell>
          <cell r="Z829">
            <v>1770</v>
          </cell>
          <cell r="AA829">
            <v>15343.12</v>
          </cell>
          <cell r="AB829">
            <v>5663.7</v>
          </cell>
          <cell r="AC829">
            <v>64445.968800000002</v>
          </cell>
          <cell r="AE829">
            <v>132.65</v>
          </cell>
          <cell r="AF829">
            <v>880</v>
          </cell>
          <cell r="AG829">
            <v>7737</v>
          </cell>
          <cell r="AH829">
            <v>1125</v>
          </cell>
          <cell r="AI829">
            <v>1810</v>
          </cell>
          <cell r="AJ829">
            <v>648.49</v>
          </cell>
          <cell r="AL829">
            <v>1370.4</v>
          </cell>
          <cell r="AP829">
            <v>3446.2440000000001</v>
          </cell>
          <cell r="AV829">
            <v>59.17</v>
          </cell>
          <cell r="AZ829">
            <v>281.5</v>
          </cell>
          <cell r="BE829">
            <v>28975</v>
          </cell>
          <cell r="BG829">
            <v>119</v>
          </cell>
          <cell r="BH829">
            <v>624.12</v>
          </cell>
          <cell r="BY829">
            <v>369.07</v>
          </cell>
          <cell r="CD829">
            <v>377.89</v>
          </cell>
          <cell r="CE829">
            <v>365.67200000000003</v>
          </cell>
          <cell r="CF829">
            <v>452.38</v>
          </cell>
          <cell r="CG829">
            <v>1620</v>
          </cell>
          <cell r="CH829">
            <v>1270</v>
          </cell>
          <cell r="CI829">
            <v>120</v>
          </cell>
          <cell r="CJ829">
            <v>325</v>
          </cell>
          <cell r="CK829">
            <v>1351</v>
          </cell>
          <cell r="CM829">
            <v>275.67</v>
          </cell>
          <cell r="CN829">
            <v>23.45</v>
          </cell>
          <cell r="CO829">
            <v>15.8</v>
          </cell>
          <cell r="CQ829">
            <v>9.36</v>
          </cell>
          <cell r="CR829">
            <v>71</v>
          </cell>
          <cell r="CS829">
            <v>2928</v>
          </cell>
          <cell r="CU829">
            <v>1765</v>
          </cell>
          <cell r="CW829">
            <v>77.362804878048792</v>
          </cell>
          <cell r="CX829">
            <v>1076.135</v>
          </cell>
          <cell r="CZ829">
            <v>395.09</v>
          </cell>
          <cell r="DA829">
            <v>4177.5</v>
          </cell>
          <cell r="DB829">
            <v>13.37</v>
          </cell>
          <cell r="DC829">
            <v>571.95000000000005</v>
          </cell>
          <cell r="DD829">
            <v>131.9</v>
          </cell>
        </row>
        <row r="830">
          <cell r="A830">
            <v>39543</v>
          </cell>
          <cell r="C830">
            <v>28</v>
          </cell>
          <cell r="D830">
            <v>1.97</v>
          </cell>
          <cell r="E830">
            <v>4.9000000000000004</v>
          </cell>
          <cell r="L830">
            <v>1766.49</v>
          </cell>
          <cell r="M830">
            <v>2370.98</v>
          </cell>
          <cell r="N830">
            <v>5947.1</v>
          </cell>
          <cell r="O830">
            <v>5554</v>
          </cell>
          <cell r="Q830">
            <v>855</v>
          </cell>
          <cell r="R830">
            <v>598</v>
          </cell>
          <cell r="S830">
            <v>974.25</v>
          </cell>
          <cell r="T830">
            <v>1277</v>
          </cell>
          <cell r="U830">
            <v>13293.22</v>
          </cell>
          <cell r="V830">
            <v>24264.63</v>
          </cell>
          <cell r="W830">
            <v>8596.34</v>
          </cell>
          <cell r="X830">
            <v>97.85</v>
          </cell>
          <cell r="Y830">
            <v>1240</v>
          </cell>
          <cell r="Z830">
            <v>1770</v>
          </cell>
          <cell r="AA830">
            <v>15343.12</v>
          </cell>
          <cell r="AB830">
            <v>5663.7</v>
          </cell>
          <cell r="AC830">
            <v>64445.968800000002</v>
          </cell>
          <cell r="AE830">
            <v>132.65</v>
          </cell>
          <cell r="AF830">
            <v>880</v>
          </cell>
          <cell r="AG830">
            <v>7737</v>
          </cell>
          <cell r="AH830">
            <v>1125</v>
          </cell>
          <cell r="AI830">
            <v>1810</v>
          </cell>
          <cell r="AJ830">
            <v>648.49</v>
          </cell>
          <cell r="AL830">
            <v>1370.4</v>
          </cell>
          <cell r="AP830">
            <v>3446.2440000000001</v>
          </cell>
          <cell r="AV830">
            <v>59.17</v>
          </cell>
          <cell r="AZ830">
            <v>281.5</v>
          </cell>
          <cell r="BE830">
            <v>28975</v>
          </cell>
          <cell r="BG830">
            <v>119</v>
          </cell>
          <cell r="BH830">
            <v>624.12</v>
          </cell>
          <cell r="BY830">
            <v>369.07</v>
          </cell>
          <cell r="CD830">
            <v>377.89</v>
          </cell>
          <cell r="CE830">
            <v>365.67200000000003</v>
          </cell>
          <cell r="CF830">
            <v>452.38</v>
          </cell>
          <cell r="CG830">
            <v>1620</v>
          </cell>
          <cell r="CH830">
            <v>1270</v>
          </cell>
          <cell r="CI830">
            <v>120</v>
          </cell>
          <cell r="CJ830">
            <v>325</v>
          </cell>
          <cell r="CK830">
            <v>1351</v>
          </cell>
          <cell r="CM830">
            <v>275.67</v>
          </cell>
          <cell r="CN830">
            <v>23.45</v>
          </cell>
          <cell r="CO830">
            <v>15.8</v>
          </cell>
          <cell r="CQ830">
            <v>9.36</v>
          </cell>
          <cell r="CR830">
            <v>71</v>
          </cell>
          <cell r="CS830">
            <v>2928</v>
          </cell>
          <cell r="CU830">
            <v>1765</v>
          </cell>
          <cell r="CW830">
            <v>77.362804878048792</v>
          </cell>
          <cell r="CX830">
            <v>1076.135</v>
          </cell>
          <cell r="CZ830">
            <v>395.09</v>
          </cell>
          <cell r="DA830">
            <v>4177.5</v>
          </cell>
          <cell r="DB830">
            <v>13.37</v>
          </cell>
          <cell r="DC830">
            <v>571.95000000000005</v>
          </cell>
          <cell r="DD830">
            <v>131.9</v>
          </cell>
        </row>
        <row r="831">
          <cell r="A831">
            <v>39544</v>
          </cell>
          <cell r="C831">
            <v>28</v>
          </cell>
          <cell r="D831">
            <v>1.97</v>
          </cell>
          <cell r="E831">
            <v>4.9000000000000004</v>
          </cell>
          <cell r="L831">
            <v>1766.49</v>
          </cell>
          <cell r="M831">
            <v>2370.98</v>
          </cell>
          <cell r="N831">
            <v>5947.1</v>
          </cell>
          <cell r="O831">
            <v>5554</v>
          </cell>
          <cell r="Q831">
            <v>855</v>
          </cell>
          <cell r="R831">
            <v>598</v>
          </cell>
          <cell r="S831">
            <v>974.25</v>
          </cell>
          <cell r="T831">
            <v>1277</v>
          </cell>
          <cell r="U831">
            <v>13293.22</v>
          </cell>
          <cell r="V831">
            <v>24264.63</v>
          </cell>
          <cell r="W831">
            <v>8596.34</v>
          </cell>
          <cell r="X831">
            <v>97.85</v>
          </cell>
          <cell r="Y831">
            <v>1240</v>
          </cell>
          <cell r="Z831">
            <v>1770</v>
          </cell>
          <cell r="AA831">
            <v>15343.12</v>
          </cell>
          <cell r="AB831">
            <v>5663.7</v>
          </cell>
          <cell r="AC831">
            <v>64445.968800000002</v>
          </cell>
          <cell r="AE831">
            <v>132.65</v>
          </cell>
          <cell r="AF831">
            <v>880</v>
          </cell>
          <cell r="AG831">
            <v>7737</v>
          </cell>
          <cell r="AH831">
            <v>1125</v>
          </cell>
          <cell r="AI831">
            <v>1810</v>
          </cell>
          <cell r="AJ831">
            <v>648.49</v>
          </cell>
          <cell r="AL831">
            <v>1370.4</v>
          </cell>
          <cell r="AP831">
            <v>3446.2440000000001</v>
          </cell>
          <cell r="AV831">
            <v>59.17</v>
          </cell>
          <cell r="AZ831">
            <v>281.5</v>
          </cell>
          <cell r="BE831">
            <v>28975</v>
          </cell>
          <cell r="BG831">
            <v>119</v>
          </cell>
          <cell r="BH831">
            <v>624.12</v>
          </cell>
          <cell r="BY831">
            <v>369.07</v>
          </cell>
          <cell r="CD831">
            <v>377.89</v>
          </cell>
          <cell r="CE831">
            <v>365.67200000000003</v>
          </cell>
          <cell r="CF831">
            <v>452.38</v>
          </cell>
          <cell r="CG831">
            <v>1620</v>
          </cell>
          <cell r="CH831">
            <v>1270</v>
          </cell>
          <cell r="CI831">
            <v>120</v>
          </cell>
          <cell r="CJ831">
            <v>325</v>
          </cell>
          <cell r="CK831">
            <v>1351</v>
          </cell>
          <cell r="CM831">
            <v>275.67</v>
          </cell>
          <cell r="CN831">
            <v>23.45</v>
          </cell>
          <cell r="CO831">
            <v>15.8</v>
          </cell>
          <cell r="CQ831">
            <v>9.36</v>
          </cell>
          <cell r="CR831">
            <v>71</v>
          </cell>
          <cell r="CS831">
            <v>2928</v>
          </cell>
          <cell r="CU831">
            <v>1765</v>
          </cell>
          <cell r="CW831">
            <v>77.362804878048792</v>
          </cell>
          <cell r="CX831">
            <v>1076.135</v>
          </cell>
          <cell r="CZ831">
            <v>395.09</v>
          </cell>
          <cell r="DA831">
            <v>4177.5</v>
          </cell>
          <cell r="DB831">
            <v>13.37</v>
          </cell>
          <cell r="DC831">
            <v>571.95000000000005</v>
          </cell>
          <cell r="DD831">
            <v>131.9</v>
          </cell>
        </row>
        <row r="832">
          <cell r="A832">
            <v>39545</v>
          </cell>
          <cell r="C832">
            <v>28</v>
          </cell>
          <cell r="D832">
            <v>1.99</v>
          </cell>
          <cell r="E832">
            <v>4.91</v>
          </cell>
          <cell r="L832">
            <v>1773.56</v>
          </cell>
          <cell r="M832">
            <v>2364.83</v>
          </cell>
          <cell r="N832">
            <v>6014.8</v>
          </cell>
          <cell r="O832">
            <v>5549</v>
          </cell>
          <cell r="Q832">
            <v>855</v>
          </cell>
          <cell r="R832">
            <v>590</v>
          </cell>
          <cell r="S832">
            <v>921.25</v>
          </cell>
          <cell r="T832">
            <v>1255</v>
          </cell>
          <cell r="U832">
            <v>13450.23</v>
          </cell>
          <cell r="V832">
            <v>24578.76</v>
          </cell>
          <cell r="W832">
            <v>8729.7900000000009</v>
          </cell>
          <cell r="X832">
            <v>99.75</v>
          </cell>
          <cell r="Y832">
            <v>1240</v>
          </cell>
          <cell r="Z832">
            <v>1770</v>
          </cell>
          <cell r="AA832">
            <v>15757.08</v>
          </cell>
          <cell r="AB832">
            <v>5684.1</v>
          </cell>
          <cell r="AC832">
            <v>64175.578099999999</v>
          </cell>
          <cell r="AE832">
            <v>134.94999999999999</v>
          </cell>
          <cell r="AF832">
            <v>880</v>
          </cell>
          <cell r="AG832">
            <v>7741</v>
          </cell>
          <cell r="AH832">
            <v>1125</v>
          </cell>
          <cell r="AI832">
            <v>1810</v>
          </cell>
          <cell r="AJ832">
            <v>654.1</v>
          </cell>
          <cell r="AL832">
            <v>1372.54</v>
          </cell>
          <cell r="AP832">
            <v>3599.6179999999999</v>
          </cell>
          <cell r="AV832">
            <v>59.66</v>
          </cell>
          <cell r="AZ832">
            <v>282.10000000000002</v>
          </cell>
          <cell r="BE832">
            <v>28805</v>
          </cell>
          <cell r="BG832">
            <v>119</v>
          </cell>
          <cell r="BH832">
            <v>648.45000000000005</v>
          </cell>
          <cell r="BY832">
            <v>369.55</v>
          </cell>
          <cell r="CD832">
            <v>379.8</v>
          </cell>
          <cell r="CE832">
            <v>367.13499999999999</v>
          </cell>
          <cell r="CF832">
            <v>458.75</v>
          </cell>
          <cell r="CG832">
            <v>1620</v>
          </cell>
          <cell r="CH832">
            <v>1270</v>
          </cell>
          <cell r="CI832">
            <v>122</v>
          </cell>
          <cell r="CJ832">
            <v>323</v>
          </cell>
          <cell r="CK832">
            <v>1296</v>
          </cell>
          <cell r="CM832">
            <v>278.35000000000002</v>
          </cell>
          <cell r="CN832">
            <v>23.77</v>
          </cell>
          <cell r="CO832">
            <v>15.95</v>
          </cell>
          <cell r="CQ832">
            <v>9.4700000000000006</v>
          </cell>
          <cell r="CR832">
            <v>71</v>
          </cell>
          <cell r="CS832">
            <v>2951.5</v>
          </cell>
          <cell r="CU832">
            <v>1765</v>
          </cell>
          <cell r="CW832">
            <v>77.972560975609767</v>
          </cell>
          <cell r="CX832">
            <v>1075.1075000000001</v>
          </cell>
          <cell r="CZ832">
            <v>401.77</v>
          </cell>
          <cell r="DA832">
            <v>4214.6000000000004</v>
          </cell>
          <cell r="DB832">
            <v>13.64</v>
          </cell>
          <cell r="DC832">
            <v>571.95000000000005</v>
          </cell>
          <cell r="DD832">
            <v>133.6</v>
          </cell>
        </row>
        <row r="833">
          <cell r="A833">
            <v>39546</v>
          </cell>
          <cell r="C833">
            <v>28</v>
          </cell>
          <cell r="D833">
            <v>2.0099999999999998</v>
          </cell>
          <cell r="E833">
            <v>4.93</v>
          </cell>
          <cell r="L833">
            <v>1754.71</v>
          </cell>
          <cell r="M833">
            <v>2348.7600000000002</v>
          </cell>
          <cell r="N833">
            <v>5990.2</v>
          </cell>
          <cell r="O833">
            <v>5560</v>
          </cell>
          <cell r="Q833">
            <v>855</v>
          </cell>
          <cell r="R833">
            <v>591.25</v>
          </cell>
          <cell r="S833">
            <v>934</v>
          </cell>
          <cell r="T833">
            <v>1251.5</v>
          </cell>
          <cell r="U833">
            <v>13250.43</v>
          </cell>
          <cell r="V833">
            <v>24311.69</v>
          </cell>
          <cell r="W833">
            <v>8672.85</v>
          </cell>
          <cell r="X833">
            <v>100.25</v>
          </cell>
          <cell r="Y833">
            <v>1240</v>
          </cell>
          <cell r="Z833">
            <v>1770</v>
          </cell>
          <cell r="AA833">
            <v>15587.62</v>
          </cell>
          <cell r="AB833">
            <v>5634.4</v>
          </cell>
          <cell r="AC833">
            <v>64539.539100000002</v>
          </cell>
          <cell r="AE833">
            <v>137.35</v>
          </cell>
          <cell r="AF833">
            <v>884.48</v>
          </cell>
          <cell r="AG833">
            <v>7754</v>
          </cell>
          <cell r="AH833">
            <v>1125</v>
          </cell>
          <cell r="AI833">
            <v>1810</v>
          </cell>
          <cell r="AJ833">
            <v>651.83000000000004</v>
          </cell>
          <cell r="AL833">
            <v>1365.54</v>
          </cell>
          <cell r="AP833">
            <v>3612.5390000000002</v>
          </cell>
          <cell r="AV833">
            <v>58.75</v>
          </cell>
          <cell r="AZ833">
            <v>277.39999999999998</v>
          </cell>
          <cell r="BE833">
            <v>28660</v>
          </cell>
          <cell r="BG833">
            <v>119</v>
          </cell>
          <cell r="BH833">
            <v>664.39</v>
          </cell>
          <cell r="BY833">
            <v>359.3</v>
          </cell>
          <cell r="CD833">
            <v>376.9</v>
          </cell>
          <cell r="CE833">
            <v>364.25099999999998</v>
          </cell>
          <cell r="CF833">
            <v>453.35</v>
          </cell>
          <cell r="CG833">
            <v>1620</v>
          </cell>
          <cell r="CH833">
            <v>1270</v>
          </cell>
          <cell r="CI833">
            <v>122</v>
          </cell>
          <cell r="CJ833">
            <v>323</v>
          </cell>
          <cell r="CK833">
            <v>1280</v>
          </cell>
          <cell r="CM833">
            <v>275.04000000000002</v>
          </cell>
          <cell r="CN833">
            <v>23.67</v>
          </cell>
          <cell r="CO833">
            <v>15.85</v>
          </cell>
          <cell r="CQ833">
            <v>9.7899999999999991</v>
          </cell>
          <cell r="CR833">
            <v>71</v>
          </cell>
          <cell r="CS833">
            <v>2884.75</v>
          </cell>
          <cell r="CU833">
            <v>1765</v>
          </cell>
          <cell r="CW833">
            <v>78.277439024390247</v>
          </cell>
          <cell r="CX833">
            <v>1075.8610000000001</v>
          </cell>
          <cell r="CZ833">
            <v>399.06</v>
          </cell>
          <cell r="DA833">
            <v>4149.1000000000004</v>
          </cell>
          <cell r="DB833">
            <v>13.51</v>
          </cell>
          <cell r="DC833">
            <v>571.95000000000005</v>
          </cell>
          <cell r="DD833">
            <v>133.19999999999999</v>
          </cell>
        </row>
        <row r="834">
          <cell r="A834">
            <v>39547</v>
          </cell>
          <cell r="C834">
            <v>28</v>
          </cell>
          <cell r="D834">
            <v>2.0099999999999998</v>
          </cell>
          <cell r="E834">
            <v>4.9800000000000004</v>
          </cell>
          <cell r="L834">
            <v>1754.71</v>
          </cell>
          <cell r="M834">
            <v>2322.12</v>
          </cell>
          <cell r="N834">
            <v>5983.9</v>
          </cell>
          <cell r="O834">
            <v>5560</v>
          </cell>
          <cell r="Q834">
            <v>855</v>
          </cell>
          <cell r="R834">
            <v>605</v>
          </cell>
          <cell r="S834">
            <v>934</v>
          </cell>
          <cell r="T834">
            <v>1313</v>
          </cell>
          <cell r="U834">
            <v>13111.89</v>
          </cell>
          <cell r="V834">
            <v>23984.57</v>
          </cell>
          <cell r="W834">
            <v>8667.93</v>
          </cell>
          <cell r="X834">
            <v>99.85</v>
          </cell>
          <cell r="Y834">
            <v>1240</v>
          </cell>
          <cell r="Z834">
            <v>1770</v>
          </cell>
          <cell r="AA834">
            <v>15790.51</v>
          </cell>
          <cell r="AB834">
            <v>5583.5</v>
          </cell>
          <cell r="AC834">
            <v>63476.921900000001</v>
          </cell>
          <cell r="AE834">
            <v>138.94999999999999</v>
          </cell>
          <cell r="AF834">
            <v>884.48</v>
          </cell>
          <cell r="AG834">
            <v>7760</v>
          </cell>
          <cell r="AH834">
            <v>1125</v>
          </cell>
          <cell r="AI834">
            <v>1810</v>
          </cell>
          <cell r="AJ834">
            <v>651.83000000000004</v>
          </cell>
          <cell r="AL834">
            <v>1354.49</v>
          </cell>
          <cell r="AP834">
            <v>3413.9070000000002</v>
          </cell>
          <cell r="AV834">
            <v>58.25</v>
          </cell>
          <cell r="AZ834">
            <v>278.3</v>
          </cell>
          <cell r="BE834">
            <v>29137</v>
          </cell>
          <cell r="BG834">
            <v>119</v>
          </cell>
          <cell r="BH834">
            <v>657.7</v>
          </cell>
          <cell r="BY834">
            <v>364.84</v>
          </cell>
          <cell r="CD834">
            <v>374.56</v>
          </cell>
          <cell r="CE834">
            <v>361.83100000000002</v>
          </cell>
          <cell r="CF834">
            <v>450.67</v>
          </cell>
          <cell r="CG834">
            <v>1620</v>
          </cell>
          <cell r="CH834">
            <v>1270</v>
          </cell>
          <cell r="CI834">
            <v>122</v>
          </cell>
          <cell r="CJ834">
            <v>323</v>
          </cell>
          <cell r="CK834">
            <v>1388</v>
          </cell>
          <cell r="CM834">
            <v>277.42</v>
          </cell>
          <cell r="CN834">
            <v>23.67</v>
          </cell>
          <cell r="CO834">
            <v>15.85</v>
          </cell>
          <cell r="CQ834">
            <v>9.9</v>
          </cell>
          <cell r="CR834">
            <v>71</v>
          </cell>
          <cell r="CS834">
            <v>2947.25</v>
          </cell>
          <cell r="CU834">
            <v>1765</v>
          </cell>
          <cell r="CW834">
            <v>78.734756097560975</v>
          </cell>
          <cell r="CX834">
            <v>1093.8570000000002</v>
          </cell>
          <cell r="CZ834">
            <v>408.5</v>
          </cell>
          <cell r="DA834">
            <v>4251.8999999999996</v>
          </cell>
          <cell r="DB834">
            <v>14.09</v>
          </cell>
          <cell r="DC834">
            <v>571.95000000000005</v>
          </cell>
          <cell r="DD834">
            <v>136.5</v>
          </cell>
        </row>
        <row r="835">
          <cell r="A835">
            <v>39548</v>
          </cell>
          <cell r="C835">
            <v>28</v>
          </cell>
          <cell r="D835">
            <v>2.0099999999999998</v>
          </cell>
          <cell r="E835">
            <v>5.05</v>
          </cell>
          <cell r="L835">
            <v>1764.64</v>
          </cell>
          <cell r="M835">
            <v>2351.6999999999998</v>
          </cell>
          <cell r="N835">
            <v>5965.1</v>
          </cell>
          <cell r="O835">
            <v>5466</v>
          </cell>
          <cell r="Q835">
            <v>1010</v>
          </cell>
          <cell r="R835">
            <v>594.25</v>
          </cell>
          <cell r="S835">
            <v>923</v>
          </cell>
          <cell r="T835">
            <v>1356</v>
          </cell>
          <cell r="U835">
            <v>12945.3</v>
          </cell>
          <cell r="V835">
            <v>24187.1</v>
          </cell>
          <cell r="W835">
            <v>8829.4</v>
          </cell>
          <cell r="X835">
            <v>101.45</v>
          </cell>
          <cell r="Y835">
            <v>1240</v>
          </cell>
          <cell r="Z835">
            <v>1770</v>
          </cell>
          <cell r="AA835">
            <v>15695.1</v>
          </cell>
          <cell r="AB835">
            <v>5515.5</v>
          </cell>
          <cell r="AC835">
            <v>63527.109400000001</v>
          </cell>
          <cell r="AE835">
            <v>140.4</v>
          </cell>
          <cell r="AF835">
            <v>884.48</v>
          </cell>
          <cell r="AG835">
            <v>7823</v>
          </cell>
          <cell r="AH835">
            <v>1125</v>
          </cell>
          <cell r="AI835">
            <v>1810</v>
          </cell>
          <cell r="AJ835">
            <v>652.67999999999995</v>
          </cell>
          <cell r="AL835">
            <v>1360.55</v>
          </cell>
          <cell r="AP835">
            <v>3471.7429999999999</v>
          </cell>
          <cell r="AV835">
            <v>59</v>
          </cell>
          <cell r="AZ835">
            <v>276.3</v>
          </cell>
          <cell r="BE835">
            <v>28808</v>
          </cell>
          <cell r="BG835">
            <v>119</v>
          </cell>
          <cell r="BH835">
            <v>677.18</v>
          </cell>
          <cell r="BY835">
            <v>371.36</v>
          </cell>
          <cell r="CD835">
            <v>375.48</v>
          </cell>
          <cell r="CE835">
            <v>362.49900000000002</v>
          </cell>
          <cell r="CF835">
            <v>456.09</v>
          </cell>
          <cell r="CG835">
            <v>1620</v>
          </cell>
          <cell r="CH835">
            <v>1270</v>
          </cell>
          <cell r="CI835">
            <v>122</v>
          </cell>
          <cell r="CJ835">
            <v>323</v>
          </cell>
          <cell r="CK835">
            <v>1447</v>
          </cell>
          <cell r="CM835">
            <v>279.20999999999998</v>
          </cell>
          <cell r="CN835">
            <v>24.39</v>
          </cell>
          <cell r="CO835">
            <v>16.2</v>
          </cell>
          <cell r="CQ835">
            <v>10.18</v>
          </cell>
          <cell r="CR835">
            <v>71</v>
          </cell>
          <cell r="CS835">
            <v>2899.5</v>
          </cell>
          <cell r="CU835">
            <v>1765</v>
          </cell>
          <cell r="CW835">
            <v>80.411585365853668</v>
          </cell>
          <cell r="CX835">
            <v>1086.681</v>
          </cell>
          <cell r="CZ835">
            <v>408.53</v>
          </cell>
          <cell r="DA835">
            <v>4206.5</v>
          </cell>
          <cell r="DB835">
            <v>14.15</v>
          </cell>
          <cell r="DC835">
            <v>571.95000000000005</v>
          </cell>
          <cell r="DD835">
            <v>131.75</v>
          </cell>
        </row>
        <row r="836">
          <cell r="A836">
            <v>39549</v>
          </cell>
          <cell r="C836">
            <v>28</v>
          </cell>
          <cell r="D836">
            <v>2.0099999999999998</v>
          </cell>
          <cell r="E836">
            <v>5.32</v>
          </cell>
          <cell r="L836">
            <v>1779.71</v>
          </cell>
          <cell r="M836">
            <v>2290.2399999999998</v>
          </cell>
          <cell r="N836">
            <v>5895.5</v>
          </cell>
          <cell r="O836">
            <v>5469</v>
          </cell>
          <cell r="Q836">
            <v>1010</v>
          </cell>
          <cell r="R836">
            <v>584.25</v>
          </cell>
          <cell r="S836">
            <v>896.5</v>
          </cell>
          <cell r="T836">
            <v>1332.5</v>
          </cell>
          <cell r="U836">
            <v>13323.73</v>
          </cell>
          <cell r="V836">
            <v>24667.79</v>
          </cell>
          <cell r="W836">
            <v>8909.58</v>
          </cell>
          <cell r="X836">
            <v>101.85</v>
          </cell>
          <cell r="Y836">
            <v>1370</v>
          </cell>
          <cell r="Z836">
            <v>1780</v>
          </cell>
          <cell r="AA836">
            <v>15807.64</v>
          </cell>
          <cell r="AB836">
            <v>5505.2</v>
          </cell>
          <cell r="AC836">
            <v>62585.210899999998</v>
          </cell>
          <cell r="AE836">
            <v>140.6</v>
          </cell>
          <cell r="AF836">
            <v>884.48</v>
          </cell>
          <cell r="AG836">
            <v>7889</v>
          </cell>
          <cell r="AH836">
            <v>1145</v>
          </cell>
          <cell r="AI836">
            <v>1820</v>
          </cell>
          <cell r="AJ836">
            <v>651.87</v>
          </cell>
          <cell r="AL836">
            <v>1332.83</v>
          </cell>
          <cell r="AP836">
            <v>3492.893</v>
          </cell>
          <cell r="AV836">
            <v>58.41</v>
          </cell>
          <cell r="AZ836">
            <v>277.60000000000002</v>
          </cell>
          <cell r="BE836">
            <v>28307</v>
          </cell>
          <cell r="BG836">
            <v>125</v>
          </cell>
          <cell r="BH836">
            <v>680.05</v>
          </cell>
          <cell r="BY836">
            <v>358.68</v>
          </cell>
          <cell r="CD836">
            <v>371.45</v>
          </cell>
          <cell r="CE836">
            <v>358.03899999999999</v>
          </cell>
          <cell r="CF836">
            <v>462.33</v>
          </cell>
          <cell r="CG836">
            <v>1620</v>
          </cell>
          <cell r="CH836">
            <v>1300</v>
          </cell>
          <cell r="CI836">
            <v>122</v>
          </cell>
          <cell r="CJ836">
            <v>323</v>
          </cell>
          <cell r="CK836">
            <v>1472</v>
          </cell>
          <cell r="CM836">
            <v>280.73</v>
          </cell>
          <cell r="CN836">
            <v>24.52</v>
          </cell>
          <cell r="CO836">
            <v>16.2</v>
          </cell>
          <cell r="CQ836">
            <v>10.06</v>
          </cell>
          <cell r="CR836">
            <v>71</v>
          </cell>
          <cell r="CS836">
            <v>2961.5</v>
          </cell>
          <cell r="CU836">
            <v>1815</v>
          </cell>
          <cell r="CW836">
            <v>81.173780487804876</v>
          </cell>
          <cell r="CX836">
            <v>1090.338</v>
          </cell>
          <cell r="CZ836">
            <v>407.45</v>
          </cell>
          <cell r="DA836">
            <v>4206.8</v>
          </cell>
          <cell r="DB836">
            <v>13.97</v>
          </cell>
          <cell r="DC836">
            <v>571.95000000000005</v>
          </cell>
          <cell r="DD836">
            <v>130.85</v>
          </cell>
        </row>
        <row r="837">
          <cell r="A837">
            <v>39550</v>
          </cell>
          <cell r="C837">
            <v>28</v>
          </cell>
          <cell r="D837">
            <v>2.0099999999999998</v>
          </cell>
          <cell r="E837">
            <v>5.32</v>
          </cell>
          <cell r="L837">
            <v>1779.71</v>
          </cell>
          <cell r="M837">
            <v>2290.2399999999998</v>
          </cell>
          <cell r="N837">
            <v>5895.5</v>
          </cell>
          <cell r="O837">
            <v>5469</v>
          </cell>
          <cell r="Q837">
            <v>1010</v>
          </cell>
          <cell r="R837">
            <v>584.25</v>
          </cell>
          <cell r="S837">
            <v>896.5</v>
          </cell>
          <cell r="T837">
            <v>1332.5</v>
          </cell>
          <cell r="U837">
            <v>13323.73</v>
          </cell>
          <cell r="V837">
            <v>24667.79</v>
          </cell>
          <cell r="W837">
            <v>8909.58</v>
          </cell>
          <cell r="X837">
            <v>101.85</v>
          </cell>
          <cell r="Y837">
            <v>1370</v>
          </cell>
          <cell r="Z837">
            <v>1780</v>
          </cell>
          <cell r="AA837">
            <v>15807.64</v>
          </cell>
          <cell r="AB837">
            <v>5505.2</v>
          </cell>
          <cell r="AC837">
            <v>62585.210899999998</v>
          </cell>
          <cell r="AE837">
            <v>140.6</v>
          </cell>
          <cell r="AF837">
            <v>884.48</v>
          </cell>
          <cell r="AG837">
            <v>7889</v>
          </cell>
          <cell r="AH837">
            <v>1145</v>
          </cell>
          <cell r="AI837">
            <v>1820</v>
          </cell>
          <cell r="AJ837">
            <v>651.87</v>
          </cell>
          <cell r="AL837">
            <v>1332.83</v>
          </cell>
          <cell r="AP837">
            <v>3492.893</v>
          </cell>
          <cell r="AV837">
            <v>58.41</v>
          </cell>
          <cell r="AZ837">
            <v>277.60000000000002</v>
          </cell>
          <cell r="BE837">
            <v>28307</v>
          </cell>
          <cell r="BG837">
            <v>125</v>
          </cell>
          <cell r="BH837">
            <v>680.05</v>
          </cell>
          <cell r="BY837">
            <v>358.68</v>
          </cell>
          <cell r="CD837">
            <v>371.45</v>
          </cell>
          <cell r="CE837">
            <v>358.03899999999999</v>
          </cell>
          <cell r="CF837">
            <v>462.33</v>
          </cell>
          <cell r="CG837">
            <v>1620</v>
          </cell>
          <cell r="CH837">
            <v>1300</v>
          </cell>
          <cell r="CI837">
            <v>122</v>
          </cell>
          <cell r="CJ837">
            <v>323</v>
          </cell>
          <cell r="CK837">
            <v>1472</v>
          </cell>
          <cell r="CM837">
            <v>280.73</v>
          </cell>
          <cell r="CN837">
            <v>24.52</v>
          </cell>
          <cell r="CO837">
            <v>16.2</v>
          </cell>
          <cell r="CQ837">
            <v>10.06</v>
          </cell>
          <cell r="CR837">
            <v>71</v>
          </cell>
          <cell r="CS837">
            <v>2961.5</v>
          </cell>
          <cell r="CU837">
            <v>1815</v>
          </cell>
          <cell r="CW837">
            <v>81.173780487804876</v>
          </cell>
          <cell r="CX837">
            <v>1090.338</v>
          </cell>
          <cell r="CZ837">
            <v>407.45</v>
          </cell>
          <cell r="DA837">
            <v>4206.8</v>
          </cell>
          <cell r="DB837">
            <v>13.97</v>
          </cell>
          <cell r="DC837">
            <v>571.95000000000005</v>
          </cell>
          <cell r="DD837">
            <v>130.85</v>
          </cell>
        </row>
        <row r="838">
          <cell r="A838">
            <v>39551</v>
          </cell>
          <cell r="C838">
            <v>28</v>
          </cell>
          <cell r="D838">
            <v>2.0099999999999998</v>
          </cell>
          <cell r="E838">
            <v>5.32</v>
          </cell>
          <cell r="L838">
            <v>1779.71</v>
          </cell>
          <cell r="M838">
            <v>2290.2399999999998</v>
          </cell>
          <cell r="N838">
            <v>5895.5</v>
          </cell>
          <cell r="O838">
            <v>5469</v>
          </cell>
          <cell r="Q838">
            <v>1010</v>
          </cell>
          <cell r="R838">
            <v>584.25</v>
          </cell>
          <cell r="S838">
            <v>896.5</v>
          </cell>
          <cell r="T838">
            <v>1332.5</v>
          </cell>
          <cell r="U838">
            <v>13323.73</v>
          </cell>
          <cell r="V838">
            <v>24667.79</v>
          </cell>
          <cell r="W838">
            <v>8909.58</v>
          </cell>
          <cell r="X838">
            <v>101.85</v>
          </cell>
          <cell r="Y838">
            <v>1370</v>
          </cell>
          <cell r="Z838">
            <v>1780</v>
          </cell>
          <cell r="AA838">
            <v>15807.64</v>
          </cell>
          <cell r="AB838">
            <v>5505.2</v>
          </cell>
          <cell r="AC838">
            <v>62585.210899999998</v>
          </cell>
          <cell r="AE838">
            <v>140.6</v>
          </cell>
          <cell r="AF838">
            <v>884.48</v>
          </cell>
          <cell r="AG838">
            <v>7889</v>
          </cell>
          <cell r="AH838">
            <v>1145</v>
          </cell>
          <cell r="AI838">
            <v>1820</v>
          </cell>
          <cell r="AJ838">
            <v>651.87</v>
          </cell>
          <cell r="AL838">
            <v>1332.83</v>
          </cell>
          <cell r="AP838">
            <v>3492.893</v>
          </cell>
          <cell r="AV838">
            <v>58.41</v>
          </cell>
          <cell r="AZ838">
            <v>277.60000000000002</v>
          </cell>
          <cell r="BE838">
            <v>28307</v>
          </cell>
          <cell r="BG838">
            <v>125</v>
          </cell>
          <cell r="BH838">
            <v>680.05</v>
          </cell>
          <cell r="BY838">
            <v>358.68</v>
          </cell>
          <cell r="CD838">
            <v>371.45</v>
          </cell>
          <cell r="CE838">
            <v>358.03899999999999</v>
          </cell>
          <cell r="CF838">
            <v>462.33</v>
          </cell>
          <cell r="CG838">
            <v>1620</v>
          </cell>
          <cell r="CH838">
            <v>1300</v>
          </cell>
          <cell r="CI838">
            <v>122</v>
          </cell>
          <cell r="CJ838">
            <v>323</v>
          </cell>
          <cell r="CK838">
            <v>1472</v>
          </cell>
          <cell r="CM838">
            <v>280.73</v>
          </cell>
          <cell r="CN838">
            <v>24.52</v>
          </cell>
          <cell r="CO838">
            <v>16.2</v>
          </cell>
          <cell r="CQ838">
            <v>10.06</v>
          </cell>
          <cell r="CR838">
            <v>71</v>
          </cell>
          <cell r="CS838">
            <v>2961.5</v>
          </cell>
          <cell r="CU838">
            <v>1815</v>
          </cell>
          <cell r="CW838">
            <v>81.173780487804876</v>
          </cell>
          <cell r="CX838">
            <v>1090.338</v>
          </cell>
          <cell r="CZ838">
            <v>407.45</v>
          </cell>
          <cell r="DA838">
            <v>4206.8</v>
          </cell>
          <cell r="DB838">
            <v>13.97</v>
          </cell>
          <cell r="DC838">
            <v>571.95000000000005</v>
          </cell>
          <cell r="DD838">
            <v>130.85</v>
          </cell>
        </row>
        <row r="839">
          <cell r="A839">
            <v>39552</v>
          </cell>
          <cell r="C839">
            <v>28</v>
          </cell>
          <cell r="D839">
            <v>2.0099999999999998</v>
          </cell>
          <cell r="E839">
            <v>5.26</v>
          </cell>
          <cell r="L839">
            <v>1746.71</v>
          </cell>
          <cell r="M839">
            <v>2275.8200000000002</v>
          </cell>
          <cell r="N839">
            <v>5831.6</v>
          </cell>
          <cell r="O839">
            <v>5469</v>
          </cell>
          <cell r="Q839">
            <v>1010</v>
          </cell>
          <cell r="R839">
            <v>591.75</v>
          </cell>
          <cell r="S839">
            <v>896</v>
          </cell>
          <cell r="T839">
            <v>1372.5</v>
          </cell>
          <cell r="U839">
            <v>12917.51</v>
          </cell>
          <cell r="V839">
            <v>23811.200000000001</v>
          </cell>
          <cell r="W839">
            <v>8892.68</v>
          </cell>
          <cell r="X839">
            <v>100.65</v>
          </cell>
          <cell r="Y839">
            <v>1370</v>
          </cell>
          <cell r="Z839">
            <v>1780</v>
          </cell>
          <cell r="AA839">
            <v>15807.64</v>
          </cell>
          <cell r="AB839">
            <v>5410.9</v>
          </cell>
          <cell r="AC839">
            <v>62153.449200000003</v>
          </cell>
          <cell r="AE839">
            <v>136.65</v>
          </cell>
          <cell r="AF839">
            <v>884.48</v>
          </cell>
          <cell r="AG839">
            <v>7961</v>
          </cell>
          <cell r="AH839">
            <v>1145</v>
          </cell>
          <cell r="AI839">
            <v>1820</v>
          </cell>
          <cell r="AJ839">
            <v>641.03</v>
          </cell>
          <cell r="AL839">
            <v>1328.32</v>
          </cell>
          <cell r="AP839">
            <v>3296.672</v>
          </cell>
          <cell r="AV839">
            <v>58.33</v>
          </cell>
          <cell r="AZ839">
            <v>276.3</v>
          </cell>
          <cell r="BE839">
            <v>28705</v>
          </cell>
          <cell r="BG839">
            <v>125</v>
          </cell>
          <cell r="BH839">
            <v>667.05</v>
          </cell>
          <cell r="BY839">
            <v>352.56</v>
          </cell>
          <cell r="CD839">
            <v>368.6</v>
          </cell>
          <cell r="CE839">
            <v>355.54</v>
          </cell>
          <cell r="CF839">
            <v>452.36</v>
          </cell>
          <cell r="CG839">
            <v>1620</v>
          </cell>
          <cell r="CH839">
            <v>1300</v>
          </cell>
          <cell r="CI839">
            <v>122</v>
          </cell>
          <cell r="CJ839">
            <v>323</v>
          </cell>
          <cell r="CK839">
            <v>1529</v>
          </cell>
          <cell r="CM839">
            <v>282.18</v>
          </cell>
          <cell r="CN839">
            <v>24.95</v>
          </cell>
          <cell r="CO839">
            <v>16.399999999999999</v>
          </cell>
          <cell r="CQ839">
            <v>10.01</v>
          </cell>
          <cell r="CR839">
            <v>71</v>
          </cell>
          <cell r="CS839">
            <v>2914</v>
          </cell>
          <cell r="CU839">
            <v>1815</v>
          </cell>
          <cell r="CW839">
            <v>80.106707317073173</v>
          </cell>
          <cell r="CX839">
            <v>1091.373</v>
          </cell>
          <cell r="CZ839">
            <v>409.92</v>
          </cell>
          <cell r="DA839">
            <v>4170.3999999999996</v>
          </cell>
          <cell r="DB839">
            <v>14.1</v>
          </cell>
          <cell r="DC839">
            <v>571.95000000000005</v>
          </cell>
          <cell r="DD839">
            <v>131.1</v>
          </cell>
        </row>
        <row r="840">
          <cell r="A840">
            <v>39553</v>
          </cell>
          <cell r="C840">
            <v>28</v>
          </cell>
          <cell r="D840">
            <v>2.0099999999999998</v>
          </cell>
          <cell r="E840">
            <v>5.39</v>
          </cell>
          <cell r="L840">
            <v>1742.17</v>
          </cell>
          <cell r="M840">
            <v>2286.04</v>
          </cell>
          <cell r="N840">
            <v>5906.9</v>
          </cell>
          <cell r="O840">
            <v>5490</v>
          </cell>
          <cell r="Q840">
            <v>1010</v>
          </cell>
          <cell r="R840">
            <v>606</v>
          </cell>
          <cell r="S840">
            <v>895.75</v>
          </cell>
          <cell r="T840">
            <v>1380</v>
          </cell>
          <cell r="U840">
            <v>12990.58</v>
          </cell>
          <cell r="V840">
            <v>23901.33</v>
          </cell>
          <cell r="W840">
            <v>8924.7800000000007</v>
          </cell>
          <cell r="X840">
            <v>100.75</v>
          </cell>
          <cell r="Y840">
            <v>1370</v>
          </cell>
          <cell r="Z840">
            <v>1780</v>
          </cell>
          <cell r="AA840">
            <v>16153.66</v>
          </cell>
          <cell r="AB840">
            <v>5465.9</v>
          </cell>
          <cell r="AC840">
            <v>62618.390599999999</v>
          </cell>
          <cell r="AE840">
            <v>137.55000000000001</v>
          </cell>
          <cell r="AF840">
            <v>891.89</v>
          </cell>
          <cell r="AG840">
            <v>7957</v>
          </cell>
          <cell r="AH840">
            <v>1145</v>
          </cell>
          <cell r="AI840">
            <v>1820</v>
          </cell>
          <cell r="AJ840">
            <v>641.87</v>
          </cell>
          <cell r="AL840">
            <v>1334.43</v>
          </cell>
          <cell r="AP840">
            <v>3348.3530000000001</v>
          </cell>
          <cell r="AV840">
            <v>57.79</v>
          </cell>
          <cell r="AZ840">
            <v>278.39999999999998</v>
          </cell>
          <cell r="BE840">
            <v>28690</v>
          </cell>
          <cell r="BG840">
            <v>125</v>
          </cell>
          <cell r="BH840">
            <v>676.8</v>
          </cell>
          <cell r="BY840">
            <v>351.84</v>
          </cell>
          <cell r="CD840">
            <v>370.08</v>
          </cell>
          <cell r="CE840">
            <v>356.93299999999999</v>
          </cell>
          <cell r="CF840">
            <v>453.19</v>
          </cell>
          <cell r="CG840">
            <v>1620</v>
          </cell>
          <cell r="CH840">
            <v>1300</v>
          </cell>
          <cell r="CI840">
            <v>122</v>
          </cell>
          <cell r="CJ840">
            <v>323</v>
          </cell>
          <cell r="CK840">
            <v>1553</v>
          </cell>
          <cell r="CM840">
            <v>288.10000000000002</v>
          </cell>
          <cell r="CN840">
            <v>25.15</v>
          </cell>
          <cell r="CO840">
            <v>16.3</v>
          </cell>
          <cell r="CQ840">
            <v>10.15</v>
          </cell>
          <cell r="CR840">
            <v>71</v>
          </cell>
          <cell r="CS840">
            <v>2832</v>
          </cell>
          <cell r="CU840">
            <v>1815</v>
          </cell>
          <cell r="CW840">
            <v>79.954268292682926</v>
          </cell>
          <cell r="CX840">
            <v>1089.924</v>
          </cell>
          <cell r="CZ840">
            <v>415.36</v>
          </cell>
          <cell r="DA840">
            <v>4119.1000000000004</v>
          </cell>
          <cell r="DB840">
            <v>14.16</v>
          </cell>
          <cell r="DC840">
            <v>571.95000000000005</v>
          </cell>
          <cell r="DD840">
            <v>134.19999999999999</v>
          </cell>
        </row>
        <row r="841">
          <cell r="A841">
            <v>39554</v>
          </cell>
          <cell r="C841">
            <v>28</v>
          </cell>
          <cell r="D841">
            <v>2.02</v>
          </cell>
          <cell r="E841">
            <v>5.61</v>
          </cell>
          <cell r="L841">
            <v>1758.56</v>
          </cell>
          <cell r="M841">
            <v>2350.11</v>
          </cell>
          <cell r="N841">
            <v>6046.2</v>
          </cell>
          <cell r="O841">
            <v>5492</v>
          </cell>
          <cell r="Q841">
            <v>1010</v>
          </cell>
          <cell r="R841">
            <v>603.5</v>
          </cell>
          <cell r="S841">
            <v>924.5</v>
          </cell>
          <cell r="T841">
            <v>1344.75</v>
          </cell>
          <cell r="U841">
            <v>13146.13</v>
          </cell>
          <cell r="V841">
            <v>23878.35</v>
          </cell>
          <cell r="W841">
            <v>9066.0400000000009</v>
          </cell>
          <cell r="X841">
            <v>102.7</v>
          </cell>
          <cell r="Y841">
            <v>1370</v>
          </cell>
          <cell r="Z841">
            <v>1780</v>
          </cell>
          <cell r="AA841">
            <v>16244.19</v>
          </cell>
          <cell r="AB841">
            <v>5534.6</v>
          </cell>
          <cell r="AC841">
            <v>64151.941400000003</v>
          </cell>
          <cell r="AE841">
            <v>141.94999999999999</v>
          </cell>
          <cell r="AF841">
            <v>891.89</v>
          </cell>
          <cell r="AG841">
            <v>7967</v>
          </cell>
          <cell r="AH841">
            <v>1145</v>
          </cell>
          <cell r="AI841">
            <v>1820</v>
          </cell>
          <cell r="AJ841">
            <v>641.71</v>
          </cell>
          <cell r="AL841">
            <v>1364.71</v>
          </cell>
          <cell r="AP841">
            <v>3291.5990000000002</v>
          </cell>
          <cell r="AV841">
            <v>58.739899999999999</v>
          </cell>
          <cell r="AZ841">
            <v>284</v>
          </cell>
          <cell r="BE841">
            <v>29610</v>
          </cell>
          <cell r="BG841">
            <v>125</v>
          </cell>
          <cell r="BH841">
            <v>694.11</v>
          </cell>
          <cell r="BY841">
            <v>371.02</v>
          </cell>
          <cell r="CD841">
            <v>378.36</v>
          </cell>
          <cell r="CE841">
            <v>365.38299999999998</v>
          </cell>
          <cell r="CF841">
            <v>456.66</v>
          </cell>
          <cell r="CG841">
            <v>1620</v>
          </cell>
          <cell r="CH841">
            <v>1300</v>
          </cell>
          <cell r="CI841">
            <v>122</v>
          </cell>
          <cell r="CJ841">
            <v>323</v>
          </cell>
          <cell r="CK841">
            <v>1599</v>
          </cell>
          <cell r="CM841">
            <v>293.89999999999998</v>
          </cell>
          <cell r="CN841">
            <v>24.92</v>
          </cell>
          <cell r="CO841">
            <v>16.25</v>
          </cell>
          <cell r="CQ841">
            <v>10.1</v>
          </cell>
          <cell r="CR841">
            <v>69</v>
          </cell>
          <cell r="CS841">
            <v>2855</v>
          </cell>
          <cell r="CU841">
            <v>1815</v>
          </cell>
          <cell r="CW841">
            <v>81.326219512195124</v>
          </cell>
          <cell r="CX841">
            <v>1101.654</v>
          </cell>
          <cell r="CZ841">
            <v>418.76</v>
          </cell>
          <cell r="DA841">
            <v>4238.5</v>
          </cell>
          <cell r="DB841">
            <v>14.33</v>
          </cell>
          <cell r="DC841">
            <v>571.95000000000005</v>
          </cell>
          <cell r="DD841">
            <v>134.75</v>
          </cell>
        </row>
        <row r="842">
          <cell r="A842">
            <v>39555</v>
          </cell>
          <cell r="C842">
            <v>28</v>
          </cell>
          <cell r="D842">
            <v>2.02</v>
          </cell>
          <cell r="E842">
            <v>5.56</v>
          </cell>
          <cell r="L842">
            <v>1768.67</v>
          </cell>
          <cell r="M842">
            <v>2341.83</v>
          </cell>
          <cell r="N842">
            <v>5980.4</v>
          </cell>
          <cell r="O842">
            <v>5484</v>
          </cell>
          <cell r="Q842">
            <v>1010</v>
          </cell>
          <cell r="R842">
            <v>603.5</v>
          </cell>
          <cell r="S842">
            <v>913</v>
          </cell>
          <cell r="T842">
            <v>1350.5</v>
          </cell>
          <cell r="U842">
            <v>13398.3</v>
          </cell>
          <cell r="V842">
            <v>24258.959999999999</v>
          </cell>
          <cell r="W842">
            <v>9090.43</v>
          </cell>
          <cell r="X842">
            <v>104.35</v>
          </cell>
          <cell r="Y842">
            <v>1370</v>
          </cell>
          <cell r="Z842">
            <v>1780</v>
          </cell>
          <cell r="AA842">
            <v>16481.2</v>
          </cell>
          <cell r="AB842">
            <v>5587.3</v>
          </cell>
          <cell r="AC842">
            <v>64552.421900000001</v>
          </cell>
          <cell r="AE842">
            <v>142.9</v>
          </cell>
          <cell r="AF842">
            <v>891.89</v>
          </cell>
          <cell r="AG842">
            <v>8038</v>
          </cell>
          <cell r="AH842">
            <v>1145</v>
          </cell>
          <cell r="AI842">
            <v>1820</v>
          </cell>
          <cell r="AJ842">
            <v>641.6</v>
          </cell>
          <cell r="AL842">
            <v>1365.56</v>
          </cell>
          <cell r="AP842">
            <v>3222.741</v>
          </cell>
          <cell r="AV842">
            <v>57.9</v>
          </cell>
          <cell r="AZ842">
            <v>286.60000000000002</v>
          </cell>
          <cell r="BE842">
            <v>29080</v>
          </cell>
          <cell r="BG842">
            <v>125</v>
          </cell>
          <cell r="BH842">
            <v>690.15</v>
          </cell>
          <cell r="BY842">
            <v>368.28</v>
          </cell>
          <cell r="CD842">
            <v>377.97</v>
          </cell>
          <cell r="CE842">
            <v>364.58300000000003</v>
          </cell>
          <cell r="CF842">
            <v>461.77</v>
          </cell>
          <cell r="CG842">
            <v>1620</v>
          </cell>
          <cell r="CH842">
            <v>1300</v>
          </cell>
          <cell r="CI842">
            <v>122</v>
          </cell>
          <cell r="CJ842">
            <v>323</v>
          </cell>
          <cell r="CK842">
            <v>1662</v>
          </cell>
          <cell r="CM842">
            <v>295.77999999999997</v>
          </cell>
          <cell r="CN842">
            <v>24.77</v>
          </cell>
          <cell r="CO842">
            <v>16.2</v>
          </cell>
          <cell r="CQ842">
            <v>10.26</v>
          </cell>
          <cell r="CR842">
            <v>69</v>
          </cell>
          <cell r="CS842">
            <v>2798.5</v>
          </cell>
          <cell r="CU842">
            <v>1815</v>
          </cell>
          <cell r="CW842">
            <v>81.631097560975618</v>
          </cell>
          <cell r="CX842">
            <v>1098.2040000000002</v>
          </cell>
          <cell r="CZ842">
            <v>419.46</v>
          </cell>
          <cell r="DA842">
            <v>4191.3</v>
          </cell>
          <cell r="DB842">
            <v>14.11</v>
          </cell>
          <cell r="DC842">
            <v>571.95000000000005</v>
          </cell>
          <cell r="DD842">
            <v>139.65</v>
          </cell>
        </row>
        <row r="843">
          <cell r="A843">
            <v>39556</v>
          </cell>
          <cell r="C843">
            <v>28</v>
          </cell>
          <cell r="D843">
            <v>2.02</v>
          </cell>
          <cell r="E843">
            <v>5.52</v>
          </cell>
          <cell r="L843">
            <v>1771.9</v>
          </cell>
          <cell r="M843">
            <v>2402.9699999999998</v>
          </cell>
          <cell r="N843">
            <v>6056.5</v>
          </cell>
          <cell r="O843">
            <v>5490</v>
          </cell>
          <cell r="Q843">
            <v>1010</v>
          </cell>
          <cell r="R843">
            <v>599.5</v>
          </cell>
          <cell r="S843">
            <v>870</v>
          </cell>
          <cell r="T843">
            <v>1361.5</v>
          </cell>
          <cell r="U843">
            <v>13476.45</v>
          </cell>
          <cell r="V843">
            <v>24197.78</v>
          </cell>
          <cell r="W843">
            <v>9074.34</v>
          </cell>
          <cell r="X843">
            <v>104.4</v>
          </cell>
          <cell r="Y843">
            <v>1380</v>
          </cell>
          <cell r="Z843">
            <v>1790</v>
          </cell>
          <cell r="AA843">
            <v>16481.2</v>
          </cell>
          <cell r="AB843">
            <v>5504.1</v>
          </cell>
          <cell r="AC843">
            <v>64922.671900000001</v>
          </cell>
          <cell r="AE843">
            <v>140.85</v>
          </cell>
          <cell r="AF843">
            <v>891.89</v>
          </cell>
          <cell r="AG843">
            <v>8203</v>
          </cell>
          <cell r="AH843">
            <v>1170</v>
          </cell>
          <cell r="AI843">
            <v>1835</v>
          </cell>
          <cell r="AJ843">
            <v>643.75</v>
          </cell>
          <cell r="AL843">
            <v>1390.33</v>
          </cell>
          <cell r="AP843">
            <v>3094.6680000000001</v>
          </cell>
          <cell r="AV843">
            <v>58.59</v>
          </cell>
          <cell r="AZ843">
            <v>286.2</v>
          </cell>
          <cell r="BE843">
            <v>28633</v>
          </cell>
          <cell r="BG843">
            <v>125.9</v>
          </cell>
          <cell r="BH843">
            <v>686.48</v>
          </cell>
          <cell r="BY843">
            <v>377.33</v>
          </cell>
          <cell r="CD843">
            <v>381.72</v>
          </cell>
          <cell r="CE843">
            <v>368.60899999999998</v>
          </cell>
          <cell r="CF843">
            <v>459.96</v>
          </cell>
          <cell r="CG843">
            <v>1590</v>
          </cell>
          <cell r="CH843">
            <v>1320</v>
          </cell>
          <cell r="CI843">
            <v>122</v>
          </cell>
          <cell r="CJ843">
            <v>323</v>
          </cell>
          <cell r="CK843">
            <v>1686</v>
          </cell>
          <cell r="CM843">
            <v>298.93</v>
          </cell>
          <cell r="CN843">
            <v>24.62</v>
          </cell>
          <cell r="CO843">
            <v>16.149999999999999</v>
          </cell>
          <cell r="CQ843">
            <v>10.07</v>
          </cell>
          <cell r="CR843">
            <v>69</v>
          </cell>
          <cell r="CS843">
            <v>2823</v>
          </cell>
          <cell r="CU843">
            <v>1840</v>
          </cell>
          <cell r="CW843">
            <v>80.716463414634148</v>
          </cell>
          <cell r="CX843">
            <v>1087.2329999999999</v>
          </cell>
          <cell r="CZ843">
            <v>419.36</v>
          </cell>
          <cell r="DA843">
            <v>4179.8</v>
          </cell>
          <cell r="DB843">
            <v>14.15</v>
          </cell>
          <cell r="DC843">
            <v>571.95000000000005</v>
          </cell>
          <cell r="DD843">
            <v>135.25</v>
          </cell>
        </row>
        <row r="844">
          <cell r="A844">
            <v>39557</v>
          </cell>
          <cell r="C844">
            <v>28</v>
          </cell>
          <cell r="D844">
            <v>2.02</v>
          </cell>
          <cell r="E844">
            <v>5.52</v>
          </cell>
          <cell r="L844">
            <v>1771.9</v>
          </cell>
          <cell r="M844">
            <v>2402.9699999999998</v>
          </cell>
          <cell r="N844">
            <v>6056.5</v>
          </cell>
          <cell r="O844">
            <v>5490</v>
          </cell>
          <cell r="Q844">
            <v>1010</v>
          </cell>
          <cell r="R844">
            <v>599.5</v>
          </cell>
          <cell r="S844">
            <v>870</v>
          </cell>
          <cell r="T844">
            <v>1361.5</v>
          </cell>
          <cell r="U844">
            <v>13476.45</v>
          </cell>
          <cell r="V844">
            <v>24197.78</v>
          </cell>
          <cell r="W844">
            <v>9074.34</v>
          </cell>
          <cell r="X844">
            <v>104.4</v>
          </cell>
          <cell r="Y844">
            <v>1380</v>
          </cell>
          <cell r="Z844">
            <v>1790</v>
          </cell>
          <cell r="AA844">
            <v>16481.2</v>
          </cell>
          <cell r="AB844">
            <v>5504.1</v>
          </cell>
          <cell r="AC844">
            <v>64922.671900000001</v>
          </cell>
          <cell r="AE844">
            <v>140.85</v>
          </cell>
          <cell r="AF844">
            <v>891.89</v>
          </cell>
          <cell r="AG844">
            <v>8203</v>
          </cell>
          <cell r="AH844">
            <v>1170</v>
          </cell>
          <cell r="AI844">
            <v>1835</v>
          </cell>
          <cell r="AJ844">
            <v>643.75</v>
          </cell>
          <cell r="AL844">
            <v>1390.33</v>
          </cell>
          <cell r="AP844">
            <v>3094.6680000000001</v>
          </cell>
          <cell r="AV844">
            <v>58.59</v>
          </cell>
          <cell r="AZ844">
            <v>286.2</v>
          </cell>
          <cell r="BE844">
            <v>28633</v>
          </cell>
          <cell r="BG844">
            <v>125.9</v>
          </cell>
          <cell r="BH844">
            <v>686.48</v>
          </cell>
          <cell r="BY844">
            <v>377.33</v>
          </cell>
          <cell r="CD844">
            <v>381.72</v>
          </cell>
          <cell r="CE844">
            <v>368.60899999999998</v>
          </cell>
          <cell r="CF844">
            <v>459.96</v>
          </cell>
          <cell r="CG844">
            <v>1590</v>
          </cell>
          <cell r="CH844">
            <v>1320</v>
          </cell>
          <cell r="CI844">
            <v>122</v>
          </cell>
          <cell r="CJ844">
            <v>323</v>
          </cell>
          <cell r="CK844">
            <v>1686</v>
          </cell>
          <cell r="CM844">
            <v>298.93</v>
          </cell>
          <cell r="CN844">
            <v>24.62</v>
          </cell>
          <cell r="CO844">
            <v>16.149999999999999</v>
          </cell>
          <cell r="CQ844">
            <v>10.07</v>
          </cell>
          <cell r="CR844">
            <v>69</v>
          </cell>
          <cell r="CS844">
            <v>2823</v>
          </cell>
          <cell r="CU844">
            <v>1840</v>
          </cell>
          <cell r="CW844">
            <v>80.716463414634148</v>
          </cell>
          <cell r="CX844">
            <v>1087.2329999999999</v>
          </cell>
          <cell r="CZ844">
            <v>419.36</v>
          </cell>
          <cell r="DA844">
            <v>4179.8</v>
          </cell>
          <cell r="DB844">
            <v>14.15</v>
          </cell>
          <cell r="DC844">
            <v>571.95000000000005</v>
          </cell>
          <cell r="DD844">
            <v>135.25</v>
          </cell>
        </row>
        <row r="845">
          <cell r="A845">
            <v>39558</v>
          </cell>
          <cell r="C845">
            <v>28</v>
          </cell>
          <cell r="D845">
            <v>2.02</v>
          </cell>
          <cell r="E845">
            <v>5.52</v>
          </cell>
          <cell r="L845">
            <v>1771.9</v>
          </cell>
          <cell r="M845">
            <v>2402.9699999999998</v>
          </cell>
          <cell r="N845">
            <v>6056.5</v>
          </cell>
          <cell r="O845">
            <v>5490</v>
          </cell>
          <cell r="Q845">
            <v>1010</v>
          </cell>
          <cell r="R845">
            <v>599.5</v>
          </cell>
          <cell r="S845">
            <v>870</v>
          </cell>
          <cell r="T845">
            <v>1361.5</v>
          </cell>
          <cell r="U845">
            <v>13476.45</v>
          </cell>
          <cell r="V845">
            <v>24197.78</v>
          </cell>
          <cell r="W845">
            <v>9074.34</v>
          </cell>
          <cell r="X845">
            <v>104.4</v>
          </cell>
          <cell r="Y845">
            <v>1380</v>
          </cell>
          <cell r="Z845">
            <v>1790</v>
          </cell>
          <cell r="AA845">
            <v>16481.2</v>
          </cell>
          <cell r="AB845">
            <v>5504.1</v>
          </cell>
          <cell r="AC845">
            <v>64922.671900000001</v>
          </cell>
          <cell r="AE845">
            <v>140.85</v>
          </cell>
          <cell r="AF845">
            <v>891.89</v>
          </cell>
          <cell r="AG845">
            <v>8203</v>
          </cell>
          <cell r="AH845">
            <v>1170</v>
          </cell>
          <cell r="AI845">
            <v>1835</v>
          </cell>
          <cell r="AJ845">
            <v>643.75</v>
          </cell>
          <cell r="AL845">
            <v>1390.33</v>
          </cell>
          <cell r="AP845">
            <v>3094.6680000000001</v>
          </cell>
          <cell r="AV845">
            <v>58.59</v>
          </cell>
          <cell r="AZ845">
            <v>286.2</v>
          </cell>
          <cell r="BE845">
            <v>28633</v>
          </cell>
          <cell r="BG845">
            <v>125.9</v>
          </cell>
          <cell r="BH845">
            <v>686.48</v>
          </cell>
          <cell r="BY845">
            <v>377.33</v>
          </cell>
          <cell r="CD845">
            <v>381.72</v>
          </cell>
          <cell r="CE845">
            <v>368.60899999999998</v>
          </cell>
          <cell r="CF845">
            <v>459.96</v>
          </cell>
          <cell r="CG845">
            <v>1590</v>
          </cell>
          <cell r="CH845">
            <v>1320</v>
          </cell>
          <cell r="CI845">
            <v>122</v>
          </cell>
          <cell r="CJ845">
            <v>323</v>
          </cell>
          <cell r="CK845">
            <v>1686</v>
          </cell>
          <cell r="CM845">
            <v>298.93</v>
          </cell>
          <cell r="CN845">
            <v>24.62</v>
          </cell>
          <cell r="CO845">
            <v>16.149999999999999</v>
          </cell>
          <cell r="CQ845">
            <v>10.07</v>
          </cell>
          <cell r="CR845">
            <v>69</v>
          </cell>
          <cell r="CS845">
            <v>2823</v>
          </cell>
          <cell r="CU845">
            <v>1840</v>
          </cell>
          <cell r="CW845">
            <v>80.716463414634148</v>
          </cell>
          <cell r="CX845">
            <v>1087.2329999999999</v>
          </cell>
          <cell r="CZ845">
            <v>419.36</v>
          </cell>
          <cell r="DA845">
            <v>4179.8</v>
          </cell>
          <cell r="DB845">
            <v>14.15</v>
          </cell>
          <cell r="DC845">
            <v>571.95000000000005</v>
          </cell>
          <cell r="DD845">
            <v>135.25</v>
          </cell>
        </row>
        <row r="846">
          <cell r="A846">
            <v>39559</v>
          </cell>
          <cell r="C846">
            <v>28</v>
          </cell>
          <cell r="D846">
            <v>2.02</v>
          </cell>
          <cell r="E846">
            <v>5.53</v>
          </cell>
          <cell r="L846">
            <v>1800.48</v>
          </cell>
          <cell r="M846">
            <v>2408.04</v>
          </cell>
          <cell r="N846">
            <v>6053</v>
          </cell>
          <cell r="O846">
            <v>5492</v>
          </cell>
          <cell r="Q846">
            <v>1010</v>
          </cell>
          <cell r="R846">
            <v>580.25</v>
          </cell>
          <cell r="S846">
            <v>845.75</v>
          </cell>
          <cell r="T846">
            <v>1315.5</v>
          </cell>
          <cell r="U846">
            <v>13696.55</v>
          </cell>
          <cell r="V846">
            <v>24721.67</v>
          </cell>
          <cell r="W846">
            <v>9083.32</v>
          </cell>
          <cell r="X846">
            <v>105.45</v>
          </cell>
          <cell r="Y846">
            <v>1380</v>
          </cell>
          <cell r="Z846">
            <v>1790</v>
          </cell>
          <cell r="AA846">
            <v>16739.330000000002</v>
          </cell>
          <cell r="AB846">
            <v>5664.2</v>
          </cell>
          <cell r="AC846">
            <v>64922.671900000001</v>
          </cell>
          <cell r="AE846">
            <v>143.85</v>
          </cell>
          <cell r="AF846">
            <v>891.89</v>
          </cell>
          <cell r="AG846">
            <v>8350</v>
          </cell>
          <cell r="AH846">
            <v>1170</v>
          </cell>
          <cell r="AI846">
            <v>1835</v>
          </cell>
          <cell r="AJ846">
            <v>650.05999999999995</v>
          </cell>
          <cell r="AL846">
            <v>1388.17</v>
          </cell>
          <cell r="AP846">
            <v>3116.9769999999999</v>
          </cell>
          <cell r="AV846">
            <v>59.33</v>
          </cell>
          <cell r="AZ846">
            <v>286.89999999999998</v>
          </cell>
          <cell r="BE846">
            <v>28270</v>
          </cell>
          <cell r="BG846">
            <v>125.9</v>
          </cell>
          <cell r="BH846">
            <v>703.03</v>
          </cell>
          <cell r="BY846">
            <v>383.08</v>
          </cell>
          <cell r="CD846">
            <v>383.95</v>
          </cell>
          <cell r="CE846">
            <v>370.59</v>
          </cell>
          <cell r="CF846">
            <v>467.29</v>
          </cell>
          <cell r="CG846">
            <v>1590</v>
          </cell>
          <cell r="CH846">
            <v>1320</v>
          </cell>
          <cell r="CI846">
            <v>123</v>
          </cell>
          <cell r="CJ846">
            <v>323</v>
          </cell>
          <cell r="CK846">
            <v>1692</v>
          </cell>
          <cell r="CM846">
            <v>297.91000000000003</v>
          </cell>
          <cell r="CN846">
            <v>25.31</v>
          </cell>
          <cell r="CO846">
            <v>16.25</v>
          </cell>
          <cell r="CQ846">
            <v>10.49</v>
          </cell>
          <cell r="CR846">
            <v>69</v>
          </cell>
          <cell r="CS846">
            <v>2758</v>
          </cell>
          <cell r="CU846">
            <v>1840</v>
          </cell>
          <cell r="CW846">
            <v>81.021341463414643</v>
          </cell>
          <cell r="CX846">
            <v>1095.9960000000001</v>
          </cell>
          <cell r="CZ846">
            <v>415.6</v>
          </cell>
          <cell r="DA846">
            <v>4138.6000000000004</v>
          </cell>
          <cell r="DB846">
            <v>13.57</v>
          </cell>
          <cell r="DC846">
            <v>571.95000000000005</v>
          </cell>
          <cell r="DD846">
            <v>131.4</v>
          </cell>
        </row>
        <row r="847">
          <cell r="A847">
            <v>39560</v>
          </cell>
          <cell r="C847">
            <v>28</v>
          </cell>
          <cell r="D847">
            <v>2.0299999999999998</v>
          </cell>
          <cell r="E847">
            <v>5.52</v>
          </cell>
          <cell r="L847">
            <v>1787.49</v>
          </cell>
          <cell r="M847">
            <v>2376.94</v>
          </cell>
          <cell r="N847">
            <v>6034.7</v>
          </cell>
          <cell r="O847">
            <v>5504</v>
          </cell>
          <cell r="Q847">
            <v>1010</v>
          </cell>
          <cell r="R847">
            <v>594.25</v>
          </cell>
          <cell r="S847">
            <v>851.75</v>
          </cell>
          <cell r="T847">
            <v>1374.75</v>
          </cell>
          <cell r="U847">
            <v>13547.82</v>
          </cell>
          <cell r="V847">
            <v>24939.15</v>
          </cell>
          <cell r="W847">
            <v>9037.25</v>
          </cell>
          <cell r="X847">
            <v>105.85</v>
          </cell>
          <cell r="Y847">
            <v>1380</v>
          </cell>
          <cell r="Z847">
            <v>1790</v>
          </cell>
          <cell r="AA847">
            <v>16783.87</v>
          </cell>
          <cell r="AB847">
            <v>5628.4</v>
          </cell>
          <cell r="AC847">
            <v>65412.660199999998</v>
          </cell>
          <cell r="AE847">
            <v>144.15</v>
          </cell>
          <cell r="AF847">
            <v>895.63</v>
          </cell>
          <cell r="AG847">
            <v>8550</v>
          </cell>
          <cell r="AH847">
            <v>1170</v>
          </cell>
          <cell r="AI847">
            <v>1835</v>
          </cell>
          <cell r="AJ847">
            <v>650.58000000000004</v>
          </cell>
          <cell r="AL847">
            <v>1375.94</v>
          </cell>
          <cell r="AP847">
            <v>3147.7930000000001</v>
          </cell>
          <cell r="AV847">
            <v>58.21</v>
          </cell>
          <cell r="AZ847">
            <v>282.2</v>
          </cell>
          <cell r="BE847">
            <v>28734</v>
          </cell>
          <cell r="BG847">
            <v>125.9</v>
          </cell>
          <cell r="BH847">
            <v>702.17</v>
          </cell>
          <cell r="BY847">
            <v>370.58</v>
          </cell>
          <cell r="CD847">
            <v>381.95</v>
          </cell>
          <cell r="CE847">
            <v>368.29899999999998</v>
          </cell>
          <cell r="CF847">
            <v>467.52</v>
          </cell>
          <cell r="CG847">
            <v>1590</v>
          </cell>
          <cell r="CH847">
            <v>1320</v>
          </cell>
          <cell r="CI847">
            <v>123</v>
          </cell>
          <cell r="CJ847">
            <v>323</v>
          </cell>
          <cell r="CK847">
            <v>1693</v>
          </cell>
          <cell r="CM847">
            <v>301.64</v>
          </cell>
          <cell r="CN847">
            <v>25.48</v>
          </cell>
          <cell r="CO847">
            <v>16.3</v>
          </cell>
          <cell r="CQ847">
            <v>10.56</v>
          </cell>
          <cell r="CR847">
            <v>69</v>
          </cell>
          <cell r="CS847">
            <v>2826</v>
          </cell>
          <cell r="CU847">
            <v>1840</v>
          </cell>
          <cell r="CW847">
            <v>81.021341463414643</v>
          </cell>
          <cell r="CX847">
            <v>1103.31</v>
          </cell>
          <cell r="CZ847">
            <v>422.11</v>
          </cell>
          <cell r="DA847">
            <v>4222.6000000000004</v>
          </cell>
          <cell r="DB847">
            <v>13.67</v>
          </cell>
          <cell r="DC847">
            <v>571.95000000000005</v>
          </cell>
          <cell r="DD847">
            <v>135.30000000000001</v>
          </cell>
        </row>
        <row r="848">
          <cell r="A848">
            <v>39561</v>
          </cell>
          <cell r="C848">
            <v>28</v>
          </cell>
          <cell r="D848">
            <v>2.0499999999999998</v>
          </cell>
          <cell r="E848">
            <v>5.47</v>
          </cell>
          <cell r="L848">
            <v>1800.79</v>
          </cell>
          <cell r="M848">
            <v>2405.21</v>
          </cell>
          <cell r="N848">
            <v>6083.6</v>
          </cell>
          <cell r="O848">
            <v>5521</v>
          </cell>
          <cell r="Q848">
            <v>1010</v>
          </cell>
          <cell r="R848">
            <v>587.75</v>
          </cell>
          <cell r="S848">
            <v>817.75</v>
          </cell>
          <cell r="T848">
            <v>1372</v>
          </cell>
          <cell r="U848">
            <v>13579.16</v>
          </cell>
          <cell r="V848">
            <v>25289.24</v>
          </cell>
          <cell r="W848">
            <v>9008.49</v>
          </cell>
          <cell r="X848">
            <v>107.35</v>
          </cell>
          <cell r="Y848">
            <v>1380</v>
          </cell>
          <cell r="Z848">
            <v>1790</v>
          </cell>
          <cell r="AA848">
            <v>16698.04</v>
          </cell>
          <cell r="AB848">
            <v>5711.4</v>
          </cell>
          <cell r="AC848">
            <v>64947.539100000002</v>
          </cell>
          <cell r="AE848">
            <v>144.35</v>
          </cell>
          <cell r="AF848">
            <v>895.63</v>
          </cell>
          <cell r="AG848">
            <v>8862</v>
          </cell>
          <cell r="AH848">
            <v>1170</v>
          </cell>
          <cell r="AI848">
            <v>1835</v>
          </cell>
          <cell r="AJ848">
            <v>650.67999999999995</v>
          </cell>
          <cell r="AL848">
            <v>1379.93</v>
          </cell>
          <cell r="AP848">
            <v>3278.33</v>
          </cell>
          <cell r="AV848">
            <v>59.96</v>
          </cell>
          <cell r="AZ848">
            <v>285</v>
          </cell>
          <cell r="BE848">
            <v>28530</v>
          </cell>
          <cell r="BG848">
            <v>125.9</v>
          </cell>
          <cell r="BH848">
            <v>714.34</v>
          </cell>
          <cell r="BY848">
            <v>385.83</v>
          </cell>
          <cell r="CD848">
            <v>382.31</v>
          </cell>
          <cell r="CE848">
            <v>368.59699999999998</v>
          </cell>
          <cell r="CF848">
            <v>471.16</v>
          </cell>
          <cell r="CG848">
            <v>1590</v>
          </cell>
          <cell r="CH848">
            <v>1320</v>
          </cell>
          <cell r="CI848">
            <v>123</v>
          </cell>
          <cell r="CJ848">
            <v>323</v>
          </cell>
          <cell r="CK848">
            <v>1677</v>
          </cell>
          <cell r="CM848">
            <v>305.07</v>
          </cell>
          <cell r="CN848">
            <v>25.19</v>
          </cell>
          <cell r="CO848">
            <v>16.05</v>
          </cell>
          <cell r="CQ848">
            <v>10.33</v>
          </cell>
          <cell r="CR848">
            <v>69</v>
          </cell>
          <cell r="CS848">
            <v>2790</v>
          </cell>
          <cell r="CU848">
            <v>1840</v>
          </cell>
          <cell r="CW848">
            <v>81.631097560975618</v>
          </cell>
          <cell r="CX848">
            <v>1112.72</v>
          </cell>
          <cell r="CZ848">
            <v>421.89</v>
          </cell>
          <cell r="DA848">
            <v>4196.2</v>
          </cell>
          <cell r="DB848">
            <v>13.57</v>
          </cell>
          <cell r="DC848">
            <v>571.95000000000005</v>
          </cell>
          <cell r="DD848">
            <v>135.4</v>
          </cell>
        </row>
        <row r="849">
          <cell r="A849">
            <v>39562</v>
          </cell>
          <cell r="C849">
            <v>28</v>
          </cell>
          <cell r="D849">
            <v>2.13</v>
          </cell>
          <cell r="E849">
            <v>5.46</v>
          </cell>
          <cell r="L849">
            <v>1799.34</v>
          </cell>
          <cell r="M849">
            <v>2428.92</v>
          </cell>
          <cell r="N849">
            <v>6050.7</v>
          </cell>
          <cell r="O849">
            <v>5535</v>
          </cell>
          <cell r="Q849">
            <v>1065</v>
          </cell>
          <cell r="R849">
            <v>576.25</v>
          </cell>
          <cell r="S849">
            <v>809.25</v>
          </cell>
          <cell r="T849">
            <v>1348.75</v>
          </cell>
          <cell r="U849">
            <v>13540.87</v>
          </cell>
          <cell r="V849">
            <v>25680.78</v>
          </cell>
          <cell r="W849">
            <v>8990.33</v>
          </cell>
          <cell r="X849">
            <v>107.15</v>
          </cell>
          <cell r="Y849">
            <v>1380</v>
          </cell>
          <cell r="Z849">
            <v>1790</v>
          </cell>
          <cell r="AA849">
            <v>16721.080000000002</v>
          </cell>
          <cell r="AB849">
            <v>5658.7</v>
          </cell>
          <cell r="AC849">
            <v>64576.261700000003</v>
          </cell>
          <cell r="AE849">
            <v>144.35</v>
          </cell>
          <cell r="AF849">
            <v>895.63</v>
          </cell>
          <cell r="AG849">
            <v>9182</v>
          </cell>
          <cell r="AH849">
            <v>1170</v>
          </cell>
          <cell r="AI849">
            <v>1835</v>
          </cell>
          <cell r="AJ849">
            <v>648.79</v>
          </cell>
          <cell r="AL849">
            <v>1388.82</v>
          </cell>
          <cell r="AP849">
            <v>3583.0279999999998</v>
          </cell>
          <cell r="AV849">
            <v>59.93</v>
          </cell>
          <cell r="AZ849">
            <v>287.8</v>
          </cell>
          <cell r="BE849">
            <v>28752</v>
          </cell>
          <cell r="BG849">
            <v>125.9</v>
          </cell>
          <cell r="BH849">
            <v>727.82</v>
          </cell>
          <cell r="BY849">
            <v>391.43</v>
          </cell>
          <cell r="CD849">
            <v>381.28</v>
          </cell>
          <cell r="CE849">
            <v>367.673</v>
          </cell>
          <cell r="CF849">
            <v>474.55</v>
          </cell>
          <cell r="CG849">
            <v>1590</v>
          </cell>
          <cell r="CH849">
            <v>1320</v>
          </cell>
          <cell r="CI849">
            <v>123</v>
          </cell>
          <cell r="CJ849">
            <v>323</v>
          </cell>
          <cell r="CK849">
            <v>1674</v>
          </cell>
          <cell r="CM849">
            <v>301.86</v>
          </cell>
          <cell r="CN849">
            <v>24.87</v>
          </cell>
          <cell r="CO849">
            <v>15.9</v>
          </cell>
          <cell r="CQ849">
            <v>10.57</v>
          </cell>
          <cell r="CR849">
            <v>69</v>
          </cell>
          <cell r="CS849">
            <v>2738</v>
          </cell>
          <cell r="CU849">
            <v>1840</v>
          </cell>
          <cell r="CW849">
            <v>81.631097560975618</v>
          </cell>
          <cell r="CX849">
            <v>1096.6199999999999</v>
          </cell>
          <cell r="CZ849">
            <v>414.89</v>
          </cell>
          <cell r="DA849">
            <v>4155</v>
          </cell>
          <cell r="DB849">
            <v>13.58</v>
          </cell>
          <cell r="DC849">
            <v>571.95000000000005</v>
          </cell>
          <cell r="DD849">
            <v>130.75</v>
          </cell>
        </row>
        <row r="850">
          <cell r="A850">
            <v>39563</v>
          </cell>
          <cell r="C850">
            <v>28</v>
          </cell>
          <cell r="D850">
            <v>2.14</v>
          </cell>
          <cell r="E850">
            <v>5.41</v>
          </cell>
          <cell r="L850">
            <v>1824.68</v>
          </cell>
          <cell r="M850">
            <v>2422.9299999999998</v>
          </cell>
          <cell r="N850">
            <v>6091.4</v>
          </cell>
          <cell r="O850">
            <v>5545</v>
          </cell>
          <cell r="Q850">
            <v>1065</v>
          </cell>
          <cell r="R850">
            <v>577.25</v>
          </cell>
          <cell r="S850">
            <v>800.5</v>
          </cell>
          <cell r="T850">
            <v>1325.75</v>
          </cell>
          <cell r="U850">
            <v>13863.47</v>
          </cell>
          <cell r="V850">
            <v>25516.78</v>
          </cell>
          <cell r="W850">
            <v>8947.83</v>
          </cell>
          <cell r="X850">
            <v>105.35</v>
          </cell>
          <cell r="Y850">
            <v>1410</v>
          </cell>
          <cell r="Z850">
            <v>1800</v>
          </cell>
          <cell r="AA850">
            <v>17125.98</v>
          </cell>
          <cell r="AB850">
            <v>5658.7</v>
          </cell>
          <cell r="AC850">
            <v>65187.339800000002</v>
          </cell>
          <cell r="AE850">
            <v>141.05000000000001</v>
          </cell>
          <cell r="AF850">
            <v>895.63</v>
          </cell>
          <cell r="AG850">
            <v>9329</v>
          </cell>
          <cell r="AH850">
            <v>1180</v>
          </cell>
          <cell r="AI850">
            <v>1850</v>
          </cell>
          <cell r="AJ850">
            <v>654.70000000000005</v>
          </cell>
          <cell r="AL850">
            <v>1397.84</v>
          </cell>
          <cell r="AP850">
            <v>3557.7489999999998</v>
          </cell>
          <cell r="AV850">
            <v>60.6</v>
          </cell>
          <cell r="AZ850">
            <v>293.5</v>
          </cell>
          <cell r="BE850">
            <v>29365</v>
          </cell>
          <cell r="BG850">
            <v>128</v>
          </cell>
          <cell r="BH850">
            <v>724.14</v>
          </cell>
          <cell r="BY850">
            <v>391.17</v>
          </cell>
          <cell r="CD850">
            <v>384.45</v>
          </cell>
          <cell r="CE850">
            <v>371.05</v>
          </cell>
          <cell r="CF850">
            <v>475.2</v>
          </cell>
          <cell r="CG850">
            <v>1610</v>
          </cell>
          <cell r="CH850">
            <v>1340</v>
          </cell>
          <cell r="CI850">
            <v>123</v>
          </cell>
          <cell r="CJ850">
            <v>323</v>
          </cell>
          <cell r="CK850">
            <v>1673</v>
          </cell>
          <cell r="CM850">
            <v>305.37</v>
          </cell>
          <cell r="CN850">
            <v>24.71</v>
          </cell>
          <cell r="CO850">
            <v>16.100000000000001</v>
          </cell>
          <cell r="CQ850">
            <v>10.72</v>
          </cell>
          <cell r="CR850">
            <v>69</v>
          </cell>
          <cell r="CS850">
            <v>2745.5</v>
          </cell>
          <cell r="CU850">
            <v>1865</v>
          </cell>
          <cell r="CW850">
            <v>81.326219512195124</v>
          </cell>
          <cell r="CX850">
            <v>1093.05</v>
          </cell>
          <cell r="CZ850">
            <v>417.8</v>
          </cell>
          <cell r="DA850">
            <v>4185.8999999999996</v>
          </cell>
          <cell r="DB850">
            <v>13.57</v>
          </cell>
          <cell r="DC850">
            <v>571.95000000000005</v>
          </cell>
          <cell r="DD850">
            <v>130.44999999999999</v>
          </cell>
        </row>
        <row r="851">
          <cell r="A851">
            <v>39564</v>
          </cell>
          <cell r="C851">
            <v>28</v>
          </cell>
          <cell r="D851">
            <v>2.14</v>
          </cell>
          <cell r="E851">
            <v>5.41</v>
          </cell>
          <cell r="L851">
            <v>1824.68</v>
          </cell>
          <cell r="M851">
            <v>2422.9299999999998</v>
          </cell>
          <cell r="N851">
            <v>6091.4</v>
          </cell>
          <cell r="O851">
            <v>5545</v>
          </cell>
          <cell r="Q851">
            <v>1065</v>
          </cell>
          <cell r="R851">
            <v>577.25</v>
          </cell>
          <cell r="S851">
            <v>800.5</v>
          </cell>
          <cell r="T851">
            <v>1325.75</v>
          </cell>
          <cell r="U851">
            <v>13863.47</v>
          </cell>
          <cell r="V851">
            <v>25516.78</v>
          </cell>
          <cell r="W851">
            <v>8947.83</v>
          </cell>
          <cell r="X851">
            <v>105.35</v>
          </cell>
          <cell r="Y851">
            <v>1410</v>
          </cell>
          <cell r="Z851">
            <v>1800</v>
          </cell>
          <cell r="AA851">
            <v>17125.98</v>
          </cell>
          <cell r="AB851">
            <v>5658.7</v>
          </cell>
          <cell r="AC851">
            <v>65187.339800000002</v>
          </cell>
          <cell r="AE851">
            <v>141.05000000000001</v>
          </cell>
          <cell r="AF851">
            <v>895.63</v>
          </cell>
          <cell r="AG851">
            <v>9329</v>
          </cell>
          <cell r="AH851">
            <v>1180</v>
          </cell>
          <cell r="AI851">
            <v>1850</v>
          </cell>
          <cell r="AJ851">
            <v>654.70000000000005</v>
          </cell>
          <cell r="AL851">
            <v>1397.84</v>
          </cell>
          <cell r="AP851">
            <v>3557.7489999999998</v>
          </cell>
          <cell r="AV851">
            <v>60.6</v>
          </cell>
          <cell r="AZ851">
            <v>293.5</v>
          </cell>
          <cell r="BE851">
            <v>29365</v>
          </cell>
          <cell r="BG851">
            <v>128</v>
          </cell>
          <cell r="BH851">
            <v>724.14</v>
          </cell>
          <cell r="BY851">
            <v>391.17</v>
          </cell>
          <cell r="CD851">
            <v>384.45</v>
          </cell>
          <cell r="CE851">
            <v>371.05</v>
          </cell>
          <cell r="CF851">
            <v>475.2</v>
          </cell>
          <cell r="CG851">
            <v>1610</v>
          </cell>
          <cell r="CH851">
            <v>1340</v>
          </cell>
          <cell r="CI851">
            <v>123</v>
          </cell>
          <cell r="CJ851">
            <v>323</v>
          </cell>
          <cell r="CK851">
            <v>1673</v>
          </cell>
          <cell r="CM851">
            <v>305.37</v>
          </cell>
          <cell r="CN851">
            <v>24.71</v>
          </cell>
          <cell r="CO851">
            <v>16.100000000000001</v>
          </cell>
          <cell r="CQ851">
            <v>10.72</v>
          </cell>
          <cell r="CR851">
            <v>69</v>
          </cell>
          <cell r="CS851">
            <v>2745.5</v>
          </cell>
          <cell r="CU851">
            <v>1865</v>
          </cell>
          <cell r="CW851">
            <v>81.326219512195124</v>
          </cell>
          <cell r="CX851">
            <v>1093.05</v>
          </cell>
          <cell r="CZ851">
            <v>417.8</v>
          </cell>
          <cell r="DA851">
            <v>4185.8999999999996</v>
          </cell>
          <cell r="DB851">
            <v>13.57</v>
          </cell>
          <cell r="DC851">
            <v>571.95000000000005</v>
          </cell>
          <cell r="DD851">
            <v>130.44999999999999</v>
          </cell>
        </row>
        <row r="852">
          <cell r="A852">
            <v>39565</v>
          </cell>
          <cell r="C852">
            <v>28</v>
          </cell>
          <cell r="D852">
            <v>2.14</v>
          </cell>
          <cell r="E852">
            <v>5.41</v>
          </cell>
          <cell r="L852">
            <v>1824.68</v>
          </cell>
          <cell r="M852">
            <v>2422.9299999999998</v>
          </cell>
          <cell r="N852">
            <v>6091.4</v>
          </cell>
          <cell r="O852">
            <v>5545</v>
          </cell>
          <cell r="Q852">
            <v>1065</v>
          </cell>
          <cell r="R852">
            <v>577.25</v>
          </cell>
          <cell r="S852">
            <v>800.5</v>
          </cell>
          <cell r="T852">
            <v>1325.75</v>
          </cell>
          <cell r="U852">
            <v>13863.47</v>
          </cell>
          <cell r="V852">
            <v>25516.78</v>
          </cell>
          <cell r="W852">
            <v>8947.83</v>
          </cell>
          <cell r="X852">
            <v>105.35</v>
          </cell>
          <cell r="Y852">
            <v>1410</v>
          </cell>
          <cell r="Z852">
            <v>1800</v>
          </cell>
          <cell r="AA852">
            <v>17125.98</v>
          </cell>
          <cell r="AB852">
            <v>5658.7</v>
          </cell>
          <cell r="AC852">
            <v>65187.339800000002</v>
          </cell>
          <cell r="AE852">
            <v>141.05000000000001</v>
          </cell>
          <cell r="AF852">
            <v>895.63</v>
          </cell>
          <cell r="AG852">
            <v>9329</v>
          </cell>
          <cell r="AH852">
            <v>1180</v>
          </cell>
          <cell r="AI852">
            <v>1850</v>
          </cell>
          <cell r="AJ852">
            <v>654.70000000000005</v>
          </cell>
          <cell r="AL852">
            <v>1397.84</v>
          </cell>
          <cell r="AP852">
            <v>3557.7489999999998</v>
          </cell>
          <cell r="AV852">
            <v>60.6</v>
          </cell>
          <cell r="AZ852">
            <v>293.5</v>
          </cell>
          <cell r="BE852">
            <v>29365</v>
          </cell>
          <cell r="BG852">
            <v>128</v>
          </cell>
          <cell r="BH852">
            <v>724.14</v>
          </cell>
          <cell r="BY852">
            <v>391.17</v>
          </cell>
          <cell r="CD852">
            <v>384.45</v>
          </cell>
          <cell r="CE852">
            <v>371.05</v>
          </cell>
          <cell r="CF852">
            <v>475.2</v>
          </cell>
          <cell r="CG852">
            <v>1610</v>
          </cell>
          <cell r="CH852">
            <v>1340</v>
          </cell>
          <cell r="CI852">
            <v>123</v>
          </cell>
          <cell r="CJ852">
            <v>323</v>
          </cell>
          <cell r="CK852">
            <v>1673</v>
          </cell>
          <cell r="CM852">
            <v>305.37</v>
          </cell>
          <cell r="CN852">
            <v>24.71</v>
          </cell>
          <cell r="CO852">
            <v>16.100000000000001</v>
          </cell>
          <cell r="CQ852">
            <v>10.72</v>
          </cell>
          <cell r="CR852">
            <v>69</v>
          </cell>
          <cell r="CS852">
            <v>2745.5</v>
          </cell>
          <cell r="CU852">
            <v>1865</v>
          </cell>
          <cell r="CW852">
            <v>81.326219512195124</v>
          </cell>
          <cell r="CX852">
            <v>1093.05</v>
          </cell>
          <cell r="CZ852">
            <v>417.8</v>
          </cell>
          <cell r="DA852">
            <v>4185.8999999999996</v>
          </cell>
          <cell r="DB852">
            <v>13.57</v>
          </cell>
          <cell r="DC852">
            <v>571.95000000000005</v>
          </cell>
          <cell r="DD852">
            <v>130.44999999999999</v>
          </cell>
        </row>
        <row r="853">
          <cell r="A853">
            <v>39566</v>
          </cell>
          <cell r="C853">
            <v>28</v>
          </cell>
          <cell r="D853">
            <v>2.14</v>
          </cell>
          <cell r="E853">
            <v>5.39</v>
          </cell>
          <cell r="L853">
            <v>1823.17</v>
          </cell>
          <cell r="M853">
            <v>2424.4</v>
          </cell>
          <cell r="N853">
            <v>6090.4</v>
          </cell>
          <cell r="O853">
            <v>5581</v>
          </cell>
          <cell r="Q853">
            <v>1065</v>
          </cell>
          <cell r="R853">
            <v>600</v>
          </cell>
          <cell r="S853">
            <v>826</v>
          </cell>
          <cell r="T853">
            <v>1283.5</v>
          </cell>
          <cell r="U853">
            <v>13894.37</v>
          </cell>
          <cell r="V853">
            <v>25666.29</v>
          </cell>
          <cell r="W853">
            <v>9079.6</v>
          </cell>
          <cell r="X853">
            <v>108.65</v>
          </cell>
          <cell r="Y853">
            <v>1410</v>
          </cell>
          <cell r="Z853">
            <v>1800</v>
          </cell>
          <cell r="AA853">
            <v>17015.96</v>
          </cell>
          <cell r="AB853">
            <v>5670.3</v>
          </cell>
          <cell r="AC853">
            <v>65677.742199999993</v>
          </cell>
          <cell r="AE853">
            <v>145.05000000000001</v>
          </cell>
          <cell r="AF853">
            <v>895.63</v>
          </cell>
          <cell r="AG853">
            <v>9344</v>
          </cell>
          <cell r="AH853">
            <v>1180</v>
          </cell>
          <cell r="AI853">
            <v>1850</v>
          </cell>
          <cell r="AJ853">
            <v>647.6</v>
          </cell>
          <cell r="AL853">
            <v>1396.37</v>
          </cell>
          <cell r="AP853">
            <v>3474.7220000000002</v>
          </cell>
          <cell r="AV853">
            <v>60.47</v>
          </cell>
          <cell r="AZ853">
            <v>298.39999999999998</v>
          </cell>
          <cell r="BE853">
            <v>29152</v>
          </cell>
          <cell r="BG853">
            <v>128</v>
          </cell>
          <cell r="BH853">
            <v>726.9</v>
          </cell>
          <cell r="BY853">
            <v>390.3</v>
          </cell>
          <cell r="CD853">
            <v>385.44</v>
          </cell>
          <cell r="CE853">
            <v>371.91800000000001</v>
          </cell>
          <cell r="CF853">
            <v>477.34</v>
          </cell>
          <cell r="CG853">
            <v>1610</v>
          </cell>
          <cell r="CH853">
            <v>1340</v>
          </cell>
          <cell r="CI853">
            <v>123</v>
          </cell>
          <cell r="CJ853">
            <v>323</v>
          </cell>
          <cell r="CK853">
            <v>1621</v>
          </cell>
          <cell r="CM853">
            <v>303.07</v>
          </cell>
          <cell r="CN853">
            <v>24.67</v>
          </cell>
          <cell r="CO853">
            <v>15.95</v>
          </cell>
          <cell r="CQ853">
            <v>11</v>
          </cell>
          <cell r="CR853">
            <v>69</v>
          </cell>
          <cell r="CS853">
            <v>2741.5</v>
          </cell>
          <cell r="CU853">
            <v>1865</v>
          </cell>
          <cell r="CW853">
            <v>83.003048780487816</v>
          </cell>
          <cell r="CX853">
            <v>1094.8699999999999</v>
          </cell>
          <cell r="CZ853">
            <v>419.36</v>
          </cell>
          <cell r="DA853">
            <v>4205.2</v>
          </cell>
          <cell r="DB853">
            <v>13.15</v>
          </cell>
          <cell r="DC853">
            <v>571.95000000000005</v>
          </cell>
          <cell r="DD853">
            <v>133.55000000000001</v>
          </cell>
        </row>
        <row r="854">
          <cell r="A854">
            <v>39567</v>
          </cell>
          <cell r="C854">
            <v>28</v>
          </cell>
          <cell r="D854">
            <v>2.16</v>
          </cell>
          <cell r="E854">
            <v>5.29</v>
          </cell>
          <cell r="L854">
            <v>1811.51</v>
          </cell>
          <cell r="M854">
            <v>2426.1</v>
          </cell>
          <cell r="N854">
            <v>6089.4</v>
          </cell>
          <cell r="O854">
            <v>5626</v>
          </cell>
          <cell r="Q854">
            <v>1065</v>
          </cell>
          <cell r="R854">
            <v>591.25</v>
          </cell>
          <cell r="S854">
            <v>794</v>
          </cell>
          <cell r="T854">
            <v>1279.5</v>
          </cell>
          <cell r="U854">
            <v>13894.37</v>
          </cell>
          <cell r="V854">
            <v>25914.15</v>
          </cell>
          <cell r="W854">
            <v>8891.74</v>
          </cell>
          <cell r="X854">
            <v>107.45</v>
          </cell>
          <cell r="Y854">
            <v>1410</v>
          </cell>
          <cell r="Z854">
            <v>1800</v>
          </cell>
          <cell r="AA854">
            <v>17378.46</v>
          </cell>
          <cell r="AB854">
            <v>5672.6</v>
          </cell>
          <cell r="AC854">
            <v>63825.738299999997</v>
          </cell>
          <cell r="AE854">
            <v>143.35</v>
          </cell>
          <cell r="AF854">
            <v>900.4</v>
          </cell>
          <cell r="AG854">
            <v>9273</v>
          </cell>
          <cell r="AH854">
            <v>1180</v>
          </cell>
          <cell r="AI854">
            <v>1850</v>
          </cell>
          <cell r="AJ854">
            <v>644.4</v>
          </cell>
          <cell r="AL854">
            <v>1390.94</v>
          </cell>
          <cell r="AP854">
            <v>3523.4050000000002</v>
          </cell>
          <cell r="AV854">
            <v>59.5</v>
          </cell>
          <cell r="AZ854">
            <v>298.39999999999998</v>
          </cell>
          <cell r="BE854">
            <v>28495</v>
          </cell>
          <cell r="BG854">
            <v>128</v>
          </cell>
          <cell r="BH854">
            <v>725.18</v>
          </cell>
          <cell r="BY854">
            <v>391.04</v>
          </cell>
          <cell r="CD854">
            <v>383.11</v>
          </cell>
          <cell r="CE854">
            <v>369.94600000000003</v>
          </cell>
          <cell r="CF854">
            <v>475.91</v>
          </cell>
          <cell r="CG854">
            <v>1610</v>
          </cell>
          <cell r="CH854">
            <v>1340</v>
          </cell>
          <cell r="CI854">
            <v>123</v>
          </cell>
          <cell r="CJ854">
            <v>323</v>
          </cell>
          <cell r="CK854">
            <v>1599</v>
          </cell>
          <cell r="CM854">
            <v>293.92</v>
          </cell>
          <cell r="CN854">
            <v>24.28</v>
          </cell>
          <cell r="CO854">
            <v>15.95</v>
          </cell>
          <cell r="CQ854">
            <v>10.92</v>
          </cell>
          <cell r="CR854">
            <v>69</v>
          </cell>
          <cell r="CS854">
            <v>2712</v>
          </cell>
          <cell r="CU854">
            <v>1865</v>
          </cell>
          <cell r="CW854">
            <v>81.935975609756099</v>
          </cell>
          <cell r="CX854">
            <v>1090.8800000000001</v>
          </cell>
          <cell r="CZ854">
            <v>411.62</v>
          </cell>
          <cell r="DA854">
            <v>4142.1000000000004</v>
          </cell>
          <cell r="DB854">
            <v>13.13</v>
          </cell>
          <cell r="DC854">
            <v>571.95000000000005</v>
          </cell>
          <cell r="DD854">
            <v>134.35</v>
          </cell>
        </row>
        <row r="855">
          <cell r="A855">
            <v>39568</v>
          </cell>
          <cell r="C855">
            <v>28</v>
          </cell>
          <cell r="D855">
            <v>2.16</v>
          </cell>
          <cell r="E855">
            <v>5.21</v>
          </cell>
          <cell r="L855">
            <v>1825.47</v>
          </cell>
          <cell r="M855">
            <v>2412.8000000000002</v>
          </cell>
          <cell r="N855">
            <v>6087.3</v>
          </cell>
          <cell r="O855">
            <v>5645</v>
          </cell>
          <cell r="Q855">
            <v>1065</v>
          </cell>
          <cell r="R855">
            <v>600.25</v>
          </cell>
          <cell r="S855">
            <v>787.25</v>
          </cell>
          <cell r="T855">
            <v>1301.75</v>
          </cell>
          <cell r="U855">
            <v>13849.99</v>
          </cell>
          <cell r="V855">
            <v>25755.35</v>
          </cell>
          <cell r="W855">
            <v>8919.92</v>
          </cell>
          <cell r="X855">
            <v>105.55</v>
          </cell>
          <cell r="Y855">
            <v>1410</v>
          </cell>
          <cell r="Z855">
            <v>1800</v>
          </cell>
          <cell r="AA855">
            <v>17287.310000000001</v>
          </cell>
          <cell r="AB855">
            <v>5657</v>
          </cell>
          <cell r="AC855">
            <v>67868.460900000005</v>
          </cell>
          <cell r="AE855">
            <v>141.44999999999999</v>
          </cell>
          <cell r="AF855">
            <v>900.4</v>
          </cell>
          <cell r="AG855">
            <v>9356</v>
          </cell>
          <cell r="AH855">
            <v>1180</v>
          </cell>
          <cell r="AI855">
            <v>1850</v>
          </cell>
          <cell r="AJ855">
            <v>647.02</v>
          </cell>
          <cell r="AL855">
            <v>1385.59</v>
          </cell>
          <cell r="AP855">
            <v>3693.1060000000002</v>
          </cell>
          <cell r="AV855">
            <v>60.12</v>
          </cell>
          <cell r="AZ855">
            <v>297.8</v>
          </cell>
          <cell r="BE855">
            <v>28395</v>
          </cell>
          <cell r="BG855">
            <v>128</v>
          </cell>
          <cell r="BH855">
            <v>727.83</v>
          </cell>
          <cell r="BY855">
            <v>385.16</v>
          </cell>
          <cell r="CD855">
            <v>383.3</v>
          </cell>
          <cell r="CE855">
            <v>369.69400000000002</v>
          </cell>
          <cell r="CF855">
            <v>474.81</v>
          </cell>
          <cell r="CG855">
            <v>1610</v>
          </cell>
          <cell r="CH855">
            <v>1340</v>
          </cell>
          <cell r="CI855">
            <v>123</v>
          </cell>
          <cell r="CJ855">
            <v>323</v>
          </cell>
          <cell r="CK855">
            <v>1651</v>
          </cell>
          <cell r="CM855">
            <v>293.12</v>
          </cell>
          <cell r="CN855">
            <v>24.14</v>
          </cell>
          <cell r="CO855">
            <v>16.100000000000001</v>
          </cell>
          <cell r="CQ855">
            <v>10.83</v>
          </cell>
          <cell r="CR855">
            <v>65</v>
          </cell>
          <cell r="CS855">
            <v>2694.5</v>
          </cell>
          <cell r="CU855">
            <v>1865</v>
          </cell>
          <cell r="CW855">
            <v>81.326219512195124</v>
          </cell>
          <cell r="CX855">
            <v>1089.97</v>
          </cell>
          <cell r="CZ855">
            <v>409.27</v>
          </cell>
          <cell r="DA855">
            <v>4117</v>
          </cell>
          <cell r="DB855">
            <v>12.98</v>
          </cell>
          <cell r="DC855">
            <v>571.95000000000005</v>
          </cell>
          <cell r="DD855">
            <v>134.55000000000001</v>
          </cell>
        </row>
        <row r="856">
          <cell r="A856">
            <v>39569</v>
          </cell>
          <cell r="C856">
            <v>28</v>
          </cell>
          <cell r="D856">
            <v>2.16</v>
          </cell>
          <cell r="E856">
            <v>5.21</v>
          </cell>
          <cell r="L856">
            <v>1825.47</v>
          </cell>
          <cell r="M856">
            <v>2480.71</v>
          </cell>
          <cell r="N856">
            <v>6087.3</v>
          </cell>
          <cell r="O856">
            <v>5645</v>
          </cell>
          <cell r="Q856">
            <v>1065</v>
          </cell>
          <cell r="R856">
            <v>617.25</v>
          </cell>
          <cell r="S856">
            <v>790</v>
          </cell>
          <cell r="T856">
            <v>1271</v>
          </cell>
          <cell r="U856">
            <v>13766.86</v>
          </cell>
          <cell r="V856">
            <v>25755.35</v>
          </cell>
          <cell r="W856">
            <v>8919.92</v>
          </cell>
          <cell r="X856">
            <v>105.55</v>
          </cell>
          <cell r="Y856">
            <v>1410</v>
          </cell>
          <cell r="Z856">
            <v>1800</v>
          </cell>
          <cell r="AA856">
            <v>17287.310000000001</v>
          </cell>
          <cell r="AB856">
            <v>5652.7</v>
          </cell>
          <cell r="AC856">
            <v>67868.460900000005</v>
          </cell>
          <cell r="AE856">
            <v>141.44999999999999</v>
          </cell>
          <cell r="AF856">
            <v>900.4</v>
          </cell>
          <cell r="AG856">
            <v>9439</v>
          </cell>
          <cell r="AH856">
            <v>1180</v>
          </cell>
          <cell r="AI856">
            <v>1850</v>
          </cell>
          <cell r="AJ856">
            <v>647.02</v>
          </cell>
          <cell r="AL856">
            <v>1409.34</v>
          </cell>
          <cell r="AP856">
            <v>3693.1060000000002</v>
          </cell>
          <cell r="AV856">
            <v>60.979900000000001</v>
          </cell>
          <cell r="AZ856">
            <v>297.10000000000002</v>
          </cell>
          <cell r="BE856">
            <v>28205</v>
          </cell>
          <cell r="BG856">
            <v>128</v>
          </cell>
          <cell r="BH856">
            <v>724.88</v>
          </cell>
          <cell r="BY856">
            <v>400.29</v>
          </cell>
          <cell r="CD856">
            <v>384.91</v>
          </cell>
          <cell r="CE856">
            <v>371.39499999999998</v>
          </cell>
          <cell r="CF856">
            <v>474.88</v>
          </cell>
          <cell r="CG856">
            <v>1610</v>
          </cell>
          <cell r="CH856">
            <v>1340</v>
          </cell>
          <cell r="CI856">
            <v>123</v>
          </cell>
          <cell r="CJ856">
            <v>323</v>
          </cell>
          <cell r="CK856">
            <v>1678</v>
          </cell>
          <cell r="CM856">
            <v>287.82</v>
          </cell>
          <cell r="CN856">
            <v>23.92</v>
          </cell>
          <cell r="CO856">
            <v>16.05</v>
          </cell>
          <cell r="CQ856">
            <v>10.68</v>
          </cell>
          <cell r="CR856">
            <v>65</v>
          </cell>
          <cell r="CS856">
            <v>2559</v>
          </cell>
          <cell r="CU856">
            <v>1865</v>
          </cell>
          <cell r="CW856">
            <v>81.326219512195124</v>
          </cell>
          <cell r="CX856">
            <v>1081.92</v>
          </cell>
          <cell r="CZ856">
            <v>400.1</v>
          </cell>
          <cell r="DA856">
            <v>3993.4</v>
          </cell>
          <cell r="DB856">
            <v>12.45</v>
          </cell>
          <cell r="DC856">
            <v>415.5</v>
          </cell>
          <cell r="DD856">
            <v>129.25</v>
          </cell>
        </row>
        <row r="857">
          <cell r="A857">
            <v>39570</v>
          </cell>
          <cell r="C857">
            <v>28</v>
          </cell>
          <cell r="D857">
            <v>2.16</v>
          </cell>
          <cell r="E857">
            <v>5.24</v>
          </cell>
          <cell r="L857">
            <v>1848.27</v>
          </cell>
          <cell r="M857">
            <v>2476.9899999999998</v>
          </cell>
          <cell r="N857">
            <v>6215.5</v>
          </cell>
          <cell r="O857">
            <v>5693</v>
          </cell>
          <cell r="Q857">
            <v>1065</v>
          </cell>
          <cell r="R857">
            <v>613.5</v>
          </cell>
          <cell r="S857">
            <v>809</v>
          </cell>
          <cell r="T857">
            <v>1304.5</v>
          </cell>
          <cell r="U857">
            <v>14049.26</v>
          </cell>
          <cell r="V857">
            <v>26241.02</v>
          </cell>
          <cell r="W857">
            <v>8963.6299999999992</v>
          </cell>
          <cell r="X857">
            <v>102.75</v>
          </cell>
          <cell r="Y857">
            <v>1440</v>
          </cell>
          <cell r="Z857">
            <v>1800</v>
          </cell>
          <cell r="AA857">
            <v>17600.12</v>
          </cell>
          <cell r="AB857">
            <v>5760.4</v>
          </cell>
          <cell r="AC857">
            <v>69366.390599999999</v>
          </cell>
          <cell r="AE857">
            <v>137.85</v>
          </cell>
          <cell r="AF857">
            <v>900.4</v>
          </cell>
          <cell r="AG857">
            <v>9581</v>
          </cell>
          <cell r="AH857">
            <v>1190</v>
          </cell>
          <cell r="AI857">
            <v>1860</v>
          </cell>
          <cell r="AJ857">
            <v>655.8</v>
          </cell>
          <cell r="AL857">
            <v>1413.9</v>
          </cell>
          <cell r="AP857">
            <v>3693.1060000000002</v>
          </cell>
          <cell r="AV857">
            <v>61.35</v>
          </cell>
          <cell r="AZ857">
            <v>300</v>
          </cell>
          <cell r="BE857">
            <v>28250</v>
          </cell>
          <cell r="BG857">
            <v>129</v>
          </cell>
          <cell r="BH857">
            <v>733.47</v>
          </cell>
          <cell r="BY857">
            <v>399.85</v>
          </cell>
          <cell r="CD857">
            <v>388.66</v>
          </cell>
          <cell r="CE857">
            <v>374.89</v>
          </cell>
          <cell r="CF857">
            <v>480.33</v>
          </cell>
          <cell r="CG857">
            <v>1620</v>
          </cell>
          <cell r="CH857">
            <v>1400</v>
          </cell>
          <cell r="CI857">
            <v>123</v>
          </cell>
          <cell r="CJ857">
            <v>323</v>
          </cell>
          <cell r="CK857">
            <v>1701</v>
          </cell>
          <cell r="CM857">
            <v>296.64</v>
          </cell>
          <cell r="CN857">
            <v>24.42</v>
          </cell>
          <cell r="CO857">
            <v>16.45</v>
          </cell>
          <cell r="CQ857">
            <v>10.37</v>
          </cell>
          <cell r="CR857">
            <v>65</v>
          </cell>
          <cell r="CS857">
            <v>2569</v>
          </cell>
          <cell r="CU857">
            <v>1955</v>
          </cell>
          <cell r="CW857">
            <v>80.716463414634148</v>
          </cell>
          <cell r="CX857">
            <v>1079.47</v>
          </cell>
          <cell r="CZ857">
            <v>408.13</v>
          </cell>
          <cell r="DA857">
            <v>4075</v>
          </cell>
          <cell r="DB857">
            <v>12.62</v>
          </cell>
          <cell r="DC857">
            <v>420</v>
          </cell>
          <cell r="DD857">
            <v>129.4</v>
          </cell>
        </row>
        <row r="858">
          <cell r="A858">
            <v>39571</v>
          </cell>
          <cell r="C858">
            <v>28</v>
          </cell>
          <cell r="D858">
            <v>2.16</v>
          </cell>
          <cell r="E858">
            <v>5.24</v>
          </cell>
          <cell r="L858">
            <v>1848.27</v>
          </cell>
          <cell r="M858">
            <v>2476.9899999999998</v>
          </cell>
          <cell r="N858">
            <v>6215.5</v>
          </cell>
          <cell r="O858">
            <v>5693</v>
          </cell>
          <cell r="Q858">
            <v>1065</v>
          </cell>
          <cell r="R858">
            <v>613.5</v>
          </cell>
          <cell r="S858">
            <v>809</v>
          </cell>
          <cell r="T858">
            <v>1304.5</v>
          </cell>
          <cell r="U858">
            <v>14049.26</v>
          </cell>
          <cell r="V858">
            <v>26241.02</v>
          </cell>
          <cell r="W858">
            <v>8963.6299999999992</v>
          </cell>
          <cell r="X858">
            <v>102.75</v>
          </cell>
          <cell r="Y858">
            <v>1440</v>
          </cell>
          <cell r="Z858">
            <v>1800</v>
          </cell>
          <cell r="AA858">
            <v>17600.12</v>
          </cell>
          <cell r="AB858">
            <v>5760.4</v>
          </cell>
          <cell r="AC858">
            <v>69366.390599999999</v>
          </cell>
          <cell r="AE858">
            <v>137.85</v>
          </cell>
          <cell r="AF858">
            <v>900.4</v>
          </cell>
          <cell r="AG858">
            <v>9581</v>
          </cell>
          <cell r="AH858">
            <v>1190</v>
          </cell>
          <cell r="AI858">
            <v>1860</v>
          </cell>
          <cell r="AJ858">
            <v>655.8</v>
          </cell>
          <cell r="AL858">
            <v>1413.9</v>
          </cell>
          <cell r="AP858">
            <v>3693.1060000000002</v>
          </cell>
          <cell r="AV858">
            <v>61.35</v>
          </cell>
          <cell r="AZ858">
            <v>300</v>
          </cell>
          <cell r="BE858">
            <v>28250</v>
          </cell>
          <cell r="BG858">
            <v>129</v>
          </cell>
          <cell r="BH858">
            <v>733.47</v>
          </cell>
          <cell r="BY858">
            <v>399.85</v>
          </cell>
          <cell r="CD858">
            <v>388.66</v>
          </cell>
          <cell r="CE858">
            <v>374.89</v>
          </cell>
          <cell r="CF858">
            <v>480.33</v>
          </cell>
          <cell r="CG858">
            <v>1620</v>
          </cell>
          <cell r="CH858">
            <v>1400</v>
          </cell>
          <cell r="CI858">
            <v>123</v>
          </cell>
          <cell r="CJ858">
            <v>323</v>
          </cell>
          <cell r="CK858">
            <v>1701</v>
          </cell>
          <cell r="CM858">
            <v>296.64</v>
          </cell>
          <cell r="CN858">
            <v>24.42</v>
          </cell>
          <cell r="CO858">
            <v>16.45</v>
          </cell>
          <cell r="CQ858">
            <v>10.37</v>
          </cell>
          <cell r="CR858">
            <v>65</v>
          </cell>
          <cell r="CS858">
            <v>2569</v>
          </cell>
          <cell r="CU858">
            <v>1955</v>
          </cell>
          <cell r="CW858">
            <v>80.716463414634148</v>
          </cell>
          <cell r="CX858">
            <v>1079.47</v>
          </cell>
          <cell r="CZ858">
            <v>408.13</v>
          </cell>
          <cell r="DA858">
            <v>4075</v>
          </cell>
          <cell r="DB858">
            <v>12.62</v>
          </cell>
          <cell r="DC858">
            <v>420</v>
          </cell>
          <cell r="DD858">
            <v>129.4</v>
          </cell>
        </row>
        <row r="859">
          <cell r="A859">
            <v>39572</v>
          </cell>
          <cell r="C859">
            <v>28</v>
          </cell>
          <cell r="D859">
            <v>2.16</v>
          </cell>
          <cell r="E859">
            <v>5.24</v>
          </cell>
          <cell r="L859">
            <v>1848.27</v>
          </cell>
          <cell r="M859">
            <v>2476.9899999999998</v>
          </cell>
          <cell r="N859">
            <v>6215.5</v>
          </cell>
          <cell r="O859">
            <v>5693</v>
          </cell>
          <cell r="Q859">
            <v>1065</v>
          </cell>
          <cell r="R859">
            <v>613.5</v>
          </cell>
          <cell r="S859">
            <v>809</v>
          </cell>
          <cell r="T859">
            <v>1304.5</v>
          </cell>
          <cell r="U859">
            <v>14049.26</v>
          </cell>
          <cell r="V859">
            <v>26241.02</v>
          </cell>
          <cell r="W859">
            <v>8963.6299999999992</v>
          </cell>
          <cell r="X859">
            <v>102.75</v>
          </cell>
          <cell r="Y859">
            <v>1440</v>
          </cell>
          <cell r="Z859">
            <v>1800</v>
          </cell>
          <cell r="AA859">
            <v>17600.12</v>
          </cell>
          <cell r="AB859">
            <v>5760.4</v>
          </cell>
          <cell r="AC859">
            <v>69366.390599999999</v>
          </cell>
          <cell r="AE859">
            <v>137.85</v>
          </cell>
          <cell r="AF859">
            <v>900.4</v>
          </cell>
          <cell r="AG859">
            <v>9581</v>
          </cell>
          <cell r="AH859">
            <v>1190</v>
          </cell>
          <cell r="AI859">
            <v>1860</v>
          </cell>
          <cell r="AJ859">
            <v>655.8</v>
          </cell>
          <cell r="AL859">
            <v>1413.9</v>
          </cell>
          <cell r="AP859">
            <v>3693.1060000000002</v>
          </cell>
          <cell r="AV859">
            <v>61.35</v>
          </cell>
          <cell r="AZ859">
            <v>300</v>
          </cell>
          <cell r="BE859">
            <v>28250</v>
          </cell>
          <cell r="BG859">
            <v>129</v>
          </cell>
          <cell r="BH859">
            <v>733.47</v>
          </cell>
          <cell r="BY859">
            <v>399.85</v>
          </cell>
          <cell r="CD859">
            <v>388.66</v>
          </cell>
          <cell r="CE859">
            <v>374.89</v>
          </cell>
          <cell r="CF859">
            <v>480.33</v>
          </cell>
          <cell r="CG859">
            <v>1620</v>
          </cell>
          <cell r="CH859">
            <v>1400</v>
          </cell>
          <cell r="CI859">
            <v>123</v>
          </cell>
          <cell r="CJ859">
            <v>323</v>
          </cell>
          <cell r="CK859">
            <v>1701</v>
          </cell>
          <cell r="CM859">
            <v>296.64</v>
          </cell>
          <cell r="CN859">
            <v>24.42</v>
          </cell>
          <cell r="CO859">
            <v>16.45</v>
          </cell>
          <cell r="CQ859">
            <v>10.37</v>
          </cell>
          <cell r="CR859">
            <v>65</v>
          </cell>
          <cell r="CS859">
            <v>2569</v>
          </cell>
          <cell r="CU859">
            <v>1955</v>
          </cell>
          <cell r="CW859">
            <v>80.716463414634148</v>
          </cell>
          <cell r="CX859">
            <v>1079.47</v>
          </cell>
          <cell r="CZ859">
            <v>408.13</v>
          </cell>
          <cell r="DA859">
            <v>4075</v>
          </cell>
          <cell r="DB859">
            <v>12.62</v>
          </cell>
          <cell r="DC859">
            <v>420</v>
          </cell>
          <cell r="DD859">
            <v>129.4</v>
          </cell>
        </row>
        <row r="860">
          <cell r="A860">
            <v>39573</v>
          </cell>
          <cell r="C860">
            <v>28</v>
          </cell>
          <cell r="D860">
            <v>2.16</v>
          </cell>
          <cell r="E860">
            <v>5.25</v>
          </cell>
          <cell r="L860">
            <v>1848.27</v>
          </cell>
          <cell r="M860">
            <v>2464.12</v>
          </cell>
          <cell r="N860">
            <v>6215.5</v>
          </cell>
          <cell r="O860">
            <v>5757</v>
          </cell>
          <cell r="Q860">
            <v>1065</v>
          </cell>
          <cell r="R860">
            <v>594</v>
          </cell>
          <cell r="S860">
            <v>805.5</v>
          </cell>
          <cell r="T860">
            <v>1286</v>
          </cell>
          <cell r="U860">
            <v>14049.26</v>
          </cell>
          <cell r="V860">
            <v>26183.95</v>
          </cell>
          <cell r="W860">
            <v>8837.07</v>
          </cell>
          <cell r="X860">
            <v>106.65</v>
          </cell>
          <cell r="Y860">
            <v>1440</v>
          </cell>
          <cell r="Z860">
            <v>1800</v>
          </cell>
          <cell r="AA860">
            <v>17490.900000000001</v>
          </cell>
          <cell r="AB860">
            <v>5797.7</v>
          </cell>
          <cell r="AC860">
            <v>70174.882800000007</v>
          </cell>
          <cell r="AE860">
            <v>140.75</v>
          </cell>
          <cell r="AF860">
            <v>900.4</v>
          </cell>
          <cell r="AG860">
            <v>9581</v>
          </cell>
          <cell r="AH860">
            <v>1190</v>
          </cell>
          <cell r="AI860">
            <v>1860</v>
          </cell>
          <cell r="AJ860">
            <v>655.8</v>
          </cell>
          <cell r="AL860">
            <v>1407.49</v>
          </cell>
          <cell r="AP860">
            <v>3761.009</v>
          </cell>
          <cell r="AV860">
            <v>61.06</v>
          </cell>
          <cell r="AZ860">
            <v>300</v>
          </cell>
          <cell r="BE860">
            <v>28250</v>
          </cell>
          <cell r="BG860">
            <v>129</v>
          </cell>
          <cell r="BH860">
            <v>749.46</v>
          </cell>
          <cell r="BY860">
            <v>396.86</v>
          </cell>
          <cell r="CD860">
            <v>388.64</v>
          </cell>
          <cell r="CE860">
            <v>374.77800000000002</v>
          </cell>
          <cell r="CF860">
            <v>478.61</v>
          </cell>
          <cell r="CG860">
            <v>1620</v>
          </cell>
          <cell r="CH860">
            <v>1400</v>
          </cell>
          <cell r="CI860">
            <v>123</v>
          </cell>
          <cell r="CJ860">
            <v>323</v>
          </cell>
          <cell r="CK860">
            <v>1701</v>
          </cell>
          <cell r="CM860">
            <v>305.29000000000002</v>
          </cell>
          <cell r="CN860">
            <v>25</v>
          </cell>
          <cell r="CO860">
            <v>16.399999999999999</v>
          </cell>
          <cell r="CQ860">
            <v>10.76</v>
          </cell>
          <cell r="CR860">
            <v>65</v>
          </cell>
          <cell r="CS860">
            <v>2569</v>
          </cell>
          <cell r="CU860">
            <v>1955</v>
          </cell>
          <cell r="CW860">
            <v>82.850609756097569</v>
          </cell>
          <cell r="CX860">
            <v>1084.3699999999999</v>
          </cell>
          <cell r="CZ860">
            <v>413.86</v>
          </cell>
          <cell r="DA860">
            <v>4075</v>
          </cell>
          <cell r="DB860">
            <v>12.59</v>
          </cell>
          <cell r="DC860">
            <v>424.45</v>
          </cell>
          <cell r="DD860">
            <v>132.6</v>
          </cell>
        </row>
        <row r="861">
          <cell r="A861">
            <v>39574</v>
          </cell>
          <cell r="C861">
            <v>28</v>
          </cell>
          <cell r="D861">
            <v>2.2200000000000002</v>
          </cell>
          <cell r="E861">
            <v>5.21</v>
          </cell>
          <cell r="L861">
            <v>1859.06</v>
          </cell>
          <cell r="M861">
            <v>2483.31</v>
          </cell>
          <cell r="N861">
            <v>6215.2</v>
          </cell>
          <cell r="O861">
            <v>5774</v>
          </cell>
          <cell r="Q861">
            <v>1065</v>
          </cell>
          <cell r="R861">
            <v>606.25</v>
          </cell>
          <cell r="S861">
            <v>818</v>
          </cell>
          <cell r="T861">
            <v>1277</v>
          </cell>
          <cell r="U861">
            <v>14049.26</v>
          </cell>
          <cell r="V861">
            <v>26262.13</v>
          </cell>
          <cell r="W861">
            <v>8857.3700000000008</v>
          </cell>
          <cell r="X861">
            <v>109.45</v>
          </cell>
          <cell r="Y861">
            <v>1440</v>
          </cell>
          <cell r="Z861">
            <v>1800</v>
          </cell>
          <cell r="AA861">
            <v>17373.009999999998</v>
          </cell>
          <cell r="AB861">
            <v>5777.9</v>
          </cell>
          <cell r="AC861">
            <v>70195.273400000005</v>
          </cell>
          <cell r="AE861">
            <v>143.94999999999999</v>
          </cell>
          <cell r="AF861">
            <v>899.82</v>
          </cell>
          <cell r="AG861">
            <v>9855</v>
          </cell>
          <cell r="AH861">
            <v>1190</v>
          </cell>
          <cell r="AI861">
            <v>1860</v>
          </cell>
          <cell r="AJ861">
            <v>652.91</v>
          </cell>
          <cell r="AL861">
            <v>1418.26</v>
          </cell>
          <cell r="AP861">
            <v>3733.5030000000002</v>
          </cell>
          <cell r="AV861">
            <v>61.18</v>
          </cell>
          <cell r="AZ861">
            <v>300</v>
          </cell>
          <cell r="BE861">
            <v>28730</v>
          </cell>
          <cell r="BG861">
            <v>129</v>
          </cell>
          <cell r="BH861">
            <v>762.12</v>
          </cell>
          <cell r="BY861">
            <v>403.01</v>
          </cell>
          <cell r="CD861">
            <v>390.54</v>
          </cell>
          <cell r="CE861">
            <v>376.62299999999999</v>
          </cell>
          <cell r="CF861">
            <v>478.66</v>
          </cell>
          <cell r="CG861">
            <v>1620</v>
          </cell>
          <cell r="CH861">
            <v>1400</v>
          </cell>
          <cell r="CI861">
            <v>123</v>
          </cell>
          <cell r="CJ861">
            <v>323</v>
          </cell>
          <cell r="CK861">
            <v>1672</v>
          </cell>
          <cell r="CM861">
            <v>310.55</v>
          </cell>
          <cell r="CN861">
            <v>25.25</v>
          </cell>
          <cell r="CO861">
            <v>16.8</v>
          </cell>
          <cell r="CQ861">
            <v>11.1</v>
          </cell>
          <cell r="CR861">
            <v>65</v>
          </cell>
          <cell r="CS861">
            <v>2537</v>
          </cell>
          <cell r="CU861">
            <v>1955</v>
          </cell>
          <cell r="CW861">
            <v>83.993902439024396</v>
          </cell>
          <cell r="CX861">
            <v>1087.24</v>
          </cell>
          <cell r="CZ861">
            <v>418.54</v>
          </cell>
          <cell r="DA861">
            <v>4140.6000000000004</v>
          </cell>
          <cell r="DB861">
            <v>13.01</v>
          </cell>
          <cell r="DC861">
            <v>431.4</v>
          </cell>
          <cell r="DD861">
            <v>133.6</v>
          </cell>
        </row>
        <row r="862">
          <cell r="A862">
            <v>39575</v>
          </cell>
          <cell r="C862">
            <v>28</v>
          </cell>
          <cell r="D862">
            <v>2.2599999999999998</v>
          </cell>
          <cell r="E862">
            <v>5.16</v>
          </cell>
          <cell r="L862">
            <v>1854.01</v>
          </cell>
          <cell r="M862">
            <v>2438.4899999999998</v>
          </cell>
          <cell r="N862">
            <v>6261</v>
          </cell>
          <cell r="O862">
            <v>5776</v>
          </cell>
          <cell r="Q862">
            <v>1065</v>
          </cell>
          <cell r="R862">
            <v>613</v>
          </cell>
          <cell r="S862">
            <v>807.5</v>
          </cell>
          <cell r="T862">
            <v>1309</v>
          </cell>
          <cell r="U862">
            <v>14102.48</v>
          </cell>
          <cell r="V862">
            <v>25610.21</v>
          </cell>
          <cell r="W862">
            <v>8926.34</v>
          </cell>
          <cell r="X862">
            <v>109.45</v>
          </cell>
          <cell r="Y862">
            <v>1440</v>
          </cell>
          <cell r="Z862">
            <v>1800</v>
          </cell>
          <cell r="AA862">
            <v>17339.310000000001</v>
          </cell>
          <cell r="AB862">
            <v>5757.8</v>
          </cell>
          <cell r="AC862">
            <v>69017.656300000002</v>
          </cell>
          <cell r="AE862">
            <v>143.94999999999999</v>
          </cell>
          <cell r="AF862">
            <v>899.82</v>
          </cell>
          <cell r="AG862">
            <v>10104</v>
          </cell>
          <cell r="AH862">
            <v>1190</v>
          </cell>
          <cell r="AI862">
            <v>1860</v>
          </cell>
          <cell r="AJ862">
            <v>645.62</v>
          </cell>
          <cell r="AL862">
            <v>1392.57</v>
          </cell>
          <cell r="AP862">
            <v>3579.1469999999999</v>
          </cell>
          <cell r="AV862">
            <v>58.78</v>
          </cell>
          <cell r="AZ862">
            <v>307</v>
          </cell>
          <cell r="BE862">
            <v>28370</v>
          </cell>
          <cell r="BG862">
            <v>129</v>
          </cell>
          <cell r="BH862">
            <v>758.08</v>
          </cell>
          <cell r="BY862">
            <v>397.51</v>
          </cell>
          <cell r="CD862">
            <v>387.05</v>
          </cell>
          <cell r="CE862">
            <v>373.19400000000002</v>
          </cell>
          <cell r="CF862">
            <v>472.26</v>
          </cell>
          <cell r="CG862">
            <v>1620</v>
          </cell>
          <cell r="CH862">
            <v>1400</v>
          </cell>
          <cell r="CI862">
            <v>123</v>
          </cell>
          <cell r="CJ862">
            <v>323</v>
          </cell>
          <cell r="CK862">
            <v>1713</v>
          </cell>
          <cell r="CM862">
            <v>311.82</v>
          </cell>
          <cell r="CN862">
            <v>25.25</v>
          </cell>
          <cell r="CO862">
            <v>16.75</v>
          </cell>
          <cell r="CQ862">
            <v>11.08</v>
          </cell>
          <cell r="CR862">
            <v>65</v>
          </cell>
          <cell r="CS862">
            <v>2402.5</v>
          </cell>
          <cell r="CU862">
            <v>1955</v>
          </cell>
          <cell r="CW862">
            <v>85.213414634146346</v>
          </cell>
          <cell r="CX862">
            <v>1077.1600000000001</v>
          </cell>
          <cell r="CZ862">
            <v>420.18</v>
          </cell>
          <cell r="DA862">
            <v>4081.7</v>
          </cell>
          <cell r="DB862">
            <v>12.87</v>
          </cell>
          <cell r="DC862">
            <v>425.75</v>
          </cell>
          <cell r="DD862">
            <v>131.1</v>
          </cell>
        </row>
        <row r="863">
          <cell r="A863">
            <v>39576</v>
          </cell>
          <cell r="C863">
            <v>28</v>
          </cell>
          <cell r="D863">
            <v>2.29</v>
          </cell>
          <cell r="E863">
            <v>5.12</v>
          </cell>
          <cell r="L863">
            <v>1848</v>
          </cell>
          <cell r="M863">
            <v>2451.2399999999998</v>
          </cell>
          <cell r="N863">
            <v>6270.8</v>
          </cell>
          <cell r="O863">
            <v>5789</v>
          </cell>
          <cell r="Q863">
            <v>1137.5</v>
          </cell>
          <cell r="R863">
            <v>630.25</v>
          </cell>
          <cell r="S863">
            <v>822</v>
          </cell>
          <cell r="T863">
            <v>1310</v>
          </cell>
          <cell r="U863">
            <v>13943.26</v>
          </cell>
          <cell r="V863">
            <v>25449.79</v>
          </cell>
          <cell r="W863">
            <v>8866.6200000000008</v>
          </cell>
          <cell r="X863">
            <v>109.45</v>
          </cell>
          <cell r="Y863">
            <v>1440</v>
          </cell>
          <cell r="Z863">
            <v>1800</v>
          </cell>
          <cell r="AA863">
            <v>17080.650000000001</v>
          </cell>
          <cell r="AB863">
            <v>5800.9</v>
          </cell>
          <cell r="AC863">
            <v>69722.25</v>
          </cell>
          <cell r="AE863">
            <v>148.85</v>
          </cell>
          <cell r="AF863">
            <v>899.82</v>
          </cell>
          <cell r="AG863">
            <v>10221</v>
          </cell>
          <cell r="AH863">
            <v>1190</v>
          </cell>
          <cell r="AI863">
            <v>1860</v>
          </cell>
          <cell r="AJ863">
            <v>649.29</v>
          </cell>
          <cell r="AL863">
            <v>1397.68</v>
          </cell>
          <cell r="AP863">
            <v>3656.8389999999999</v>
          </cell>
          <cell r="AV863">
            <v>58.7</v>
          </cell>
          <cell r="AZ863">
            <v>305.7</v>
          </cell>
          <cell r="BE863">
            <v>27275</v>
          </cell>
          <cell r="BG863">
            <v>129</v>
          </cell>
          <cell r="BH863">
            <v>784.48</v>
          </cell>
          <cell r="BY863">
            <v>399.76</v>
          </cell>
          <cell r="CD863">
            <v>387.65</v>
          </cell>
          <cell r="CE863">
            <v>374.23500000000001</v>
          </cell>
          <cell r="CF863">
            <v>462.83</v>
          </cell>
          <cell r="CG863">
            <v>1620</v>
          </cell>
          <cell r="CH863">
            <v>1400</v>
          </cell>
          <cell r="CI863">
            <v>123</v>
          </cell>
          <cell r="CJ863">
            <v>323</v>
          </cell>
          <cell r="CK863">
            <v>1793</v>
          </cell>
          <cell r="CM863">
            <v>313.77999999999997</v>
          </cell>
          <cell r="CN863">
            <v>25.06</v>
          </cell>
          <cell r="CO863">
            <v>16.600000000000001</v>
          </cell>
          <cell r="CQ863">
            <v>11.31</v>
          </cell>
          <cell r="CR863">
            <v>65</v>
          </cell>
          <cell r="CS863">
            <v>2304</v>
          </cell>
          <cell r="CU863">
            <v>1955</v>
          </cell>
          <cell r="CW863">
            <v>85.213414634146346</v>
          </cell>
          <cell r="CX863">
            <v>1079.47</v>
          </cell>
          <cell r="CZ863">
            <v>422.14</v>
          </cell>
          <cell r="DA863">
            <v>4010.2</v>
          </cell>
          <cell r="DB863">
            <v>12.68</v>
          </cell>
          <cell r="DC863">
            <v>435.9</v>
          </cell>
          <cell r="DD863">
            <v>134.55000000000001</v>
          </cell>
        </row>
        <row r="864">
          <cell r="A864">
            <v>39577</v>
          </cell>
          <cell r="C864">
            <v>28</v>
          </cell>
          <cell r="D864">
            <v>2.29</v>
          </cell>
          <cell r="E864">
            <v>5.08</v>
          </cell>
          <cell r="L864">
            <v>1823.7</v>
          </cell>
          <cell r="M864">
            <v>2445.52</v>
          </cell>
          <cell r="N864">
            <v>6204.7</v>
          </cell>
          <cell r="O864">
            <v>5799</v>
          </cell>
          <cell r="Q864">
            <v>1137.5</v>
          </cell>
          <cell r="R864">
            <v>629.25</v>
          </cell>
          <cell r="S864">
            <v>804.5</v>
          </cell>
          <cell r="T864">
            <v>1358</v>
          </cell>
          <cell r="U864">
            <v>13655.34</v>
          </cell>
          <cell r="V864">
            <v>25063.17</v>
          </cell>
          <cell r="W864">
            <v>8792.39</v>
          </cell>
          <cell r="X864">
            <v>110</v>
          </cell>
          <cell r="Y864">
            <v>1460</v>
          </cell>
          <cell r="Z864">
            <v>1800</v>
          </cell>
          <cell r="AA864">
            <v>16737.07</v>
          </cell>
          <cell r="AB864">
            <v>5844.4</v>
          </cell>
          <cell r="AC864">
            <v>69645.703099999999</v>
          </cell>
          <cell r="AE864">
            <v>154.15</v>
          </cell>
          <cell r="AF864">
            <v>899.82</v>
          </cell>
          <cell r="AG864">
            <v>10237</v>
          </cell>
          <cell r="AH864">
            <v>1190</v>
          </cell>
          <cell r="AI864">
            <v>1875</v>
          </cell>
          <cell r="AJ864">
            <v>653.29</v>
          </cell>
          <cell r="AL864">
            <v>1388.28</v>
          </cell>
          <cell r="AP864">
            <v>3613.4940000000001</v>
          </cell>
          <cell r="AV864">
            <v>57.25</v>
          </cell>
          <cell r="AZ864">
            <v>309</v>
          </cell>
          <cell r="BE864">
            <v>26495</v>
          </cell>
          <cell r="BG864">
            <v>132.5</v>
          </cell>
          <cell r="BH864">
            <v>785.45</v>
          </cell>
          <cell r="BY864">
            <v>398.5</v>
          </cell>
          <cell r="CD864">
            <v>384.25</v>
          </cell>
          <cell r="CE864">
            <v>370.846</v>
          </cell>
          <cell r="CF864">
            <v>458.38</v>
          </cell>
          <cell r="CG864">
            <v>1640</v>
          </cell>
          <cell r="CH864">
            <v>1440</v>
          </cell>
          <cell r="CI864">
            <v>123</v>
          </cell>
          <cell r="CJ864">
            <v>323</v>
          </cell>
          <cell r="CK864">
            <v>1818</v>
          </cell>
          <cell r="CM864">
            <v>320.12</v>
          </cell>
          <cell r="CN864">
            <v>25.2</v>
          </cell>
          <cell r="CO864">
            <v>16.899999999999999</v>
          </cell>
          <cell r="CQ864">
            <v>11.28</v>
          </cell>
          <cell r="CR864">
            <v>65</v>
          </cell>
          <cell r="CS864">
            <v>2174</v>
          </cell>
          <cell r="CU864">
            <v>2005</v>
          </cell>
          <cell r="CW864">
            <v>86.051829268292693</v>
          </cell>
          <cell r="CX864">
            <v>1082.55</v>
          </cell>
          <cell r="CZ864">
            <v>427.48</v>
          </cell>
          <cell r="DA864">
            <v>3937.6</v>
          </cell>
          <cell r="DB864">
            <v>12.67</v>
          </cell>
          <cell r="DC864">
            <v>443.85</v>
          </cell>
          <cell r="DD864">
            <v>136.55000000000001</v>
          </cell>
        </row>
        <row r="865">
          <cell r="A865">
            <v>39578</v>
          </cell>
          <cell r="C865">
            <v>28</v>
          </cell>
          <cell r="D865">
            <v>2.29</v>
          </cell>
          <cell r="E865">
            <v>5.08</v>
          </cell>
          <cell r="L865">
            <v>1823.7</v>
          </cell>
          <cell r="M865">
            <v>2445.52</v>
          </cell>
          <cell r="N865">
            <v>6204.7</v>
          </cell>
          <cell r="O865">
            <v>5799</v>
          </cell>
          <cell r="Q865">
            <v>1137.5</v>
          </cell>
          <cell r="R865">
            <v>629.25</v>
          </cell>
          <cell r="S865">
            <v>804.5</v>
          </cell>
          <cell r="T865">
            <v>1358</v>
          </cell>
          <cell r="U865">
            <v>13655.34</v>
          </cell>
          <cell r="V865">
            <v>25063.17</v>
          </cell>
          <cell r="W865">
            <v>8792.39</v>
          </cell>
          <cell r="X865">
            <v>110</v>
          </cell>
          <cell r="Y865">
            <v>1460</v>
          </cell>
          <cell r="Z865">
            <v>1800</v>
          </cell>
          <cell r="AA865">
            <v>16737.07</v>
          </cell>
          <cell r="AB865">
            <v>5844.4</v>
          </cell>
          <cell r="AC865">
            <v>69645.703099999999</v>
          </cell>
          <cell r="AE865">
            <v>154.15</v>
          </cell>
          <cell r="AF865">
            <v>899.82</v>
          </cell>
          <cell r="AG865">
            <v>10237</v>
          </cell>
          <cell r="AH865">
            <v>1190</v>
          </cell>
          <cell r="AI865">
            <v>1875</v>
          </cell>
          <cell r="AJ865">
            <v>653.29</v>
          </cell>
          <cell r="AL865">
            <v>1388.28</v>
          </cell>
          <cell r="AP865">
            <v>3613.4940000000001</v>
          </cell>
          <cell r="AV865">
            <v>57.25</v>
          </cell>
          <cell r="AZ865">
            <v>309</v>
          </cell>
          <cell r="BE865">
            <v>26495</v>
          </cell>
          <cell r="BG865">
            <v>132.5</v>
          </cell>
          <cell r="BH865">
            <v>785.45</v>
          </cell>
          <cell r="BY865">
            <v>398.5</v>
          </cell>
          <cell r="CD865">
            <v>384.25</v>
          </cell>
          <cell r="CE865">
            <v>370.846</v>
          </cell>
          <cell r="CF865">
            <v>458.38</v>
          </cell>
          <cell r="CG865">
            <v>1640</v>
          </cell>
          <cell r="CH865">
            <v>1440</v>
          </cell>
          <cell r="CI865">
            <v>123</v>
          </cell>
          <cell r="CJ865">
            <v>323</v>
          </cell>
          <cell r="CK865">
            <v>1818</v>
          </cell>
          <cell r="CM865">
            <v>320.12</v>
          </cell>
          <cell r="CN865">
            <v>25.2</v>
          </cell>
          <cell r="CO865">
            <v>16.899999999999999</v>
          </cell>
          <cell r="CQ865">
            <v>11.28</v>
          </cell>
          <cell r="CR865">
            <v>65</v>
          </cell>
          <cell r="CS865">
            <v>2174</v>
          </cell>
          <cell r="CU865">
            <v>2005</v>
          </cell>
          <cell r="CW865">
            <v>86.051829268292693</v>
          </cell>
          <cell r="CX865">
            <v>1082.55</v>
          </cell>
          <cell r="CZ865">
            <v>427.48</v>
          </cell>
          <cell r="DA865">
            <v>3937.6</v>
          </cell>
          <cell r="DB865">
            <v>12.67</v>
          </cell>
          <cell r="DC865">
            <v>443.85</v>
          </cell>
          <cell r="DD865">
            <v>136.55000000000001</v>
          </cell>
        </row>
        <row r="866">
          <cell r="A866">
            <v>39579</v>
          </cell>
          <cell r="C866">
            <v>28</v>
          </cell>
          <cell r="D866">
            <v>2.29</v>
          </cell>
          <cell r="E866">
            <v>5.08</v>
          </cell>
          <cell r="L866">
            <v>1823.7</v>
          </cell>
          <cell r="M866">
            <v>2445.52</v>
          </cell>
          <cell r="N866">
            <v>6204.7</v>
          </cell>
          <cell r="O866">
            <v>5799</v>
          </cell>
          <cell r="Q866">
            <v>1137.5</v>
          </cell>
          <cell r="R866">
            <v>629.25</v>
          </cell>
          <cell r="S866">
            <v>804.5</v>
          </cell>
          <cell r="T866">
            <v>1358</v>
          </cell>
          <cell r="U866">
            <v>13655.34</v>
          </cell>
          <cell r="V866">
            <v>25063.17</v>
          </cell>
          <cell r="W866">
            <v>8792.39</v>
          </cell>
          <cell r="X866">
            <v>110</v>
          </cell>
          <cell r="Y866">
            <v>1460</v>
          </cell>
          <cell r="Z866">
            <v>1800</v>
          </cell>
          <cell r="AA866">
            <v>16737.07</v>
          </cell>
          <cell r="AB866">
            <v>5844.4</v>
          </cell>
          <cell r="AC866">
            <v>69645.703099999999</v>
          </cell>
          <cell r="AE866">
            <v>154.15</v>
          </cell>
          <cell r="AF866">
            <v>899.82</v>
          </cell>
          <cell r="AG866">
            <v>10237</v>
          </cell>
          <cell r="AH866">
            <v>1190</v>
          </cell>
          <cell r="AI866">
            <v>1875</v>
          </cell>
          <cell r="AJ866">
            <v>653.29</v>
          </cell>
          <cell r="AL866">
            <v>1388.28</v>
          </cell>
          <cell r="AP866">
            <v>3613.4940000000001</v>
          </cell>
          <cell r="AV866">
            <v>57.25</v>
          </cell>
          <cell r="AZ866">
            <v>309</v>
          </cell>
          <cell r="BE866">
            <v>26495</v>
          </cell>
          <cell r="BG866">
            <v>132.5</v>
          </cell>
          <cell r="BH866">
            <v>785.45</v>
          </cell>
          <cell r="BY866">
            <v>398.5</v>
          </cell>
          <cell r="CD866">
            <v>384.25</v>
          </cell>
          <cell r="CE866">
            <v>370.846</v>
          </cell>
          <cell r="CF866">
            <v>458.38</v>
          </cell>
          <cell r="CG866">
            <v>1640</v>
          </cell>
          <cell r="CH866">
            <v>1440</v>
          </cell>
          <cell r="CI866">
            <v>123</v>
          </cell>
          <cell r="CJ866">
            <v>323</v>
          </cell>
          <cell r="CK866">
            <v>1818</v>
          </cell>
          <cell r="CM866">
            <v>320.12</v>
          </cell>
          <cell r="CN866">
            <v>25.2</v>
          </cell>
          <cell r="CO866">
            <v>16.899999999999999</v>
          </cell>
          <cell r="CQ866">
            <v>11.28</v>
          </cell>
          <cell r="CR866">
            <v>65</v>
          </cell>
          <cell r="CS866">
            <v>2174</v>
          </cell>
          <cell r="CU866">
            <v>2005</v>
          </cell>
          <cell r="CW866">
            <v>86.051829268292693</v>
          </cell>
          <cell r="CX866">
            <v>1082.55</v>
          </cell>
          <cell r="CZ866">
            <v>427.48</v>
          </cell>
          <cell r="DA866">
            <v>3937.6</v>
          </cell>
          <cell r="DB866">
            <v>12.67</v>
          </cell>
          <cell r="DC866">
            <v>443.85</v>
          </cell>
          <cell r="DD866">
            <v>136.55000000000001</v>
          </cell>
        </row>
        <row r="867">
          <cell r="A867">
            <v>39580</v>
          </cell>
          <cell r="C867">
            <v>28</v>
          </cell>
          <cell r="D867">
            <v>2.29</v>
          </cell>
          <cell r="E867">
            <v>5.08</v>
          </cell>
          <cell r="L867">
            <v>1823.7</v>
          </cell>
          <cell r="M867">
            <v>2488.4899999999998</v>
          </cell>
          <cell r="N867">
            <v>6220.6</v>
          </cell>
          <cell r="O867">
            <v>5815</v>
          </cell>
          <cell r="Q867">
            <v>1137.5</v>
          </cell>
          <cell r="R867">
            <v>614.75</v>
          </cell>
          <cell r="S867">
            <v>805.5</v>
          </cell>
          <cell r="T867">
            <v>1342.5</v>
          </cell>
          <cell r="U867">
            <v>13743.36</v>
          </cell>
          <cell r="V867">
            <v>25063.17</v>
          </cell>
          <cell r="W867">
            <v>8830.0499999999993</v>
          </cell>
          <cell r="X867">
            <v>109.45</v>
          </cell>
          <cell r="Y867">
            <v>1460</v>
          </cell>
          <cell r="Z867">
            <v>1800</v>
          </cell>
          <cell r="AA867">
            <v>16860.900000000001</v>
          </cell>
          <cell r="AB867">
            <v>5894.1</v>
          </cell>
          <cell r="AC867">
            <v>70415.820300000007</v>
          </cell>
          <cell r="AE867">
            <v>160.25</v>
          </cell>
          <cell r="AF867">
            <v>899.82</v>
          </cell>
          <cell r="AG867">
            <v>10220</v>
          </cell>
          <cell r="AH867">
            <v>1190</v>
          </cell>
          <cell r="AI867">
            <v>1875</v>
          </cell>
          <cell r="AJ867">
            <v>653.29</v>
          </cell>
          <cell r="AL867">
            <v>1403.58</v>
          </cell>
          <cell r="AP867">
            <v>3626.982</v>
          </cell>
          <cell r="AV867">
            <v>58.18</v>
          </cell>
          <cell r="AZ867">
            <v>308.8</v>
          </cell>
          <cell r="BE867">
            <v>26373</v>
          </cell>
          <cell r="BG867">
            <v>132.5</v>
          </cell>
          <cell r="BH867">
            <v>777.29</v>
          </cell>
          <cell r="BY867">
            <v>403.12</v>
          </cell>
          <cell r="CD867">
            <v>387.36</v>
          </cell>
          <cell r="CE867">
            <v>374.01299999999998</v>
          </cell>
          <cell r="CF867">
            <v>457.8</v>
          </cell>
          <cell r="CG867">
            <v>1640</v>
          </cell>
          <cell r="CH867">
            <v>1440</v>
          </cell>
          <cell r="CI867">
            <v>123</v>
          </cell>
          <cell r="CJ867">
            <v>323</v>
          </cell>
          <cell r="CK867">
            <v>1826</v>
          </cell>
          <cell r="CM867">
            <v>316.42</v>
          </cell>
          <cell r="CN867">
            <v>25.54</v>
          </cell>
          <cell r="CO867">
            <v>17.05</v>
          </cell>
          <cell r="CQ867">
            <v>11.38</v>
          </cell>
          <cell r="CR867">
            <v>65</v>
          </cell>
          <cell r="CS867">
            <v>2227.75</v>
          </cell>
          <cell r="CU867">
            <v>2005</v>
          </cell>
          <cell r="CW867">
            <v>87.576219512195124</v>
          </cell>
          <cell r="CX867">
            <v>1088.5</v>
          </cell>
          <cell r="CZ867">
            <v>424.81</v>
          </cell>
          <cell r="DA867">
            <v>3997.8</v>
          </cell>
          <cell r="DB867">
            <v>12.73</v>
          </cell>
          <cell r="DC867">
            <v>446.8</v>
          </cell>
          <cell r="DD867">
            <v>138.55000000000001</v>
          </cell>
        </row>
        <row r="868">
          <cell r="A868">
            <v>39581</v>
          </cell>
          <cell r="C868">
            <v>28</v>
          </cell>
          <cell r="D868">
            <v>2.27</v>
          </cell>
          <cell r="E868">
            <v>5.08</v>
          </cell>
          <cell r="L868">
            <v>1842.8</v>
          </cell>
          <cell r="M868">
            <v>2495.12</v>
          </cell>
          <cell r="N868">
            <v>6211.9</v>
          </cell>
          <cell r="O868">
            <v>5819</v>
          </cell>
          <cell r="Q868">
            <v>1137.5</v>
          </cell>
          <cell r="R868">
            <v>607.25</v>
          </cell>
          <cell r="S868">
            <v>795.75</v>
          </cell>
          <cell r="T868">
            <v>1379.5</v>
          </cell>
          <cell r="U868">
            <v>13953.73</v>
          </cell>
          <cell r="V868">
            <v>25552.77</v>
          </cell>
          <cell r="W868">
            <v>8989.5300000000007</v>
          </cell>
          <cell r="X868">
            <v>108.95</v>
          </cell>
          <cell r="Y868">
            <v>1460</v>
          </cell>
          <cell r="Z868">
            <v>1800</v>
          </cell>
          <cell r="AA868">
            <v>16752.86</v>
          </cell>
          <cell r="AB868">
            <v>5883.2</v>
          </cell>
          <cell r="AC868">
            <v>70503.25</v>
          </cell>
          <cell r="AE868">
            <v>157.35</v>
          </cell>
          <cell r="AF868">
            <v>904.93</v>
          </cell>
          <cell r="AG868">
            <v>10354</v>
          </cell>
          <cell r="AH868">
            <v>1190</v>
          </cell>
          <cell r="AI868">
            <v>1875</v>
          </cell>
          <cell r="AJ868">
            <v>655.44</v>
          </cell>
          <cell r="AL868">
            <v>1403.04</v>
          </cell>
          <cell r="AP868">
            <v>3560.2429999999999</v>
          </cell>
          <cell r="AV868">
            <v>58</v>
          </cell>
          <cell r="AZ868">
            <v>314.60000000000002</v>
          </cell>
          <cell r="BE868">
            <v>26885</v>
          </cell>
          <cell r="BG868">
            <v>132.5</v>
          </cell>
          <cell r="BH868">
            <v>791.91</v>
          </cell>
          <cell r="BY868">
            <v>406.31</v>
          </cell>
          <cell r="CD868">
            <v>387.67</v>
          </cell>
          <cell r="CE868">
            <v>373.89100000000002</v>
          </cell>
          <cell r="CF868">
            <v>463.85</v>
          </cell>
          <cell r="CG868">
            <v>1640</v>
          </cell>
          <cell r="CH868">
            <v>1440</v>
          </cell>
          <cell r="CI868">
            <v>123</v>
          </cell>
          <cell r="CJ868">
            <v>323</v>
          </cell>
          <cell r="CK868">
            <v>1829</v>
          </cell>
          <cell r="CM868">
            <v>320</v>
          </cell>
          <cell r="CN868">
            <v>25.23</v>
          </cell>
          <cell r="CO868">
            <v>17.2</v>
          </cell>
          <cell r="CQ868">
            <v>11.18</v>
          </cell>
          <cell r="CR868">
            <v>65</v>
          </cell>
          <cell r="CS868">
            <v>2297.5</v>
          </cell>
          <cell r="CU868">
            <v>2005</v>
          </cell>
          <cell r="CW868">
            <v>86.204268292682926</v>
          </cell>
          <cell r="CX868">
            <v>1085.49</v>
          </cell>
          <cell r="CZ868">
            <v>424.75</v>
          </cell>
          <cell r="DA868">
            <v>4025.8</v>
          </cell>
          <cell r="DB868">
            <v>12.48</v>
          </cell>
          <cell r="DC868">
            <v>440.85</v>
          </cell>
          <cell r="DD868">
            <v>137.25</v>
          </cell>
        </row>
        <row r="869">
          <cell r="A869">
            <v>39582</v>
          </cell>
          <cell r="C869">
            <v>28</v>
          </cell>
          <cell r="D869">
            <v>2.25</v>
          </cell>
          <cell r="E869">
            <v>5.05</v>
          </cell>
          <cell r="L869">
            <v>1843.75</v>
          </cell>
          <cell r="M869">
            <v>2496.6999999999998</v>
          </cell>
          <cell r="N869">
            <v>6216</v>
          </cell>
          <cell r="O869">
            <v>5827</v>
          </cell>
          <cell r="Q869">
            <v>1137.5</v>
          </cell>
          <cell r="R869">
            <v>596.25</v>
          </cell>
          <cell r="S869">
            <v>764</v>
          </cell>
          <cell r="T869">
            <v>1379.5</v>
          </cell>
          <cell r="U869">
            <v>14118.55</v>
          </cell>
          <cell r="V869">
            <v>25533.48</v>
          </cell>
          <cell r="W869">
            <v>9018.42</v>
          </cell>
          <cell r="X869">
            <v>111.65</v>
          </cell>
          <cell r="Y869">
            <v>1460</v>
          </cell>
          <cell r="Z869">
            <v>1800</v>
          </cell>
          <cell r="AA869">
            <v>16978.349999999999</v>
          </cell>
          <cell r="AB869">
            <v>5940.3</v>
          </cell>
          <cell r="AC869">
            <v>70026.617199999993</v>
          </cell>
          <cell r="AE869">
            <v>162.55000000000001</v>
          </cell>
          <cell r="AF869">
            <v>904.93</v>
          </cell>
          <cell r="AG869">
            <v>10649</v>
          </cell>
          <cell r="AH869">
            <v>1190</v>
          </cell>
          <cell r="AI869">
            <v>1875</v>
          </cell>
          <cell r="AJ869">
            <v>652.14</v>
          </cell>
          <cell r="AL869">
            <v>1408.66</v>
          </cell>
          <cell r="AP869">
            <v>3657.4319999999998</v>
          </cell>
          <cell r="AV869">
            <v>58.32</v>
          </cell>
          <cell r="AZ869">
            <v>316.10000000000002</v>
          </cell>
          <cell r="BE869">
            <v>26393</v>
          </cell>
          <cell r="BG869">
            <v>132.5</v>
          </cell>
          <cell r="BH869">
            <v>796.34</v>
          </cell>
          <cell r="BY869">
            <v>411.29</v>
          </cell>
          <cell r="CD869">
            <v>388.8</v>
          </cell>
          <cell r="CE869">
            <v>375.04</v>
          </cell>
          <cell r="CF869">
            <v>463.17</v>
          </cell>
          <cell r="CG869">
            <v>1640</v>
          </cell>
          <cell r="CH869">
            <v>1440</v>
          </cell>
          <cell r="CI869">
            <v>123</v>
          </cell>
          <cell r="CJ869">
            <v>323</v>
          </cell>
          <cell r="CK869">
            <v>1898</v>
          </cell>
          <cell r="CM869">
            <v>318.04000000000002</v>
          </cell>
          <cell r="CN869">
            <v>24.84</v>
          </cell>
          <cell r="CO869">
            <v>16.850000000000001</v>
          </cell>
          <cell r="CQ869">
            <v>11.51</v>
          </cell>
          <cell r="CR869">
            <v>60</v>
          </cell>
          <cell r="CS869">
            <v>2243</v>
          </cell>
          <cell r="CU869">
            <v>2005</v>
          </cell>
          <cell r="CW869">
            <v>86.814024390243901</v>
          </cell>
          <cell r="CX869">
            <v>1129.529</v>
          </cell>
          <cell r="CZ869">
            <v>422</v>
          </cell>
          <cell r="DA869">
            <v>3982.6</v>
          </cell>
          <cell r="DB869">
            <v>11.95</v>
          </cell>
          <cell r="DC869">
            <v>437.7</v>
          </cell>
          <cell r="DD869">
            <v>137.69999999999999</v>
          </cell>
        </row>
        <row r="870">
          <cell r="A870">
            <v>39583</v>
          </cell>
          <cell r="C870">
            <v>28</v>
          </cell>
          <cell r="D870">
            <v>2.21</v>
          </cell>
          <cell r="E870">
            <v>5.04</v>
          </cell>
          <cell r="L870">
            <v>1885.71</v>
          </cell>
          <cell r="M870">
            <v>2533.73</v>
          </cell>
          <cell r="N870">
            <v>6251.8</v>
          </cell>
          <cell r="O870">
            <v>5835</v>
          </cell>
          <cell r="Q870">
            <v>1080</v>
          </cell>
          <cell r="R870">
            <v>599</v>
          </cell>
          <cell r="S870">
            <v>771.5</v>
          </cell>
          <cell r="T870">
            <v>1347.5</v>
          </cell>
          <cell r="U870">
            <v>14251.74</v>
          </cell>
          <cell r="V870">
            <v>25513.71</v>
          </cell>
          <cell r="W870">
            <v>9157.18</v>
          </cell>
          <cell r="X870">
            <v>110.8</v>
          </cell>
          <cell r="Y870">
            <v>1460</v>
          </cell>
          <cell r="Z870">
            <v>1800</v>
          </cell>
          <cell r="AA870">
            <v>17353.54</v>
          </cell>
          <cell r="AB870">
            <v>5964.9</v>
          </cell>
          <cell r="AC870">
            <v>71492.359400000001</v>
          </cell>
          <cell r="AE870">
            <v>161.65</v>
          </cell>
          <cell r="AF870">
            <v>904.93</v>
          </cell>
          <cell r="AG870">
            <v>11067</v>
          </cell>
          <cell r="AH870">
            <v>1190</v>
          </cell>
          <cell r="AI870">
            <v>1875</v>
          </cell>
          <cell r="AJ870">
            <v>653.54</v>
          </cell>
          <cell r="AL870">
            <v>1423.57</v>
          </cell>
          <cell r="AP870">
            <v>3637.3240000000001</v>
          </cell>
          <cell r="AV870">
            <v>60.15</v>
          </cell>
          <cell r="AZ870">
            <v>316.39999999999998</v>
          </cell>
          <cell r="BE870">
            <v>26156</v>
          </cell>
          <cell r="BG870">
            <v>132.5</v>
          </cell>
          <cell r="BH870">
            <v>806.06</v>
          </cell>
          <cell r="BY870">
            <v>419.72</v>
          </cell>
          <cell r="CD870">
            <v>392.63</v>
          </cell>
          <cell r="CE870">
            <v>378.65699999999998</v>
          </cell>
          <cell r="CF870">
            <v>470.03</v>
          </cell>
          <cell r="CG870">
            <v>1640</v>
          </cell>
          <cell r="CH870">
            <v>1440</v>
          </cell>
          <cell r="CI870">
            <v>123</v>
          </cell>
          <cell r="CJ870">
            <v>323</v>
          </cell>
          <cell r="CK870">
            <v>1971</v>
          </cell>
          <cell r="CM870">
            <v>316.58</v>
          </cell>
          <cell r="CN870">
            <v>24.72</v>
          </cell>
          <cell r="CO870">
            <v>16.899999999999999</v>
          </cell>
          <cell r="CQ870">
            <v>11.4</v>
          </cell>
          <cell r="CR870">
            <v>60</v>
          </cell>
          <cell r="CS870">
            <v>2260.5</v>
          </cell>
          <cell r="CU870">
            <v>2005</v>
          </cell>
          <cell r="CW870">
            <v>88.643292682926841</v>
          </cell>
          <cell r="CX870">
            <v>1126.682</v>
          </cell>
          <cell r="CZ870">
            <v>421.61</v>
          </cell>
          <cell r="DA870">
            <v>4049.1</v>
          </cell>
          <cell r="DB870">
            <v>11.95</v>
          </cell>
          <cell r="DC870">
            <v>440.6</v>
          </cell>
          <cell r="DD870">
            <v>136.80000000000001</v>
          </cell>
        </row>
        <row r="871">
          <cell r="A871">
            <v>39584</v>
          </cell>
          <cell r="C871">
            <v>28</v>
          </cell>
          <cell r="D871">
            <v>2.2000000000000002</v>
          </cell>
          <cell r="E871">
            <v>5.04</v>
          </cell>
          <cell r="L871">
            <v>1888.88</v>
          </cell>
          <cell r="M871">
            <v>2528.85</v>
          </cell>
          <cell r="N871">
            <v>6304.3</v>
          </cell>
          <cell r="O871">
            <v>5835</v>
          </cell>
          <cell r="Q871">
            <v>1080</v>
          </cell>
          <cell r="R871">
            <v>591</v>
          </cell>
          <cell r="S871">
            <v>775.5</v>
          </cell>
          <cell r="T871">
            <v>1378</v>
          </cell>
          <cell r="U871">
            <v>14219.48</v>
          </cell>
          <cell r="V871">
            <v>25618.86</v>
          </cell>
          <cell r="W871">
            <v>9197.41</v>
          </cell>
          <cell r="X871">
            <v>112.05</v>
          </cell>
          <cell r="Y871">
            <v>1460</v>
          </cell>
          <cell r="Z871">
            <v>1800</v>
          </cell>
          <cell r="AA871">
            <v>17434.939999999999</v>
          </cell>
          <cell r="AB871">
            <v>6006.1</v>
          </cell>
          <cell r="AC871">
            <v>72766.929699999993</v>
          </cell>
          <cell r="AE871">
            <v>161.65</v>
          </cell>
          <cell r="AF871">
            <v>904.93</v>
          </cell>
          <cell r="AG871">
            <v>11459</v>
          </cell>
          <cell r="AH871">
            <v>1220</v>
          </cell>
          <cell r="AI871">
            <v>1905</v>
          </cell>
          <cell r="AJ871">
            <v>652.55999999999995</v>
          </cell>
          <cell r="AL871">
            <v>1425.35</v>
          </cell>
          <cell r="AP871">
            <v>3624.2330000000002</v>
          </cell>
          <cell r="AV871">
            <v>60.685000000000002</v>
          </cell>
          <cell r="AZ871">
            <v>318</v>
          </cell>
          <cell r="BE871">
            <v>26255</v>
          </cell>
          <cell r="BG871">
            <v>134</v>
          </cell>
          <cell r="BH871">
            <v>819.29</v>
          </cell>
          <cell r="BY871">
            <v>421.67</v>
          </cell>
          <cell r="CD871">
            <v>395.59</v>
          </cell>
          <cell r="CE871">
            <v>381.11799999999999</v>
          </cell>
          <cell r="CF871">
            <v>474.63</v>
          </cell>
          <cell r="CG871">
            <v>1650</v>
          </cell>
          <cell r="CH871">
            <v>1450</v>
          </cell>
          <cell r="CI871">
            <v>123</v>
          </cell>
          <cell r="CJ871">
            <v>323</v>
          </cell>
          <cell r="CK871">
            <v>1995</v>
          </cell>
          <cell r="CM871">
            <v>322.35000000000002</v>
          </cell>
          <cell r="CN871">
            <v>24.93</v>
          </cell>
          <cell r="CO871">
            <v>17</v>
          </cell>
          <cell r="CQ871">
            <v>11.31</v>
          </cell>
          <cell r="CR871">
            <v>60</v>
          </cell>
          <cell r="CS871">
            <v>2331.5</v>
          </cell>
          <cell r="CU871">
            <v>2030</v>
          </cell>
          <cell r="CW871">
            <v>90.625</v>
          </cell>
          <cell r="CX871">
            <v>1137.2670000000001</v>
          </cell>
          <cell r="CZ871">
            <v>426.43</v>
          </cell>
          <cell r="DA871">
            <v>4100.3</v>
          </cell>
          <cell r="DB871">
            <v>12.36</v>
          </cell>
          <cell r="DC871">
            <v>453.3</v>
          </cell>
          <cell r="DD871">
            <v>138</v>
          </cell>
        </row>
        <row r="872">
          <cell r="A872">
            <v>39585</v>
          </cell>
          <cell r="C872">
            <v>28</v>
          </cell>
          <cell r="D872">
            <v>2.2000000000000002</v>
          </cell>
          <cell r="E872">
            <v>5.04</v>
          </cell>
          <cell r="L872">
            <v>1888.88</v>
          </cell>
          <cell r="M872">
            <v>2528.85</v>
          </cell>
          <cell r="N872">
            <v>6304.3</v>
          </cell>
          <cell r="O872">
            <v>5835</v>
          </cell>
          <cell r="Q872">
            <v>1080</v>
          </cell>
          <cell r="R872">
            <v>591</v>
          </cell>
          <cell r="S872">
            <v>775.5</v>
          </cell>
          <cell r="T872">
            <v>1378</v>
          </cell>
          <cell r="U872">
            <v>14219.48</v>
          </cell>
          <cell r="V872">
            <v>25618.86</v>
          </cell>
          <cell r="W872">
            <v>9197.41</v>
          </cell>
          <cell r="X872">
            <v>112.05</v>
          </cell>
          <cell r="Y872">
            <v>1460</v>
          </cell>
          <cell r="Z872">
            <v>1800</v>
          </cell>
          <cell r="AA872">
            <v>17434.939999999999</v>
          </cell>
          <cell r="AB872">
            <v>6006.1</v>
          </cell>
          <cell r="AC872">
            <v>72766.929699999993</v>
          </cell>
          <cell r="AE872">
            <v>161.65</v>
          </cell>
          <cell r="AF872">
            <v>904.93</v>
          </cell>
          <cell r="AG872">
            <v>11459</v>
          </cell>
          <cell r="AH872">
            <v>1220</v>
          </cell>
          <cell r="AI872">
            <v>1905</v>
          </cell>
          <cell r="AJ872">
            <v>652.55999999999995</v>
          </cell>
          <cell r="AL872">
            <v>1425.35</v>
          </cell>
          <cell r="AP872">
            <v>3624.2330000000002</v>
          </cell>
          <cell r="AV872">
            <v>60.685000000000002</v>
          </cell>
          <cell r="AZ872">
            <v>318</v>
          </cell>
          <cell r="BE872">
            <v>26255</v>
          </cell>
          <cell r="BG872">
            <v>134</v>
          </cell>
          <cell r="BH872">
            <v>819.29</v>
          </cell>
          <cell r="BY872">
            <v>421.67</v>
          </cell>
          <cell r="CD872">
            <v>395.59</v>
          </cell>
          <cell r="CE872">
            <v>381.11799999999999</v>
          </cell>
          <cell r="CF872">
            <v>474.63</v>
          </cell>
          <cell r="CG872">
            <v>1650</v>
          </cell>
          <cell r="CH872">
            <v>1450</v>
          </cell>
          <cell r="CI872">
            <v>123</v>
          </cell>
          <cell r="CJ872">
            <v>323</v>
          </cell>
          <cell r="CK872">
            <v>1995</v>
          </cell>
          <cell r="CM872">
            <v>322.35000000000002</v>
          </cell>
          <cell r="CN872">
            <v>24.93</v>
          </cell>
          <cell r="CO872">
            <v>17</v>
          </cell>
          <cell r="CQ872">
            <v>11.31</v>
          </cell>
          <cell r="CR872">
            <v>60</v>
          </cell>
          <cell r="CS872">
            <v>2331.5</v>
          </cell>
          <cell r="CU872">
            <v>2030</v>
          </cell>
          <cell r="CW872">
            <v>90.625</v>
          </cell>
          <cell r="CX872">
            <v>1137.2670000000001</v>
          </cell>
          <cell r="CZ872">
            <v>426.43</v>
          </cell>
          <cell r="DA872">
            <v>4100.3</v>
          </cell>
          <cell r="DB872">
            <v>12.36</v>
          </cell>
          <cell r="DC872">
            <v>453.3</v>
          </cell>
          <cell r="DD872">
            <v>138</v>
          </cell>
        </row>
        <row r="873">
          <cell r="A873">
            <v>39586</v>
          </cell>
          <cell r="C873">
            <v>28</v>
          </cell>
          <cell r="D873">
            <v>2.2000000000000002</v>
          </cell>
          <cell r="E873">
            <v>5.04</v>
          </cell>
          <cell r="L873">
            <v>1888.88</v>
          </cell>
          <cell r="M873">
            <v>2528.85</v>
          </cell>
          <cell r="N873">
            <v>6304.3</v>
          </cell>
          <cell r="O873">
            <v>5835</v>
          </cell>
          <cell r="Q873">
            <v>1080</v>
          </cell>
          <cell r="R873">
            <v>591</v>
          </cell>
          <cell r="S873">
            <v>775.5</v>
          </cell>
          <cell r="T873">
            <v>1378</v>
          </cell>
          <cell r="U873">
            <v>14219.48</v>
          </cell>
          <cell r="V873">
            <v>25618.86</v>
          </cell>
          <cell r="W873">
            <v>9197.41</v>
          </cell>
          <cell r="X873">
            <v>112.05</v>
          </cell>
          <cell r="Y873">
            <v>1460</v>
          </cell>
          <cell r="Z873">
            <v>1800</v>
          </cell>
          <cell r="AA873">
            <v>17434.939999999999</v>
          </cell>
          <cell r="AB873">
            <v>6006.1</v>
          </cell>
          <cell r="AC873">
            <v>72766.929699999993</v>
          </cell>
          <cell r="AE873">
            <v>161.65</v>
          </cell>
          <cell r="AF873">
            <v>904.93</v>
          </cell>
          <cell r="AG873">
            <v>11459</v>
          </cell>
          <cell r="AH873">
            <v>1220</v>
          </cell>
          <cell r="AI873">
            <v>1905</v>
          </cell>
          <cell r="AJ873">
            <v>652.55999999999995</v>
          </cell>
          <cell r="AL873">
            <v>1425.35</v>
          </cell>
          <cell r="AP873">
            <v>3624.2330000000002</v>
          </cell>
          <cell r="AV873">
            <v>60.685000000000002</v>
          </cell>
          <cell r="AZ873">
            <v>318</v>
          </cell>
          <cell r="BE873">
            <v>26255</v>
          </cell>
          <cell r="BG873">
            <v>134</v>
          </cell>
          <cell r="BH873">
            <v>819.29</v>
          </cell>
          <cell r="BY873">
            <v>421.67</v>
          </cell>
          <cell r="CD873">
            <v>395.59</v>
          </cell>
          <cell r="CE873">
            <v>381.11799999999999</v>
          </cell>
          <cell r="CF873">
            <v>474.63</v>
          </cell>
          <cell r="CG873">
            <v>1650</v>
          </cell>
          <cell r="CH873">
            <v>1450</v>
          </cell>
          <cell r="CI873">
            <v>123</v>
          </cell>
          <cell r="CJ873">
            <v>323</v>
          </cell>
          <cell r="CK873">
            <v>1995</v>
          </cell>
          <cell r="CM873">
            <v>322.35000000000002</v>
          </cell>
          <cell r="CN873">
            <v>24.93</v>
          </cell>
          <cell r="CO873">
            <v>17</v>
          </cell>
          <cell r="CQ873">
            <v>11.31</v>
          </cell>
          <cell r="CR873">
            <v>60</v>
          </cell>
          <cell r="CS873">
            <v>2331.5</v>
          </cell>
          <cell r="CU873">
            <v>2030</v>
          </cell>
          <cell r="CW873">
            <v>90.625</v>
          </cell>
          <cell r="CX873">
            <v>1137.2670000000001</v>
          </cell>
          <cell r="CZ873">
            <v>426.43</v>
          </cell>
          <cell r="DA873">
            <v>4100.3</v>
          </cell>
          <cell r="DB873">
            <v>12.36</v>
          </cell>
          <cell r="DC873">
            <v>453.3</v>
          </cell>
          <cell r="DD873">
            <v>138</v>
          </cell>
        </row>
        <row r="874">
          <cell r="A874">
            <v>39587</v>
          </cell>
          <cell r="C874">
            <v>28</v>
          </cell>
          <cell r="D874">
            <v>2.1800000000000002</v>
          </cell>
          <cell r="E874">
            <v>5.04</v>
          </cell>
          <cell r="L874">
            <v>1885.37</v>
          </cell>
          <cell r="M874">
            <v>2516.09</v>
          </cell>
          <cell r="N874">
            <v>6376.5</v>
          </cell>
          <cell r="O874">
            <v>5826</v>
          </cell>
          <cell r="Q874">
            <v>1080</v>
          </cell>
          <cell r="R874">
            <v>586.75</v>
          </cell>
          <cell r="S874">
            <v>791</v>
          </cell>
          <cell r="T874">
            <v>1333</v>
          </cell>
          <cell r="U874">
            <v>14269.61</v>
          </cell>
          <cell r="V874">
            <v>25742.23</v>
          </cell>
          <cell r="W874">
            <v>9295.2000000000007</v>
          </cell>
          <cell r="X874">
            <v>112.05</v>
          </cell>
          <cell r="Y874">
            <v>1460</v>
          </cell>
          <cell r="Z874">
            <v>1800</v>
          </cell>
          <cell r="AA874">
            <v>17434.939999999999</v>
          </cell>
          <cell r="AB874">
            <v>6035</v>
          </cell>
          <cell r="AC874">
            <v>73438.828099999999</v>
          </cell>
          <cell r="AE874">
            <v>161.65</v>
          </cell>
          <cell r="AF874">
            <v>904.93</v>
          </cell>
          <cell r="AG874">
            <v>11709</v>
          </cell>
          <cell r="AH874">
            <v>1220</v>
          </cell>
          <cell r="AI874">
            <v>1905</v>
          </cell>
          <cell r="AJ874">
            <v>652.65</v>
          </cell>
          <cell r="AL874">
            <v>1426.63</v>
          </cell>
          <cell r="AP874">
            <v>3604.761</v>
          </cell>
          <cell r="AV874">
            <v>60.07</v>
          </cell>
          <cell r="AZ874">
            <v>314.89999999999998</v>
          </cell>
          <cell r="BE874">
            <v>25957</v>
          </cell>
          <cell r="BG874">
            <v>134</v>
          </cell>
          <cell r="BH874">
            <v>840.4</v>
          </cell>
          <cell r="BY874">
            <v>418.35</v>
          </cell>
          <cell r="CD874">
            <v>397.08</v>
          </cell>
          <cell r="CE874">
            <v>382.358</v>
          </cell>
          <cell r="CF874">
            <v>476.82</v>
          </cell>
          <cell r="CG874">
            <v>1650</v>
          </cell>
          <cell r="CH874">
            <v>1450</v>
          </cell>
          <cell r="CI874">
            <v>123</v>
          </cell>
          <cell r="CJ874">
            <v>323</v>
          </cell>
          <cell r="CK874">
            <v>2027</v>
          </cell>
          <cell r="CM874">
            <v>323.66000000000003</v>
          </cell>
          <cell r="CN874">
            <v>25.3</v>
          </cell>
          <cell r="CO874">
            <v>17.05</v>
          </cell>
          <cell r="CQ874">
            <v>11.1</v>
          </cell>
          <cell r="CR874">
            <v>60</v>
          </cell>
          <cell r="CS874">
            <v>2219</v>
          </cell>
          <cell r="CU874">
            <v>2030</v>
          </cell>
          <cell r="CW874">
            <v>90.625</v>
          </cell>
          <cell r="CX874">
            <v>1132.8140000000001</v>
          </cell>
          <cell r="CZ874">
            <v>423.22</v>
          </cell>
          <cell r="DA874">
            <v>4028.9</v>
          </cell>
          <cell r="DB874">
            <v>12.28</v>
          </cell>
          <cell r="DC874">
            <v>451.35</v>
          </cell>
          <cell r="DD874">
            <v>135.19999999999999</v>
          </cell>
        </row>
        <row r="875">
          <cell r="A875">
            <v>39588</v>
          </cell>
          <cell r="C875">
            <v>28</v>
          </cell>
          <cell r="D875">
            <v>2.19</v>
          </cell>
          <cell r="E875">
            <v>5.03</v>
          </cell>
          <cell r="L875">
            <v>1873.15</v>
          </cell>
          <cell r="M875">
            <v>2492.2600000000002</v>
          </cell>
          <cell r="N875">
            <v>6191.6</v>
          </cell>
          <cell r="O875">
            <v>5825</v>
          </cell>
          <cell r="Q875">
            <v>1080</v>
          </cell>
          <cell r="R875">
            <v>589.75</v>
          </cell>
          <cell r="S875">
            <v>784</v>
          </cell>
          <cell r="T875">
            <v>1331.5</v>
          </cell>
          <cell r="U875">
            <v>14160.09</v>
          </cell>
          <cell r="V875">
            <v>25169.46</v>
          </cell>
          <cell r="W875">
            <v>9068.89</v>
          </cell>
          <cell r="X875">
            <v>114.05</v>
          </cell>
          <cell r="Y875">
            <v>1460</v>
          </cell>
          <cell r="Z875">
            <v>1800</v>
          </cell>
          <cell r="AA875">
            <v>17230.18</v>
          </cell>
          <cell r="AB875">
            <v>5994.9</v>
          </cell>
          <cell r="AC875">
            <v>73516.8125</v>
          </cell>
          <cell r="AE875">
            <v>163.95</v>
          </cell>
          <cell r="AF875">
            <v>906.84</v>
          </cell>
          <cell r="AG875">
            <v>11793</v>
          </cell>
          <cell r="AH875">
            <v>1220</v>
          </cell>
          <cell r="AI875">
            <v>1905</v>
          </cell>
          <cell r="AJ875">
            <v>650.1</v>
          </cell>
          <cell r="AL875">
            <v>1413.4</v>
          </cell>
          <cell r="AP875">
            <v>3443.1619999999998</v>
          </cell>
          <cell r="AV875">
            <v>58.3</v>
          </cell>
          <cell r="AZ875">
            <v>316.8</v>
          </cell>
          <cell r="BE875">
            <v>25855</v>
          </cell>
          <cell r="BG875">
            <v>134</v>
          </cell>
          <cell r="BH875">
            <v>830.69</v>
          </cell>
          <cell r="BY875">
            <v>406.64</v>
          </cell>
          <cell r="CD875">
            <v>393.6</v>
          </cell>
          <cell r="CE875">
            <v>379.22199999999998</v>
          </cell>
          <cell r="CF875">
            <v>468.22</v>
          </cell>
          <cell r="CG875">
            <v>1650</v>
          </cell>
          <cell r="CH875">
            <v>1450</v>
          </cell>
          <cell r="CI875">
            <v>123</v>
          </cell>
          <cell r="CJ875">
            <v>323</v>
          </cell>
          <cell r="CK875">
            <v>2065</v>
          </cell>
          <cell r="CM875">
            <v>330.44</v>
          </cell>
          <cell r="CN875">
            <v>25.37</v>
          </cell>
          <cell r="CO875">
            <v>17.149999999999999</v>
          </cell>
          <cell r="CQ875">
            <v>10.93</v>
          </cell>
          <cell r="CR875">
            <v>60</v>
          </cell>
          <cell r="CS875">
            <v>2154.5</v>
          </cell>
          <cell r="CU875">
            <v>2030</v>
          </cell>
          <cell r="CW875">
            <v>90.396341463414643</v>
          </cell>
          <cell r="CX875">
            <v>1144.3480000000002</v>
          </cell>
          <cell r="CZ875">
            <v>427.23</v>
          </cell>
          <cell r="DA875">
            <v>4022.3</v>
          </cell>
          <cell r="DB875">
            <v>11.98</v>
          </cell>
          <cell r="DC875">
            <v>450.25</v>
          </cell>
          <cell r="DD875">
            <v>136.80000000000001</v>
          </cell>
        </row>
        <row r="876">
          <cell r="A876">
            <v>39589</v>
          </cell>
          <cell r="C876">
            <v>28</v>
          </cell>
          <cell r="D876">
            <v>2.17</v>
          </cell>
          <cell r="E876">
            <v>5</v>
          </cell>
          <cell r="L876">
            <v>1847.51</v>
          </cell>
          <cell r="M876">
            <v>2448.27</v>
          </cell>
          <cell r="N876">
            <v>6198.1</v>
          </cell>
          <cell r="O876">
            <v>5825</v>
          </cell>
          <cell r="Q876">
            <v>1080</v>
          </cell>
          <cell r="R876">
            <v>607.25</v>
          </cell>
          <cell r="S876">
            <v>778</v>
          </cell>
          <cell r="T876">
            <v>1349</v>
          </cell>
          <cell r="U876">
            <v>13926.3</v>
          </cell>
          <cell r="V876">
            <v>25460.29</v>
          </cell>
          <cell r="W876">
            <v>9015.57</v>
          </cell>
          <cell r="X876">
            <v>117</v>
          </cell>
          <cell r="Y876">
            <v>1460</v>
          </cell>
          <cell r="Z876">
            <v>1800</v>
          </cell>
          <cell r="AA876">
            <v>17243.16</v>
          </cell>
          <cell r="AB876">
            <v>5916.4</v>
          </cell>
          <cell r="AC876">
            <v>72294.796900000001</v>
          </cell>
          <cell r="AE876">
            <v>166.45</v>
          </cell>
          <cell r="AF876">
            <v>906.84</v>
          </cell>
          <cell r="AG876">
            <v>11771</v>
          </cell>
          <cell r="AH876">
            <v>1220</v>
          </cell>
          <cell r="AI876">
            <v>1905</v>
          </cell>
          <cell r="AJ876">
            <v>645.48</v>
          </cell>
          <cell r="AL876">
            <v>1390.71</v>
          </cell>
          <cell r="AP876">
            <v>3544.1860000000001</v>
          </cell>
          <cell r="AV876">
            <v>57.52</v>
          </cell>
          <cell r="AZ876">
            <v>316.10000000000002</v>
          </cell>
          <cell r="BE876">
            <v>25055</v>
          </cell>
          <cell r="BG876">
            <v>134</v>
          </cell>
          <cell r="BH876">
            <v>837.32</v>
          </cell>
          <cell r="BY876">
            <v>401.57</v>
          </cell>
          <cell r="CD876">
            <v>390.15</v>
          </cell>
          <cell r="CE876">
            <v>375.47399999999999</v>
          </cell>
          <cell r="CF876">
            <v>467.65</v>
          </cell>
          <cell r="CG876">
            <v>1650</v>
          </cell>
          <cell r="CH876">
            <v>1450</v>
          </cell>
          <cell r="CI876">
            <v>123</v>
          </cell>
          <cell r="CJ876">
            <v>323</v>
          </cell>
          <cell r="CK876">
            <v>2098</v>
          </cell>
          <cell r="CM876">
            <v>339.65</v>
          </cell>
          <cell r="CN876">
            <v>25.59</v>
          </cell>
          <cell r="CO876">
            <v>17.3</v>
          </cell>
          <cell r="CQ876">
            <v>11.39</v>
          </cell>
          <cell r="CR876">
            <v>60</v>
          </cell>
          <cell r="CS876">
            <v>2129</v>
          </cell>
          <cell r="CU876">
            <v>2030</v>
          </cell>
          <cell r="CW876">
            <v>94.131097560975618</v>
          </cell>
          <cell r="CX876">
            <v>1150.1880000000001</v>
          </cell>
          <cell r="CZ876">
            <v>434.4</v>
          </cell>
          <cell r="DA876">
            <v>3991.7</v>
          </cell>
          <cell r="DB876">
            <v>11.91</v>
          </cell>
          <cell r="DC876">
            <v>463.2</v>
          </cell>
          <cell r="DD876">
            <v>140.44999999999999</v>
          </cell>
        </row>
        <row r="877">
          <cell r="A877">
            <v>39590</v>
          </cell>
          <cell r="C877">
            <v>28</v>
          </cell>
          <cell r="D877">
            <v>2.17</v>
          </cell>
          <cell r="E877">
            <v>4.99</v>
          </cell>
          <cell r="L877">
            <v>1835.42</v>
          </cell>
          <cell r="M877">
            <v>2464.58</v>
          </cell>
          <cell r="N877">
            <v>6181.6</v>
          </cell>
          <cell r="O877">
            <v>5816</v>
          </cell>
          <cell r="Q877">
            <v>1080</v>
          </cell>
          <cell r="R877">
            <v>595.75</v>
          </cell>
          <cell r="S877">
            <v>745</v>
          </cell>
          <cell r="T877">
            <v>1324.75</v>
          </cell>
          <cell r="U877">
            <v>13978.46</v>
          </cell>
          <cell r="V877">
            <v>25043.119999999999</v>
          </cell>
          <cell r="W877">
            <v>9008.0300000000007</v>
          </cell>
          <cell r="X877">
            <v>122.75</v>
          </cell>
          <cell r="Y877">
            <v>1460</v>
          </cell>
          <cell r="Z877">
            <v>1800</v>
          </cell>
          <cell r="AA877">
            <v>16907.11</v>
          </cell>
          <cell r="AB877">
            <v>5920</v>
          </cell>
          <cell r="AC877">
            <v>72294.796900000001</v>
          </cell>
          <cell r="AE877">
            <v>172.65</v>
          </cell>
          <cell r="AF877">
            <v>906.84</v>
          </cell>
          <cell r="AG877">
            <v>11648</v>
          </cell>
          <cell r="AH877">
            <v>1220</v>
          </cell>
          <cell r="AI877">
            <v>1905</v>
          </cell>
          <cell r="AJ877">
            <v>647.15</v>
          </cell>
          <cell r="AL877">
            <v>1394.35</v>
          </cell>
          <cell r="AP877">
            <v>3485.63</v>
          </cell>
          <cell r="AV877">
            <v>57.91</v>
          </cell>
          <cell r="AZ877">
            <v>318.5</v>
          </cell>
          <cell r="BE877">
            <v>23364</v>
          </cell>
          <cell r="BG877">
            <v>134</v>
          </cell>
          <cell r="BH877">
            <v>838.34</v>
          </cell>
          <cell r="BY877">
            <v>404.48</v>
          </cell>
          <cell r="CD877">
            <v>390.07</v>
          </cell>
          <cell r="CE877">
            <v>375.84199999999998</v>
          </cell>
          <cell r="CF877">
            <v>462.74</v>
          </cell>
          <cell r="CG877">
            <v>1650</v>
          </cell>
          <cell r="CH877">
            <v>1450</v>
          </cell>
          <cell r="CI877">
            <v>125</v>
          </cell>
          <cell r="CJ877">
            <v>315</v>
          </cell>
          <cell r="CK877">
            <v>2204</v>
          </cell>
          <cell r="CM877">
            <v>332.97</v>
          </cell>
          <cell r="CN877">
            <v>26.27</v>
          </cell>
          <cell r="CO877">
            <v>17.350000000000001</v>
          </cell>
          <cell r="CQ877">
            <v>11.57</v>
          </cell>
          <cell r="CR877">
            <v>60</v>
          </cell>
          <cell r="CS877">
            <v>1991.5</v>
          </cell>
          <cell r="CU877">
            <v>2030</v>
          </cell>
          <cell r="CW877">
            <v>97.408536585365866</v>
          </cell>
          <cell r="CX877">
            <v>1146.83</v>
          </cell>
          <cell r="CZ877">
            <v>428.77</v>
          </cell>
          <cell r="DA877">
            <v>3905.4</v>
          </cell>
          <cell r="DB877">
            <v>11.54</v>
          </cell>
          <cell r="DC877">
            <v>456.95</v>
          </cell>
          <cell r="DD877">
            <v>134.19999999999999</v>
          </cell>
        </row>
        <row r="878">
          <cell r="A878">
            <v>39591</v>
          </cell>
          <cell r="C878">
            <v>28</v>
          </cell>
          <cell r="D878">
            <v>2.17</v>
          </cell>
          <cell r="E878">
            <v>4.9800000000000004</v>
          </cell>
          <cell r="L878">
            <v>1827.94</v>
          </cell>
          <cell r="M878">
            <v>2444.67</v>
          </cell>
          <cell r="N878">
            <v>6087.3</v>
          </cell>
          <cell r="O878">
            <v>5826</v>
          </cell>
          <cell r="Q878">
            <v>1080</v>
          </cell>
          <cell r="R878">
            <v>599.75</v>
          </cell>
          <cell r="S878">
            <v>752.5</v>
          </cell>
          <cell r="T878">
            <v>1368</v>
          </cell>
          <cell r="U878">
            <v>14012.2</v>
          </cell>
          <cell r="V878">
            <v>24714.07</v>
          </cell>
          <cell r="W878">
            <v>8834.73</v>
          </cell>
          <cell r="X878">
            <v>121.35</v>
          </cell>
          <cell r="Y878">
            <v>1460</v>
          </cell>
          <cell r="Z878">
            <v>1800</v>
          </cell>
          <cell r="AA878">
            <v>16649.64</v>
          </cell>
          <cell r="AB878">
            <v>5866.2</v>
          </cell>
          <cell r="AC878">
            <v>71451.796900000001</v>
          </cell>
          <cell r="AE878">
            <v>172.7</v>
          </cell>
          <cell r="AF878">
            <v>906.84</v>
          </cell>
          <cell r="AG878">
            <v>11465</v>
          </cell>
          <cell r="AH878">
            <v>1230</v>
          </cell>
          <cell r="AI878">
            <v>1935</v>
          </cell>
          <cell r="AJ878">
            <v>649</v>
          </cell>
          <cell r="AL878">
            <v>1375.93</v>
          </cell>
          <cell r="AP878">
            <v>3473.0909999999999</v>
          </cell>
          <cell r="AV878">
            <v>56.79</v>
          </cell>
          <cell r="AZ878">
            <v>326.3</v>
          </cell>
          <cell r="BE878">
            <v>23966</v>
          </cell>
          <cell r="BG878">
            <v>137.5</v>
          </cell>
          <cell r="BH878">
            <v>823.65</v>
          </cell>
          <cell r="BY878">
            <v>400.39</v>
          </cell>
          <cell r="CD878">
            <v>385.8</v>
          </cell>
          <cell r="CE878">
            <v>371.75700000000001</v>
          </cell>
          <cell r="CF878">
            <v>455.54</v>
          </cell>
          <cell r="CG878">
            <v>1650</v>
          </cell>
          <cell r="CH878">
            <v>1525</v>
          </cell>
          <cell r="CI878">
            <v>125</v>
          </cell>
          <cell r="CJ878">
            <v>315</v>
          </cell>
          <cell r="CK878">
            <v>2245</v>
          </cell>
          <cell r="CM878">
            <v>339.6</v>
          </cell>
          <cell r="CN878">
            <v>26.18</v>
          </cell>
          <cell r="CO878">
            <v>17.3</v>
          </cell>
          <cell r="CQ878">
            <v>11.57</v>
          </cell>
          <cell r="CR878">
            <v>60</v>
          </cell>
          <cell r="CS878">
            <v>1988</v>
          </cell>
          <cell r="CU878">
            <v>2105</v>
          </cell>
          <cell r="CW878">
            <v>98.246951219512198</v>
          </cell>
          <cell r="CX878">
            <v>1152.7429999999999</v>
          </cell>
          <cell r="CZ878">
            <v>431.09</v>
          </cell>
          <cell r="DA878">
            <v>3934.9</v>
          </cell>
          <cell r="DB878">
            <v>11.42</v>
          </cell>
          <cell r="DC878">
            <v>457.3</v>
          </cell>
          <cell r="DD878">
            <v>134</v>
          </cell>
        </row>
        <row r="879">
          <cell r="A879">
            <v>39592</v>
          </cell>
          <cell r="C879">
            <v>28</v>
          </cell>
          <cell r="D879">
            <v>2.17</v>
          </cell>
          <cell r="E879">
            <v>4.9800000000000004</v>
          </cell>
          <cell r="L879">
            <v>1827.94</v>
          </cell>
          <cell r="M879">
            <v>2444.67</v>
          </cell>
          <cell r="N879">
            <v>6087.3</v>
          </cell>
          <cell r="O879">
            <v>5826</v>
          </cell>
          <cell r="Q879">
            <v>1080</v>
          </cell>
          <cell r="R879">
            <v>599.75</v>
          </cell>
          <cell r="S879">
            <v>752.5</v>
          </cell>
          <cell r="T879">
            <v>1368</v>
          </cell>
          <cell r="U879">
            <v>14012.2</v>
          </cell>
          <cell r="V879">
            <v>24714.07</v>
          </cell>
          <cell r="W879">
            <v>8834.73</v>
          </cell>
          <cell r="X879">
            <v>121.35</v>
          </cell>
          <cell r="Y879">
            <v>1460</v>
          </cell>
          <cell r="Z879">
            <v>1800</v>
          </cell>
          <cell r="AA879">
            <v>16649.64</v>
          </cell>
          <cell r="AB879">
            <v>5866.2</v>
          </cell>
          <cell r="AC879">
            <v>71451.796900000001</v>
          </cell>
          <cell r="AE879">
            <v>172.7</v>
          </cell>
          <cell r="AF879">
            <v>906.84</v>
          </cell>
          <cell r="AG879">
            <v>11465</v>
          </cell>
          <cell r="AH879">
            <v>1230</v>
          </cell>
          <cell r="AI879">
            <v>1935</v>
          </cell>
          <cell r="AJ879">
            <v>649</v>
          </cell>
          <cell r="AL879">
            <v>1375.93</v>
          </cell>
          <cell r="AP879">
            <v>3473.0909999999999</v>
          </cell>
          <cell r="AV879">
            <v>56.79</v>
          </cell>
          <cell r="AZ879">
            <v>326.3</v>
          </cell>
          <cell r="BE879">
            <v>23966</v>
          </cell>
          <cell r="BG879">
            <v>137.5</v>
          </cell>
          <cell r="BH879">
            <v>823.65</v>
          </cell>
          <cell r="BY879">
            <v>400.39</v>
          </cell>
          <cell r="CD879">
            <v>385.8</v>
          </cell>
          <cell r="CE879">
            <v>371.75700000000001</v>
          </cell>
          <cell r="CF879">
            <v>455.54</v>
          </cell>
          <cell r="CG879">
            <v>1650</v>
          </cell>
          <cell r="CH879">
            <v>1525</v>
          </cell>
          <cell r="CI879">
            <v>125</v>
          </cell>
          <cell r="CJ879">
            <v>315</v>
          </cell>
          <cell r="CK879">
            <v>2245</v>
          </cell>
          <cell r="CM879">
            <v>339.6</v>
          </cell>
          <cell r="CN879">
            <v>26.18</v>
          </cell>
          <cell r="CO879">
            <v>17.3</v>
          </cell>
          <cell r="CQ879">
            <v>11.57</v>
          </cell>
          <cell r="CR879">
            <v>60</v>
          </cell>
          <cell r="CS879">
            <v>1988</v>
          </cell>
          <cell r="CU879">
            <v>2105</v>
          </cell>
          <cell r="CW879">
            <v>98.246951219512198</v>
          </cell>
          <cell r="CX879">
            <v>1152.7429999999999</v>
          </cell>
          <cell r="CZ879">
            <v>431.09</v>
          </cell>
          <cell r="DA879">
            <v>3934.9</v>
          </cell>
          <cell r="DB879">
            <v>11.42</v>
          </cell>
          <cell r="DC879">
            <v>457.3</v>
          </cell>
          <cell r="DD879">
            <v>134</v>
          </cell>
        </row>
        <row r="880">
          <cell r="A880">
            <v>39593</v>
          </cell>
          <cell r="C880">
            <v>28</v>
          </cell>
          <cell r="D880">
            <v>2.17</v>
          </cell>
          <cell r="E880">
            <v>4.9800000000000004</v>
          </cell>
          <cell r="L880">
            <v>1827.94</v>
          </cell>
          <cell r="M880">
            <v>2444.67</v>
          </cell>
          <cell r="N880">
            <v>6087.3</v>
          </cell>
          <cell r="O880">
            <v>5826</v>
          </cell>
          <cell r="Q880">
            <v>1080</v>
          </cell>
          <cell r="R880">
            <v>599.75</v>
          </cell>
          <cell r="S880">
            <v>752.5</v>
          </cell>
          <cell r="T880">
            <v>1368</v>
          </cell>
          <cell r="U880">
            <v>14012.2</v>
          </cell>
          <cell r="V880">
            <v>24714.07</v>
          </cell>
          <cell r="W880">
            <v>8834.73</v>
          </cell>
          <cell r="X880">
            <v>121.35</v>
          </cell>
          <cell r="Y880">
            <v>1460</v>
          </cell>
          <cell r="Z880">
            <v>1800</v>
          </cell>
          <cell r="AA880">
            <v>16649.64</v>
          </cell>
          <cell r="AB880">
            <v>5866.2</v>
          </cell>
          <cell r="AC880">
            <v>71451.796900000001</v>
          </cell>
          <cell r="AE880">
            <v>172.7</v>
          </cell>
          <cell r="AF880">
            <v>906.84</v>
          </cell>
          <cell r="AG880">
            <v>11465</v>
          </cell>
          <cell r="AH880">
            <v>1230</v>
          </cell>
          <cell r="AI880">
            <v>1935</v>
          </cell>
          <cell r="AJ880">
            <v>649</v>
          </cell>
          <cell r="AL880">
            <v>1375.93</v>
          </cell>
          <cell r="AP880">
            <v>3473.0909999999999</v>
          </cell>
          <cell r="AV880">
            <v>56.79</v>
          </cell>
          <cell r="AZ880">
            <v>326.3</v>
          </cell>
          <cell r="BE880">
            <v>23966</v>
          </cell>
          <cell r="BG880">
            <v>137.5</v>
          </cell>
          <cell r="BH880">
            <v>823.65</v>
          </cell>
          <cell r="BY880">
            <v>400.39</v>
          </cell>
          <cell r="CD880">
            <v>385.8</v>
          </cell>
          <cell r="CE880">
            <v>371.75700000000001</v>
          </cell>
          <cell r="CF880">
            <v>455.54</v>
          </cell>
          <cell r="CG880">
            <v>1650</v>
          </cell>
          <cell r="CH880">
            <v>1525</v>
          </cell>
          <cell r="CI880">
            <v>125</v>
          </cell>
          <cell r="CJ880">
            <v>315</v>
          </cell>
          <cell r="CK880">
            <v>2245</v>
          </cell>
          <cell r="CM880">
            <v>339.6</v>
          </cell>
          <cell r="CN880">
            <v>26.18</v>
          </cell>
          <cell r="CO880">
            <v>17.3</v>
          </cell>
          <cell r="CQ880">
            <v>11.57</v>
          </cell>
          <cell r="CR880">
            <v>60</v>
          </cell>
          <cell r="CS880">
            <v>1988</v>
          </cell>
          <cell r="CU880">
            <v>2105</v>
          </cell>
          <cell r="CW880">
            <v>98.246951219512198</v>
          </cell>
          <cell r="CX880">
            <v>1152.7429999999999</v>
          </cell>
          <cell r="CZ880">
            <v>431.09</v>
          </cell>
          <cell r="DA880">
            <v>3934.9</v>
          </cell>
          <cell r="DB880">
            <v>11.42</v>
          </cell>
          <cell r="DC880">
            <v>457.3</v>
          </cell>
          <cell r="DD880">
            <v>134</v>
          </cell>
        </row>
        <row r="881">
          <cell r="A881">
            <v>39594</v>
          </cell>
          <cell r="C881">
            <v>28</v>
          </cell>
          <cell r="D881">
            <v>2.17</v>
          </cell>
          <cell r="E881">
            <v>4.83</v>
          </cell>
          <cell r="L881">
            <v>1800.58</v>
          </cell>
          <cell r="M881">
            <v>2444.67</v>
          </cell>
          <cell r="N881">
            <v>6087.3</v>
          </cell>
          <cell r="O881">
            <v>5827</v>
          </cell>
          <cell r="Q881">
            <v>1080</v>
          </cell>
          <cell r="R881">
            <v>599.75</v>
          </cell>
          <cell r="S881">
            <v>752.5</v>
          </cell>
          <cell r="T881">
            <v>1368</v>
          </cell>
          <cell r="U881">
            <v>13690.19</v>
          </cell>
          <cell r="V881">
            <v>24127.31</v>
          </cell>
          <cell r="W881">
            <v>8707.83</v>
          </cell>
          <cell r="X881">
            <v>122.45</v>
          </cell>
          <cell r="Y881">
            <v>1460</v>
          </cell>
          <cell r="Z881">
            <v>1800</v>
          </cell>
          <cell r="AA881">
            <v>16348.5</v>
          </cell>
          <cell r="AB881">
            <v>5807.5</v>
          </cell>
          <cell r="AC881">
            <v>71628.742199999993</v>
          </cell>
          <cell r="AE881">
            <v>173.1</v>
          </cell>
          <cell r="AF881">
            <v>906.84</v>
          </cell>
          <cell r="AG881">
            <v>11465</v>
          </cell>
          <cell r="AH881">
            <v>1230</v>
          </cell>
          <cell r="AI881">
            <v>1935</v>
          </cell>
          <cell r="AJ881">
            <v>641.1</v>
          </cell>
          <cell r="AL881">
            <v>1375.93</v>
          </cell>
          <cell r="AP881">
            <v>3364.5439999999999</v>
          </cell>
          <cell r="AV881">
            <v>56.79</v>
          </cell>
          <cell r="AZ881">
            <v>335</v>
          </cell>
          <cell r="BE881">
            <v>23966</v>
          </cell>
          <cell r="BG881">
            <v>137.5</v>
          </cell>
          <cell r="BH881">
            <v>794.42</v>
          </cell>
          <cell r="BY881">
            <v>400.39</v>
          </cell>
          <cell r="CD881">
            <v>383.98</v>
          </cell>
          <cell r="CE881">
            <v>370.36099999999999</v>
          </cell>
          <cell r="CF881">
            <v>445.03</v>
          </cell>
          <cell r="CG881">
            <v>1650</v>
          </cell>
          <cell r="CH881">
            <v>1525</v>
          </cell>
          <cell r="CI881">
            <v>125</v>
          </cell>
          <cell r="CJ881">
            <v>315</v>
          </cell>
          <cell r="CK881">
            <v>2245</v>
          </cell>
          <cell r="CM881">
            <v>339.6</v>
          </cell>
          <cell r="CN881">
            <v>26.35</v>
          </cell>
          <cell r="CO881">
            <v>17.45</v>
          </cell>
          <cell r="CQ881">
            <v>11.57</v>
          </cell>
          <cell r="CR881">
            <v>60</v>
          </cell>
          <cell r="CS881">
            <v>1988</v>
          </cell>
          <cell r="CU881">
            <v>2105</v>
          </cell>
          <cell r="CW881">
            <v>96.417682926829272</v>
          </cell>
          <cell r="CX881">
            <v>1150.991</v>
          </cell>
          <cell r="CZ881">
            <v>431.09</v>
          </cell>
          <cell r="DA881">
            <v>3934.9</v>
          </cell>
          <cell r="DB881">
            <v>11.42</v>
          </cell>
          <cell r="DC881">
            <v>457.3</v>
          </cell>
          <cell r="DD881">
            <v>134</v>
          </cell>
        </row>
        <row r="882">
          <cell r="A882">
            <v>39595</v>
          </cell>
          <cell r="C882">
            <v>28</v>
          </cell>
          <cell r="D882">
            <v>2.15</v>
          </cell>
          <cell r="E882">
            <v>4.68</v>
          </cell>
          <cell r="L882">
            <v>1825.23</v>
          </cell>
          <cell r="M882">
            <v>2481.2399999999998</v>
          </cell>
          <cell r="N882">
            <v>6058.5</v>
          </cell>
          <cell r="O882">
            <v>5837</v>
          </cell>
          <cell r="Q882">
            <v>1080</v>
          </cell>
          <cell r="R882">
            <v>598</v>
          </cell>
          <cell r="S882">
            <v>759</v>
          </cell>
          <cell r="T882">
            <v>1347.75</v>
          </cell>
          <cell r="U882">
            <v>13893.31</v>
          </cell>
          <cell r="V882">
            <v>24282.04</v>
          </cell>
          <cell r="W882">
            <v>8778.39</v>
          </cell>
          <cell r="X882">
            <v>123.85</v>
          </cell>
          <cell r="Y882">
            <v>1460</v>
          </cell>
          <cell r="Z882">
            <v>1800</v>
          </cell>
          <cell r="AA882">
            <v>16275.59</v>
          </cell>
          <cell r="AB882">
            <v>5818.4</v>
          </cell>
          <cell r="AC882">
            <v>70992.0625</v>
          </cell>
          <cell r="AE882">
            <v>173.55</v>
          </cell>
          <cell r="AF882">
            <v>905.83</v>
          </cell>
          <cell r="AG882">
            <v>11269</v>
          </cell>
          <cell r="AH882">
            <v>1230</v>
          </cell>
          <cell r="AI882">
            <v>1935</v>
          </cell>
          <cell r="AJ882">
            <v>644.38</v>
          </cell>
          <cell r="AL882">
            <v>1385.35</v>
          </cell>
          <cell r="AP882">
            <v>3375.4070000000002</v>
          </cell>
          <cell r="AV882">
            <v>57.78</v>
          </cell>
          <cell r="AZ882">
            <v>336</v>
          </cell>
          <cell r="BE882">
            <v>23160</v>
          </cell>
          <cell r="BG882">
            <v>137.5</v>
          </cell>
          <cell r="BH882">
            <v>783.69</v>
          </cell>
          <cell r="BY882">
            <v>407.19</v>
          </cell>
          <cell r="CD882">
            <v>384.21</v>
          </cell>
          <cell r="CE882">
            <v>370.66500000000002</v>
          </cell>
          <cell r="CF882">
            <v>449.27</v>
          </cell>
          <cell r="CG882">
            <v>1650</v>
          </cell>
          <cell r="CH882">
            <v>1525</v>
          </cell>
          <cell r="CI882">
            <v>125</v>
          </cell>
          <cell r="CJ882">
            <v>315</v>
          </cell>
          <cell r="CK882">
            <v>2152</v>
          </cell>
          <cell r="CM882">
            <v>338.3</v>
          </cell>
          <cell r="CN882">
            <v>26.37</v>
          </cell>
          <cell r="CO882">
            <v>17.649999999999999</v>
          </cell>
          <cell r="CQ882">
            <v>11.85</v>
          </cell>
          <cell r="CR882">
            <v>60</v>
          </cell>
          <cell r="CS882">
            <v>2035.5</v>
          </cell>
          <cell r="CU882">
            <v>2105</v>
          </cell>
          <cell r="CW882">
            <v>96.265243902439025</v>
          </cell>
          <cell r="CX882">
            <v>1147.998</v>
          </cell>
          <cell r="CZ882">
            <v>425.24</v>
          </cell>
          <cell r="DA882">
            <v>3931.1</v>
          </cell>
          <cell r="DB882">
            <v>11.89</v>
          </cell>
          <cell r="DC882">
            <v>443.95</v>
          </cell>
          <cell r="DD882">
            <v>132</v>
          </cell>
        </row>
        <row r="883">
          <cell r="A883">
            <v>39596</v>
          </cell>
          <cell r="C883">
            <v>28</v>
          </cell>
          <cell r="D883">
            <v>2.14</v>
          </cell>
          <cell r="E883">
            <v>4.55</v>
          </cell>
          <cell r="L883">
            <v>1805.64</v>
          </cell>
          <cell r="M883">
            <v>2486.6999999999998</v>
          </cell>
          <cell r="N883">
            <v>6069.6</v>
          </cell>
          <cell r="O883">
            <v>5840</v>
          </cell>
          <cell r="Q883">
            <v>1080</v>
          </cell>
          <cell r="R883">
            <v>592.5</v>
          </cell>
          <cell r="S883">
            <v>759</v>
          </cell>
          <cell r="T883">
            <v>1372.75</v>
          </cell>
          <cell r="U883">
            <v>13709.44</v>
          </cell>
          <cell r="V883">
            <v>24249.51</v>
          </cell>
          <cell r="W883">
            <v>8665.73</v>
          </cell>
          <cell r="X883">
            <v>117.85</v>
          </cell>
          <cell r="Y883">
            <v>1460</v>
          </cell>
          <cell r="Z883">
            <v>1800</v>
          </cell>
          <cell r="AA883">
            <v>16525.37</v>
          </cell>
          <cell r="AB883">
            <v>5754.5</v>
          </cell>
          <cell r="AC883">
            <v>73153.226599999995</v>
          </cell>
          <cell r="AE883">
            <v>165.25</v>
          </cell>
          <cell r="AF883">
            <v>905.83</v>
          </cell>
          <cell r="AG883">
            <v>11245</v>
          </cell>
          <cell r="AH883">
            <v>1230</v>
          </cell>
          <cell r="AI883">
            <v>1935</v>
          </cell>
          <cell r="AJ883">
            <v>640.96</v>
          </cell>
          <cell r="AL883">
            <v>1390.84</v>
          </cell>
          <cell r="AP883">
            <v>3459.0259999999998</v>
          </cell>
          <cell r="AV883">
            <v>57.63</v>
          </cell>
          <cell r="AZ883">
            <v>332.9</v>
          </cell>
          <cell r="BE883">
            <v>22355</v>
          </cell>
          <cell r="BG883">
            <v>137.5</v>
          </cell>
          <cell r="BH883">
            <v>803.39</v>
          </cell>
          <cell r="BY883">
            <v>408.5</v>
          </cell>
          <cell r="CD883">
            <v>384.83</v>
          </cell>
          <cell r="CE883">
            <v>371.20299999999997</v>
          </cell>
          <cell r="CF883">
            <v>447.04</v>
          </cell>
          <cell r="CG883">
            <v>1650</v>
          </cell>
          <cell r="CH883">
            <v>1525</v>
          </cell>
          <cell r="CI883">
            <v>125</v>
          </cell>
          <cell r="CJ883">
            <v>315</v>
          </cell>
          <cell r="CK883">
            <v>2073</v>
          </cell>
          <cell r="CM883">
            <v>344.76</v>
          </cell>
          <cell r="CN883">
            <v>26.25</v>
          </cell>
          <cell r="CO883">
            <v>17.649999999999999</v>
          </cell>
          <cell r="CQ883">
            <v>11.59</v>
          </cell>
          <cell r="CR883">
            <v>60</v>
          </cell>
          <cell r="CS883">
            <v>2009.25</v>
          </cell>
          <cell r="CU883">
            <v>2105</v>
          </cell>
          <cell r="CW883">
            <v>91.082317073170742</v>
          </cell>
          <cell r="CX883">
            <v>1141.501</v>
          </cell>
          <cell r="CZ883">
            <v>428</v>
          </cell>
          <cell r="DA883">
            <v>3873.1</v>
          </cell>
          <cell r="DB883">
            <v>11.74</v>
          </cell>
          <cell r="DC883">
            <v>436.25</v>
          </cell>
          <cell r="DD883">
            <v>135.6</v>
          </cell>
        </row>
        <row r="884">
          <cell r="A884">
            <v>39597</v>
          </cell>
          <cell r="C884">
            <v>28</v>
          </cell>
          <cell r="D884">
            <v>2.13</v>
          </cell>
          <cell r="E884">
            <v>4.5</v>
          </cell>
          <cell r="L884">
            <v>1841.22</v>
          </cell>
          <cell r="M884">
            <v>2508.3200000000002</v>
          </cell>
          <cell r="N884">
            <v>6068.1</v>
          </cell>
          <cell r="O884">
            <v>5861</v>
          </cell>
          <cell r="Q884">
            <v>1080</v>
          </cell>
          <cell r="R884">
            <v>582.25</v>
          </cell>
          <cell r="S884">
            <v>743.5</v>
          </cell>
          <cell r="T884">
            <v>1322.75</v>
          </cell>
          <cell r="U884">
            <v>14124.47</v>
          </cell>
          <cell r="V884">
            <v>24383.99</v>
          </cell>
          <cell r="W884">
            <v>8684.92</v>
          </cell>
          <cell r="X884">
            <v>119.3</v>
          </cell>
          <cell r="Y884">
            <v>1460</v>
          </cell>
          <cell r="Z884">
            <v>1800</v>
          </cell>
          <cell r="AA884">
            <v>16316.26</v>
          </cell>
          <cell r="AB884">
            <v>5817.2</v>
          </cell>
          <cell r="AC884">
            <v>71797.539099999995</v>
          </cell>
          <cell r="AE884">
            <v>168.5</v>
          </cell>
          <cell r="AF884">
            <v>905.83</v>
          </cell>
          <cell r="AG884">
            <v>11347</v>
          </cell>
          <cell r="AH884">
            <v>1230</v>
          </cell>
          <cell r="AI884">
            <v>1935</v>
          </cell>
          <cell r="AJ884">
            <v>646.79999999999995</v>
          </cell>
          <cell r="AL884">
            <v>1398.26</v>
          </cell>
          <cell r="AP884">
            <v>3401.4369999999999</v>
          </cell>
          <cell r="AV884">
            <v>58.66</v>
          </cell>
          <cell r="AZ884">
            <v>329.9</v>
          </cell>
          <cell r="BE884">
            <v>22068</v>
          </cell>
          <cell r="BG884">
            <v>137.5</v>
          </cell>
          <cell r="BH884">
            <v>800.28</v>
          </cell>
          <cell r="BY884">
            <v>406.84</v>
          </cell>
          <cell r="CD884">
            <v>386.24</v>
          </cell>
          <cell r="CE884">
            <v>372.47800000000001</v>
          </cell>
          <cell r="CF884">
            <v>451.41</v>
          </cell>
          <cell r="CG884">
            <v>1650</v>
          </cell>
          <cell r="CH884">
            <v>1525</v>
          </cell>
          <cell r="CI884">
            <v>125</v>
          </cell>
          <cell r="CJ884">
            <v>315</v>
          </cell>
          <cell r="CK884">
            <v>2029</v>
          </cell>
          <cell r="CM884">
            <v>340.42</v>
          </cell>
          <cell r="CN884">
            <v>26.63</v>
          </cell>
          <cell r="CO884">
            <v>17.8</v>
          </cell>
          <cell r="CQ884">
            <v>11.81</v>
          </cell>
          <cell r="CR884">
            <v>60</v>
          </cell>
          <cell r="CS884">
            <v>1932.75</v>
          </cell>
          <cell r="CU884">
            <v>2105</v>
          </cell>
          <cell r="CW884">
            <v>92.454268292682926</v>
          </cell>
          <cell r="CX884">
            <v>1132.0840000000001</v>
          </cell>
          <cell r="CZ884">
            <v>417.88</v>
          </cell>
          <cell r="DA884">
            <v>3750.8</v>
          </cell>
          <cell r="DB884">
            <v>11.61</v>
          </cell>
          <cell r="DC884">
            <v>427.8</v>
          </cell>
          <cell r="DD884">
            <v>132.5</v>
          </cell>
        </row>
        <row r="885">
          <cell r="A885">
            <v>39598</v>
          </cell>
          <cell r="C885">
            <v>28</v>
          </cell>
          <cell r="D885">
            <v>2.13</v>
          </cell>
          <cell r="E885">
            <v>4.49</v>
          </cell>
          <cell r="L885">
            <v>1852.02</v>
          </cell>
          <cell r="M885">
            <v>2522.66</v>
          </cell>
          <cell r="N885">
            <v>6053.5</v>
          </cell>
          <cell r="O885">
            <v>5875</v>
          </cell>
          <cell r="Q885">
            <v>1080</v>
          </cell>
          <cell r="R885">
            <v>599.25</v>
          </cell>
          <cell r="S885">
            <v>761.5</v>
          </cell>
          <cell r="T885">
            <v>1363.5</v>
          </cell>
          <cell r="U885">
            <v>14338.54</v>
          </cell>
          <cell r="V885">
            <v>24533.119999999999</v>
          </cell>
          <cell r="W885">
            <v>8619.08</v>
          </cell>
          <cell r="X885">
            <v>117.15</v>
          </cell>
          <cell r="Y885">
            <v>1460</v>
          </cell>
          <cell r="Z885">
            <v>1840</v>
          </cell>
          <cell r="AA885">
            <v>16415.57</v>
          </cell>
          <cell r="AB885">
            <v>5773.9</v>
          </cell>
          <cell r="AC885">
            <v>72592.5</v>
          </cell>
          <cell r="AE885">
            <v>159.9</v>
          </cell>
          <cell r="AF885">
            <v>905.83</v>
          </cell>
          <cell r="AG885">
            <v>11440</v>
          </cell>
          <cell r="AH885">
            <v>1240</v>
          </cell>
          <cell r="AI885">
            <v>2035</v>
          </cell>
          <cell r="AJ885">
            <v>652.15</v>
          </cell>
          <cell r="AL885">
            <v>1400.38</v>
          </cell>
          <cell r="AP885">
            <v>3433.3539999999998</v>
          </cell>
          <cell r="AV885">
            <v>59.41</v>
          </cell>
          <cell r="AZ885">
            <v>312.2</v>
          </cell>
          <cell r="BE885">
            <v>21963</v>
          </cell>
          <cell r="BG885">
            <v>151.5</v>
          </cell>
          <cell r="BH885">
            <v>800.15</v>
          </cell>
          <cell r="BY885">
            <v>415.2</v>
          </cell>
          <cell r="CD885">
            <v>387.75</v>
          </cell>
          <cell r="CE885">
            <v>373.79500000000002</v>
          </cell>
          <cell r="CF885">
            <v>454.27</v>
          </cell>
          <cell r="CG885">
            <v>1690</v>
          </cell>
          <cell r="CH885">
            <v>1545</v>
          </cell>
          <cell r="CI885">
            <v>125</v>
          </cell>
          <cell r="CJ885">
            <v>315</v>
          </cell>
          <cell r="CK885">
            <v>1993</v>
          </cell>
          <cell r="CM885">
            <v>340.89</v>
          </cell>
          <cell r="CN885">
            <v>26.25</v>
          </cell>
          <cell r="CO885">
            <v>17.899999999999999</v>
          </cell>
          <cell r="CQ885">
            <v>11.45</v>
          </cell>
          <cell r="CR885">
            <v>60</v>
          </cell>
          <cell r="CS885">
            <v>1956.5</v>
          </cell>
          <cell r="CU885">
            <v>2105</v>
          </cell>
          <cell r="CW885">
            <v>90.777439024390247</v>
          </cell>
          <cell r="CX885">
            <v>1134.4929999999999</v>
          </cell>
          <cell r="CZ885">
            <v>422.17</v>
          </cell>
          <cell r="DA885">
            <v>3774.9</v>
          </cell>
          <cell r="DB885">
            <v>11.75</v>
          </cell>
          <cell r="DC885">
            <v>435</v>
          </cell>
          <cell r="DD885">
            <v>133.9</v>
          </cell>
        </row>
        <row r="886">
          <cell r="A886">
            <v>39599</v>
          </cell>
          <cell r="C886">
            <v>28</v>
          </cell>
          <cell r="D886">
            <v>2.13</v>
          </cell>
          <cell r="E886">
            <v>4.49</v>
          </cell>
          <cell r="L886">
            <v>1852.02</v>
          </cell>
          <cell r="M886">
            <v>2522.66</v>
          </cell>
          <cell r="N886">
            <v>6053.5</v>
          </cell>
          <cell r="O886">
            <v>5875</v>
          </cell>
          <cell r="Q886">
            <v>1080</v>
          </cell>
          <cell r="R886">
            <v>599.25</v>
          </cell>
          <cell r="S886">
            <v>761.5</v>
          </cell>
          <cell r="T886">
            <v>1363.5</v>
          </cell>
          <cell r="U886">
            <v>14338.54</v>
          </cell>
          <cell r="V886">
            <v>24533.119999999999</v>
          </cell>
          <cell r="W886">
            <v>8619.08</v>
          </cell>
          <cell r="X886">
            <v>117.15</v>
          </cell>
          <cell r="Y886">
            <v>1460</v>
          </cell>
          <cell r="Z886">
            <v>1840</v>
          </cell>
          <cell r="AA886">
            <v>16415.57</v>
          </cell>
          <cell r="AB886">
            <v>5773.9</v>
          </cell>
          <cell r="AC886">
            <v>72592.5</v>
          </cell>
          <cell r="AE886">
            <v>159.9</v>
          </cell>
          <cell r="AF886">
            <v>905.83</v>
          </cell>
          <cell r="AG886">
            <v>11440</v>
          </cell>
          <cell r="AH886">
            <v>1240</v>
          </cell>
          <cell r="AI886">
            <v>2035</v>
          </cell>
          <cell r="AJ886">
            <v>652.15</v>
          </cell>
          <cell r="AL886">
            <v>1400.38</v>
          </cell>
          <cell r="AP886">
            <v>3433.3539999999998</v>
          </cell>
          <cell r="AV886">
            <v>59.41</v>
          </cell>
          <cell r="AZ886">
            <v>312.2</v>
          </cell>
          <cell r="BE886">
            <v>21963</v>
          </cell>
          <cell r="BG886">
            <v>151.5</v>
          </cell>
          <cell r="BH886">
            <v>800.15</v>
          </cell>
          <cell r="BY886">
            <v>415.2</v>
          </cell>
          <cell r="CD886">
            <v>387.75</v>
          </cell>
          <cell r="CE886">
            <v>373.79500000000002</v>
          </cell>
          <cell r="CF886">
            <v>454.27</v>
          </cell>
          <cell r="CG886">
            <v>1690</v>
          </cell>
          <cell r="CH886">
            <v>1545</v>
          </cell>
          <cell r="CI886">
            <v>125</v>
          </cell>
          <cell r="CJ886">
            <v>315</v>
          </cell>
          <cell r="CK886">
            <v>1993</v>
          </cell>
          <cell r="CM886">
            <v>340.89</v>
          </cell>
          <cell r="CN886">
            <v>26.25</v>
          </cell>
          <cell r="CO886">
            <v>17.899999999999999</v>
          </cell>
          <cell r="CQ886">
            <v>11.45</v>
          </cell>
          <cell r="CR886">
            <v>60</v>
          </cell>
          <cell r="CS886">
            <v>1956.5</v>
          </cell>
          <cell r="CU886">
            <v>2105</v>
          </cell>
          <cell r="CW886">
            <v>90.777439024390247</v>
          </cell>
          <cell r="CX886">
            <v>1134.4929999999999</v>
          </cell>
          <cell r="CZ886">
            <v>422.17</v>
          </cell>
          <cell r="DA886">
            <v>3774.9</v>
          </cell>
          <cell r="DB886">
            <v>11.75</v>
          </cell>
          <cell r="DC886">
            <v>435</v>
          </cell>
          <cell r="DD886">
            <v>133.9</v>
          </cell>
        </row>
        <row r="887">
          <cell r="A887">
            <v>39600</v>
          </cell>
          <cell r="C887">
            <v>28</v>
          </cell>
          <cell r="D887">
            <v>2.13</v>
          </cell>
          <cell r="E887">
            <v>4.49</v>
          </cell>
          <cell r="L887">
            <v>1852.02</v>
          </cell>
          <cell r="M887">
            <v>2522.66</v>
          </cell>
          <cell r="N887">
            <v>6053.5</v>
          </cell>
          <cell r="O887">
            <v>5875</v>
          </cell>
          <cell r="Q887">
            <v>1080</v>
          </cell>
          <cell r="R887">
            <v>599.25</v>
          </cell>
          <cell r="S887">
            <v>761.5</v>
          </cell>
          <cell r="T887">
            <v>1363.5</v>
          </cell>
          <cell r="U887">
            <v>14338.54</v>
          </cell>
          <cell r="V887">
            <v>24533.119999999999</v>
          </cell>
          <cell r="W887">
            <v>8619.08</v>
          </cell>
          <cell r="X887">
            <v>117.15</v>
          </cell>
          <cell r="Y887">
            <v>1460</v>
          </cell>
          <cell r="Z887">
            <v>1840</v>
          </cell>
          <cell r="AA887">
            <v>16415.57</v>
          </cell>
          <cell r="AB887">
            <v>5773.9</v>
          </cell>
          <cell r="AC887">
            <v>72592.5</v>
          </cell>
          <cell r="AE887">
            <v>159.9</v>
          </cell>
          <cell r="AF887">
            <v>905.83</v>
          </cell>
          <cell r="AG887">
            <v>11440</v>
          </cell>
          <cell r="AH887">
            <v>1240</v>
          </cell>
          <cell r="AI887">
            <v>2035</v>
          </cell>
          <cell r="AJ887">
            <v>652.15</v>
          </cell>
          <cell r="AL887">
            <v>1400.38</v>
          </cell>
          <cell r="AP887">
            <v>3433.3539999999998</v>
          </cell>
          <cell r="AV887">
            <v>59.41</v>
          </cell>
          <cell r="AZ887">
            <v>312.2</v>
          </cell>
          <cell r="BE887">
            <v>21963</v>
          </cell>
          <cell r="BG887">
            <v>151.5</v>
          </cell>
          <cell r="BH887">
            <v>800.15</v>
          </cell>
          <cell r="BY887">
            <v>415.2</v>
          </cell>
          <cell r="CD887">
            <v>387.75</v>
          </cell>
          <cell r="CE887">
            <v>373.79500000000002</v>
          </cell>
          <cell r="CF887">
            <v>454.27</v>
          </cell>
          <cell r="CG887">
            <v>1690</v>
          </cell>
          <cell r="CH887">
            <v>1545</v>
          </cell>
          <cell r="CI887">
            <v>125</v>
          </cell>
          <cell r="CJ887">
            <v>315</v>
          </cell>
          <cell r="CK887">
            <v>1993</v>
          </cell>
          <cell r="CM887">
            <v>340.89</v>
          </cell>
          <cell r="CN887">
            <v>26.25</v>
          </cell>
          <cell r="CO887">
            <v>17.899999999999999</v>
          </cell>
          <cell r="CQ887">
            <v>11.45</v>
          </cell>
          <cell r="CR887">
            <v>60</v>
          </cell>
          <cell r="CS887">
            <v>1956.5</v>
          </cell>
          <cell r="CU887">
            <v>2105</v>
          </cell>
          <cell r="CW887">
            <v>90.777439024390247</v>
          </cell>
          <cell r="CX887">
            <v>1134.4929999999999</v>
          </cell>
          <cell r="CZ887">
            <v>422.17</v>
          </cell>
          <cell r="DA887">
            <v>3774.9</v>
          </cell>
          <cell r="DB887">
            <v>11.75</v>
          </cell>
          <cell r="DC887">
            <v>435</v>
          </cell>
          <cell r="DD887">
            <v>133.9</v>
          </cell>
        </row>
        <row r="888">
          <cell r="A888">
            <v>39601</v>
          </cell>
          <cell r="C888">
            <v>28</v>
          </cell>
          <cell r="D888">
            <v>2.13</v>
          </cell>
          <cell r="E888">
            <v>4.47</v>
          </cell>
          <cell r="L888">
            <v>1847.53</v>
          </cell>
          <cell r="M888">
            <v>2491.5300000000002</v>
          </cell>
          <cell r="N888">
            <v>6007.6</v>
          </cell>
          <cell r="O888">
            <v>5918</v>
          </cell>
          <cell r="Q888">
            <v>1080</v>
          </cell>
          <cell r="R888">
            <v>615.75</v>
          </cell>
          <cell r="S888">
            <v>782.5</v>
          </cell>
          <cell r="T888">
            <v>1365.5</v>
          </cell>
          <cell r="U888">
            <v>14440.14</v>
          </cell>
          <cell r="V888">
            <v>24831.360000000001</v>
          </cell>
          <cell r="W888">
            <v>8724.4699999999993</v>
          </cell>
          <cell r="X888">
            <v>118.95</v>
          </cell>
          <cell r="Y888">
            <v>1460</v>
          </cell>
          <cell r="Z888">
            <v>1840</v>
          </cell>
          <cell r="AA888">
            <v>16063.18</v>
          </cell>
          <cell r="AB888">
            <v>5781.2</v>
          </cell>
          <cell r="AC888">
            <v>71897.25</v>
          </cell>
          <cell r="AE888">
            <v>160.25</v>
          </cell>
          <cell r="AF888">
            <v>905.83</v>
          </cell>
          <cell r="AG888">
            <v>11458</v>
          </cell>
          <cell r="AH888">
            <v>1240</v>
          </cell>
          <cell r="AI888">
            <v>2035</v>
          </cell>
          <cell r="AJ888">
            <v>651.11</v>
          </cell>
          <cell r="AL888">
            <v>1385.67</v>
          </cell>
          <cell r="AP888">
            <v>3459.0439999999999</v>
          </cell>
          <cell r="AV888">
            <v>58.79</v>
          </cell>
          <cell r="AZ888">
            <v>312</v>
          </cell>
          <cell r="BE888">
            <v>22050</v>
          </cell>
          <cell r="BG888">
            <v>151.5</v>
          </cell>
          <cell r="BH888">
            <v>816.45</v>
          </cell>
          <cell r="BY888">
            <v>409.31</v>
          </cell>
          <cell r="CD888">
            <v>385.48</v>
          </cell>
          <cell r="CE888">
            <v>371.41</v>
          </cell>
          <cell r="CF888">
            <v>456.8</v>
          </cell>
          <cell r="CG888">
            <v>1690</v>
          </cell>
          <cell r="CH888">
            <v>1545</v>
          </cell>
          <cell r="CI888">
            <v>125</v>
          </cell>
          <cell r="CJ888">
            <v>315</v>
          </cell>
          <cell r="CK888">
            <v>1921</v>
          </cell>
          <cell r="CM888">
            <v>339.07</v>
          </cell>
          <cell r="CN888">
            <v>26.45</v>
          </cell>
          <cell r="CO888">
            <v>18</v>
          </cell>
          <cell r="CQ888">
            <v>11.8</v>
          </cell>
          <cell r="CR888">
            <v>60</v>
          </cell>
          <cell r="CS888">
            <v>1996</v>
          </cell>
          <cell r="CU888">
            <v>2105</v>
          </cell>
          <cell r="CW888">
            <v>90.091463414634148</v>
          </cell>
          <cell r="CX888">
            <v>1136.0260000000001</v>
          </cell>
          <cell r="CZ888">
            <v>425.77</v>
          </cell>
          <cell r="DA888">
            <v>3778.9</v>
          </cell>
          <cell r="DB888">
            <v>12.36</v>
          </cell>
          <cell r="DC888">
            <v>437.9</v>
          </cell>
          <cell r="DD888">
            <v>137.35</v>
          </cell>
        </row>
        <row r="889">
          <cell r="A889">
            <v>39602</v>
          </cell>
          <cell r="C889">
            <v>28</v>
          </cell>
          <cell r="D889">
            <v>2.13</v>
          </cell>
          <cell r="E889">
            <v>4.5599999999999996</v>
          </cell>
          <cell r="L889">
            <v>1819.39</v>
          </cell>
          <cell r="M889">
            <v>2480.48</v>
          </cell>
          <cell r="N889">
            <v>6057.7</v>
          </cell>
          <cell r="O889">
            <v>5949</v>
          </cell>
          <cell r="Q889">
            <v>1080</v>
          </cell>
          <cell r="R889">
            <v>608</v>
          </cell>
          <cell r="S889">
            <v>750.5</v>
          </cell>
          <cell r="T889">
            <v>1359.5</v>
          </cell>
          <cell r="U889">
            <v>14209.17</v>
          </cell>
          <cell r="V889">
            <v>24375.759999999998</v>
          </cell>
          <cell r="W889">
            <v>8579.43</v>
          </cell>
          <cell r="X889">
            <v>120.45</v>
          </cell>
          <cell r="Y889">
            <v>1460</v>
          </cell>
          <cell r="Z889">
            <v>1840</v>
          </cell>
          <cell r="AA889">
            <v>15962.56</v>
          </cell>
          <cell r="AB889">
            <v>5703</v>
          </cell>
          <cell r="AC889">
            <v>70011.921900000001</v>
          </cell>
          <cell r="AE889">
            <v>162.19999999999999</v>
          </cell>
          <cell r="AF889">
            <v>902.32</v>
          </cell>
          <cell r="AG889">
            <v>11503</v>
          </cell>
          <cell r="AH889">
            <v>1240</v>
          </cell>
          <cell r="AI889">
            <v>2035</v>
          </cell>
          <cell r="AJ889">
            <v>643.66999999999996</v>
          </cell>
          <cell r="AL889">
            <v>1377.65</v>
          </cell>
          <cell r="AP889">
            <v>3436.3980000000001</v>
          </cell>
          <cell r="AV889">
            <v>58.21</v>
          </cell>
          <cell r="AZ889">
            <v>318</v>
          </cell>
          <cell r="BE889">
            <v>22163</v>
          </cell>
          <cell r="BG889">
            <v>151.5</v>
          </cell>
          <cell r="BH889">
            <v>817.9</v>
          </cell>
          <cell r="BY889">
            <v>407.8</v>
          </cell>
          <cell r="CD889">
            <v>383.32</v>
          </cell>
          <cell r="CE889">
            <v>369.75200000000001</v>
          </cell>
          <cell r="CF889">
            <v>448.67</v>
          </cell>
          <cell r="CG889">
            <v>1690</v>
          </cell>
          <cell r="CH889">
            <v>1545</v>
          </cell>
          <cell r="CI889">
            <v>125</v>
          </cell>
          <cell r="CJ889">
            <v>315</v>
          </cell>
          <cell r="CK889">
            <v>1848</v>
          </cell>
          <cell r="CM889">
            <v>335.25</v>
          </cell>
          <cell r="CN889">
            <v>27.05</v>
          </cell>
          <cell r="CO889">
            <v>19.100000000000001</v>
          </cell>
          <cell r="CQ889">
            <v>12.26</v>
          </cell>
          <cell r="CR889">
            <v>60</v>
          </cell>
          <cell r="CS889">
            <v>2039.5</v>
          </cell>
          <cell r="CU889">
            <v>2105</v>
          </cell>
          <cell r="CW889">
            <v>89.253048780487816</v>
          </cell>
          <cell r="CX889">
            <v>1127.1199999999999</v>
          </cell>
          <cell r="CZ889">
            <v>419.73</v>
          </cell>
          <cell r="DA889">
            <v>3775.7</v>
          </cell>
          <cell r="DB889">
            <v>11.88</v>
          </cell>
          <cell r="DC889">
            <v>435.05</v>
          </cell>
          <cell r="DD889">
            <v>132.5</v>
          </cell>
        </row>
        <row r="890">
          <cell r="A890">
            <v>39603</v>
          </cell>
          <cell r="C890">
            <v>28</v>
          </cell>
          <cell r="D890">
            <v>2.13</v>
          </cell>
          <cell r="E890">
            <v>4.6500000000000004</v>
          </cell>
          <cell r="L890">
            <v>1833.81</v>
          </cell>
          <cell r="M890">
            <v>2503.14</v>
          </cell>
          <cell r="N890">
            <v>5970.1</v>
          </cell>
          <cell r="O890">
            <v>5955</v>
          </cell>
          <cell r="Q890">
            <v>1080</v>
          </cell>
          <cell r="R890">
            <v>614.5</v>
          </cell>
          <cell r="S890">
            <v>753</v>
          </cell>
          <cell r="T890">
            <v>1389</v>
          </cell>
          <cell r="U890">
            <v>14435.57</v>
          </cell>
          <cell r="V890">
            <v>24123.25</v>
          </cell>
          <cell r="W890">
            <v>8627.7999999999993</v>
          </cell>
          <cell r="X890">
            <v>119.55</v>
          </cell>
          <cell r="Y890">
            <v>1460</v>
          </cell>
          <cell r="Z890">
            <v>1840</v>
          </cell>
          <cell r="AA890">
            <v>15514.79</v>
          </cell>
          <cell r="AB890">
            <v>5698.2</v>
          </cell>
          <cell r="AC890">
            <v>68673.140599999999</v>
          </cell>
          <cell r="AE890">
            <v>158.25</v>
          </cell>
          <cell r="AF890">
            <v>902.32</v>
          </cell>
          <cell r="AG890">
            <v>11623</v>
          </cell>
          <cell r="AH890">
            <v>1240</v>
          </cell>
          <cell r="AI890">
            <v>2035</v>
          </cell>
          <cell r="AJ890">
            <v>645.85</v>
          </cell>
          <cell r="AL890">
            <v>1377.2</v>
          </cell>
          <cell r="AP890">
            <v>3369.913</v>
          </cell>
          <cell r="AV890">
            <v>58.39</v>
          </cell>
          <cell r="AZ890">
            <v>316.7</v>
          </cell>
          <cell r="BE890">
            <v>22670</v>
          </cell>
          <cell r="BG890">
            <v>151.5</v>
          </cell>
          <cell r="BH890">
            <v>786.64</v>
          </cell>
          <cell r="BY890">
            <v>413.18</v>
          </cell>
          <cell r="CD890">
            <v>381.62</v>
          </cell>
          <cell r="CE890">
            <v>368.608</v>
          </cell>
          <cell r="CF890">
            <v>445.42</v>
          </cell>
          <cell r="CG890">
            <v>1690</v>
          </cell>
          <cell r="CH890">
            <v>1545</v>
          </cell>
          <cell r="CI890">
            <v>125</v>
          </cell>
          <cell r="CJ890">
            <v>315</v>
          </cell>
          <cell r="CK890">
            <v>1807</v>
          </cell>
          <cell r="CM890">
            <v>319.51</v>
          </cell>
          <cell r="CN890">
            <v>26.7</v>
          </cell>
          <cell r="CO890">
            <v>19.25</v>
          </cell>
          <cell r="CQ890">
            <v>12.16</v>
          </cell>
          <cell r="CR890">
            <v>60</v>
          </cell>
          <cell r="CS890">
            <v>1984.5</v>
          </cell>
          <cell r="CU890">
            <v>2105</v>
          </cell>
          <cell r="CW890">
            <v>87.728658536585371</v>
          </cell>
          <cell r="CX890">
            <v>1128.434</v>
          </cell>
          <cell r="CZ890">
            <v>416.75</v>
          </cell>
          <cell r="DA890">
            <v>3764.5</v>
          </cell>
          <cell r="DB890">
            <v>11.64</v>
          </cell>
          <cell r="DC890">
            <v>429.2</v>
          </cell>
          <cell r="DD890">
            <v>132.75</v>
          </cell>
        </row>
        <row r="891">
          <cell r="A891">
            <v>39604</v>
          </cell>
          <cell r="C891">
            <v>28</v>
          </cell>
          <cell r="D891">
            <v>2.15</v>
          </cell>
          <cell r="E891">
            <v>4.71</v>
          </cell>
          <cell r="L891">
            <v>1832.31</v>
          </cell>
          <cell r="M891">
            <v>2549.94</v>
          </cell>
          <cell r="N891">
            <v>5995.3</v>
          </cell>
          <cell r="O891">
            <v>5957</v>
          </cell>
          <cell r="Q891">
            <v>1110</v>
          </cell>
          <cell r="R891">
            <v>643.25</v>
          </cell>
          <cell r="S891">
            <v>785.5</v>
          </cell>
          <cell r="T891">
            <v>1452</v>
          </cell>
          <cell r="U891">
            <v>14341.12</v>
          </cell>
          <cell r="V891">
            <v>24255.29</v>
          </cell>
          <cell r="W891">
            <v>8738.4599999999991</v>
          </cell>
          <cell r="X891">
            <v>116.15</v>
          </cell>
          <cell r="Y891">
            <v>1460</v>
          </cell>
          <cell r="Z891">
            <v>1840</v>
          </cell>
          <cell r="AA891">
            <v>15769.72</v>
          </cell>
          <cell r="AB891">
            <v>5633.8</v>
          </cell>
          <cell r="AC891">
            <v>71209.117199999993</v>
          </cell>
          <cell r="AE891">
            <v>156.19999999999999</v>
          </cell>
          <cell r="AF891">
            <v>902.32</v>
          </cell>
          <cell r="AG891">
            <v>11689</v>
          </cell>
          <cell r="AH891">
            <v>1240</v>
          </cell>
          <cell r="AI891">
            <v>2035</v>
          </cell>
          <cell r="AJ891">
            <v>644.09</v>
          </cell>
          <cell r="AL891">
            <v>1404.05</v>
          </cell>
          <cell r="AP891">
            <v>3351.645</v>
          </cell>
          <cell r="AV891">
            <v>59.24</v>
          </cell>
          <cell r="AZ891">
            <v>323.2</v>
          </cell>
          <cell r="BE891">
            <v>22695</v>
          </cell>
          <cell r="BG891">
            <v>151.5</v>
          </cell>
          <cell r="BH891">
            <v>782.68</v>
          </cell>
          <cell r="BY891">
            <v>417.53</v>
          </cell>
          <cell r="CD891">
            <v>385.2</v>
          </cell>
          <cell r="CE891">
            <v>372.06</v>
          </cell>
          <cell r="CF891">
            <v>445.49</v>
          </cell>
          <cell r="CG891">
            <v>1690</v>
          </cell>
          <cell r="CH891">
            <v>1545</v>
          </cell>
          <cell r="CI891">
            <v>125</v>
          </cell>
          <cell r="CJ891">
            <v>315</v>
          </cell>
          <cell r="CK891">
            <v>1787</v>
          </cell>
          <cell r="CM891">
            <v>333.45</v>
          </cell>
          <cell r="CN891">
            <v>26.48</v>
          </cell>
          <cell r="CO891">
            <v>19.5</v>
          </cell>
          <cell r="CQ891">
            <v>12.49</v>
          </cell>
          <cell r="CR891">
            <v>60</v>
          </cell>
          <cell r="CS891">
            <v>1918.25</v>
          </cell>
          <cell r="CU891">
            <v>2105</v>
          </cell>
          <cell r="CW891">
            <v>86.966463414634148</v>
          </cell>
          <cell r="CX891">
            <v>1136.6830000000002</v>
          </cell>
          <cell r="CZ891">
            <v>426.16</v>
          </cell>
          <cell r="DA891">
            <v>3753.1</v>
          </cell>
          <cell r="DB891">
            <v>11.86</v>
          </cell>
          <cell r="DC891">
            <v>422.9</v>
          </cell>
          <cell r="DD891">
            <v>135.80000000000001</v>
          </cell>
        </row>
        <row r="892">
          <cell r="A892">
            <v>39605</v>
          </cell>
          <cell r="C892">
            <v>28</v>
          </cell>
          <cell r="D892">
            <v>2.16</v>
          </cell>
          <cell r="E892">
            <v>5.04</v>
          </cell>
          <cell r="L892">
            <v>1832.31</v>
          </cell>
          <cell r="M892">
            <v>2474.56</v>
          </cell>
          <cell r="N892">
            <v>5906.8</v>
          </cell>
          <cell r="O892">
            <v>5952</v>
          </cell>
          <cell r="Q892">
            <v>1110</v>
          </cell>
          <cell r="R892">
            <v>650.75</v>
          </cell>
          <cell r="S892">
            <v>811</v>
          </cell>
          <cell r="T892">
            <v>1457.5</v>
          </cell>
          <cell r="U892">
            <v>14489.44</v>
          </cell>
          <cell r="V892">
            <v>24402.18</v>
          </cell>
          <cell r="W892">
            <v>8745.35</v>
          </cell>
          <cell r="X892">
            <v>119.65</v>
          </cell>
          <cell r="Y892">
            <v>1505</v>
          </cell>
          <cell r="Z892">
            <v>1840</v>
          </cell>
          <cell r="AA892">
            <v>15572.18</v>
          </cell>
          <cell r="AB892">
            <v>5691.2</v>
          </cell>
          <cell r="AC892">
            <v>69785.867199999993</v>
          </cell>
          <cell r="AE892">
            <v>162.15</v>
          </cell>
          <cell r="AF892">
            <v>902.32</v>
          </cell>
          <cell r="AG892">
            <v>11612</v>
          </cell>
          <cell r="AH892">
            <v>1250</v>
          </cell>
          <cell r="AI892">
            <v>2085</v>
          </cell>
          <cell r="AJ892">
            <v>644.09</v>
          </cell>
          <cell r="AL892">
            <v>1360.68</v>
          </cell>
          <cell r="AP892">
            <v>3329.67</v>
          </cell>
          <cell r="AV892">
            <v>57.03</v>
          </cell>
          <cell r="AZ892">
            <v>330.6</v>
          </cell>
          <cell r="BE892">
            <v>21900</v>
          </cell>
          <cell r="BG892">
            <v>156.25</v>
          </cell>
          <cell r="BH892">
            <v>792.59</v>
          </cell>
          <cell r="BY892">
            <v>405.48</v>
          </cell>
          <cell r="CD892">
            <v>380.16</v>
          </cell>
          <cell r="CE892">
            <v>366.63</v>
          </cell>
          <cell r="CF892">
            <v>447.19</v>
          </cell>
          <cell r="CG892">
            <v>1720</v>
          </cell>
          <cell r="CH892">
            <v>1655</v>
          </cell>
          <cell r="CI892">
            <v>125</v>
          </cell>
          <cell r="CJ892">
            <v>315</v>
          </cell>
          <cell r="CK892">
            <v>1780</v>
          </cell>
          <cell r="CM892">
            <v>354.8</v>
          </cell>
          <cell r="CN892">
            <v>27.5</v>
          </cell>
          <cell r="CO892">
            <v>20.45</v>
          </cell>
          <cell r="CQ892">
            <v>12.71</v>
          </cell>
          <cell r="CR892">
            <v>60</v>
          </cell>
          <cell r="CS892">
            <v>1932.25</v>
          </cell>
          <cell r="CU892">
            <v>2370</v>
          </cell>
          <cell r="CW892">
            <v>91.53963414634147</v>
          </cell>
          <cell r="CX892">
            <v>1148.8010000000002</v>
          </cell>
          <cell r="CZ892">
            <v>441.51</v>
          </cell>
          <cell r="DA892">
            <v>3809.8</v>
          </cell>
          <cell r="DB892">
            <v>12.08</v>
          </cell>
          <cell r="DC892">
            <v>430.9</v>
          </cell>
          <cell r="DD892">
            <v>135.85</v>
          </cell>
        </row>
        <row r="893">
          <cell r="A893">
            <v>39606</v>
          </cell>
          <cell r="C893">
            <v>28</v>
          </cell>
          <cell r="D893">
            <v>2.16</v>
          </cell>
          <cell r="E893">
            <v>5.04</v>
          </cell>
          <cell r="L893">
            <v>1832.31</v>
          </cell>
          <cell r="M893">
            <v>2474.56</v>
          </cell>
          <cell r="N893">
            <v>5906.8</v>
          </cell>
          <cell r="O893">
            <v>5952</v>
          </cell>
          <cell r="Q893">
            <v>1110</v>
          </cell>
          <cell r="R893">
            <v>650.75</v>
          </cell>
          <cell r="S893">
            <v>811</v>
          </cell>
          <cell r="T893">
            <v>1457.5</v>
          </cell>
          <cell r="U893">
            <v>14489.44</v>
          </cell>
          <cell r="V893">
            <v>24402.18</v>
          </cell>
          <cell r="W893">
            <v>8745.35</v>
          </cell>
          <cell r="X893">
            <v>119.65</v>
          </cell>
          <cell r="Y893">
            <v>1505</v>
          </cell>
          <cell r="Z893">
            <v>1840</v>
          </cell>
          <cell r="AA893">
            <v>15572.18</v>
          </cell>
          <cell r="AB893">
            <v>5691.2</v>
          </cell>
          <cell r="AC893">
            <v>69785.867199999993</v>
          </cell>
          <cell r="AE893">
            <v>162.15</v>
          </cell>
          <cell r="AF893">
            <v>902.32</v>
          </cell>
          <cell r="AG893">
            <v>11612</v>
          </cell>
          <cell r="AH893">
            <v>1250</v>
          </cell>
          <cell r="AI893">
            <v>2085</v>
          </cell>
          <cell r="AJ893">
            <v>644.09</v>
          </cell>
          <cell r="AL893">
            <v>1360.68</v>
          </cell>
          <cell r="AP893">
            <v>3329.67</v>
          </cell>
          <cell r="AV893">
            <v>57.03</v>
          </cell>
          <cell r="AZ893">
            <v>330.6</v>
          </cell>
          <cell r="BE893">
            <v>21900</v>
          </cell>
          <cell r="BG893">
            <v>156.25</v>
          </cell>
          <cell r="BH893">
            <v>792.59</v>
          </cell>
          <cell r="BY893">
            <v>405.48</v>
          </cell>
          <cell r="CD893">
            <v>380.16</v>
          </cell>
          <cell r="CE893">
            <v>366.63</v>
          </cell>
          <cell r="CF893">
            <v>447.19</v>
          </cell>
          <cell r="CG893">
            <v>1720</v>
          </cell>
          <cell r="CH893">
            <v>1655</v>
          </cell>
          <cell r="CI893">
            <v>125</v>
          </cell>
          <cell r="CJ893">
            <v>315</v>
          </cell>
          <cell r="CK893">
            <v>1780</v>
          </cell>
          <cell r="CM893">
            <v>354.8</v>
          </cell>
          <cell r="CN893">
            <v>27.5</v>
          </cell>
          <cell r="CO893">
            <v>20.45</v>
          </cell>
          <cell r="CQ893">
            <v>12.71</v>
          </cell>
          <cell r="CR893">
            <v>60</v>
          </cell>
          <cell r="CS893">
            <v>1932.25</v>
          </cell>
          <cell r="CU893">
            <v>2370</v>
          </cell>
          <cell r="CW893">
            <v>91.53963414634147</v>
          </cell>
          <cell r="CX893">
            <v>1148.8010000000002</v>
          </cell>
          <cell r="CZ893">
            <v>441.51</v>
          </cell>
          <cell r="DA893">
            <v>3809.8</v>
          </cell>
          <cell r="DB893">
            <v>12.08</v>
          </cell>
          <cell r="DC893">
            <v>430.9</v>
          </cell>
          <cell r="DD893">
            <v>135.85</v>
          </cell>
        </row>
        <row r="894">
          <cell r="A894">
            <v>39607</v>
          </cell>
          <cell r="C894">
            <v>28</v>
          </cell>
          <cell r="D894">
            <v>2.16</v>
          </cell>
          <cell r="E894">
            <v>5.04</v>
          </cell>
          <cell r="L894">
            <v>1832.31</v>
          </cell>
          <cell r="M894">
            <v>2474.56</v>
          </cell>
          <cell r="N894">
            <v>5906.8</v>
          </cell>
          <cell r="O894">
            <v>5952</v>
          </cell>
          <cell r="Q894">
            <v>1110</v>
          </cell>
          <cell r="R894">
            <v>650.75</v>
          </cell>
          <cell r="S894">
            <v>811</v>
          </cell>
          <cell r="T894">
            <v>1457.5</v>
          </cell>
          <cell r="U894">
            <v>14489.44</v>
          </cell>
          <cell r="V894">
            <v>24402.18</v>
          </cell>
          <cell r="W894">
            <v>8745.35</v>
          </cell>
          <cell r="X894">
            <v>119.65</v>
          </cell>
          <cell r="Y894">
            <v>1505</v>
          </cell>
          <cell r="Z894">
            <v>1840</v>
          </cell>
          <cell r="AA894">
            <v>15572.18</v>
          </cell>
          <cell r="AB894">
            <v>5691.2</v>
          </cell>
          <cell r="AC894">
            <v>69785.867199999993</v>
          </cell>
          <cell r="AE894">
            <v>162.15</v>
          </cell>
          <cell r="AF894">
            <v>902.32</v>
          </cell>
          <cell r="AG894">
            <v>11612</v>
          </cell>
          <cell r="AH894">
            <v>1250</v>
          </cell>
          <cell r="AI894">
            <v>2085</v>
          </cell>
          <cell r="AJ894">
            <v>644.09</v>
          </cell>
          <cell r="AL894">
            <v>1360.68</v>
          </cell>
          <cell r="AP894">
            <v>3329.67</v>
          </cell>
          <cell r="AV894">
            <v>57.03</v>
          </cell>
          <cell r="AZ894">
            <v>330.6</v>
          </cell>
          <cell r="BE894">
            <v>21900</v>
          </cell>
          <cell r="BG894">
            <v>156.25</v>
          </cell>
          <cell r="BH894">
            <v>792.59</v>
          </cell>
          <cell r="BY894">
            <v>405.48</v>
          </cell>
          <cell r="CD894">
            <v>380.16</v>
          </cell>
          <cell r="CE894">
            <v>366.63</v>
          </cell>
          <cell r="CF894">
            <v>447.19</v>
          </cell>
          <cell r="CG894">
            <v>1720</v>
          </cell>
          <cell r="CH894">
            <v>1655</v>
          </cell>
          <cell r="CI894">
            <v>125</v>
          </cell>
          <cell r="CJ894">
            <v>315</v>
          </cell>
          <cell r="CK894">
            <v>1780</v>
          </cell>
          <cell r="CM894">
            <v>354.8</v>
          </cell>
          <cell r="CN894">
            <v>27.5</v>
          </cell>
          <cell r="CO894">
            <v>20.45</v>
          </cell>
          <cell r="CQ894">
            <v>12.71</v>
          </cell>
          <cell r="CR894">
            <v>60</v>
          </cell>
          <cell r="CS894">
            <v>1932.25</v>
          </cell>
          <cell r="CU894">
            <v>2370</v>
          </cell>
          <cell r="CW894">
            <v>91.53963414634147</v>
          </cell>
          <cell r="CX894">
            <v>1148.8010000000002</v>
          </cell>
          <cell r="CZ894">
            <v>441.51</v>
          </cell>
          <cell r="DA894">
            <v>3809.8</v>
          </cell>
          <cell r="DB894">
            <v>12.08</v>
          </cell>
          <cell r="DC894">
            <v>430.9</v>
          </cell>
          <cell r="DD894">
            <v>135.85</v>
          </cell>
        </row>
        <row r="895">
          <cell r="A895">
            <v>39608</v>
          </cell>
          <cell r="C895">
            <v>28</v>
          </cell>
          <cell r="D895">
            <v>2.16</v>
          </cell>
          <cell r="E895">
            <v>4.7300000000000004</v>
          </cell>
          <cell r="L895">
            <v>1808.96</v>
          </cell>
          <cell r="M895">
            <v>2459.46</v>
          </cell>
          <cell r="N895">
            <v>5877.6</v>
          </cell>
          <cell r="O895">
            <v>5952</v>
          </cell>
          <cell r="Q895">
            <v>1110</v>
          </cell>
          <cell r="R895">
            <v>657.25</v>
          </cell>
          <cell r="S895">
            <v>788.5</v>
          </cell>
          <cell r="T895">
            <v>1452</v>
          </cell>
          <cell r="U895">
            <v>14181.38</v>
          </cell>
          <cell r="V895">
            <v>24402.18</v>
          </cell>
          <cell r="W895">
            <v>8587.9599999999991</v>
          </cell>
          <cell r="X895">
            <v>124.9</v>
          </cell>
          <cell r="Y895">
            <v>1505</v>
          </cell>
          <cell r="Z895">
            <v>1840</v>
          </cell>
          <cell r="AA895">
            <v>15066.1</v>
          </cell>
          <cell r="AB895">
            <v>5691.2</v>
          </cell>
          <cell r="AC895">
            <v>69281.203099999999</v>
          </cell>
          <cell r="AE895">
            <v>172.75</v>
          </cell>
          <cell r="AF895">
            <v>902.32</v>
          </cell>
          <cell r="AG895">
            <v>11534</v>
          </cell>
          <cell r="AH895">
            <v>1250</v>
          </cell>
          <cell r="AI895">
            <v>2085</v>
          </cell>
          <cell r="AJ895">
            <v>637</v>
          </cell>
          <cell r="AL895">
            <v>1361.76</v>
          </cell>
          <cell r="AP895">
            <v>3329.67</v>
          </cell>
          <cell r="AV895">
            <v>56.87</v>
          </cell>
          <cell r="AZ895">
            <v>336.9</v>
          </cell>
          <cell r="BE895">
            <v>21950</v>
          </cell>
          <cell r="BG895">
            <v>156.25</v>
          </cell>
          <cell r="BH895">
            <v>806.47</v>
          </cell>
          <cell r="BY895">
            <v>402.09</v>
          </cell>
          <cell r="CD895">
            <v>377.91</v>
          </cell>
          <cell r="CE895">
            <v>364.80099999999999</v>
          </cell>
          <cell r="CF895">
            <v>440.2</v>
          </cell>
          <cell r="CG895">
            <v>1720</v>
          </cell>
          <cell r="CH895">
            <v>1655</v>
          </cell>
          <cell r="CI895">
            <v>125</v>
          </cell>
          <cell r="CJ895">
            <v>315</v>
          </cell>
          <cell r="CK895">
            <v>1793</v>
          </cell>
          <cell r="CM895">
            <v>339.4</v>
          </cell>
          <cell r="CN895">
            <v>27.75</v>
          </cell>
          <cell r="CO895">
            <v>20.350000000000001</v>
          </cell>
          <cell r="CQ895">
            <v>12.71</v>
          </cell>
          <cell r="CR895">
            <v>60</v>
          </cell>
          <cell r="CS895">
            <v>1941</v>
          </cell>
          <cell r="CU895">
            <v>2370</v>
          </cell>
          <cell r="CW895">
            <v>96.189024390243915</v>
          </cell>
          <cell r="CX895">
            <v>1144.056</v>
          </cell>
          <cell r="CZ895">
            <v>435.29</v>
          </cell>
          <cell r="DA895">
            <v>3804.3</v>
          </cell>
          <cell r="DB895">
            <v>12.17</v>
          </cell>
          <cell r="DC895">
            <v>426.7</v>
          </cell>
          <cell r="DD895">
            <v>131.05000000000001</v>
          </cell>
        </row>
        <row r="896">
          <cell r="A896">
            <v>39609</v>
          </cell>
          <cell r="C896">
            <v>28</v>
          </cell>
          <cell r="D896">
            <v>2.16</v>
          </cell>
          <cell r="E896">
            <v>4.71</v>
          </cell>
          <cell r="L896">
            <v>1774.38</v>
          </cell>
          <cell r="M896">
            <v>2448.94</v>
          </cell>
          <cell r="N896">
            <v>5827.3</v>
          </cell>
          <cell r="O896">
            <v>5946</v>
          </cell>
          <cell r="Q896">
            <v>1110</v>
          </cell>
          <cell r="R896">
            <v>673.25</v>
          </cell>
          <cell r="S896">
            <v>809</v>
          </cell>
          <cell r="T896">
            <v>1446.5</v>
          </cell>
          <cell r="U896">
            <v>14021.17</v>
          </cell>
          <cell r="V896">
            <v>23375.52</v>
          </cell>
          <cell r="W896">
            <v>8370</v>
          </cell>
          <cell r="X896">
            <v>122.35</v>
          </cell>
          <cell r="Y896">
            <v>1505</v>
          </cell>
          <cell r="Z896">
            <v>1840</v>
          </cell>
          <cell r="AA896">
            <v>14889.25</v>
          </cell>
          <cell r="AB896">
            <v>5544.3</v>
          </cell>
          <cell r="AC896">
            <v>67774.9375</v>
          </cell>
          <cell r="AE896">
            <v>166.75</v>
          </cell>
          <cell r="AF896">
            <v>903.36</v>
          </cell>
          <cell r="AG896">
            <v>11409</v>
          </cell>
          <cell r="AH896">
            <v>1250</v>
          </cell>
          <cell r="AI896">
            <v>2085</v>
          </cell>
          <cell r="AJ896">
            <v>626.01</v>
          </cell>
          <cell r="AL896">
            <v>1358.44</v>
          </cell>
          <cell r="AP896">
            <v>3072.3330000000001</v>
          </cell>
          <cell r="AV896">
            <v>55.78</v>
          </cell>
          <cell r="AZ896">
            <v>334</v>
          </cell>
          <cell r="BE896">
            <v>23445</v>
          </cell>
          <cell r="BG896">
            <v>156.25</v>
          </cell>
          <cell r="BH896">
            <v>779.36</v>
          </cell>
          <cell r="BY896">
            <v>395.26</v>
          </cell>
          <cell r="CD896">
            <v>372.35</v>
          </cell>
          <cell r="CE896">
            <v>359.93</v>
          </cell>
          <cell r="CF896">
            <v>427.88</v>
          </cell>
          <cell r="CG896">
            <v>1720</v>
          </cell>
          <cell r="CH896">
            <v>1655</v>
          </cell>
          <cell r="CI896">
            <v>125</v>
          </cell>
          <cell r="CJ896">
            <v>315</v>
          </cell>
          <cell r="CK896">
            <v>1792</v>
          </cell>
          <cell r="CM896">
            <v>331.93</v>
          </cell>
          <cell r="CN896">
            <v>27.26</v>
          </cell>
          <cell r="CO896">
            <v>20</v>
          </cell>
          <cell r="CQ896">
            <v>12.73</v>
          </cell>
          <cell r="CR896">
            <v>60</v>
          </cell>
          <cell r="CS896">
            <v>1950.75</v>
          </cell>
          <cell r="CU896">
            <v>2370</v>
          </cell>
          <cell r="CW896">
            <v>95.274390243902445</v>
          </cell>
          <cell r="CX896">
            <v>1129.675</v>
          </cell>
          <cell r="CZ896">
            <v>432.52</v>
          </cell>
          <cell r="DA896">
            <v>3790.4</v>
          </cell>
          <cell r="DB896">
            <v>12.25</v>
          </cell>
          <cell r="DC896">
            <v>425.35</v>
          </cell>
          <cell r="DD896">
            <v>135.05000000000001</v>
          </cell>
        </row>
        <row r="897">
          <cell r="A897">
            <v>39610</v>
          </cell>
          <cell r="C897">
            <v>28</v>
          </cell>
          <cell r="D897">
            <v>2.16</v>
          </cell>
          <cell r="E897">
            <v>4.63</v>
          </cell>
          <cell r="L897">
            <v>1781.67</v>
          </cell>
          <cell r="M897">
            <v>2394.0100000000002</v>
          </cell>
          <cell r="N897">
            <v>5723.3</v>
          </cell>
          <cell r="O897">
            <v>5946</v>
          </cell>
          <cell r="Q897">
            <v>1110</v>
          </cell>
          <cell r="R897">
            <v>703.25</v>
          </cell>
          <cell r="S897">
            <v>869</v>
          </cell>
          <cell r="T897">
            <v>1516.5</v>
          </cell>
          <cell r="U897">
            <v>14183.48</v>
          </cell>
          <cell r="V897">
            <v>23327.599999999999</v>
          </cell>
          <cell r="W897">
            <v>8345.59</v>
          </cell>
          <cell r="X897">
            <v>123.65</v>
          </cell>
          <cell r="Y897">
            <v>1505</v>
          </cell>
          <cell r="Z897">
            <v>1840</v>
          </cell>
          <cell r="AA897">
            <v>15185.32</v>
          </cell>
          <cell r="AB897">
            <v>5561.9</v>
          </cell>
          <cell r="AC897">
            <v>66794.757800000007</v>
          </cell>
          <cell r="AE897">
            <v>164.95</v>
          </cell>
          <cell r="AF897">
            <v>903.36</v>
          </cell>
          <cell r="AG897">
            <v>11105</v>
          </cell>
          <cell r="AH897">
            <v>1250</v>
          </cell>
          <cell r="AI897">
            <v>2085</v>
          </cell>
          <cell r="AJ897">
            <v>628.66999999999996</v>
          </cell>
          <cell r="AL897">
            <v>1335.49</v>
          </cell>
          <cell r="AP897">
            <v>3024.24</v>
          </cell>
          <cell r="AV897">
            <v>55.27</v>
          </cell>
          <cell r="AZ897">
            <v>340.9</v>
          </cell>
          <cell r="BE897">
            <v>23275</v>
          </cell>
          <cell r="BG897">
            <v>156.25</v>
          </cell>
          <cell r="BH897">
            <v>781.39</v>
          </cell>
          <cell r="BY897">
            <v>381.68</v>
          </cell>
          <cell r="CD897">
            <v>368.52</v>
          </cell>
          <cell r="CE897">
            <v>356.02300000000002</v>
          </cell>
          <cell r="CF897">
            <v>427.93</v>
          </cell>
          <cell r="CG897">
            <v>1720</v>
          </cell>
          <cell r="CH897">
            <v>1655</v>
          </cell>
          <cell r="CI897">
            <v>125</v>
          </cell>
          <cell r="CJ897">
            <v>315</v>
          </cell>
          <cell r="CK897">
            <v>1849</v>
          </cell>
          <cell r="CM897">
            <v>346.58</v>
          </cell>
          <cell r="CN897">
            <v>27.41</v>
          </cell>
          <cell r="CO897">
            <v>20.2</v>
          </cell>
          <cell r="CQ897">
            <v>12.5</v>
          </cell>
          <cell r="CR897">
            <v>60</v>
          </cell>
          <cell r="CS897">
            <v>1866.75</v>
          </cell>
          <cell r="CU897">
            <v>2370</v>
          </cell>
          <cell r="CW897">
            <v>96.722560975609767</v>
          </cell>
          <cell r="CX897">
            <v>1135.5150000000001</v>
          </cell>
          <cell r="CZ897">
            <v>444.22</v>
          </cell>
          <cell r="DA897">
            <v>3798</v>
          </cell>
          <cell r="DB897">
            <v>12.87</v>
          </cell>
          <cell r="DC897">
            <v>430.3</v>
          </cell>
          <cell r="DD897">
            <v>133.6</v>
          </cell>
        </row>
        <row r="898">
          <cell r="A898">
            <v>39611</v>
          </cell>
          <cell r="C898">
            <v>28</v>
          </cell>
          <cell r="D898">
            <v>2.15</v>
          </cell>
          <cell r="E898">
            <v>4.54</v>
          </cell>
          <cell r="L898">
            <v>1739.36</v>
          </cell>
          <cell r="M898">
            <v>2404.35</v>
          </cell>
          <cell r="N898">
            <v>5790.5</v>
          </cell>
          <cell r="O898">
            <v>5946</v>
          </cell>
          <cell r="Q898">
            <v>1125</v>
          </cell>
          <cell r="R898">
            <v>709</v>
          </cell>
          <cell r="S898">
            <v>851</v>
          </cell>
          <cell r="T898">
            <v>1536.5</v>
          </cell>
          <cell r="U898">
            <v>13888.6</v>
          </cell>
          <cell r="V898">
            <v>23023.86</v>
          </cell>
          <cell r="W898">
            <v>8062.31</v>
          </cell>
          <cell r="X898">
            <v>125.65</v>
          </cell>
          <cell r="Y898">
            <v>1505</v>
          </cell>
          <cell r="Z898">
            <v>1840</v>
          </cell>
          <cell r="AA898">
            <v>15250.2</v>
          </cell>
          <cell r="AB898">
            <v>5433.2</v>
          </cell>
          <cell r="AC898">
            <v>67319.632800000007</v>
          </cell>
          <cell r="AE898">
            <v>168.55</v>
          </cell>
          <cell r="AF898">
            <v>903.36</v>
          </cell>
          <cell r="AG898">
            <v>10142</v>
          </cell>
          <cell r="AH898">
            <v>1250</v>
          </cell>
          <cell r="AI898">
            <v>2085</v>
          </cell>
          <cell r="AJ898">
            <v>624.20000000000005</v>
          </cell>
          <cell r="AL898">
            <v>1339.87</v>
          </cell>
          <cell r="AP898">
            <v>2957.5320000000002</v>
          </cell>
          <cell r="AV898">
            <v>54.89</v>
          </cell>
          <cell r="AZ898">
            <v>332</v>
          </cell>
          <cell r="BE898">
            <v>24540</v>
          </cell>
          <cell r="BG898">
            <v>156.25</v>
          </cell>
          <cell r="BH898">
            <v>775.91</v>
          </cell>
          <cell r="BY898">
            <v>383.59</v>
          </cell>
          <cell r="CD898">
            <v>366.9</v>
          </cell>
          <cell r="CE898">
            <v>354.59500000000003</v>
          </cell>
          <cell r="CF898">
            <v>419.94</v>
          </cell>
          <cell r="CG898">
            <v>1720</v>
          </cell>
          <cell r="CH898">
            <v>1655</v>
          </cell>
          <cell r="CI898">
            <v>125</v>
          </cell>
          <cell r="CJ898">
            <v>315</v>
          </cell>
          <cell r="CK898">
            <v>1977</v>
          </cell>
          <cell r="CM898">
            <v>352.6</v>
          </cell>
          <cell r="CN898">
            <v>27.56</v>
          </cell>
          <cell r="CO898">
            <v>20.149999999999999</v>
          </cell>
          <cell r="CQ898">
            <v>12.49</v>
          </cell>
          <cell r="CR898">
            <v>60</v>
          </cell>
          <cell r="CS898">
            <v>1816</v>
          </cell>
          <cell r="CU898">
            <v>2370</v>
          </cell>
          <cell r="CW898">
            <v>97.942073170731717</v>
          </cell>
          <cell r="CX898">
            <v>1124.492</v>
          </cell>
          <cell r="CZ898">
            <v>445.23</v>
          </cell>
          <cell r="DA898">
            <v>3779</v>
          </cell>
          <cell r="DB898">
            <v>12.83</v>
          </cell>
          <cell r="DC898">
            <v>438.95</v>
          </cell>
          <cell r="DD898">
            <v>134.6</v>
          </cell>
        </row>
        <row r="899">
          <cell r="A899">
            <v>39612</v>
          </cell>
          <cell r="C899">
            <v>28</v>
          </cell>
          <cell r="D899">
            <v>2.15</v>
          </cell>
          <cell r="E899">
            <v>4.51</v>
          </cell>
          <cell r="L899">
            <v>1747.35</v>
          </cell>
          <cell r="M899">
            <v>2454.5</v>
          </cell>
          <cell r="N899">
            <v>5802.8</v>
          </cell>
          <cell r="O899">
            <v>5944</v>
          </cell>
          <cell r="Q899">
            <v>1125</v>
          </cell>
          <cell r="R899">
            <v>731.75</v>
          </cell>
          <cell r="S899">
            <v>882</v>
          </cell>
          <cell r="T899">
            <v>1560</v>
          </cell>
          <cell r="U899">
            <v>13973.73</v>
          </cell>
          <cell r="V899">
            <v>22592.3</v>
          </cell>
          <cell r="W899">
            <v>8105.59</v>
          </cell>
          <cell r="X899">
            <v>126.25</v>
          </cell>
          <cell r="Y899">
            <v>1600</v>
          </cell>
          <cell r="Z899">
            <v>1870</v>
          </cell>
          <cell r="AA899">
            <v>15189.62</v>
          </cell>
          <cell r="AB899">
            <v>5479.6</v>
          </cell>
          <cell r="AC899">
            <v>67203.523400000005</v>
          </cell>
          <cell r="AE899">
            <v>167.85</v>
          </cell>
          <cell r="AF899">
            <v>903.36</v>
          </cell>
          <cell r="AG899">
            <v>9646</v>
          </cell>
          <cell r="AH899">
            <v>1260</v>
          </cell>
          <cell r="AI899">
            <v>2145</v>
          </cell>
          <cell r="AJ899">
            <v>622.15</v>
          </cell>
          <cell r="AL899">
            <v>1360.03</v>
          </cell>
          <cell r="AP899">
            <v>2868.8</v>
          </cell>
          <cell r="AV899">
            <v>55.13</v>
          </cell>
          <cell r="AZ899">
            <v>336.5</v>
          </cell>
          <cell r="BE899">
            <v>24030</v>
          </cell>
          <cell r="BG899">
            <v>161</v>
          </cell>
          <cell r="BH899">
            <v>768.45</v>
          </cell>
          <cell r="BY899">
            <v>393.81</v>
          </cell>
          <cell r="CD899">
            <v>369.61</v>
          </cell>
          <cell r="CE899">
            <v>357.68099999999998</v>
          </cell>
          <cell r="CF899">
            <v>417.22</v>
          </cell>
          <cell r="CG899">
            <v>1820</v>
          </cell>
          <cell r="CH899">
            <v>1740</v>
          </cell>
          <cell r="CI899">
            <v>125</v>
          </cell>
          <cell r="CJ899">
            <v>315</v>
          </cell>
          <cell r="CK899">
            <v>2010</v>
          </cell>
          <cell r="CM899">
            <v>346.26</v>
          </cell>
          <cell r="CN899">
            <v>27.15</v>
          </cell>
          <cell r="CO899">
            <v>20.2</v>
          </cell>
          <cell r="CQ899">
            <v>12.51</v>
          </cell>
          <cell r="CR899">
            <v>60</v>
          </cell>
          <cell r="CS899">
            <v>1759</v>
          </cell>
          <cell r="CU899">
            <v>2560</v>
          </cell>
          <cell r="CW899">
            <v>99.314024390243915</v>
          </cell>
          <cell r="CX899">
            <v>1122.375</v>
          </cell>
          <cell r="CZ899">
            <v>445.87</v>
          </cell>
          <cell r="DA899">
            <v>3804.1</v>
          </cell>
          <cell r="DB899">
            <v>12.82</v>
          </cell>
          <cell r="DC899">
            <v>451.75</v>
          </cell>
          <cell r="DD899">
            <v>134.4</v>
          </cell>
        </row>
        <row r="900">
          <cell r="A900">
            <v>39613</v>
          </cell>
          <cell r="C900">
            <v>28</v>
          </cell>
          <cell r="D900">
            <v>2.15</v>
          </cell>
          <cell r="E900">
            <v>4.51</v>
          </cell>
          <cell r="L900">
            <v>1747.35</v>
          </cell>
          <cell r="M900">
            <v>2454.5</v>
          </cell>
          <cell r="N900">
            <v>5802.8</v>
          </cell>
          <cell r="O900">
            <v>5944</v>
          </cell>
          <cell r="Q900">
            <v>1125</v>
          </cell>
          <cell r="R900">
            <v>731.75</v>
          </cell>
          <cell r="S900">
            <v>882</v>
          </cell>
          <cell r="T900">
            <v>1560</v>
          </cell>
          <cell r="U900">
            <v>13973.73</v>
          </cell>
          <cell r="V900">
            <v>22592.3</v>
          </cell>
          <cell r="W900">
            <v>8105.59</v>
          </cell>
          <cell r="X900">
            <v>126.25</v>
          </cell>
          <cell r="Y900">
            <v>1600</v>
          </cell>
          <cell r="Z900">
            <v>1870</v>
          </cell>
          <cell r="AA900">
            <v>15189.62</v>
          </cell>
          <cell r="AB900">
            <v>5479.6</v>
          </cell>
          <cell r="AC900">
            <v>67203.523400000005</v>
          </cell>
          <cell r="AE900">
            <v>167.85</v>
          </cell>
          <cell r="AF900">
            <v>903.36</v>
          </cell>
          <cell r="AG900">
            <v>9646</v>
          </cell>
          <cell r="AH900">
            <v>1260</v>
          </cell>
          <cell r="AI900">
            <v>2145</v>
          </cell>
          <cell r="AJ900">
            <v>622.15</v>
          </cell>
          <cell r="AL900">
            <v>1360.03</v>
          </cell>
          <cell r="AP900">
            <v>2868.8</v>
          </cell>
          <cell r="AV900">
            <v>55.13</v>
          </cell>
          <cell r="AZ900">
            <v>336.5</v>
          </cell>
          <cell r="BE900">
            <v>24030</v>
          </cell>
          <cell r="BG900">
            <v>161</v>
          </cell>
          <cell r="BH900">
            <v>768.45</v>
          </cell>
          <cell r="BY900">
            <v>393.81</v>
          </cell>
          <cell r="CD900">
            <v>369.61</v>
          </cell>
          <cell r="CE900">
            <v>357.68099999999998</v>
          </cell>
          <cell r="CF900">
            <v>417.22</v>
          </cell>
          <cell r="CG900">
            <v>1820</v>
          </cell>
          <cell r="CH900">
            <v>1740</v>
          </cell>
          <cell r="CI900">
            <v>125</v>
          </cell>
          <cell r="CJ900">
            <v>315</v>
          </cell>
          <cell r="CK900">
            <v>2010</v>
          </cell>
          <cell r="CM900">
            <v>346.26</v>
          </cell>
          <cell r="CN900">
            <v>27.15</v>
          </cell>
          <cell r="CO900">
            <v>20.2</v>
          </cell>
          <cell r="CQ900">
            <v>12.51</v>
          </cell>
          <cell r="CR900">
            <v>60</v>
          </cell>
          <cell r="CS900">
            <v>1759</v>
          </cell>
          <cell r="CU900">
            <v>2560</v>
          </cell>
          <cell r="CW900">
            <v>99.314024390243915</v>
          </cell>
          <cell r="CX900">
            <v>1122.375</v>
          </cell>
          <cell r="CZ900">
            <v>445.87</v>
          </cell>
          <cell r="DA900">
            <v>3804.1</v>
          </cell>
          <cell r="DB900">
            <v>12.82</v>
          </cell>
          <cell r="DC900">
            <v>451.75</v>
          </cell>
          <cell r="DD900">
            <v>134.4</v>
          </cell>
        </row>
        <row r="901">
          <cell r="A901">
            <v>39614</v>
          </cell>
          <cell r="C901">
            <v>28</v>
          </cell>
          <cell r="D901">
            <v>2.15</v>
          </cell>
          <cell r="E901">
            <v>4.51</v>
          </cell>
          <cell r="L901">
            <v>1747.35</v>
          </cell>
          <cell r="M901">
            <v>2454.5</v>
          </cell>
          <cell r="N901">
            <v>5802.8</v>
          </cell>
          <cell r="O901">
            <v>5944</v>
          </cell>
          <cell r="Q901">
            <v>1125</v>
          </cell>
          <cell r="R901">
            <v>731.75</v>
          </cell>
          <cell r="S901">
            <v>882</v>
          </cell>
          <cell r="T901">
            <v>1560</v>
          </cell>
          <cell r="U901">
            <v>13973.73</v>
          </cell>
          <cell r="V901">
            <v>22592.3</v>
          </cell>
          <cell r="W901">
            <v>8105.59</v>
          </cell>
          <cell r="X901">
            <v>126.25</v>
          </cell>
          <cell r="Y901">
            <v>1600</v>
          </cell>
          <cell r="Z901">
            <v>1870</v>
          </cell>
          <cell r="AA901">
            <v>15189.62</v>
          </cell>
          <cell r="AB901">
            <v>5479.6</v>
          </cell>
          <cell r="AC901">
            <v>67203.523400000005</v>
          </cell>
          <cell r="AE901">
            <v>167.85</v>
          </cell>
          <cell r="AF901">
            <v>903.36</v>
          </cell>
          <cell r="AG901">
            <v>9646</v>
          </cell>
          <cell r="AH901">
            <v>1260</v>
          </cell>
          <cell r="AI901">
            <v>2145</v>
          </cell>
          <cell r="AJ901">
            <v>622.15</v>
          </cell>
          <cell r="AL901">
            <v>1360.03</v>
          </cell>
          <cell r="AP901">
            <v>2868.8</v>
          </cell>
          <cell r="AV901">
            <v>55.13</v>
          </cell>
          <cell r="AZ901">
            <v>336.5</v>
          </cell>
          <cell r="BE901">
            <v>24030</v>
          </cell>
          <cell r="BG901">
            <v>161</v>
          </cell>
          <cell r="BH901">
            <v>768.45</v>
          </cell>
          <cell r="BY901">
            <v>393.81</v>
          </cell>
          <cell r="CD901">
            <v>369.61</v>
          </cell>
          <cell r="CE901">
            <v>357.68099999999998</v>
          </cell>
          <cell r="CF901">
            <v>417.22</v>
          </cell>
          <cell r="CG901">
            <v>1820</v>
          </cell>
          <cell r="CH901">
            <v>1740</v>
          </cell>
          <cell r="CI901">
            <v>125</v>
          </cell>
          <cell r="CJ901">
            <v>315</v>
          </cell>
          <cell r="CK901">
            <v>2010</v>
          </cell>
          <cell r="CM901">
            <v>346.26</v>
          </cell>
          <cell r="CN901">
            <v>27.15</v>
          </cell>
          <cell r="CO901">
            <v>20.2</v>
          </cell>
          <cell r="CQ901">
            <v>12.51</v>
          </cell>
          <cell r="CR901">
            <v>60</v>
          </cell>
          <cell r="CS901">
            <v>1759</v>
          </cell>
          <cell r="CU901">
            <v>2560</v>
          </cell>
          <cell r="CW901">
            <v>99.314024390243915</v>
          </cell>
          <cell r="CX901">
            <v>1122.375</v>
          </cell>
          <cell r="CZ901">
            <v>445.87</v>
          </cell>
          <cell r="DA901">
            <v>3804.1</v>
          </cell>
          <cell r="DB901">
            <v>12.82</v>
          </cell>
          <cell r="DC901">
            <v>451.75</v>
          </cell>
          <cell r="DD901">
            <v>134.4</v>
          </cell>
        </row>
        <row r="902">
          <cell r="A902">
            <v>39615</v>
          </cell>
          <cell r="C902">
            <v>28</v>
          </cell>
          <cell r="D902">
            <v>2.14</v>
          </cell>
          <cell r="E902">
            <v>4.42</v>
          </cell>
          <cell r="L902">
            <v>1760.82</v>
          </cell>
          <cell r="M902">
            <v>2474.7800000000002</v>
          </cell>
          <cell r="N902">
            <v>5794.6</v>
          </cell>
          <cell r="O902">
            <v>5944</v>
          </cell>
          <cell r="Q902">
            <v>1125</v>
          </cell>
          <cell r="R902">
            <v>732.5</v>
          </cell>
          <cell r="S902">
            <v>876.5</v>
          </cell>
          <cell r="T902">
            <v>1534</v>
          </cell>
          <cell r="U902">
            <v>14354.37</v>
          </cell>
          <cell r="V902">
            <v>23029.69</v>
          </cell>
          <cell r="W902">
            <v>8169.77</v>
          </cell>
          <cell r="X902">
            <v>124.75</v>
          </cell>
          <cell r="Y902">
            <v>1600</v>
          </cell>
          <cell r="Z902">
            <v>1870</v>
          </cell>
          <cell r="AA902">
            <v>15395.82</v>
          </cell>
          <cell r="AB902">
            <v>5476.3</v>
          </cell>
          <cell r="AC902">
            <v>67284.609400000001</v>
          </cell>
          <cell r="AE902">
            <v>164.75</v>
          </cell>
          <cell r="AF902">
            <v>903.36</v>
          </cell>
          <cell r="AG902">
            <v>9419</v>
          </cell>
          <cell r="AH902">
            <v>1260</v>
          </cell>
          <cell r="AI902">
            <v>2145</v>
          </cell>
          <cell r="AJ902">
            <v>621.02</v>
          </cell>
          <cell r="AL902">
            <v>1360.14</v>
          </cell>
          <cell r="AP902">
            <v>2874.1030000000001</v>
          </cell>
          <cell r="AV902">
            <v>55.19</v>
          </cell>
          <cell r="AZ902">
            <v>344.8</v>
          </cell>
          <cell r="BE902">
            <v>23920</v>
          </cell>
          <cell r="BG902">
            <v>161</v>
          </cell>
          <cell r="BH902">
            <v>760.4</v>
          </cell>
          <cell r="BY902">
            <v>399.74</v>
          </cell>
          <cell r="CD902">
            <v>371.81</v>
          </cell>
          <cell r="CE902">
            <v>359.55399999999997</v>
          </cell>
          <cell r="CF902">
            <v>423.72</v>
          </cell>
          <cell r="CG902">
            <v>1820</v>
          </cell>
          <cell r="CH902">
            <v>1740</v>
          </cell>
          <cell r="CI902">
            <v>125</v>
          </cell>
          <cell r="CJ902">
            <v>315</v>
          </cell>
          <cell r="CK902">
            <v>2026</v>
          </cell>
          <cell r="CM902">
            <v>343.79</v>
          </cell>
          <cell r="CN902">
            <v>27.24</v>
          </cell>
          <cell r="CO902">
            <v>20.3</v>
          </cell>
          <cell r="CQ902">
            <v>12.73</v>
          </cell>
          <cell r="CR902">
            <v>60</v>
          </cell>
          <cell r="CS902">
            <v>1792.75</v>
          </cell>
          <cell r="CU902">
            <v>2560</v>
          </cell>
          <cell r="CW902">
            <v>96.722560975609767</v>
          </cell>
          <cell r="CX902">
            <v>1130.5509999999999</v>
          </cell>
          <cell r="CZ902">
            <v>449.77</v>
          </cell>
          <cell r="DA902">
            <v>3851</v>
          </cell>
          <cell r="DB902">
            <v>13.35</v>
          </cell>
          <cell r="DC902">
            <v>461.75</v>
          </cell>
          <cell r="DD902">
            <v>136.05000000000001</v>
          </cell>
        </row>
        <row r="903">
          <cell r="A903">
            <v>39616</v>
          </cell>
          <cell r="C903">
            <v>28</v>
          </cell>
          <cell r="D903">
            <v>2.13</v>
          </cell>
          <cell r="E903">
            <v>4.3600000000000003</v>
          </cell>
          <cell r="L903">
            <v>1750.71</v>
          </cell>
          <cell r="M903">
            <v>2457.73</v>
          </cell>
          <cell r="N903">
            <v>5861.9</v>
          </cell>
          <cell r="O903">
            <v>5917</v>
          </cell>
          <cell r="Q903">
            <v>1125</v>
          </cell>
          <cell r="R903">
            <v>742.25</v>
          </cell>
          <cell r="S903">
            <v>898.25</v>
          </cell>
          <cell r="T903">
            <v>1558</v>
          </cell>
          <cell r="U903">
            <v>14348.37</v>
          </cell>
          <cell r="V903">
            <v>23057.99</v>
          </cell>
          <cell r="W903">
            <v>8201.7900000000009</v>
          </cell>
          <cell r="X903">
            <v>124.75</v>
          </cell>
          <cell r="Y903">
            <v>1600</v>
          </cell>
          <cell r="Z903">
            <v>1870</v>
          </cell>
          <cell r="AA903">
            <v>15696.9</v>
          </cell>
          <cell r="AB903">
            <v>5525.9</v>
          </cell>
          <cell r="AC903">
            <v>68437.5</v>
          </cell>
          <cell r="AE903">
            <v>164.85</v>
          </cell>
          <cell r="AF903">
            <v>904.72</v>
          </cell>
          <cell r="AG903">
            <v>9413</v>
          </cell>
          <cell r="AH903">
            <v>1260</v>
          </cell>
          <cell r="AI903">
            <v>2145</v>
          </cell>
          <cell r="AJ903">
            <v>612.41</v>
          </cell>
          <cell r="AL903">
            <v>1350.93</v>
          </cell>
          <cell r="AP903">
            <v>2794.7510000000002</v>
          </cell>
          <cell r="AV903">
            <v>55.63</v>
          </cell>
          <cell r="AZ903">
            <v>347.7</v>
          </cell>
          <cell r="BE903">
            <v>24150</v>
          </cell>
          <cell r="BG903">
            <v>161</v>
          </cell>
          <cell r="BH903">
            <v>760.81</v>
          </cell>
          <cell r="BY903">
            <v>393.61</v>
          </cell>
          <cell r="CD903">
            <v>372.48</v>
          </cell>
          <cell r="CE903">
            <v>359.83300000000003</v>
          </cell>
          <cell r="CF903">
            <v>426.37</v>
          </cell>
          <cell r="CG903">
            <v>1820</v>
          </cell>
          <cell r="CH903">
            <v>1740</v>
          </cell>
          <cell r="CI903">
            <v>125</v>
          </cell>
          <cell r="CJ903">
            <v>315</v>
          </cell>
          <cell r="CK903">
            <v>2037</v>
          </cell>
          <cell r="CM903">
            <v>341.79</v>
          </cell>
          <cell r="CN903">
            <v>27.22</v>
          </cell>
          <cell r="CO903">
            <v>20.3</v>
          </cell>
          <cell r="CQ903">
            <v>12.86</v>
          </cell>
          <cell r="CR903">
            <v>60</v>
          </cell>
          <cell r="CS903">
            <v>1846</v>
          </cell>
          <cell r="CU903">
            <v>2560</v>
          </cell>
          <cell r="CW903">
            <v>98.246951219512198</v>
          </cell>
          <cell r="CX903">
            <v>1133.0330000000001</v>
          </cell>
          <cell r="CZ903">
            <v>451.18</v>
          </cell>
          <cell r="DA903">
            <v>3874.7</v>
          </cell>
          <cell r="DB903">
            <v>13.57</v>
          </cell>
          <cell r="DC903">
            <v>461.15</v>
          </cell>
          <cell r="DD903">
            <v>139.1</v>
          </cell>
        </row>
        <row r="904">
          <cell r="A904">
            <v>39617</v>
          </cell>
          <cell r="C904">
            <v>28</v>
          </cell>
          <cell r="D904">
            <v>2.11</v>
          </cell>
          <cell r="E904">
            <v>4.2699999999999996</v>
          </cell>
          <cell r="L904">
            <v>1774.13</v>
          </cell>
          <cell r="M904">
            <v>2429.71</v>
          </cell>
          <cell r="N904">
            <v>5756.9</v>
          </cell>
          <cell r="O904">
            <v>5904</v>
          </cell>
          <cell r="Q904">
            <v>1125</v>
          </cell>
          <cell r="R904">
            <v>746.25</v>
          </cell>
          <cell r="S904">
            <v>904</v>
          </cell>
          <cell r="T904">
            <v>1556</v>
          </cell>
          <cell r="U904">
            <v>14452.82</v>
          </cell>
          <cell r="V904">
            <v>23325.8</v>
          </cell>
          <cell r="W904">
            <v>8217.58</v>
          </cell>
          <cell r="X904">
            <v>124.75</v>
          </cell>
          <cell r="Y904">
            <v>1600</v>
          </cell>
          <cell r="Z904">
            <v>1870</v>
          </cell>
          <cell r="AA904">
            <v>15422.31</v>
          </cell>
          <cell r="AB904">
            <v>5550.3</v>
          </cell>
          <cell r="AC904">
            <v>67090.453099999999</v>
          </cell>
          <cell r="AE904">
            <v>164.45</v>
          </cell>
          <cell r="AF904">
            <v>904.72</v>
          </cell>
          <cell r="AG904">
            <v>9437</v>
          </cell>
          <cell r="AH904">
            <v>1260</v>
          </cell>
          <cell r="AI904">
            <v>2145</v>
          </cell>
          <cell r="AJ904">
            <v>614.83000000000004</v>
          </cell>
          <cell r="AL904">
            <v>1337.81</v>
          </cell>
          <cell r="AP904">
            <v>2941.1149999999998</v>
          </cell>
          <cell r="AV904">
            <v>55.61</v>
          </cell>
          <cell r="AZ904">
            <v>345.9</v>
          </cell>
          <cell r="BE904">
            <v>22920</v>
          </cell>
          <cell r="BG904">
            <v>161</v>
          </cell>
          <cell r="BH904">
            <v>773.94</v>
          </cell>
          <cell r="BY904">
            <v>384.47</v>
          </cell>
          <cell r="CD904">
            <v>369.62</v>
          </cell>
          <cell r="CE904">
            <v>356.92</v>
          </cell>
          <cell r="CF904">
            <v>427.75</v>
          </cell>
          <cell r="CG904">
            <v>1820</v>
          </cell>
          <cell r="CH904">
            <v>1740</v>
          </cell>
          <cell r="CI904">
            <v>125</v>
          </cell>
          <cell r="CJ904">
            <v>315</v>
          </cell>
          <cell r="CK904">
            <v>2058</v>
          </cell>
          <cell r="CM904">
            <v>346.67</v>
          </cell>
          <cell r="CN904">
            <v>27.59</v>
          </cell>
          <cell r="CO904">
            <v>20.399999999999999</v>
          </cell>
          <cell r="CQ904">
            <v>12.94</v>
          </cell>
          <cell r="CR904">
            <v>59</v>
          </cell>
          <cell r="CS904">
            <v>1841</v>
          </cell>
          <cell r="CU904">
            <v>2560</v>
          </cell>
          <cell r="CW904">
            <v>96.875</v>
          </cell>
          <cell r="CX904">
            <v>1264.5540000000001</v>
          </cell>
          <cell r="CZ904">
            <v>456.82</v>
          </cell>
          <cell r="DA904">
            <v>3929.9</v>
          </cell>
          <cell r="DB904">
            <v>14.05</v>
          </cell>
          <cell r="DC904">
            <v>469.1</v>
          </cell>
          <cell r="DD904">
            <v>136.65</v>
          </cell>
        </row>
        <row r="905">
          <cell r="A905">
            <v>39618</v>
          </cell>
          <cell r="C905">
            <v>28</v>
          </cell>
          <cell r="D905">
            <v>2.11</v>
          </cell>
          <cell r="E905">
            <v>4.1900000000000004</v>
          </cell>
          <cell r="L905">
            <v>1740.72</v>
          </cell>
          <cell r="M905">
            <v>2462.06</v>
          </cell>
          <cell r="N905">
            <v>5708.4</v>
          </cell>
          <cell r="O905">
            <v>5879</v>
          </cell>
          <cell r="Q905">
            <v>1125</v>
          </cell>
          <cell r="R905">
            <v>727.75</v>
          </cell>
          <cell r="S905">
            <v>881</v>
          </cell>
          <cell r="T905">
            <v>1545.5</v>
          </cell>
          <cell r="U905">
            <v>14130.17</v>
          </cell>
          <cell r="V905">
            <v>22797.61</v>
          </cell>
          <cell r="W905">
            <v>8047.74</v>
          </cell>
          <cell r="X905">
            <v>127.25</v>
          </cell>
          <cell r="Y905">
            <v>1600</v>
          </cell>
          <cell r="Z905">
            <v>1870</v>
          </cell>
          <cell r="AA905">
            <v>15087.99</v>
          </cell>
          <cell r="AB905">
            <v>5484.3</v>
          </cell>
          <cell r="AC905">
            <v>66590.406300000002</v>
          </cell>
          <cell r="AE905">
            <v>167.35</v>
          </cell>
          <cell r="AF905">
            <v>904.72</v>
          </cell>
          <cell r="AG905">
            <v>9474</v>
          </cell>
          <cell r="AH905">
            <v>1260</v>
          </cell>
          <cell r="AI905">
            <v>2145</v>
          </cell>
          <cell r="AJ905">
            <v>610.99</v>
          </cell>
          <cell r="AL905">
            <v>1342.83</v>
          </cell>
          <cell r="AP905">
            <v>2748.8739999999998</v>
          </cell>
          <cell r="AV905">
            <v>55.75</v>
          </cell>
          <cell r="AZ905">
            <v>340.1</v>
          </cell>
          <cell r="BE905">
            <v>22070</v>
          </cell>
          <cell r="BG905">
            <v>161</v>
          </cell>
          <cell r="BH905">
            <v>790.46</v>
          </cell>
          <cell r="BY905">
            <v>394.27</v>
          </cell>
          <cell r="CD905">
            <v>367.66</v>
          </cell>
          <cell r="CE905">
            <v>355.27800000000002</v>
          </cell>
          <cell r="CF905">
            <v>418.18</v>
          </cell>
          <cell r="CG905">
            <v>1820</v>
          </cell>
          <cell r="CH905">
            <v>1740</v>
          </cell>
          <cell r="CI905">
            <v>125</v>
          </cell>
          <cell r="CJ905">
            <v>315</v>
          </cell>
          <cell r="CK905">
            <v>2084</v>
          </cell>
          <cell r="CM905">
            <v>335.26</v>
          </cell>
          <cell r="CN905">
            <v>27.72</v>
          </cell>
          <cell r="CO905">
            <v>20.350000000000001</v>
          </cell>
          <cell r="CQ905">
            <v>13.07</v>
          </cell>
          <cell r="CR905">
            <v>59</v>
          </cell>
          <cell r="CS905">
            <v>1790.5</v>
          </cell>
          <cell r="CU905">
            <v>2560</v>
          </cell>
          <cell r="CW905">
            <v>98.704268292682926</v>
          </cell>
          <cell r="CX905">
            <v>1263.413</v>
          </cell>
          <cell r="CZ905">
            <v>449.13</v>
          </cell>
          <cell r="DA905">
            <v>3923.1</v>
          </cell>
          <cell r="DB905">
            <v>14.23</v>
          </cell>
          <cell r="DC905">
            <v>476.5</v>
          </cell>
          <cell r="DD905">
            <v>136.94999999999999</v>
          </cell>
        </row>
        <row r="906">
          <cell r="A906">
            <v>39619</v>
          </cell>
          <cell r="C906">
            <v>28</v>
          </cell>
          <cell r="D906">
            <v>2.11</v>
          </cell>
          <cell r="E906">
            <v>4.18</v>
          </cell>
          <cell r="L906">
            <v>1731</v>
          </cell>
          <cell r="M906">
            <v>2406.09</v>
          </cell>
          <cell r="N906">
            <v>5620.8</v>
          </cell>
          <cell r="O906">
            <v>5868</v>
          </cell>
          <cell r="Q906">
            <v>1125</v>
          </cell>
          <cell r="R906">
            <v>721.25</v>
          </cell>
          <cell r="S906">
            <v>866.5</v>
          </cell>
          <cell r="T906">
            <v>1532.5</v>
          </cell>
          <cell r="U906">
            <v>13942.08</v>
          </cell>
          <cell r="V906">
            <v>22745.599999999999</v>
          </cell>
          <cell r="W906">
            <v>7902.44</v>
          </cell>
          <cell r="X906">
            <v>125.35</v>
          </cell>
          <cell r="Y906">
            <v>1610</v>
          </cell>
          <cell r="Z906">
            <v>1880</v>
          </cell>
          <cell r="AA906">
            <v>14571.29</v>
          </cell>
          <cell r="AB906">
            <v>5411.8</v>
          </cell>
          <cell r="AC906">
            <v>64613.789100000002</v>
          </cell>
          <cell r="AE906">
            <v>161.85</v>
          </cell>
          <cell r="AF906">
            <v>904.72</v>
          </cell>
          <cell r="AG906">
            <v>9428</v>
          </cell>
          <cell r="AH906">
            <v>1270</v>
          </cell>
          <cell r="AI906">
            <v>2185</v>
          </cell>
          <cell r="AJ906">
            <v>609.16</v>
          </cell>
          <cell r="AL906">
            <v>1317.93</v>
          </cell>
          <cell r="AP906">
            <v>2831.7359999999999</v>
          </cell>
          <cell r="AV906">
            <v>53.73</v>
          </cell>
          <cell r="AZ906">
            <v>336.6</v>
          </cell>
          <cell r="BE906">
            <v>22255</v>
          </cell>
          <cell r="BG906">
            <v>163</v>
          </cell>
          <cell r="BH906">
            <v>780.3</v>
          </cell>
          <cell r="BY906">
            <v>383.11</v>
          </cell>
          <cell r="CD906">
            <v>362.63</v>
          </cell>
          <cell r="CE906">
            <v>350.45</v>
          </cell>
          <cell r="CF906">
            <v>413.85</v>
          </cell>
          <cell r="CG906">
            <v>1820</v>
          </cell>
          <cell r="CH906">
            <v>1785</v>
          </cell>
          <cell r="CI906">
            <v>125</v>
          </cell>
          <cell r="CJ906">
            <v>315</v>
          </cell>
          <cell r="CK906">
            <v>2106</v>
          </cell>
          <cell r="CM906">
            <v>343.92</v>
          </cell>
          <cell r="CN906">
            <v>27.44</v>
          </cell>
          <cell r="CO906">
            <v>20.149999999999999</v>
          </cell>
          <cell r="CQ906">
            <v>12.77</v>
          </cell>
          <cell r="CR906">
            <v>59</v>
          </cell>
          <cell r="CS906">
            <v>1858</v>
          </cell>
          <cell r="CU906">
            <v>2900</v>
          </cell>
          <cell r="CW906">
            <v>96.875</v>
          </cell>
          <cell r="CX906">
            <v>1273.4375</v>
          </cell>
          <cell r="CZ906">
            <v>455.38</v>
          </cell>
          <cell r="DA906">
            <v>3983.8</v>
          </cell>
          <cell r="DB906">
            <v>14.58</v>
          </cell>
          <cell r="DC906">
            <v>476.85</v>
          </cell>
          <cell r="DD906">
            <v>143.94999999999999</v>
          </cell>
        </row>
        <row r="907">
          <cell r="A907">
            <v>39620</v>
          </cell>
          <cell r="C907">
            <v>28</v>
          </cell>
          <cell r="D907">
            <v>2.11</v>
          </cell>
          <cell r="E907">
            <v>4.18</v>
          </cell>
          <cell r="L907">
            <v>1731</v>
          </cell>
          <cell r="M907">
            <v>2406.09</v>
          </cell>
          <cell r="N907">
            <v>5620.8</v>
          </cell>
          <cell r="O907">
            <v>5868</v>
          </cell>
          <cell r="Q907">
            <v>1125</v>
          </cell>
          <cell r="R907">
            <v>721.25</v>
          </cell>
          <cell r="S907">
            <v>866.5</v>
          </cell>
          <cell r="T907">
            <v>1532.5</v>
          </cell>
          <cell r="U907">
            <v>13942.08</v>
          </cell>
          <cell r="V907">
            <v>22745.599999999999</v>
          </cell>
          <cell r="W907">
            <v>7902.44</v>
          </cell>
          <cell r="X907">
            <v>125.35</v>
          </cell>
          <cell r="Y907">
            <v>1610</v>
          </cell>
          <cell r="Z907">
            <v>1880</v>
          </cell>
          <cell r="AA907">
            <v>14571.29</v>
          </cell>
          <cell r="AB907">
            <v>5411.8</v>
          </cell>
          <cell r="AC907">
            <v>64613.789100000002</v>
          </cell>
          <cell r="AE907">
            <v>161.85</v>
          </cell>
          <cell r="AF907">
            <v>904.72</v>
          </cell>
          <cell r="AG907">
            <v>9428</v>
          </cell>
          <cell r="AH907">
            <v>1270</v>
          </cell>
          <cell r="AI907">
            <v>2185</v>
          </cell>
          <cell r="AJ907">
            <v>609.16</v>
          </cell>
          <cell r="AL907">
            <v>1317.93</v>
          </cell>
          <cell r="AP907">
            <v>2831.7359999999999</v>
          </cell>
          <cell r="AV907">
            <v>53.73</v>
          </cell>
          <cell r="AZ907">
            <v>336.6</v>
          </cell>
          <cell r="BE907">
            <v>22255</v>
          </cell>
          <cell r="BG907">
            <v>163</v>
          </cell>
          <cell r="BH907">
            <v>780.3</v>
          </cell>
          <cell r="BY907">
            <v>383.11</v>
          </cell>
          <cell r="CD907">
            <v>362.63</v>
          </cell>
          <cell r="CE907">
            <v>350.45</v>
          </cell>
          <cell r="CF907">
            <v>413.85</v>
          </cell>
          <cell r="CG907">
            <v>1820</v>
          </cell>
          <cell r="CH907">
            <v>1785</v>
          </cell>
          <cell r="CI907">
            <v>125</v>
          </cell>
          <cell r="CJ907">
            <v>315</v>
          </cell>
          <cell r="CK907">
            <v>2106</v>
          </cell>
          <cell r="CM907">
            <v>343.92</v>
          </cell>
          <cell r="CN907">
            <v>27.44</v>
          </cell>
          <cell r="CO907">
            <v>20.149999999999999</v>
          </cell>
          <cell r="CQ907">
            <v>12.77</v>
          </cell>
          <cell r="CR907">
            <v>59</v>
          </cell>
          <cell r="CS907">
            <v>1858</v>
          </cell>
          <cell r="CU907">
            <v>2900</v>
          </cell>
          <cell r="CW907">
            <v>96.875</v>
          </cell>
          <cell r="CX907">
            <v>1273.4375</v>
          </cell>
          <cell r="CZ907">
            <v>455.38</v>
          </cell>
          <cell r="DA907">
            <v>3983.8</v>
          </cell>
          <cell r="DB907">
            <v>14.58</v>
          </cell>
          <cell r="DC907">
            <v>476.85</v>
          </cell>
          <cell r="DD907">
            <v>143.94999999999999</v>
          </cell>
        </row>
        <row r="908">
          <cell r="A908">
            <v>39621</v>
          </cell>
          <cell r="C908">
            <v>28</v>
          </cell>
          <cell r="D908">
            <v>2.11</v>
          </cell>
          <cell r="E908">
            <v>4.18</v>
          </cell>
          <cell r="L908">
            <v>1731</v>
          </cell>
          <cell r="M908">
            <v>2406.09</v>
          </cell>
          <cell r="N908">
            <v>5620.8</v>
          </cell>
          <cell r="O908">
            <v>5868</v>
          </cell>
          <cell r="Q908">
            <v>1125</v>
          </cell>
          <cell r="R908">
            <v>721.25</v>
          </cell>
          <cell r="S908">
            <v>866.5</v>
          </cell>
          <cell r="T908">
            <v>1532.5</v>
          </cell>
          <cell r="U908">
            <v>13942.08</v>
          </cell>
          <cell r="V908">
            <v>22745.599999999999</v>
          </cell>
          <cell r="W908">
            <v>7902.44</v>
          </cell>
          <cell r="X908">
            <v>125.35</v>
          </cell>
          <cell r="Y908">
            <v>1610</v>
          </cell>
          <cell r="Z908">
            <v>1880</v>
          </cell>
          <cell r="AA908">
            <v>14571.29</v>
          </cell>
          <cell r="AB908">
            <v>5411.8</v>
          </cell>
          <cell r="AC908">
            <v>64613.789100000002</v>
          </cell>
          <cell r="AE908">
            <v>161.85</v>
          </cell>
          <cell r="AF908">
            <v>904.72</v>
          </cell>
          <cell r="AG908">
            <v>9428</v>
          </cell>
          <cell r="AH908">
            <v>1270</v>
          </cell>
          <cell r="AI908">
            <v>2185</v>
          </cell>
          <cell r="AJ908">
            <v>609.16</v>
          </cell>
          <cell r="AL908">
            <v>1317.93</v>
          </cell>
          <cell r="AP908">
            <v>2831.7359999999999</v>
          </cell>
          <cell r="AV908">
            <v>53.73</v>
          </cell>
          <cell r="AZ908">
            <v>336.6</v>
          </cell>
          <cell r="BE908">
            <v>22255</v>
          </cell>
          <cell r="BG908">
            <v>163</v>
          </cell>
          <cell r="BH908">
            <v>780.3</v>
          </cell>
          <cell r="BY908">
            <v>383.11</v>
          </cell>
          <cell r="CD908">
            <v>362.63</v>
          </cell>
          <cell r="CE908">
            <v>350.45</v>
          </cell>
          <cell r="CF908">
            <v>413.85</v>
          </cell>
          <cell r="CG908">
            <v>1820</v>
          </cell>
          <cell r="CH908">
            <v>1785</v>
          </cell>
          <cell r="CI908">
            <v>125</v>
          </cell>
          <cell r="CJ908">
            <v>315</v>
          </cell>
          <cell r="CK908">
            <v>2106</v>
          </cell>
          <cell r="CM908">
            <v>343.92</v>
          </cell>
          <cell r="CN908">
            <v>27.44</v>
          </cell>
          <cell r="CO908">
            <v>20.149999999999999</v>
          </cell>
          <cell r="CQ908">
            <v>12.77</v>
          </cell>
          <cell r="CR908">
            <v>59</v>
          </cell>
          <cell r="CS908">
            <v>1858</v>
          </cell>
          <cell r="CU908">
            <v>2900</v>
          </cell>
          <cell r="CW908">
            <v>96.875</v>
          </cell>
          <cell r="CX908">
            <v>1273.4375</v>
          </cell>
          <cell r="CZ908">
            <v>455.38</v>
          </cell>
          <cell r="DA908">
            <v>3983.8</v>
          </cell>
          <cell r="DB908">
            <v>14.58</v>
          </cell>
          <cell r="DC908">
            <v>476.85</v>
          </cell>
          <cell r="DD908">
            <v>143.94999999999999</v>
          </cell>
        </row>
        <row r="909">
          <cell r="A909">
            <v>39622</v>
          </cell>
          <cell r="C909">
            <v>28</v>
          </cell>
          <cell r="D909">
            <v>2.1</v>
          </cell>
          <cell r="E909">
            <v>4.1900000000000004</v>
          </cell>
          <cell r="L909">
            <v>1715.59</v>
          </cell>
          <cell r="M909">
            <v>2385.7399999999998</v>
          </cell>
          <cell r="N909">
            <v>5667.2</v>
          </cell>
          <cell r="O909">
            <v>5870</v>
          </cell>
          <cell r="Q909">
            <v>1125</v>
          </cell>
          <cell r="R909">
            <v>724.25</v>
          </cell>
          <cell r="S909">
            <v>866.25</v>
          </cell>
          <cell r="T909">
            <v>1515</v>
          </cell>
          <cell r="U909">
            <v>13857.47</v>
          </cell>
          <cell r="V909">
            <v>22714.959999999999</v>
          </cell>
          <cell r="W909">
            <v>7876.49</v>
          </cell>
          <cell r="X909">
            <v>128.05000000000001</v>
          </cell>
          <cell r="Y909">
            <v>1610</v>
          </cell>
          <cell r="Z909">
            <v>1880</v>
          </cell>
          <cell r="AA909">
            <v>14293.32</v>
          </cell>
          <cell r="AB909">
            <v>5408.9</v>
          </cell>
          <cell r="AC909">
            <v>64640.449200000003</v>
          </cell>
          <cell r="AE909">
            <v>164.8</v>
          </cell>
          <cell r="AF909">
            <v>904.72</v>
          </cell>
          <cell r="AG909">
            <v>9211</v>
          </cell>
          <cell r="AH909">
            <v>1270</v>
          </cell>
          <cell r="AI909">
            <v>2185</v>
          </cell>
          <cell r="AJ909">
            <v>605.71</v>
          </cell>
          <cell r="AL909">
            <v>1318</v>
          </cell>
          <cell r="AP909">
            <v>2760.4169999999999</v>
          </cell>
          <cell r="AV909">
            <v>53.23</v>
          </cell>
          <cell r="AZ909">
            <v>344.3</v>
          </cell>
          <cell r="BE909">
            <v>21685</v>
          </cell>
          <cell r="BG909">
            <v>163</v>
          </cell>
          <cell r="BH909">
            <v>769.88</v>
          </cell>
          <cell r="BY909">
            <v>378.71</v>
          </cell>
          <cell r="CD909">
            <v>360.89</v>
          </cell>
          <cell r="CE909">
            <v>348.99099999999999</v>
          </cell>
          <cell r="CF909">
            <v>409.23</v>
          </cell>
          <cell r="CG909">
            <v>1820</v>
          </cell>
          <cell r="CH909">
            <v>1785</v>
          </cell>
          <cell r="CI909">
            <v>125</v>
          </cell>
          <cell r="CJ909">
            <v>315</v>
          </cell>
          <cell r="CK909">
            <v>2086</v>
          </cell>
          <cell r="CM909">
            <v>345.51</v>
          </cell>
          <cell r="CN909">
            <v>27.74</v>
          </cell>
          <cell r="CO909">
            <v>20.350000000000001</v>
          </cell>
          <cell r="CQ909">
            <v>12.91</v>
          </cell>
          <cell r="CR909">
            <v>59</v>
          </cell>
          <cell r="CS909">
            <v>1844.75</v>
          </cell>
          <cell r="CU909">
            <v>2900</v>
          </cell>
          <cell r="CW909">
            <v>97.484756097560975</v>
          </cell>
          <cell r="CX909">
            <v>1264.3094999999998</v>
          </cell>
          <cell r="CZ909">
            <v>455.38</v>
          </cell>
          <cell r="DA909">
            <v>3967.5</v>
          </cell>
          <cell r="DB909">
            <v>14.34</v>
          </cell>
          <cell r="DC909">
            <v>471.9</v>
          </cell>
          <cell r="DD909">
            <v>143.80000000000001</v>
          </cell>
        </row>
        <row r="910">
          <cell r="A910">
            <v>39623</v>
          </cell>
          <cell r="C910">
            <v>28</v>
          </cell>
          <cell r="D910">
            <v>2.09</v>
          </cell>
          <cell r="E910">
            <v>4.18</v>
          </cell>
          <cell r="L910">
            <v>1710.84</v>
          </cell>
          <cell r="M910">
            <v>2368.2800000000002</v>
          </cell>
          <cell r="N910">
            <v>5634.7</v>
          </cell>
          <cell r="O910">
            <v>5877</v>
          </cell>
          <cell r="Q910">
            <v>1125</v>
          </cell>
          <cell r="R910">
            <v>712.5</v>
          </cell>
          <cell r="S910">
            <v>870</v>
          </cell>
          <cell r="T910">
            <v>1501</v>
          </cell>
          <cell r="U910">
            <v>13849.56</v>
          </cell>
          <cell r="V910">
            <v>22456.02</v>
          </cell>
          <cell r="W910">
            <v>7738.12</v>
          </cell>
          <cell r="X910">
            <v>128.85</v>
          </cell>
          <cell r="Y910">
            <v>1610</v>
          </cell>
          <cell r="Z910">
            <v>1880</v>
          </cell>
          <cell r="AA910">
            <v>14106.58</v>
          </cell>
          <cell r="AB910">
            <v>5418.8</v>
          </cell>
          <cell r="AC910">
            <v>64167.769500000002</v>
          </cell>
          <cell r="AE910">
            <v>165.7</v>
          </cell>
          <cell r="AF910">
            <v>904.64</v>
          </cell>
          <cell r="AG910">
            <v>9139</v>
          </cell>
          <cell r="AH910">
            <v>1270</v>
          </cell>
          <cell r="AI910">
            <v>2185</v>
          </cell>
          <cell r="AJ910">
            <v>600.36</v>
          </cell>
          <cell r="AL910">
            <v>1314.29</v>
          </cell>
          <cell r="AP910">
            <v>2803.0189999999998</v>
          </cell>
          <cell r="AV910">
            <v>53.04</v>
          </cell>
          <cell r="AZ910">
            <v>343.5</v>
          </cell>
          <cell r="BE910">
            <v>21335</v>
          </cell>
          <cell r="BG910">
            <v>163</v>
          </cell>
          <cell r="BH910">
            <v>774.3</v>
          </cell>
          <cell r="BY910">
            <v>380.32</v>
          </cell>
          <cell r="CD910">
            <v>359.82</v>
          </cell>
          <cell r="CE910">
            <v>348.15800000000002</v>
          </cell>
          <cell r="CF910">
            <v>405.77</v>
          </cell>
          <cell r="CG910">
            <v>1820</v>
          </cell>
          <cell r="CH910">
            <v>1785</v>
          </cell>
          <cell r="CI910">
            <v>125</v>
          </cell>
          <cell r="CJ910">
            <v>315</v>
          </cell>
          <cell r="CK910">
            <v>2043</v>
          </cell>
          <cell r="CM910">
            <v>346.35</v>
          </cell>
          <cell r="CN910">
            <v>27.8</v>
          </cell>
          <cell r="CO910">
            <v>20.3</v>
          </cell>
          <cell r="CQ910">
            <v>12.96</v>
          </cell>
          <cell r="CR910">
            <v>59</v>
          </cell>
          <cell r="CS910">
            <v>1805</v>
          </cell>
          <cell r="CU910">
            <v>2900</v>
          </cell>
          <cell r="CW910">
            <v>99.314024390243915</v>
          </cell>
          <cell r="CX910">
            <v>1270.9110000000001</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pageSetUpPr fitToPage="1"/>
  </sheetPr>
  <dimension ref="A1:AY743"/>
  <sheetViews>
    <sheetView showGridLines="0" tabSelected="1" topLeftCell="A288" zoomScale="85" zoomScaleNormal="85" zoomScaleSheetLayoutView="80" workbookViewId="0">
      <selection activeCell="H308" sqref="H308"/>
    </sheetView>
  </sheetViews>
  <sheetFormatPr defaultRowHeight="20.100000000000001" customHeight="1"/>
  <cols>
    <col min="1" max="1" width="3.375" style="500" customWidth="1"/>
    <col min="2" max="2" width="15.5" style="4" customWidth="1"/>
    <col min="3" max="3" width="8.75" style="4" customWidth="1"/>
    <col min="4" max="5" width="16.125" style="4" customWidth="1"/>
    <col min="6" max="6" width="15" style="4" customWidth="1"/>
    <col min="7" max="12" width="16.125" style="4" customWidth="1"/>
    <col min="13" max="13" width="46.75" style="4" customWidth="1"/>
    <col min="14" max="14" width="10" style="41" customWidth="1"/>
    <col min="15" max="15" width="10" style="3" customWidth="1"/>
    <col min="16" max="42" width="10" style="4" customWidth="1"/>
    <col min="43" max="16384" width="9" style="4"/>
  </cols>
  <sheetData>
    <row r="1" spans="1:51" ht="20.100000000000001" customHeight="1">
      <c r="A1" s="1"/>
      <c r="B1" s="1007" t="s">
        <v>0</v>
      </c>
      <c r="C1" s="1007"/>
      <c r="D1" s="1007"/>
      <c r="E1" s="1007"/>
      <c r="F1" s="1007"/>
      <c r="G1" s="1007"/>
      <c r="H1" s="1007"/>
      <c r="I1" s="1007"/>
      <c r="J1" s="1007"/>
      <c r="K1" s="1007"/>
      <c r="L1" s="1007"/>
      <c r="M1" s="1007"/>
      <c r="N1" s="2" t="s">
        <v>1</v>
      </c>
      <c r="O1" s="3" t="s">
        <v>2</v>
      </c>
      <c r="P1" s="3" t="s">
        <v>3</v>
      </c>
    </row>
    <row r="2" spans="1:51" ht="20.100000000000001" customHeight="1">
      <c r="A2" s="778" t="s">
        <v>522</v>
      </c>
      <c r="B2" s="1007"/>
      <c r="C2" s="1007"/>
      <c r="D2" s="1007"/>
      <c r="E2" s="1007"/>
      <c r="F2" s="1007"/>
      <c r="G2" s="1007"/>
      <c r="H2" s="1007"/>
      <c r="I2" s="1007"/>
      <c r="J2" s="1007"/>
      <c r="K2" s="1007"/>
      <c r="L2" s="1007"/>
      <c r="M2" s="1007"/>
      <c r="N2" s="6" t="s">
        <v>4</v>
      </c>
      <c r="O2" s="623">
        <v>1508.1</v>
      </c>
      <c r="P2" s="7">
        <f>ROUND(O2/$O$2,4)</f>
        <v>1</v>
      </c>
    </row>
    <row r="3" spans="1:51" ht="20.100000000000001" customHeight="1">
      <c r="A3" s="778" t="s">
        <v>523</v>
      </c>
      <c r="B3" s="1008">
        <v>46111</v>
      </c>
      <c r="C3" s="1008"/>
      <c r="D3" s="1008"/>
      <c r="E3" s="1008"/>
      <c r="F3" s="1008"/>
      <c r="G3" s="1008"/>
      <c r="H3" s="1008"/>
      <c r="I3" s="1008"/>
      <c r="J3" s="1008"/>
      <c r="K3" s="1008"/>
      <c r="L3" s="1008"/>
      <c r="M3" s="1008"/>
      <c r="N3" s="6" t="s">
        <v>5</v>
      </c>
      <c r="O3" s="623">
        <v>940.09</v>
      </c>
      <c r="P3" s="7">
        <f>ROUND(O3/$O$2,4)/100</f>
        <v>6.234E-3</v>
      </c>
    </row>
    <row r="4" spans="1:51" ht="20.100000000000001" customHeight="1">
      <c r="A4" s="5"/>
      <c r="B4" s="8"/>
      <c r="C4" s="8"/>
      <c r="D4" s="8"/>
      <c r="E4" s="8"/>
      <c r="F4" s="9"/>
      <c r="G4" s="9"/>
      <c r="H4" s="674" t="str">
        <f>IF((COUNTIF(J148:J162,"&lt;="&amp;$B$3)+COUNTIF(J164:J172,"&lt;="&amp;$B$3)+COUNTIF(J174:J193,"&lt;="&amp;$B$3)+COUNTIF(J197:J200,"&lt;="&amp;$B$3)+COUNTIF(J202:J204,"&lt;="&amp;$B$3)+COUNTIF(J206:J208,"&lt;="&amp;$B$3)+COUNTIF(J212:J213,"&lt;="&amp;$B$3)+COUNTIF(J215:J220,"&lt;="&amp;$B$3)+COUNTIF(J222:J223,"&lt;="&amp;$B$3)+COUNTIF(J227:J237,"&lt;="&amp;$B$3)+COUNTIF(J239:J251,"&lt;="&amp;$B$3)+COUNTIF(J253:J279,"&lt;="&amp;$B$3)+COUNTIF(J283:J283,"&lt;="&amp;$B$3)+COUNTIF(J287:J321,"&lt;="&amp;$B$3)+COUNTIF(J323:J325,"&lt;="&amp;$B$3)+COUNTIF(J327:J328,"&lt;="&amp;$B$3)+COUNTIF(J332:J333,"&lt;="&amp;$B$3)+COUNTIF(J338:J342,"&lt;="&amp;$B$3)+COUNTIF(J346:J347,"&lt;="&amp;$B$3)+COUNTIF(J349:J350,"&lt;="&amp;$B$3)+COUNTIF(J352:J352,"&lt;="&amp;$B$3)+COUNTIF(L358:L368,"&lt;="&amp;$B$3)+COUNTIF(J372:J382,"&gt;="&amp;$B$3)+COUNTIF(J414:J441,"&lt;="&amp;$B$3)+COUNTIF(J445:J461,"&lt;="&amp;$B$3))=0,"","날짜수정")</f>
        <v/>
      </c>
      <c r="I4" s="674" t="e">
        <f>IF(AND(P147=TRUE,P163=TRUE,P173=TRUE,P196=TRUE,P201=TRUE,P205=TRUE,P211=TRUE,P214=TRUE,P221=TRUE,P226=TRUE,P238=TRUE,P252=TRUE,P282=TRUE,P286=TRUE,P322=TRUE,P326=TRUE,P331=TRUE,P337=TRUE,O406=TRUE)=TRUE,"","잔액오류")</f>
        <v>#REF!</v>
      </c>
      <c r="J4" s="674"/>
      <c r="K4" s="673"/>
      <c r="L4" s="9"/>
      <c r="M4" s="9"/>
      <c r="N4" s="6" t="s">
        <v>6</v>
      </c>
      <c r="O4" s="623">
        <v>217.91</v>
      </c>
      <c r="P4" s="7">
        <f>ROUND(O4/$O$2,4)</f>
        <v>0.14449999999999999</v>
      </c>
    </row>
    <row r="5" spans="1:51" ht="27" customHeight="1">
      <c r="A5" s="5"/>
      <c r="B5" s="110" t="s">
        <v>365</v>
      </c>
      <c r="C5" s="548"/>
      <c r="D5" s="548"/>
      <c r="E5" s="548"/>
      <c r="F5" s="548"/>
      <c r="G5" s="548"/>
      <c r="H5" s="548"/>
      <c r="I5" s="10"/>
      <c r="J5" s="11"/>
      <c r="K5" s="11"/>
      <c r="L5" s="10"/>
      <c r="M5" s="146" t="s">
        <v>7</v>
      </c>
      <c r="N5" s="6" t="s">
        <v>8</v>
      </c>
      <c r="O5" s="623">
        <v>1732.81</v>
      </c>
      <c r="P5" s="7">
        <f>ROUND(O5/$O$2,4)</f>
        <v>1.149</v>
      </c>
    </row>
    <row r="6" spans="1:51" ht="20.100000000000001" customHeight="1">
      <c r="A6" s="12"/>
      <c r="B6" s="1009" t="s">
        <v>9</v>
      </c>
      <c r="C6" s="1010"/>
      <c r="D6" s="1010"/>
      <c r="E6" s="1010"/>
      <c r="F6" s="1011"/>
      <c r="G6" s="13" t="s">
        <v>10</v>
      </c>
      <c r="H6" s="14" t="s">
        <v>11</v>
      </c>
      <c r="I6" s="14" t="s">
        <v>481</v>
      </c>
      <c r="J6" s="15">
        <v>46107</v>
      </c>
      <c r="K6" s="16">
        <f>J32</f>
        <v>46108</v>
      </c>
      <c r="L6" s="17" t="s">
        <v>12</v>
      </c>
      <c r="M6" s="18" t="s">
        <v>13</v>
      </c>
      <c r="N6" s="6" t="s">
        <v>14</v>
      </c>
      <c r="O6" s="623">
        <v>5.73</v>
      </c>
      <c r="P6" s="7">
        <f>ROUND(O6/$O$2,4)/100</f>
        <v>3.8000000000000002E-5</v>
      </c>
      <c r="Q6" s="19"/>
    </row>
    <row r="7" spans="1:51" ht="20.100000000000001" customHeight="1">
      <c r="A7" s="5"/>
      <c r="B7" s="1012" t="s">
        <v>15</v>
      </c>
      <c r="C7" s="1013"/>
      <c r="D7" s="1013"/>
      <c r="E7" s="1013"/>
      <c r="F7" s="1014"/>
      <c r="G7" s="20" t="s">
        <v>16</v>
      </c>
      <c r="H7" s="20" t="s">
        <v>16</v>
      </c>
      <c r="I7" s="20" t="s">
        <v>16</v>
      </c>
      <c r="J7" s="21">
        <v>1.0728105604653895</v>
      </c>
      <c r="K7" s="22" t="e">
        <f>HLOOKUP('1.자금일보'!$K$6,#REF!,58,FALSE)</f>
        <v>#REF!</v>
      </c>
      <c r="L7" s="23" t="e">
        <f>K7-J7</f>
        <v>#REF!</v>
      </c>
      <c r="M7" s="24" t="s">
        <v>17</v>
      </c>
      <c r="N7" s="25"/>
      <c r="O7" s="25"/>
      <c r="P7" s="25"/>
      <c r="Q7" s="19"/>
    </row>
    <row r="8" spans="1:51" ht="20.100000000000001" customHeight="1">
      <c r="A8" s="26"/>
      <c r="B8" s="1012" t="s">
        <v>18</v>
      </c>
      <c r="C8" s="1013"/>
      <c r="D8" s="1013"/>
      <c r="E8" s="1013"/>
      <c r="F8" s="1014"/>
      <c r="G8" s="27" t="s">
        <v>16</v>
      </c>
      <c r="H8" s="20" t="s">
        <v>482</v>
      </c>
      <c r="I8" s="27" t="s">
        <v>16</v>
      </c>
      <c r="J8" s="21">
        <v>0.96594402722803507</v>
      </c>
      <c r="K8" s="28" t="e">
        <f>HLOOKUP('1.자금일보'!$K$6,#REF!,59,FALSE)</f>
        <v>#REF!</v>
      </c>
      <c r="L8" s="29" t="e">
        <f>K8-J8</f>
        <v>#REF!</v>
      </c>
      <c r="M8" s="24" t="s">
        <v>19</v>
      </c>
      <c r="N8" s="25"/>
      <c r="P8" s="30"/>
      <c r="Q8" s="30"/>
    </row>
    <row r="9" spans="1:51" ht="20.100000000000001" customHeight="1">
      <c r="A9" s="26"/>
      <c r="B9" s="1004" t="s">
        <v>21</v>
      </c>
      <c r="C9" s="1005"/>
      <c r="D9" s="1005"/>
      <c r="E9" s="1005"/>
      <c r="F9" s="1006"/>
      <c r="G9" s="356" t="s">
        <v>22</v>
      </c>
      <c r="H9" s="356" t="s">
        <v>23</v>
      </c>
      <c r="I9" s="691" t="s">
        <v>484</v>
      </c>
      <c r="J9" s="692">
        <v>1.6652</v>
      </c>
      <c r="K9" s="31" t="e">
        <f>HLOOKUP('1.자금일보'!$K$6,#REF!,65,FALSE)</f>
        <v>#REF!</v>
      </c>
      <c r="L9" s="29" t="e">
        <f>K9-J9</f>
        <v>#REF!</v>
      </c>
      <c r="M9" s="693"/>
      <c r="N9" s="33"/>
      <c r="O9" s="35"/>
      <c r="P9" s="40"/>
      <c r="Q9" s="40"/>
    </row>
    <row r="10" spans="1:51" ht="20.100000000000001" customHeight="1">
      <c r="A10" s="26"/>
      <c r="B10" s="1025" t="s">
        <v>487</v>
      </c>
      <c r="C10" s="1026"/>
      <c r="D10" s="1026"/>
      <c r="E10" s="1026"/>
      <c r="F10" s="1027"/>
      <c r="G10" s="36" t="s">
        <v>488</v>
      </c>
      <c r="H10" s="36" t="s">
        <v>16</v>
      </c>
      <c r="I10" s="685" t="s">
        <v>16</v>
      </c>
      <c r="J10" s="549">
        <v>0.64510000000000001</v>
      </c>
      <c r="K10" s="37" t="e">
        <f>HLOOKUP('1.자금일보'!$K$6,#REF!,63,FALSE)</f>
        <v>#REF!</v>
      </c>
      <c r="L10" s="38" t="e">
        <f>K10-J10</f>
        <v>#REF!</v>
      </c>
      <c r="M10" s="39"/>
    </row>
    <row r="11" spans="1:51" ht="20.100000000000001" customHeight="1">
      <c r="A11" s="1"/>
      <c r="B11" s="42"/>
      <c r="C11" s="42"/>
      <c r="D11" s="42"/>
      <c r="E11" s="42"/>
      <c r="F11" s="42"/>
      <c r="G11" s="43"/>
      <c r="H11" s="43"/>
      <c r="I11" s="44"/>
      <c r="J11" s="45"/>
      <c r="K11" s="46"/>
      <c r="L11" s="45"/>
      <c r="M11" s="45"/>
    </row>
    <row r="12" spans="1:51" ht="20.100000000000001" customHeight="1">
      <c r="A12" s="1"/>
      <c r="B12" s="1028" t="s">
        <v>512</v>
      </c>
      <c r="C12" s="1028"/>
      <c r="D12" s="1028"/>
      <c r="E12" s="1028"/>
      <c r="F12" s="47"/>
      <c r="G12" s="48"/>
      <c r="H12" s="49"/>
      <c r="I12" s="50"/>
      <c r="J12" s="10"/>
      <c r="K12" s="10"/>
      <c r="L12" s="10"/>
      <c r="M12" s="146" t="s">
        <v>24</v>
      </c>
      <c r="N12" s="51" t="s">
        <v>25</v>
      </c>
      <c r="O12" s="52"/>
      <c r="P12" s="53"/>
      <c r="Y12" s="54"/>
      <c r="Z12" s="53"/>
      <c r="AF12" s="55"/>
      <c r="AG12" s="55"/>
      <c r="AH12" s="55"/>
      <c r="AX12" s="55"/>
      <c r="AY12" s="56"/>
    </row>
    <row r="13" spans="1:51" ht="20.100000000000001" customHeight="1">
      <c r="A13" s="1"/>
      <c r="B13" s="1029" t="s">
        <v>26</v>
      </c>
      <c r="C13" s="1030"/>
      <c r="D13" s="57">
        <v>44926</v>
      </c>
      <c r="E13" s="57">
        <v>45291</v>
      </c>
      <c r="F13" s="57">
        <v>45657</v>
      </c>
      <c r="G13" s="57">
        <v>46022</v>
      </c>
      <c r="H13" s="803">
        <v>46053</v>
      </c>
      <c r="I13" s="803">
        <v>46081</v>
      </c>
      <c r="J13" s="58">
        <v>46107</v>
      </c>
      <c r="K13" s="59">
        <f>K6</f>
        <v>46108</v>
      </c>
      <c r="L13" s="60" t="s">
        <v>12</v>
      </c>
      <c r="M13" s="61" t="s">
        <v>13</v>
      </c>
      <c r="N13" s="25" t="s">
        <v>27</v>
      </c>
      <c r="O13" s="62" t="e">
        <f>O14/O15*100</f>
        <v>#REF!</v>
      </c>
      <c r="P13" s="63"/>
      <c r="Y13" s="54"/>
      <c r="Z13" s="53"/>
      <c r="AF13" s="55"/>
      <c r="AG13" s="55"/>
      <c r="AH13" s="55"/>
      <c r="AX13" s="55"/>
      <c r="AY13" s="56"/>
    </row>
    <row r="14" spans="1:51" ht="20.100000000000001" customHeight="1" thickBot="1">
      <c r="A14" s="1"/>
      <c r="B14" s="1031" t="s">
        <v>28</v>
      </c>
      <c r="C14" s="1032"/>
      <c r="D14" s="64">
        <v>1.7342197151907139</v>
      </c>
      <c r="E14" s="64">
        <v>1.739279690411897</v>
      </c>
      <c r="F14" s="64">
        <v>1.6298561755754086</v>
      </c>
      <c r="G14" s="64">
        <v>1.9381241655669006</v>
      </c>
      <c r="H14" s="64">
        <v>1.7888010679957493</v>
      </c>
      <c r="I14" s="64">
        <v>1.9840074097269629</v>
      </c>
      <c r="J14" s="64">
        <v>1.7432439755644216</v>
      </c>
      <c r="K14" s="64" t="e">
        <f>K15/(K22-K28)</f>
        <v>#REF!</v>
      </c>
      <c r="L14" s="64" t="e">
        <f t="shared" ref="L14:L29" si="0">K14-J14</f>
        <v>#REF!</v>
      </c>
      <c r="M14" s="550" t="s">
        <v>474</v>
      </c>
      <c r="N14" s="25" t="s">
        <v>29</v>
      </c>
      <c r="O14" s="63" t="e">
        <f>AVERAGEIFS(#REF!,#REF!,"&gt;"&amp;EOMONTH(K13,-1),#REF!,"&lt;="&amp;K13)</f>
        <v>#REF!</v>
      </c>
      <c r="P14" s="63"/>
      <c r="Y14" s="54"/>
      <c r="Z14" s="53"/>
      <c r="AF14" s="55"/>
      <c r="AG14" s="55"/>
      <c r="AH14" s="55"/>
      <c r="AX14" s="55"/>
      <c r="AY14" s="56"/>
    </row>
    <row r="15" spans="1:51" ht="20.100000000000001" customHeight="1" thickTop="1" thickBot="1">
      <c r="A15" s="1"/>
      <c r="B15" s="1033" t="s">
        <v>30</v>
      </c>
      <c r="C15" s="1034"/>
      <c r="D15" s="65">
        <v>209005.81867699997</v>
      </c>
      <c r="E15" s="65">
        <v>224541.89718500001</v>
      </c>
      <c r="F15" s="65">
        <v>248987.0651145</v>
      </c>
      <c r="G15" s="65">
        <v>293536.62201050005</v>
      </c>
      <c r="H15" s="65">
        <v>274775.04133400001</v>
      </c>
      <c r="I15" s="65">
        <v>306917.89508250001</v>
      </c>
      <c r="J15" s="65">
        <v>285217.13652</v>
      </c>
      <c r="K15" s="65" t="e">
        <f>HLOOKUP($K$13,#REF!,3,FALSE)</f>
        <v>#REF!</v>
      </c>
      <c r="L15" s="66" t="e">
        <f t="shared" si="0"/>
        <v>#REF!</v>
      </c>
      <c r="M15" s="67"/>
      <c r="N15" s="25" t="s">
        <v>31</v>
      </c>
      <c r="O15" s="63" t="e">
        <f>O16-MIN(O16*0.75,O17)</f>
        <v>#REF!</v>
      </c>
      <c r="P15" s="63"/>
    </row>
    <row r="16" spans="1:51" ht="20.100000000000001" customHeight="1" thickTop="1">
      <c r="A16" s="1"/>
      <c r="B16" s="734" t="s">
        <v>32</v>
      </c>
      <c r="C16" s="735"/>
      <c r="D16" s="68">
        <v>206089.34735999999</v>
      </c>
      <c r="E16" s="68">
        <v>214206.53107999999</v>
      </c>
      <c r="F16" s="68">
        <v>238481.28940000001</v>
      </c>
      <c r="G16" s="68">
        <v>285257.31746000005</v>
      </c>
      <c r="H16" s="68">
        <v>267035.98543999996</v>
      </c>
      <c r="I16" s="68">
        <v>300496.37430000002</v>
      </c>
      <c r="J16" s="68">
        <v>279165.78931999998</v>
      </c>
      <c r="K16" s="68" t="e">
        <f>HLOOKUP($K$13,#REF!,4,FALSE)</f>
        <v>#REF!</v>
      </c>
      <c r="L16" s="69" t="e">
        <f t="shared" si="0"/>
        <v>#REF!</v>
      </c>
      <c r="M16" s="70"/>
      <c r="N16" s="25" t="s">
        <v>33</v>
      </c>
      <c r="O16" s="63" t="e">
        <f>AVERAGEIFS(#REF!,#REF!,"&gt;"&amp;EOMONTH(K13,-1),#REF!,"&lt;="&amp;K13)</f>
        <v>#REF!</v>
      </c>
      <c r="P16" s="71"/>
    </row>
    <row r="17" spans="1:51" ht="20.100000000000001" customHeight="1">
      <c r="A17" s="1"/>
      <c r="B17" s="72" t="s">
        <v>34</v>
      </c>
      <c r="C17" s="73"/>
      <c r="D17" s="74">
        <v>6208.3664500000004</v>
      </c>
      <c r="E17" s="74">
        <v>0</v>
      </c>
      <c r="F17" s="74">
        <v>0</v>
      </c>
      <c r="G17" s="74">
        <v>0</v>
      </c>
      <c r="H17" s="74">
        <v>0</v>
      </c>
      <c r="I17" s="74">
        <v>0</v>
      </c>
      <c r="J17" s="74">
        <v>0</v>
      </c>
      <c r="K17" s="74" t="e">
        <f>HLOOKUP($K$13,#REF!,16,FALSE)</f>
        <v>#REF!</v>
      </c>
      <c r="L17" s="75" t="e">
        <f t="shared" si="0"/>
        <v>#REF!</v>
      </c>
      <c r="M17" s="76" t="s">
        <v>35</v>
      </c>
      <c r="N17" s="25" t="s">
        <v>36</v>
      </c>
      <c r="O17" s="63" t="e">
        <f>AVERAGEIFS(#REF!,#REF!,"&gt;"&amp;EOMONTH(K13,-1),#REF!,"&lt;="&amp;K13)</f>
        <v>#REF!</v>
      </c>
      <c r="P17" s="53"/>
    </row>
    <row r="18" spans="1:51" ht="20.100000000000001" customHeight="1">
      <c r="A18" s="1"/>
      <c r="B18" s="731" t="s">
        <v>37</v>
      </c>
      <c r="C18" s="733"/>
      <c r="D18" s="77">
        <v>2916.4713170000005</v>
      </c>
      <c r="E18" s="77">
        <v>5286.8407049999996</v>
      </c>
      <c r="F18" s="77">
        <v>4976.7335695000011</v>
      </c>
      <c r="G18" s="77">
        <v>3051.7705504999994</v>
      </c>
      <c r="H18" s="77">
        <v>2991.5478490000005</v>
      </c>
      <c r="I18" s="77">
        <v>3325.4464874999994</v>
      </c>
      <c r="J18" s="77">
        <v>4419.3981999999987</v>
      </c>
      <c r="K18" s="77" t="e">
        <f>HLOOKUP($K$13,#REF!,19,FALSE)</f>
        <v>#REF!</v>
      </c>
      <c r="L18" s="78" t="s">
        <v>576</v>
      </c>
      <c r="M18" s="70"/>
      <c r="N18" s="79"/>
      <c r="P18" s="53"/>
    </row>
    <row r="19" spans="1:51" ht="20.100000000000001" customHeight="1">
      <c r="A19" s="1"/>
      <c r="B19" s="72" t="s">
        <v>38</v>
      </c>
      <c r="C19" s="73"/>
      <c r="D19" s="80">
        <v>4374.7069799999999</v>
      </c>
      <c r="E19" s="81">
        <v>7930.2610699999996</v>
      </c>
      <c r="F19" s="80">
        <v>7465.1003499999997</v>
      </c>
      <c r="G19" s="81">
        <v>4569.2348400000001</v>
      </c>
      <c r="H19" s="81">
        <v>4487.3217699999996</v>
      </c>
      <c r="I19" s="81">
        <v>4988.1697199999999</v>
      </c>
      <c r="J19" s="81">
        <v>6629.0973000000004</v>
      </c>
      <c r="K19" s="81" t="e">
        <f>HLOOKUP($K$13,#REF!,28,FALSE)</f>
        <v>#REF!</v>
      </c>
      <c r="L19" s="82" t="e">
        <f t="shared" si="0"/>
        <v>#REF!</v>
      </c>
      <c r="M19" s="83"/>
      <c r="N19" s="79"/>
      <c r="P19" s="53"/>
    </row>
    <row r="20" spans="1:51" ht="20.100000000000001" customHeight="1">
      <c r="A20" s="1"/>
      <c r="B20" s="731" t="s">
        <v>39</v>
      </c>
      <c r="C20" s="733"/>
      <c r="D20" s="77">
        <v>0</v>
      </c>
      <c r="E20" s="77">
        <v>5048.5254000000004</v>
      </c>
      <c r="F20" s="77">
        <v>5529.0421449999994</v>
      </c>
      <c r="G20" s="77">
        <v>5228.0247000000008</v>
      </c>
      <c r="H20" s="77">
        <v>4747.5080449999996</v>
      </c>
      <c r="I20" s="77">
        <v>3096.0742950000003</v>
      </c>
      <c r="J20" s="77">
        <v>1631.9490000000001</v>
      </c>
      <c r="K20" s="77" t="e">
        <f>HLOOKUP($K$13,#REF!,31,FALSE)</f>
        <v>#REF!</v>
      </c>
      <c r="L20" s="78" t="e">
        <f t="shared" si="0"/>
        <v>#REF!</v>
      </c>
      <c r="M20" s="84"/>
      <c r="N20" s="79"/>
      <c r="O20" s="79"/>
      <c r="P20" s="53"/>
    </row>
    <row r="21" spans="1:51" ht="20.100000000000001" customHeight="1" thickBot="1">
      <c r="A21" s="1"/>
      <c r="B21" s="72" t="s">
        <v>40</v>
      </c>
      <c r="C21" s="73"/>
      <c r="D21" s="85">
        <v>0</v>
      </c>
      <c r="E21" s="86">
        <v>7572.7880999999998</v>
      </c>
      <c r="F21" s="85">
        <v>8293.5632100000003</v>
      </c>
      <c r="G21" s="86">
        <v>7842.0370499999999</v>
      </c>
      <c r="H21" s="86">
        <v>7121.26206</v>
      </c>
      <c r="I21" s="86">
        <v>4644.1114399999997</v>
      </c>
      <c r="J21" s="86">
        <v>2447.9234999999999</v>
      </c>
      <c r="K21" s="86" t="e">
        <f>HLOOKUP($K$13,#REF!,36,FALSE)</f>
        <v>#REF!</v>
      </c>
      <c r="L21" s="87" t="e">
        <f t="shared" si="0"/>
        <v>#REF!</v>
      </c>
      <c r="M21" s="88"/>
      <c r="N21" s="79"/>
      <c r="O21" s="79"/>
      <c r="P21" s="53"/>
      <c r="S21" s="89"/>
    </row>
    <row r="22" spans="1:51" ht="20.100000000000001" customHeight="1" thickTop="1" thickBot="1">
      <c r="A22" s="1"/>
      <c r="B22" s="90" t="s">
        <v>41</v>
      </c>
      <c r="C22" s="91"/>
      <c r="D22" s="92">
        <v>482074.59954400006</v>
      </c>
      <c r="E22" s="92">
        <v>516402.04485900002</v>
      </c>
      <c r="F22" s="92">
        <v>588537.22291529994</v>
      </c>
      <c r="G22" s="92">
        <v>605815.92700489995</v>
      </c>
      <c r="H22" s="92">
        <v>614433.98315650015</v>
      </c>
      <c r="I22" s="92">
        <v>618783.76778949995</v>
      </c>
      <c r="J22" s="92">
        <v>654451.4491786001</v>
      </c>
      <c r="K22" s="92" t="e">
        <f>HLOOKUP($K$13,#REF!,45,FALSE)</f>
        <v>#REF!</v>
      </c>
      <c r="L22" s="93" t="e">
        <f t="shared" si="0"/>
        <v>#REF!</v>
      </c>
      <c r="M22" s="67"/>
      <c r="P22" s="53"/>
    </row>
    <row r="23" spans="1:51" ht="20.100000000000001" customHeight="1" thickTop="1">
      <c r="A23" s="1"/>
      <c r="B23" s="734" t="s">
        <v>42</v>
      </c>
      <c r="C23" s="735"/>
      <c r="D23" s="68">
        <v>15316.665700000001</v>
      </c>
      <c r="E23" s="68">
        <v>20160.460234999999</v>
      </c>
      <c r="F23" s="68">
        <v>25784.553771499999</v>
      </c>
      <c r="G23" s="68">
        <v>24587.769173500004</v>
      </c>
      <c r="H23" s="68">
        <v>26039.472253000004</v>
      </c>
      <c r="I23" s="68">
        <v>25901.798130499999</v>
      </c>
      <c r="J23" s="68">
        <v>23294.7457545</v>
      </c>
      <c r="K23" s="68" t="e">
        <f>HLOOKUP($K$13,#REF!,46,FALSE)</f>
        <v>#REF!</v>
      </c>
      <c r="L23" s="94" t="e">
        <f t="shared" si="0"/>
        <v>#REF!</v>
      </c>
      <c r="M23" s="70"/>
      <c r="P23" s="53"/>
    </row>
    <row r="24" spans="1:51" ht="20.100000000000001" customHeight="1">
      <c r="A24" s="1"/>
      <c r="B24" s="731" t="s">
        <v>43</v>
      </c>
      <c r="C24" s="733"/>
      <c r="D24" s="77">
        <v>380837.46553500002</v>
      </c>
      <c r="E24" s="77">
        <v>407933.90067250002</v>
      </c>
      <c r="F24" s="77">
        <v>457596.71328299999</v>
      </c>
      <c r="G24" s="77">
        <v>514751.16766599996</v>
      </c>
      <c r="H24" s="77">
        <v>528535.79073900008</v>
      </c>
      <c r="I24" s="77">
        <v>532868.35661749996</v>
      </c>
      <c r="J24" s="77">
        <v>569300.19560800004</v>
      </c>
      <c r="K24" s="77" t="e">
        <f>HLOOKUP($K$13,#REF!,57,FALSE)</f>
        <v>#REF!</v>
      </c>
      <c r="L24" s="78" t="e">
        <f t="shared" si="0"/>
        <v>#REF!</v>
      </c>
      <c r="M24" s="84"/>
      <c r="P24" s="53"/>
    </row>
    <row r="25" spans="1:51" ht="20.100000000000001" customHeight="1">
      <c r="A25" s="1"/>
      <c r="B25" s="731" t="s">
        <v>44</v>
      </c>
      <c r="C25" s="733"/>
      <c r="D25" s="77">
        <v>0</v>
      </c>
      <c r="E25" s="77">
        <v>0</v>
      </c>
      <c r="F25" s="77">
        <v>0</v>
      </c>
      <c r="G25" s="77">
        <v>0</v>
      </c>
      <c r="H25" s="77">
        <v>0</v>
      </c>
      <c r="I25" s="77">
        <v>0</v>
      </c>
      <c r="J25" s="77">
        <v>0</v>
      </c>
      <c r="K25" s="77" t="e">
        <f>HLOOKUP($K$13,#REF!,99,FALSE)</f>
        <v>#REF!</v>
      </c>
      <c r="L25" s="78" t="e">
        <f t="shared" si="0"/>
        <v>#REF!</v>
      </c>
      <c r="M25" s="84"/>
      <c r="P25" s="53"/>
    </row>
    <row r="26" spans="1:51" ht="20.100000000000001" customHeight="1">
      <c r="A26" s="1"/>
      <c r="B26" s="731" t="s">
        <v>45</v>
      </c>
      <c r="C26" s="733"/>
      <c r="D26" s="77">
        <v>29706.094109999998</v>
      </c>
      <c r="E26" s="77">
        <v>39875.443272000004</v>
      </c>
      <c r="F26" s="77">
        <v>60623.225116000001</v>
      </c>
      <c r="G26" s="77">
        <v>30428.464502000003</v>
      </c>
      <c r="H26" s="77">
        <v>19429.854926</v>
      </c>
      <c r="I26" s="77">
        <v>18755.672009999998</v>
      </c>
      <c r="J26" s="77">
        <v>17486.141530000001</v>
      </c>
      <c r="K26" s="77" t="e">
        <f>HLOOKUP($K$13,#REF!,124,FALSE)</f>
        <v>#REF!</v>
      </c>
      <c r="L26" s="78" t="e">
        <f t="shared" si="0"/>
        <v>#REF!</v>
      </c>
      <c r="M26" s="84"/>
      <c r="P26" s="53"/>
    </row>
    <row r="27" spans="1:51" ht="20.100000000000001" customHeight="1" thickBot="1">
      <c r="A27" s="1"/>
      <c r="B27" s="95" t="s">
        <v>46</v>
      </c>
      <c r="C27" s="631"/>
      <c r="D27" s="96">
        <v>56214.374199000005</v>
      </c>
      <c r="E27" s="96">
        <v>48432.240679499999</v>
      </c>
      <c r="F27" s="96">
        <v>44532.730744800007</v>
      </c>
      <c r="G27" s="96">
        <v>36048.525663399996</v>
      </c>
      <c r="H27" s="96">
        <v>40428.865238500002</v>
      </c>
      <c r="I27" s="96">
        <v>41257.941031499999</v>
      </c>
      <c r="J27" s="96">
        <v>44370.366286099998</v>
      </c>
      <c r="K27" s="96" t="e">
        <f>HLOOKUP($K$13,#REF!,158,FALSE)</f>
        <v>#REF!</v>
      </c>
      <c r="L27" s="93" t="e">
        <f t="shared" si="0"/>
        <v>#REF!</v>
      </c>
      <c r="M27" s="97" t="s">
        <v>597</v>
      </c>
      <c r="P27" s="53"/>
      <c r="Q27" s="19"/>
      <c r="R27" s="19"/>
      <c r="S27" s="19"/>
      <c r="T27" s="19"/>
      <c r="U27" s="19"/>
      <c r="V27" s="19"/>
      <c r="W27" s="19"/>
      <c r="X27" s="19"/>
      <c r="Y27" s="19"/>
      <c r="Z27" s="19"/>
      <c r="AA27" s="19"/>
      <c r="AB27" s="19"/>
      <c r="AC27" s="19"/>
      <c r="AD27" s="19"/>
      <c r="AE27" s="19"/>
      <c r="AF27" s="19"/>
      <c r="AG27" s="19"/>
      <c r="AH27" s="19"/>
      <c r="AI27" s="19"/>
      <c r="AJ27" s="19"/>
      <c r="AK27" s="19"/>
      <c r="AL27" s="19"/>
      <c r="AM27" s="19"/>
      <c r="AN27" s="19"/>
      <c r="AO27" s="19"/>
      <c r="AP27" s="19"/>
    </row>
    <row r="28" spans="1:51" ht="20.100000000000001" customHeight="1" thickTop="1" thickBot="1">
      <c r="A28" s="1"/>
      <c r="B28" s="90" t="s">
        <v>47</v>
      </c>
      <c r="C28" s="91"/>
      <c r="D28" s="65">
        <v>361555.94965999998</v>
      </c>
      <c r="E28" s="65">
        <v>387301.53363999998</v>
      </c>
      <c r="F28" s="65">
        <v>435770.94277000002</v>
      </c>
      <c r="G28" s="65">
        <v>454361.94524999999</v>
      </c>
      <c r="H28" s="65">
        <v>460825.48736000003</v>
      </c>
      <c r="I28" s="65">
        <v>464087.82584</v>
      </c>
      <c r="J28" s="65">
        <v>490838.58688395005</v>
      </c>
      <c r="K28" s="65" t="e">
        <f>HLOOKUP($K$13,#REF!,172,FALSE)</f>
        <v>#REF!</v>
      </c>
      <c r="L28" s="98" t="e">
        <f t="shared" si="0"/>
        <v>#REF!</v>
      </c>
      <c r="M28" s="99"/>
      <c r="O28" s="79"/>
      <c r="P28" s="53"/>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row>
    <row r="29" spans="1:51" ht="20.100000000000001" customHeight="1" thickTop="1">
      <c r="A29" s="1"/>
      <c r="B29" s="100" t="s">
        <v>48</v>
      </c>
      <c r="C29" s="101"/>
      <c r="D29" s="102">
        <v>120518.64988400007</v>
      </c>
      <c r="E29" s="102">
        <v>129100.51121900004</v>
      </c>
      <c r="F29" s="102">
        <v>152766.28014529991</v>
      </c>
      <c r="G29" s="102">
        <v>151453.98175489996</v>
      </c>
      <c r="H29" s="102">
        <v>153608.49579650012</v>
      </c>
      <c r="I29" s="102">
        <v>154695.94194949995</v>
      </c>
      <c r="J29" s="102">
        <v>163612.86229465005</v>
      </c>
      <c r="K29" s="102" t="e">
        <f>HLOOKUP($K$13,#REF!,44,FALSE)</f>
        <v>#REF!</v>
      </c>
      <c r="L29" s="103" t="e">
        <f t="shared" si="0"/>
        <v>#REF!</v>
      </c>
      <c r="M29" s="104"/>
      <c r="O29" s="79"/>
      <c r="P29" s="53"/>
      <c r="Q29" s="19"/>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row>
    <row r="30" spans="1:51" ht="27" customHeight="1">
      <c r="A30" s="1"/>
      <c r="B30" s="105"/>
      <c r="C30" s="105"/>
      <c r="D30" s="106"/>
      <c r="E30" s="106"/>
      <c r="F30" s="107"/>
      <c r="G30" s="107"/>
      <c r="H30" s="107"/>
      <c r="I30" s="107"/>
      <c r="J30" s="107"/>
      <c r="K30" s="793"/>
      <c r="L30" s="108"/>
      <c r="M30" s="109"/>
      <c r="P30" s="53"/>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row>
    <row r="31" spans="1:51" s="19" customFormat="1" ht="27" customHeight="1">
      <c r="A31" s="666"/>
      <c r="B31" s="110" t="s">
        <v>49</v>
      </c>
      <c r="C31" s="551"/>
      <c r="D31" s="551"/>
      <c r="E31" s="551"/>
      <c r="F31" s="551"/>
      <c r="G31" s="551"/>
      <c r="H31" s="670"/>
      <c r="I31" s="670"/>
      <c r="J31" s="670"/>
      <c r="K31" s="670"/>
      <c r="L31" s="112"/>
      <c r="M31" s="146" t="s">
        <v>51</v>
      </c>
      <c r="N31" s="41"/>
      <c r="O31" s="3"/>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row>
    <row r="32" spans="1:51" s="19" customFormat="1" ht="20.100000000000001" customHeight="1" thickBot="1">
      <c r="A32" s="666"/>
      <c r="B32" s="1035" t="s">
        <v>52</v>
      </c>
      <c r="C32" s="1036"/>
      <c r="D32" s="1036"/>
      <c r="E32" s="1036"/>
      <c r="F32" s="974"/>
      <c r="G32" s="113" t="s">
        <v>582</v>
      </c>
      <c r="H32" s="761">
        <v>46081</v>
      </c>
      <c r="I32" s="760">
        <v>46080</v>
      </c>
      <c r="J32" s="114">
        <v>46108</v>
      </c>
      <c r="K32" s="115">
        <f>B3</f>
        <v>46111</v>
      </c>
      <c r="L32" s="113" t="s">
        <v>12</v>
      </c>
      <c r="M32" s="116" t="str">
        <f>M66</f>
        <v>비고</v>
      </c>
      <c r="N32" s="41"/>
      <c r="O32" s="3"/>
    </row>
    <row r="33" spans="1:15" s="19" customFormat="1" ht="20.100000000000001" customHeight="1" thickTop="1" thickBot="1">
      <c r="A33" s="666" t="s">
        <v>434</v>
      </c>
      <c r="B33" s="1040" t="s">
        <v>53</v>
      </c>
      <c r="C33" s="1041"/>
      <c r="D33" s="1041"/>
      <c r="E33" s="1041"/>
      <c r="F33" s="1042"/>
      <c r="G33" s="646">
        <v>2276.1057091299999</v>
      </c>
      <c r="H33" s="646">
        <v>2350.5172807700001</v>
      </c>
      <c r="I33" s="647">
        <v>2349.5394916199998</v>
      </c>
      <c r="J33" s="647">
        <v>2242.8930640799999</v>
      </c>
      <c r="K33" s="633" t="e">
        <f>SUMIFS(#REF!,#REF!,A33)/1000000-IFERROR(VLOOKUP(11500,#REF!,3,FALSE)/1000000,0)-IFERROR(VLOOKUP(22601,#REF!,3,FALSE)/1000000,0)-IFERROR(VLOOKUP(22602,#REF!,3,FALSE)/1000000,0)</f>
        <v>#REF!</v>
      </c>
      <c r="L33" s="511" t="e">
        <f t="shared" ref="L33:L65" si="1">K33-J33</f>
        <v>#REF!</v>
      </c>
      <c r="M33" s="686"/>
      <c r="N33" s="2" t="e">
        <f>ROUND(K33,0)=ROUND(SUM(K34:K35,K40,K43:K44,K52,K56:K60),0)</f>
        <v>#REF!</v>
      </c>
      <c r="O33" s="3"/>
    </row>
    <row r="34" spans="1:15" s="19" customFormat="1" ht="20.100000000000001" customHeight="1" thickTop="1">
      <c r="A34" s="666" t="s">
        <v>387</v>
      </c>
      <c r="B34" s="1020" t="s">
        <v>407</v>
      </c>
      <c r="C34" s="982"/>
      <c r="D34" s="982"/>
      <c r="E34" s="982"/>
      <c r="F34" s="1021"/>
      <c r="G34" s="648">
        <v>45.777759680000003</v>
      </c>
      <c r="H34" s="648">
        <v>61.607974259999999</v>
      </c>
      <c r="I34" s="649">
        <v>58.374946299999998</v>
      </c>
      <c r="J34" s="649">
        <v>58.510146460000001</v>
      </c>
      <c r="K34" s="634" t="e">
        <f>SUMIFS(#REF!,#REF!,A34)/1000000</f>
        <v>#REF!</v>
      </c>
      <c r="L34" s="512" t="e">
        <f t="shared" si="1"/>
        <v>#REF!</v>
      </c>
      <c r="M34" s="687"/>
      <c r="N34" s="117"/>
      <c r="O34" s="3"/>
    </row>
    <row r="35" spans="1:15" s="19" customFormat="1" ht="20.100000000000001" customHeight="1">
      <c r="A35" s="666"/>
      <c r="B35" s="895" t="s">
        <v>54</v>
      </c>
      <c r="C35" s="898"/>
      <c r="D35" s="898"/>
      <c r="E35" s="898"/>
      <c r="F35" s="899"/>
      <c r="G35" s="650">
        <v>199.45150311000003</v>
      </c>
      <c r="H35" s="650">
        <v>180.20133290999999</v>
      </c>
      <c r="I35" s="651">
        <v>374.66900061000001</v>
      </c>
      <c r="J35" s="651">
        <v>143.72500363</v>
      </c>
      <c r="K35" s="635" t="e">
        <f>SUM(K36:K39)</f>
        <v>#REF!</v>
      </c>
      <c r="L35" s="513" t="e">
        <f t="shared" si="1"/>
        <v>#REF!</v>
      </c>
      <c r="M35" s="118"/>
      <c r="N35" s="117"/>
      <c r="O35" s="3"/>
    </row>
    <row r="36" spans="1:15" s="19" customFormat="1" ht="20.100000000000001" customHeight="1">
      <c r="A36" s="666" t="s">
        <v>384</v>
      </c>
      <c r="B36" s="896"/>
      <c r="C36" s="929" t="s">
        <v>451</v>
      </c>
      <c r="D36" s="930"/>
      <c r="E36" s="930"/>
      <c r="F36" s="931"/>
      <c r="G36" s="636">
        <v>52.936056840000006</v>
      </c>
      <c r="H36" s="636">
        <v>50.583915470000001</v>
      </c>
      <c r="I36" s="652">
        <v>73.230099690000003</v>
      </c>
      <c r="J36" s="652">
        <v>36.976450030000002</v>
      </c>
      <c r="K36" s="636" t="e">
        <f>SUMIFS(#REF!,#REF!,A36)/1000000</f>
        <v>#REF!</v>
      </c>
      <c r="L36" s="514" t="e">
        <f t="shared" si="1"/>
        <v>#REF!</v>
      </c>
      <c r="M36" s="118"/>
      <c r="N36" s="117"/>
      <c r="O36" s="3"/>
    </row>
    <row r="37" spans="1:15" s="19" customFormat="1" ht="20.100000000000001" customHeight="1">
      <c r="A37" s="666" t="s">
        <v>385</v>
      </c>
      <c r="B37" s="896"/>
      <c r="C37" s="929" t="s">
        <v>452</v>
      </c>
      <c r="D37" s="930"/>
      <c r="E37" s="930"/>
      <c r="F37" s="931"/>
      <c r="G37" s="636">
        <v>106.4327471</v>
      </c>
      <c r="H37" s="636">
        <v>101.96457959999999</v>
      </c>
      <c r="I37" s="652">
        <v>280.59177735000003</v>
      </c>
      <c r="J37" s="652">
        <v>71.253430030000004</v>
      </c>
      <c r="K37" s="636" t="e">
        <f>SUMIFS(#REF!,#REF!,A37)/1000000</f>
        <v>#REF!</v>
      </c>
      <c r="L37" s="514" t="e">
        <f t="shared" si="1"/>
        <v>#REF!</v>
      </c>
      <c r="M37" s="118"/>
      <c r="N37" s="117"/>
      <c r="O37" s="3"/>
    </row>
    <row r="38" spans="1:15" s="19" customFormat="1" ht="20.100000000000001" customHeight="1">
      <c r="A38" s="666" t="s">
        <v>386</v>
      </c>
      <c r="B38" s="896"/>
      <c r="C38" s="929" t="s">
        <v>531</v>
      </c>
      <c r="D38" s="930"/>
      <c r="E38" s="930"/>
      <c r="F38" s="931"/>
      <c r="G38" s="636">
        <v>14.532730130000001</v>
      </c>
      <c r="H38" s="636">
        <v>14.43499999</v>
      </c>
      <c r="I38" s="652">
        <v>11.76</v>
      </c>
      <c r="J38" s="652">
        <v>11.688000000000001</v>
      </c>
      <c r="K38" s="636" t="e">
        <f>SUMIFS(#REF!,#REF!,A38)/1000000</f>
        <v>#REF!</v>
      </c>
      <c r="L38" s="514" t="e">
        <f t="shared" si="1"/>
        <v>#REF!</v>
      </c>
      <c r="M38" s="118"/>
      <c r="N38" s="117"/>
      <c r="O38" s="3"/>
    </row>
    <row r="39" spans="1:15" s="19" customFormat="1" ht="20.100000000000001" customHeight="1">
      <c r="A39" s="666" t="s">
        <v>388</v>
      </c>
      <c r="B39" s="897"/>
      <c r="C39" s="1022" t="s">
        <v>408</v>
      </c>
      <c r="D39" s="1023"/>
      <c r="E39" s="1023"/>
      <c r="F39" s="1024"/>
      <c r="G39" s="636">
        <v>25.549969040000001</v>
      </c>
      <c r="H39" s="636">
        <v>13.21783785</v>
      </c>
      <c r="I39" s="652">
        <v>9.087123570000001</v>
      </c>
      <c r="J39" s="652">
        <v>23.807123570000002</v>
      </c>
      <c r="K39" s="636" t="e">
        <f>SUMIFS(#REF!,#REF!,A39)/1000000</f>
        <v>#REF!</v>
      </c>
      <c r="L39" s="514" t="e">
        <f t="shared" si="1"/>
        <v>#REF!</v>
      </c>
      <c r="M39" s="118"/>
      <c r="N39" s="117"/>
      <c r="O39" s="3"/>
    </row>
    <row r="40" spans="1:15" s="19" customFormat="1" ht="20.100000000000001" customHeight="1">
      <c r="A40" s="666"/>
      <c r="B40" s="895" t="s">
        <v>409</v>
      </c>
      <c r="C40" s="898"/>
      <c r="D40" s="898"/>
      <c r="E40" s="898"/>
      <c r="F40" s="899"/>
      <c r="G40" s="650">
        <v>308.60163944999999</v>
      </c>
      <c r="H40" s="650">
        <v>364.75085442</v>
      </c>
      <c r="I40" s="651">
        <v>355.39014234000001</v>
      </c>
      <c r="J40" s="651">
        <v>367.48213163999998</v>
      </c>
      <c r="K40" s="635" t="e">
        <f>SUM(K41:K42)</f>
        <v>#REF!</v>
      </c>
      <c r="L40" s="513" t="e">
        <f t="shared" si="1"/>
        <v>#REF!</v>
      </c>
      <c r="M40" s="118"/>
      <c r="N40" s="117"/>
      <c r="O40" s="3"/>
    </row>
    <row r="41" spans="1:15" s="19" customFormat="1" ht="20.100000000000001" customHeight="1">
      <c r="A41" s="666" t="s">
        <v>389</v>
      </c>
      <c r="B41" s="896"/>
      <c r="C41" s="929" t="s">
        <v>410</v>
      </c>
      <c r="D41" s="930"/>
      <c r="E41" s="930"/>
      <c r="F41" s="931"/>
      <c r="G41" s="636">
        <v>255.13209773000003</v>
      </c>
      <c r="H41" s="636">
        <v>282.16517019999998</v>
      </c>
      <c r="I41" s="652">
        <v>272.35289440999998</v>
      </c>
      <c r="J41" s="652">
        <v>287.24753212999997</v>
      </c>
      <c r="K41" s="636" t="e">
        <f>SUMIFS(#REF!,#REF!,A41)/1000000</f>
        <v>#REF!</v>
      </c>
      <c r="L41" s="514" t="e">
        <f t="shared" si="1"/>
        <v>#REF!</v>
      </c>
      <c r="M41" s="118"/>
      <c r="N41" s="117"/>
      <c r="O41" s="3"/>
    </row>
    <row r="42" spans="1:15" s="19" customFormat="1" ht="20.100000000000001" customHeight="1">
      <c r="A42" s="666" t="s">
        <v>433</v>
      </c>
      <c r="B42" s="897"/>
      <c r="C42" s="929" t="s">
        <v>411</v>
      </c>
      <c r="D42" s="930"/>
      <c r="E42" s="930"/>
      <c r="F42" s="931"/>
      <c r="G42" s="636">
        <v>53.469541719999988</v>
      </c>
      <c r="H42" s="636">
        <v>82.585684220000005</v>
      </c>
      <c r="I42" s="652">
        <v>83.037247930000007</v>
      </c>
      <c r="J42" s="652">
        <v>80.23459951000001</v>
      </c>
      <c r="K42" s="636" t="e">
        <f>SUMIFS(#REF!,#REF!,A42)/1000000</f>
        <v>#REF!</v>
      </c>
      <c r="L42" s="514" t="e">
        <f t="shared" si="1"/>
        <v>#REF!</v>
      </c>
      <c r="M42" s="118"/>
      <c r="N42" s="117"/>
      <c r="O42" s="3"/>
    </row>
    <row r="43" spans="1:15" s="19" customFormat="1" ht="20.100000000000001" customHeight="1">
      <c r="A43" s="666" t="s">
        <v>396</v>
      </c>
      <c r="B43" s="934" t="s">
        <v>412</v>
      </c>
      <c r="C43" s="935"/>
      <c r="D43" s="935"/>
      <c r="E43" s="935"/>
      <c r="F43" s="936"/>
      <c r="G43" s="650">
        <v>148.5</v>
      </c>
      <c r="H43" s="650">
        <v>148.5</v>
      </c>
      <c r="I43" s="653">
        <v>148.5</v>
      </c>
      <c r="J43" s="653">
        <v>148.5</v>
      </c>
      <c r="K43" s="637" t="e">
        <f>SUMIFS(#REF!,#REF!,A43)/1000000</f>
        <v>#REF!</v>
      </c>
      <c r="L43" s="513" t="e">
        <f t="shared" si="1"/>
        <v>#REF!</v>
      </c>
      <c r="M43" s="119"/>
      <c r="N43" s="120"/>
      <c r="O43" s="3"/>
    </row>
    <row r="44" spans="1:15" s="19" customFormat="1" ht="20.100000000000001" customHeight="1">
      <c r="A44" s="666" t="s">
        <v>390</v>
      </c>
      <c r="B44" s="895" t="s">
        <v>55</v>
      </c>
      <c r="C44" s="898"/>
      <c r="D44" s="898"/>
      <c r="E44" s="898"/>
      <c r="F44" s="899"/>
      <c r="G44" s="650">
        <v>307.42461882999999</v>
      </c>
      <c r="H44" s="650">
        <v>296.52469330999998</v>
      </c>
      <c r="I44" s="653">
        <v>296.22727535000001</v>
      </c>
      <c r="J44" s="653">
        <v>293.59421011000001</v>
      </c>
      <c r="K44" s="637" t="e">
        <f>SUMIFS(#REF!,#REF!,A44)/1000000</f>
        <v>#REF!</v>
      </c>
      <c r="L44" s="513" t="e">
        <f t="shared" si="1"/>
        <v>#REF!</v>
      </c>
      <c r="M44" s="119"/>
      <c r="N44" s="120"/>
      <c r="O44" s="3"/>
    </row>
    <row r="45" spans="1:15" s="19" customFormat="1" ht="20.100000000000001" customHeight="1">
      <c r="A45" s="666" t="s">
        <v>390</v>
      </c>
      <c r="B45" s="896"/>
      <c r="C45" s="1017" t="s">
        <v>56</v>
      </c>
      <c r="D45" s="1037" t="s">
        <v>4</v>
      </c>
      <c r="E45" s="1038"/>
      <c r="F45" s="1039"/>
      <c r="G45" s="636">
        <v>34.819203529999996</v>
      </c>
      <c r="H45" s="636">
        <v>21.5</v>
      </c>
      <c r="I45" s="652">
        <v>21.5</v>
      </c>
      <c r="J45" s="652">
        <v>21.32</v>
      </c>
      <c r="K45" s="636" t="e">
        <f>SUMIFS(#REF!,#REF!,'1.자금일보'!A45,#REF!,'1.자금일보'!D45)/1000000-K48-K50</f>
        <v>#REF!</v>
      </c>
      <c r="L45" s="514" t="e">
        <f t="shared" si="1"/>
        <v>#REF!</v>
      </c>
      <c r="M45" s="118"/>
      <c r="N45" s="120"/>
      <c r="O45" s="3"/>
    </row>
    <row r="46" spans="1:15" s="19" customFormat="1" ht="20.100000000000001" customHeight="1">
      <c r="A46" s="666" t="s">
        <v>390</v>
      </c>
      <c r="B46" s="896"/>
      <c r="C46" s="1018"/>
      <c r="D46" s="1037" t="s">
        <v>5</v>
      </c>
      <c r="E46" s="1038"/>
      <c r="F46" s="1039"/>
      <c r="G46" s="636">
        <v>9.1531269600000016</v>
      </c>
      <c r="H46" s="636">
        <v>9.8900153499999988</v>
      </c>
      <c r="I46" s="652">
        <v>9.8882978599999998</v>
      </c>
      <c r="J46" s="652">
        <v>9.5504389199999995</v>
      </c>
      <c r="K46" s="636" t="e">
        <f>SUMIFS(#REF!,#REF!,'1.자금일보'!A46,#REF!,'1.자금일보'!D46)/1000000</f>
        <v>#REF!</v>
      </c>
      <c r="L46" s="514" t="e">
        <f t="shared" si="1"/>
        <v>#REF!</v>
      </c>
      <c r="M46" s="118"/>
      <c r="N46" s="120"/>
      <c r="O46" s="3"/>
    </row>
    <row r="47" spans="1:15" s="19" customFormat="1" ht="20.100000000000001" customHeight="1">
      <c r="A47" s="666" t="s">
        <v>390</v>
      </c>
      <c r="B47" s="896"/>
      <c r="C47" s="1019"/>
      <c r="D47" s="1037" t="s">
        <v>8</v>
      </c>
      <c r="E47" s="1038"/>
      <c r="F47" s="1039"/>
      <c r="G47" s="636">
        <v>0</v>
      </c>
      <c r="H47" s="636">
        <v>0</v>
      </c>
      <c r="I47" s="652">
        <v>0</v>
      </c>
      <c r="J47" s="652">
        <v>0</v>
      </c>
      <c r="K47" s="636" t="e">
        <f>SUMIFS(#REF!,#REF!,'1.자금일보'!A47,#REF!,'1.자금일보'!D47)/1000000</f>
        <v>#REF!</v>
      </c>
      <c r="L47" s="514" t="e">
        <f t="shared" si="1"/>
        <v>#REF!</v>
      </c>
      <c r="M47" s="118"/>
      <c r="N47" s="120"/>
      <c r="O47" s="3"/>
    </row>
    <row r="48" spans="1:15" s="19" customFormat="1" ht="20.100000000000001" customHeight="1">
      <c r="A48" s="666" t="s">
        <v>390</v>
      </c>
      <c r="B48" s="896"/>
      <c r="C48" s="1015" t="s">
        <v>447</v>
      </c>
      <c r="D48" s="1037" t="s">
        <v>4</v>
      </c>
      <c r="E48" s="1038"/>
      <c r="F48" s="1039"/>
      <c r="G48" s="636">
        <v>19.91726027</v>
      </c>
      <c r="H48" s="636">
        <v>19.7</v>
      </c>
      <c r="I48" s="652">
        <v>19.7</v>
      </c>
      <c r="J48" s="652">
        <v>18.7</v>
      </c>
      <c r="K48" s="636" t="e">
        <f>SUMIFS(#REF!,#REF!,'1.자금일보'!A48,#REF!,'1.자금일보'!D48)/1000000</f>
        <v>#REF!</v>
      </c>
      <c r="L48" s="514" t="e">
        <f t="shared" si="1"/>
        <v>#REF!</v>
      </c>
      <c r="M48" s="118"/>
      <c r="N48" s="120"/>
      <c r="O48" s="3"/>
    </row>
    <row r="49" spans="1:15" s="19" customFormat="1" ht="20.100000000000001" customHeight="1">
      <c r="A49" s="666" t="s">
        <v>390</v>
      </c>
      <c r="B49" s="896"/>
      <c r="C49" s="1016"/>
      <c r="D49" s="1037" t="s">
        <v>6</v>
      </c>
      <c r="E49" s="1038"/>
      <c r="F49" s="1039"/>
      <c r="G49" s="636">
        <v>161.92600849999999</v>
      </c>
      <c r="H49" s="636">
        <v>153.45973665</v>
      </c>
      <c r="I49" s="652">
        <v>152.42730808000002</v>
      </c>
      <c r="J49" s="652">
        <v>151.39179962</v>
      </c>
      <c r="K49" s="636" t="e">
        <f>SUMIFS(#REF!,#REF!,'1.자금일보'!A49,#REF!,'1.자금일보'!D49)/1000000</f>
        <v>#REF!</v>
      </c>
      <c r="L49" s="514" t="e">
        <f t="shared" si="1"/>
        <v>#REF!</v>
      </c>
      <c r="M49" s="118"/>
      <c r="N49" s="120"/>
      <c r="O49" s="3"/>
    </row>
    <row r="50" spans="1:15" s="19" customFormat="1" ht="20.100000000000001" customHeight="1">
      <c r="A50" s="666" t="s">
        <v>390</v>
      </c>
      <c r="B50" s="896"/>
      <c r="C50" s="1015" t="s">
        <v>446</v>
      </c>
      <c r="D50" s="1037" t="s">
        <v>4</v>
      </c>
      <c r="E50" s="1038"/>
      <c r="F50" s="1039"/>
      <c r="G50" s="636">
        <v>7.0890586999999998</v>
      </c>
      <c r="H50" s="636">
        <v>7.2332115699999999</v>
      </c>
      <c r="I50" s="652">
        <v>7.2332115799999999</v>
      </c>
      <c r="J50" s="652">
        <v>7.2332115799999999</v>
      </c>
      <c r="K50" s="636" t="e">
        <f>SUMIFS(#REF!,#REF!,'1.자금일보'!A50,#REF!,'1.자금일보'!D50)/1000000</f>
        <v>#REF!</v>
      </c>
      <c r="L50" s="514" t="e">
        <f t="shared" si="1"/>
        <v>#REF!</v>
      </c>
      <c r="M50" s="118"/>
      <c r="N50" s="120"/>
      <c r="O50" s="3"/>
    </row>
    <row r="51" spans="1:15" s="19" customFormat="1" ht="20.100000000000001" customHeight="1">
      <c r="A51" s="666" t="s">
        <v>390</v>
      </c>
      <c r="B51" s="897"/>
      <c r="C51" s="1016"/>
      <c r="D51" s="1037" t="s">
        <v>14</v>
      </c>
      <c r="E51" s="1038"/>
      <c r="F51" s="1039"/>
      <c r="G51" s="636">
        <v>74.519960870000006</v>
      </c>
      <c r="H51" s="636">
        <v>84.741729739999997</v>
      </c>
      <c r="I51" s="652">
        <v>85.478457829999996</v>
      </c>
      <c r="J51" s="652">
        <v>85.398759989999988</v>
      </c>
      <c r="K51" s="636" t="e">
        <f>SUMIFS(#REF!,#REF!,'1.자금일보'!A51,#REF!,'1.자금일보'!D51)/1000000</f>
        <v>#REF!</v>
      </c>
      <c r="L51" s="514" t="e">
        <f t="shared" si="1"/>
        <v>#REF!</v>
      </c>
      <c r="M51" s="118"/>
      <c r="N51" s="120"/>
      <c r="O51" s="3"/>
    </row>
    <row r="52" spans="1:15" s="19" customFormat="1" ht="20.100000000000001" customHeight="1">
      <c r="A52" s="666"/>
      <c r="B52" s="1054" t="s">
        <v>413</v>
      </c>
      <c r="C52" s="1049"/>
      <c r="D52" s="1049"/>
      <c r="E52" s="1049"/>
      <c r="F52" s="1050"/>
      <c r="G52" s="650">
        <v>293.69328492</v>
      </c>
      <c r="H52" s="650">
        <v>227.16911646</v>
      </c>
      <c r="I52" s="653">
        <v>236.36445583</v>
      </c>
      <c r="J52" s="653">
        <v>270.43980722999999</v>
      </c>
      <c r="K52" s="637" t="e">
        <f>SUM(K53:K55)</f>
        <v>#REF!</v>
      </c>
      <c r="L52" s="513" t="e">
        <f t="shared" si="1"/>
        <v>#REF!</v>
      </c>
      <c r="M52" s="119"/>
      <c r="N52" s="120"/>
      <c r="O52" s="121"/>
    </row>
    <row r="53" spans="1:15" s="19" customFormat="1" ht="20.100000000000001" customHeight="1">
      <c r="A53" s="666" t="s">
        <v>392</v>
      </c>
      <c r="B53" s="1051"/>
      <c r="C53" s="929" t="s">
        <v>57</v>
      </c>
      <c r="D53" s="930"/>
      <c r="E53" s="930"/>
      <c r="F53" s="931"/>
      <c r="G53" s="636">
        <v>8.3023568300000008</v>
      </c>
      <c r="H53" s="636">
        <v>7.6834808700000004</v>
      </c>
      <c r="I53" s="652">
        <v>7.5962573300000003</v>
      </c>
      <c r="J53" s="652">
        <v>8.0734895099999999</v>
      </c>
      <c r="K53" s="636" t="e">
        <f>SUMIFS(#REF!,#REF!,A53)/1000000</f>
        <v>#REF!</v>
      </c>
      <c r="L53" s="514" t="e">
        <f t="shared" si="1"/>
        <v>#REF!</v>
      </c>
      <c r="M53" s="118"/>
      <c r="N53" s="120"/>
      <c r="O53" s="3"/>
    </row>
    <row r="54" spans="1:15" s="19" customFormat="1" ht="20.100000000000001" customHeight="1">
      <c r="A54" s="666" t="s">
        <v>394</v>
      </c>
      <c r="B54" s="1051"/>
      <c r="C54" s="929" t="s">
        <v>58</v>
      </c>
      <c r="D54" s="930"/>
      <c r="E54" s="930"/>
      <c r="F54" s="931"/>
      <c r="G54" s="636">
        <v>276.78700459999999</v>
      </c>
      <c r="H54" s="636">
        <v>211.68157541999997</v>
      </c>
      <c r="I54" s="652">
        <v>221.34315516000001</v>
      </c>
      <c r="J54" s="652">
        <v>255.07272166999999</v>
      </c>
      <c r="K54" s="636" t="e">
        <f>SUMIFS(#REF!,#REF!,A54)/1000000</f>
        <v>#REF!</v>
      </c>
      <c r="L54" s="514" t="e">
        <f t="shared" si="1"/>
        <v>#REF!</v>
      </c>
      <c r="M54" s="118"/>
      <c r="N54" s="120"/>
      <c r="O54" s="3"/>
    </row>
    <row r="55" spans="1:15" s="19" customFormat="1" ht="20.100000000000001" customHeight="1">
      <c r="A55" s="666" t="s">
        <v>393</v>
      </c>
      <c r="B55" s="1051"/>
      <c r="C55" s="929" t="s">
        <v>59</v>
      </c>
      <c r="D55" s="930"/>
      <c r="E55" s="930"/>
      <c r="F55" s="931"/>
      <c r="G55" s="636">
        <v>8.6039234899999997</v>
      </c>
      <c r="H55" s="636">
        <v>7.8040601699999996</v>
      </c>
      <c r="I55" s="652">
        <v>7.4250433400000002</v>
      </c>
      <c r="J55" s="652">
        <v>7.2935960499999997</v>
      </c>
      <c r="K55" s="636" t="e">
        <f>SUMIFS(#REF!,#REF!,A55)/1000000</f>
        <v>#REF!</v>
      </c>
      <c r="L55" s="514" t="e">
        <f t="shared" si="1"/>
        <v>#REF!</v>
      </c>
      <c r="M55" s="118"/>
      <c r="N55" s="41"/>
      <c r="O55" s="3"/>
    </row>
    <row r="56" spans="1:15" s="19" customFormat="1" ht="20.100000000000001" customHeight="1">
      <c r="A56" s="666" t="s">
        <v>391</v>
      </c>
      <c r="B56" s="1051" t="s">
        <v>414</v>
      </c>
      <c r="C56" s="1052"/>
      <c r="D56" s="1052"/>
      <c r="E56" s="1052"/>
      <c r="F56" s="1053"/>
      <c r="G56" s="650">
        <v>182.42710958000001</v>
      </c>
      <c r="H56" s="650">
        <v>175</v>
      </c>
      <c r="I56" s="651">
        <v>175</v>
      </c>
      <c r="J56" s="651">
        <v>177</v>
      </c>
      <c r="K56" s="635" t="e">
        <f>SUMIFS(#REF!,#REF!,A56)/1000000</f>
        <v>#REF!</v>
      </c>
      <c r="L56" s="513" t="e">
        <f t="shared" si="1"/>
        <v>#REF!</v>
      </c>
      <c r="M56" s="118"/>
      <c r="N56" s="41"/>
      <c r="O56" s="3"/>
    </row>
    <row r="57" spans="1:15" s="19" customFormat="1" ht="20.100000000000001" customHeight="1">
      <c r="A57" s="666" t="s">
        <v>352</v>
      </c>
      <c r="B57" s="1051" t="s">
        <v>415</v>
      </c>
      <c r="C57" s="1052"/>
      <c r="D57" s="1052"/>
      <c r="E57" s="1052"/>
      <c r="F57" s="1053"/>
      <c r="G57" s="650">
        <v>286.96566185</v>
      </c>
      <c r="H57" s="650">
        <v>341.43459998000003</v>
      </c>
      <c r="I57" s="651">
        <v>209.79839999999999</v>
      </c>
      <c r="J57" s="651">
        <v>283.01839999999999</v>
      </c>
      <c r="K57" s="635" t="e">
        <f>SUMIFS(#REF!,#REF!,A57)/1000000</f>
        <v>#REF!</v>
      </c>
      <c r="L57" s="513" t="e">
        <f t="shared" si="1"/>
        <v>#REF!</v>
      </c>
      <c r="M57" s="122"/>
      <c r="N57" s="41"/>
      <c r="O57" s="3"/>
    </row>
    <row r="58" spans="1:15" s="19" customFormat="1" ht="20.100000000000001" customHeight="1">
      <c r="A58" s="666" t="s">
        <v>351</v>
      </c>
      <c r="B58" s="1055" t="s">
        <v>416</v>
      </c>
      <c r="C58" s="936"/>
      <c r="D58" s="936"/>
      <c r="E58" s="936"/>
      <c r="F58" s="1056"/>
      <c r="G58" s="650">
        <v>40.76938372</v>
      </c>
      <c r="H58" s="650">
        <v>35.726309640000011</v>
      </c>
      <c r="I58" s="653">
        <v>36.949419519999999</v>
      </c>
      <c r="J58" s="653">
        <v>34.137946760000005</v>
      </c>
      <c r="K58" s="637" t="e">
        <f>SUMIFS(#REF!,#REF!,A58)/1000000</f>
        <v>#REF!</v>
      </c>
      <c r="L58" s="513" t="e">
        <f t="shared" si="1"/>
        <v>#REF!</v>
      </c>
      <c r="M58" s="119"/>
      <c r="N58" s="41"/>
      <c r="O58" s="3"/>
    </row>
    <row r="59" spans="1:15" s="19" customFormat="1" ht="20.100000000000001" customHeight="1">
      <c r="A59" s="666" t="s">
        <v>397</v>
      </c>
      <c r="B59" s="1055" t="s">
        <v>450</v>
      </c>
      <c r="C59" s="936"/>
      <c r="D59" s="936"/>
      <c r="E59" s="936"/>
      <c r="F59" s="1056"/>
      <c r="G59" s="650">
        <v>460.81481939999998</v>
      </c>
      <c r="H59" s="650">
        <v>504.04938712000001</v>
      </c>
      <c r="I59" s="653">
        <v>456.98866462000001</v>
      </c>
      <c r="J59" s="653">
        <v>465.43449071999999</v>
      </c>
      <c r="K59" s="637" t="e">
        <f>SUMIFS(#REF!,#REF!,A59)/1000000</f>
        <v>#REF!</v>
      </c>
      <c r="L59" s="513" t="e">
        <f t="shared" si="1"/>
        <v>#REF!</v>
      </c>
      <c r="M59" s="123"/>
      <c r="N59" s="41"/>
      <c r="O59" s="3"/>
    </row>
    <row r="60" spans="1:15" s="19" customFormat="1" ht="20.100000000000001" customHeight="1" thickBot="1">
      <c r="A60" s="666" t="s">
        <v>395</v>
      </c>
      <c r="B60" s="1057" t="s">
        <v>423</v>
      </c>
      <c r="C60" s="1058"/>
      <c r="D60" s="1058"/>
      <c r="E60" s="1058"/>
      <c r="F60" s="1059"/>
      <c r="G60" s="654">
        <v>1.679928590000145</v>
      </c>
      <c r="H60" s="654">
        <v>15.553012670000044</v>
      </c>
      <c r="I60" s="655">
        <v>1.2771870499996112</v>
      </c>
      <c r="J60" s="655">
        <v>1.0509275300000809</v>
      </c>
      <c r="K60" s="638" t="e">
        <f>K33-SUM(K34,K35,K40,K43,K44,K52,K56,K57,K58,K59)</f>
        <v>#REF!</v>
      </c>
      <c r="L60" s="515" t="e">
        <f t="shared" si="1"/>
        <v>#REF!</v>
      </c>
      <c r="M60" s="124"/>
      <c r="N60" s="41"/>
      <c r="O60" s="3"/>
    </row>
    <row r="61" spans="1:15" s="19" customFormat="1" ht="20.100000000000001" customHeight="1" thickTop="1" thickBot="1">
      <c r="A61" s="666" t="s">
        <v>436</v>
      </c>
      <c r="B61" s="1043" t="s">
        <v>61</v>
      </c>
      <c r="C61" s="1044"/>
      <c r="D61" s="1044"/>
      <c r="E61" s="1044"/>
      <c r="F61" s="1045"/>
      <c r="G61" s="656">
        <v>3690.6529609699996</v>
      </c>
      <c r="H61" s="656">
        <v>3222.7553218100002</v>
      </c>
      <c r="I61" s="657">
        <v>3074.9787800500003</v>
      </c>
      <c r="J61" s="657">
        <v>3699.8027780900002</v>
      </c>
      <c r="K61" s="639" t="e">
        <f>SUMIFS(#REF!,#REF!,A61)/1000000</f>
        <v>#REF!</v>
      </c>
      <c r="L61" s="516" t="e">
        <f t="shared" si="1"/>
        <v>#REF!</v>
      </c>
      <c r="M61" s="125"/>
      <c r="N61" s="2" t="e">
        <f>ROUND(K61,0)=ROUND(SUM(K62:K65),0)</f>
        <v>#REF!</v>
      </c>
      <c r="O61" s="3"/>
    </row>
    <row r="62" spans="1:15" s="19" customFormat="1" ht="20.100000000000001" customHeight="1" thickTop="1">
      <c r="A62" s="666" t="s">
        <v>435</v>
      </c>
      <c r="B62" s="1046" t="s">
        <v>418</v>
      </c>
      <c r="C62" s="1047"/>
      <c r="D62" s="1047"/>
      <c r="E62" s="1047"/>
      <c r="F62" s="1048"/>
      <c r="G62" s="648">
        <v>3690.3461115700002</v>
      </c>
      <c r="H62" s="648">
        <v>3222.7553218000003</v>
      </c>
      <c r="I62" s="649">
        <v>3074.9787800599997</v>
      </c>
      <c r="J62" s="649">
        <v>3699.8027780900002</v>
      </c>
      <c r="K62" s="640" t="e">
        <f>SUMIFS(#REF!,#REF!,A62)/1000000</f>
        <v>#REF!</v>
      </c>
      <c r="L62" s="512" t="e">
        <f t="shared" si="1"/>
        <v>#REF!</v>
      </c>
      <c r="M62" s="126"/>
      <c r="N62" s="41"/>
      <c r="O62" s="121"/>
    </row>
    <row r="63" spans="1:15" s="19" customFormat="1" ht="20.100000000000001" customHeight="1">
      <c r="A63" s="666" t="s">
        <v>439</v>
      </c>
      <c r="B63" s="1062" t="s">
        <v>420</v>
      </c>
      <c r="C63" s="1063"/>
      <c r="D63" s="1063"/>
      <c r="E63" s="1063"/>
      <c r="F63" s="1052"/>
      <c r="G63" s="658">
        <v>0</v>
      </c>
      <c r="H63" s="658">
        <v>0</v>
      </c>
      <c r="I63" s="659">
        <v>0</v>
      </c>
      <c r="J63" s="659">
        <v>0</v>
      </c>
      <c r="K63" s="641" t="e">
        <f>SUMIFS(#REF!,#REF!,A63)/1000000</f>
        <v>#REF!</v>
      </c>
      <c r="L63" s="517" t="e">
        <f t="shared" si="1"/>
        <v>#REF!</v>
      </c>
      <c r="M63" s="127"/>
      <c r="N63" s="41"/>
      <c r="O63" s="121"/>
    </row>
    <row r="64" spans="1:15" s="19" customFormat="1" ht="20.100000000000001" customHeight="1">
      <c r="A64" s="666" t="s">
        <v>440</v>
      </c>
      <c r="B64" s="976" t="s">
        <v>422</v>
      </c>
      <c r="C64" s="977"/>
      <c r="D64" s="977"/>
      <c r="E64" s="977"/>
      <c r="F64" s="978"/>
      <c r="G64" s="660">
        <v>0</v>
      </c>
      <c r="H64" s="660">
        <v>0</v>
      </c>
      <c r="I64" s="661">
        <v>0</v>
      </c>
      <c r="J64" s="661">
        <v>0</v>
      </c>
      <c r="K64" s="642" t="e">
        <f>SUMIFS(#REF!,#REF!,A64)/1000000</f>
        <v>#REF!</v>
      </c>
      <c r="L64" s="518" t="e">
        <f t="shared" si="1"/>
        <v>#REF!</v>
      </c>
      <c r="M64" s="128"/>
      <c r="N64" s="41"/>
      <c r="O64" s="3"/>
    </row>
    <row r="65" spans="1:16" s="19" customFormat="1" ht="20.100000000000001" customHeight="1">
      <c r="A65" s="666" t="s">
        <v>398</v>
      </c>
      <c r="B65" s="976" t="s">
        <v>431</v>
      </c>
      <c r="C65" s="977"/>
      <c r="D65" s="977"/>
      <c r="E65" s="977"/>
      <c r="F65" s="978"/>
      <c r="G65" s="660">
        <v>0.30684930999999999</v>
      </c>
      <c r="H65" s="660">
        <v>0</v>
      </c>
      <c r="I65" s="661">
        <v>0</v>
      </c>
      <c r="J65" s="661">
        <v>0</v>
      </c>
      <c r="K65" s="642" t="e">
        <f>SUMIFS(#REF!,#REF!,A65)/1000000</f>
        <v>#REF!</v>
      </c>
      <c r="L65" s="518" t="e">
        <f t="shared" si="1"/>
        <v>#REF!</v>
      </c>
      <c r="M65" s="128"/>
      <c r="N65" s="41"/>
      <c r="O65" s="3"/>
    </row>
    <row r="66" spans="1:16" s="19" customFormat="1" ht="20.100000000000001" customHeight="1" thickBot="1">
      <c r="A66" s="666"/>
      <c r="B66" s="973" t="s">
        <v>62</v>
      </c>
      <c r="C66" s="974"/>
      <c r="D66" s="974"/>
      <c r="E66" s="974"/>
      <c r="F66" s="975"/>
      <c r="G66" s="761" t="str">
        <f>G32</f>
        <v>2025년(기평)</v>
      </c>
      <c r="H66" s="761">
        <v>46081</v>
      </c>
      <c r="I66" s="760">
        <v>46080</v>
      </c>
      <c r="J66" s="114">
        <v>46108</v>
      </c>
      <c r="K66" s="115">
        <f>K32</f>
        <v>46111</v>
      </c>
      <c r="L66" s="113" t="s">
        <v>12</v>
      </c>
      <c r="M66" s="129" t="s">
        <v>13</v>
      </c>
      <c r="N66" s="130"/>
      <c r="O66" s="3"/>
    </row>
    <row r="67" spans="1:16" s="19" customFormat="1" ht="20.100000000000001" customHeight="1" thickTop="1" thickBot="1">
      <c r="A67" s="666" t="s">
        <v>424</v>
      </c>
      <c r="B67" s="979" t="s">
        <v>53</v>
      </c>
      <c r="C67" s="980"/>
      <c r="D67" s="980"/>
      <c r="E67" s="980"/>
      <c r="F67" s="991"/>
      <c r="G67" s="662">
        <v>2276.1057091299999</v>
      </c>
      <c r="H67" s="662">
        <v>2350.5172807700001</v>
      </c>
      <c r="I67" s="654">
        <v>2349.5394916199998</v>
      </c>
      <c r="J67" s="654">
        <v>2242.8930640799999</v>
      </c>
      <c r="K67" s="638" t="e">
        <f>SUMIFS(#REF!,#REF!,A67)/1000000-IFERROR(VLOOKUP(11500,#REF!,3,FALSE)/1000000,0)-IFERROR(VLOOKUP(22601,#REF!,3,FALSE)/1000000,0)-IFERROR(VLOOKUP(22602,#REF!,3,FALSE)/1000000,0)</f>
        <v>#REF!</v>
      </c>
      <c r="L67" s="519" t="e">
        <f t="shared" ref="L67:L96" si="2">K67-J67</f>
        <v>#REF!</v>
      </c>
      <c r="M67" s="131"/>
      <c r="N67" s="2" t="e">
        <f>ROUND(K67,0)=ROUND(SUM(K68,K74,K82:K89),0)</f>
        <v>#REF!</v>
      </c>
      <c r="O67" s="3"/>
    </row>
    <row r="68" spans="1:16" s="19" customFormat="1" ht="20.100000000000001" customHeight="1" thickTop="1">
      <c r="A68" s="666"/>
      <c r="B68" s="896" t="s">
        <v>63</v>
      </c>
      <c r="C68" s="900"/>
      <c r="D68" s="900"/>
      <c r="E68" s="900"/>
      <c r="F68" s="901"/>
      <c r="G68" s="648">
        <v>647.19108588999984</v>
      </c>
      <c r="H68" s="648">
        <v>719.29738021999992</v>
      </c>
      <c r="I68" s="649">
        <v>754.79038547999994</v>
      </c>
      <c r="J68" s="649">
        <v>695.69392469000002</v>
      </c>
      <c r="K68" s="640" t="e">
        <f>SUM(K69:K71)</f>
        <v>#REF!</v>
      </c>
      <c r="L68" s="520" t="e">
        <f t="shared" si="2"/>
        <v>#REF!</v>
      </c>
      <c r="M68" s="126"/>
      <c r="N68" s="25"/>
      <c r="O68" s="3"/>
    </row>
    <row r="69" spans="1:16" s="19" customFormat="1" ht="20.100000000000001" customHeight="1">
      <c r="A69" s="666" t="s">
        <v>427</v>
      </c>
      <c r="B69" s="896"/>
      <c r="C69" s="740" t="s">
        <v>453</v>
      </c>
      <c r="D69" s="741"/>
      <c r="E69" s="741"/>
      <c r="F69" s="739"/>
      <c r="G69" s="643">
        <v>290.48044299999998</v>
      </c>
      <c r="H69" s="643">
        <v>312.00457892999992</v>
      </c>
      <c r="I69" s="663">
        <v>338.27310058</v>
      </c>
      <c r="J69" s="663">
        <v>272.48556246999999</v>
      </c>
      <c r="K69" s="809" t="e">
        <f>SUMIFS(#REF!,#REF!,A69)/1000000</f>
        <v>#REF!</v>
      </c>
      <c r="L69" s="521" t="e">
        <f t="shared" si="2"/>
        <v>#REF!</v>
      </c>
      <c r="M69" s="744"/>
      <c r="N69" s="25"/>
      <c r="O69" s="3"/>
    </row>
    <row r="70" spans="1:16" s="19" customFormat="1" ht="20.100000000000001" customHeight="1">
      <c r="A70" s="666" t="s">
        <v>426</v>
      </c>
      <c r="B70" s="896"/>
      <c r="C70" s="740" t="s">
        <v>426</v>
      </c>
      <c r="D70" s="741"/>
      <c r="E70" s="741"/>
      <c r="F70" s="739"/>
      <c r="G70" s="643">
        <v>59.498411090000005</v>
      </c>
      <c r="H70" s="643">
        <v>114.19293816999999</v>
      </c>
      <c r="I70" s="663">
        <v>128.78007676999999</v>
      </c>
      <c r="J70" s="663">
        <v>103.66976165999999</v>
      </c>
      <c r="K70" s="643" t="e">
        <f>SUMIFS(#REF!,#REF!,A70)/1000000</f>
        <v>#REF!</v>
      </c>
      <c r="L70" s="521" t="e">
        <f t="shared" si="2"/>
        <v>#REF!</v>
      </c>
      <c r="M70" s="799"/>
      <c r="N70" s="25"/>
      <c r="O70" s="3"/>
    </row>
    <row r="71" spans="1:16" s="19" customFormat="1" ht="20.100000000000001" customHeight="1">
      <c r="A71" s="666" t="s">
        <v>428</v>
      </c>
      <c r="B71" s="896"/>
      <c r="C71" s="740" t="s">
        <v>454</v>
      </c>
      <c r="D71" s="741"/>
      <c r="E71" s="741"/>
      <c r="F71" s="739"/>
      <c r="G71" s="643">
        <v>297.21223179999993</v>
      </c>
      <c r="H71" s="643">
        <v>293.09986312000001</v>
      </c>
      <c r="I71" s="663">
        <v>287.73720812999994</v>
      </c>
      <c r="J71" s="663">
        <v>319.53860056000002</v>
      </c>
      <c r="K71" s="643" t="e">
        <f>SUMIFS(#REF!,#REF!,A71)/1000000</f>
        <v>#REF!</v>
      </c>
      <c r="L71" s="521" t="e">
        <f>K71-J71</f>
        <v>#REF!</v>
      </c>
      <c r="M71" s="744"/>
      <c r="N71" s="25"/>
      <c r="O71" s="3"/>
    </row>
    <row r="72" spans="1:16" s="19" customFormat="1" ht="20.100000000000001" customHeight="1">
      <c r="A72" s="666"/>
      <c r="B72" s="896"/>
      <c r="C72" s="992" t="s">
        <v>501</v>
      </c>
      <c r="D72" s="993"/>
      <c r="E72" s="745" t="s">
        <v>499</v>
      </c>
      <c r="F72" s="746"/>
      <c r="G72" s="747">
        <v>458.46633156999991</v>
      </c>
      <c r="H72" s="747">
        <v>519.63335235</v>
      </c>
      <c r="I72" s="748">
        <v>553.70933949000005</v>
      </c>
      <c r="J72" s="748">
        <v>478.14718876000001</v>
      </c>
      <c r="K72" s="747" t="e">
        <f>(SUMIFS(#REF!,#REF!,A69,#REF!,E72)+SUMIFS(#REF!,#REF!,A70,#REF!,E72)+SUMIFS(#REF!,#REF!,A71,#REF!,E72))/1000000</f>
        <v>#REF!</v>
      </c>
      <c r="L72" s="749" t="e">
        <f t="shared" ref="L72:L73" si="3">K72-J72</f>
        <v>#REF!</v>
      </c>
      <c r="M72" s="744"/>
      <c r="N72" s="25"/>
      <c r="O72" s="3"/>
    </row>
    <row r="73" spans="1:16" s="19" customFormat="1" ht="20.100000000000001" customHeight="1">
      <c r="A73" s="666"/>
      <c r="B73" s="897"/>
      <c r="C73" s="994"/>
      <c r="D73" s="995"/>
      <c r="E73" s="745" t="s">
        <v>500</v>
      </c>
      <c r="F73" s="746"/>
      <c r="G73" s="747">
        <v>100.20132135999999</v>
      </c>
      <c r="H73" s="747">
        <v>98.971156719999996</v>
      </c>
      <c r="I73" s="748">
        <v>101.64258237</v>
      </c>
      <c r="J73" s="748">
        <v>87.09955398000001</v>
      </c>
      <c r="K73" s="747" t="e">
        <f>(SUMIFS(#REF!,#REF!,A69,#REF!,E73)+SUMIFS(#REF!,#REF!,A70,#REF!,E73)+SUMIFS(#REF!,#REF!,A71,#REF!,E73))/1000000</f>
        <v>#REF!</v>
      </c>
      <c r="L73" s="749" t="e">
        <f t="shared" si="3"/>
        <v>#REF!</v>
      </c>
      <c r="M73" s="744"/>
      <c r="N73" s="25"/>
      <c r="O73" s="3"/>
    </row>
    <row r="74" spans="1:16" s="19" customFormat="1" ht="20.100000000000001" customHeight="1">
      <c r="A74" s="666"/>
      <c r="B74" s="895" t="s">
        <v>64</v>
      </c>
      <c r="C74" s="932"/>
      <c r="D74" s="932"/>
      <c r="E74" s="932"/>
      <c r="F74" s="933"/>
      <c r="G74" s="650">
        <v>979.1864539799999</v>
      </c>
      <c r="H74" s="650">
        <v>895.66848274999984</v>
      </c>
      <c r="I74" s="651">
        <v>914.18958806000001</v>
      </c>
      <c r="J74" s="651">
        <v>933.41592940999999</v>
      </c>
      <c r="K74" s="635" t="e">
        <f>SUM(K75,K80:K81)</f>
        <v>#REF!</v>
      </c>
      <c r="L74" s="512" t="e">
        <f t="shared" si="2"/>
        <v>#REF!</v>
      </c>
      <c r="M74" s="132"/>
      <c r="N74" s="2"/>
      <c r="O74" s="3"/>
    </row>
    <row r="75" spans="1:16" s="19" customFormat="1" ht="20.100000000000001" customHeight="1">
      <c r="A75" s="666" t="s">
        <v>429</v>
      </c>
      <c r="B75" s="896"/>
      <c r="C75" s="996" t="s">
        <v>455</v>
      </c>
      <c r="D75" s="997"/>
      <c r="E75" s="1002"/>
      <c r="F75" s="1003"/>
      <c r="G75" s="636">
        <v>693.98772600999996</v>
      </c>
      <c r="H75" s="636">
        <v>676.42857141999991</v>
      </c>
      <c r="I75" s="636">
        <v>680</v>
      </c>
      <c r="J75" s="636">
        <v>670</v>
      </c>
      <c r="K75" s="644" t="e">
        <f>SUMIFS(#REF!,#REF!,A75)/1000000</f>
        <v>#REF!</v>
      </c>
      <c r="L75" s="521" t="e">
        <f t="shared" si="2"/>
        <v>#REF!</v>
      </c>
      <c r="M75" s="132"/>
      <c r="N75" s="63"/>
      <c r="O75" s="63"/>
      <c r="P75" s="63"/>
    </row>
    <row r="76" spans="1:16" s="19" customFormat="1" ht="20.100000000000001" customHeight="1">
      <c r="A76" s="666" t="s">
        <v>400</v>
      </c>
      <c r="B76" s="896"/>
      <c r="C76" s="998"/>
      <c r="D76" s="999"/>
      <c r="E76" s="697" t="s">
        <v>432</v>
      </c>
      <c r="F76" s="698"/>
      <c r="G76" s="636">
        <v>679.28767121999999</v>
      </c>
      <c r="H76" s="636">
        <v>676.42857141999991</v>
      </c>
      <c r="I76" s="636">
        <v>680</v>
      </c>
      <c r="J76" s="636">
        <v>670</v>
      </c>
      <c r="K76" s="636" t="e">
        <f>SUMIFS(#REF!,#REF!,'1.자금일보'!A76,#REF!,'1.자금일보'!E76)/1000000</f>
        <v>#REF!</v>
      </c>
      <c r="L76" s="521" t="e">
        <f t="shared" si="2"/>
        <v>#REF!</v>
      </c>
      <c r="M76" s="132"/>
      <c r="N76" s="63"/>
      <c r="O76" s="63"/>
      <c r="P76" s="63"/>
    </row>
    <row r="77" spans="1:16" s="19" customFormat="1" ht="20.100000000000001" customHeight="1">
      <c r="A77" s="666" t="s">
        <v>400</v>
      </c>
      <c r="B77" s="896"/>
      <c r="C77" s="998"/>
      <c r="D77" s="999"/>
      <c r="E77" s="1003" t="s">
        <v>5</v>
      </c>
      <c r="F77" s="1003"/>
      <c r="G77" s="636">
        <v>0</v>
      </c>
      <c r="H77" s="636">
        <v>0</v>
      </c>
      <c r="I77" s="636">
        <v>0</v>
      </c>
      <c r="J77" s="636">
        <v>0</v>
      </c>
      <c r="K77" s="636" t="e">
        <f>SUMIFS(#REF!,#REF!,'1.자금일보'!A77,#REF!,'1.자금일보'!E77)/1000000</f>
        <v>#REF!</v>
      </c>
      <c r="L77" s="521" t="e">
        <f t="shared" si="2"/>
        <v>#REF!</v>
      </c>
      <c r="M77" s="132"/>
      <c r="N77" s="25"/>
      <c r="O77" s="3"/>
    </row>
    <row r="78" spans="1:16" s="19" customFormat="1" ht="20.100000000000001" customHeight="1">
      <c r="A78" s="666" t="s">
        <v>400</v>
      </c>
      <c r="B78" s="896"/>
      <c r="C78" s="998"/>
      <c r="D78" s="999"/>
      <c r="E78" s="1003" t="s">
        <v>6</v>
      </c>
      <c r="F78" s="1003"/>
      <c r="G78" s="636">
        <v>14.700054789999999</v>
      </c>
      <c r="H78" s="636">
        <v>0</v>
      </c>
      <c r="I78" s="636">
        <v>0</v>
      </c>
      <c r="J78" s="636">
        <v>0</v>
      </c>
      <c r="K78" s="636" t="e">
        <f>SUMIFS(#REF!,#REF!,'1.자금일보'!A78,#REF!,'1.자금일보'!E78)/1000000</f>
        <v>#REF!</v>
      </c>
      <c r="L78" s="521" t="e">
        <f t="shared" si="2"/>
        <v>#REF!</v>
      </c>
      <c r="M78" s="132"/>
      <c r="N78" s="25"/>
      <c r="O78" s="3"/>
    </row>
    <row r="79" spans="1:16" s="19" customFormat="1" ht="20.100000000000001" customHeight="1">
      <c r="A79" s="666" t="s">
        <v>400</v>
      </c>
      <c r="B79" s="896"/>
      <c r="C79" s="1000"/>
      <c r="D79" s="1001"/>
      <c r="E79" s="1060" t="s">
        <v>14</v>
      </c>
      <c r="F79" s="1002"/>
      <c r="G79" s="636">
        <v>0</v>
      </c>
      <c r="H79" s="636">
        <v>0</v>
      </c>
      <c r="I79" s="652">
        <v>0</v>
      </c>
      <c r="J79" s="652">
        <v>0</v>
      </c>
      <c r="K79" s="636" t="e">
        <f>SUMIFS(#REF!,#REF!,'1.자금일보'!A79,#REF!,'1.자금일보'!E79)/1000000</f>
        <v>#REF!</v>
      </c>
      <c r="L79" s="521" t="e">
        <f t="shared" si="2"/>
        <v>#REF!</v>
      </c>
      <c r="M79" s="132"/>
      <c r="N79" s="25"/>
      <c r="O79" s="3"/>
    </row>
    <row r="80" spans="1:16" s="19" customFormat="1" ht="20.100000000000001" customHeight="1">
      <c r="A80" s="666" t="s">
        <v>399</v>
      </c>
      <c r="B80" s="896"/>
      <c r="C80" s="1060" t="s">
        <v>457</v>
      </c>
      <c r="D80" s="1061"/>
      <c r="E80" s="1061"/>
      <c r="F80" s="1002"/>
      <c r="G80" s="636">
        <v>8.4117233699999989</v>
      </c>
      <c r="H80" s="636">
        <v>7.5583359100000003</v>
      </c>
      <c r="I80" s="652">
        <v>12.8464329</v>
      </c>
      <c r="J80" s="652">
        <v>8.3432077400000004</v>
      </c>
      <c r="K80" s="644" t="e">
        <f>SUMIFS(#REF!,#REF!,A80)/1000000</f>
        <v>#REF!</v>
      </c>
      <c r="L80" s="514" t="e">
        <f t="shared" si="2"/>
        <v>#REF!</v>
      </c>
      <c r="M80" s="132"/>
      <c r="N80" s="25"/>
      <c r="O80" s="3"/>
    </row>
    <row r="81" spans="1:19" s="19" customFormat="1" ht="20.100000000000001" customHeight="1">
      <c r="A81" s="666" t="s">
        <v>441</v>
      </c>
      <c r="B81" s="897"/>
      <c r="C81" s="1060" t="s">
        <v>456</v>
      </c>
      <c r="D81" s="1061"/>
      <c r="E81" s="1061"/>
      <c r="F81" s="1002"/>
      <c r="G81" s="636">
        <v>276.78700459999999</v>
      </c>
      <c r="H81" s="636">
        <v>211.68157541999997</v>
      </c>
      <c r="I81" s="652">
        <v>221.34315516000001</v>
      </c>
      <c r="J81" s="652">
        <v>255.07272166999999</v>
      </c>
      <c r="K81" s="644" t="e">
        <f>SUMIFS(#REF!,#REF!,A81)/1000000</f>
        <v>#REF!</v>
      </c>
      <c r="L81" s="514" t="e">
        <f t="shared" si="2"/>
        <v>#REF!</v>
      </c>
      <c r="M81" s="132"/>
      <c r="N81" s="25"/>
      <c r="O81" s="3"/>
    </row>
    <row r="82" spans="1:19" s="19" customFormat="1" ht="20.100000000000001" customHeight="1">
      <c r="A82" s="666" t="s">
        <v>442</v>
      </c>
      <c r="B82" s="934" t="s">
        <v>458</v>
      </c>
      <c r="C82" s="935"/>
      <c r="D82" s="935"/>
      <c r="E82" s="935"/>
      <c r="F82" s="936"/>
      <c r="G82" s="650">
        <v>0</v>
      </c>
      <c r="H82" s="650">
        <v>0</v>
      </c>
      <c r="I82" s="651">
        <v>0</v>
      </c>
      <c r="J82" s="651">
        <v>0</v>
      </c>
      <c r="K82" s="635" t="e">
        <f>SUMIFS(#REF!,#REF!,A82)/1000000</f>
        <v>#REF!</v>
      </c>
      <c r="L82" s="522" t="e">
        <f t="shared" si="2"/>
        <v>#REF!</v>
      </c>
      <c r="M82" s="132"/>
      <c r="N82" s="25"/>
      <c r="O82" s="3"/>
    </row>
    <row r="83" spans="1:19" s="19" customFormat="1" ht="20.100000000000001" customHeight="1">
      <c r="A83" s="666" t="s">
        <v>401</v>
      </c>
      <c r="B83" s="934" t="s">
        <v>459</v>
      </c>
      <c r="C83" s="935"/>
      <c r="D83" s="935"/>
      <c r="E83" s="935"/>
      <c r="F83" s="936"/>
      <c r="G83" s="650">
        <v>279.68065818000002</v>
      </c>
      <c r="H83" s="650">
        <v>348.14892856</v>
      </c>
      <c r="I83" s="651">
        <v>268.57</v>
      </c>
      <c r="J83" s="651">
        <v>296.48399999999998</v>
      </c>
      <c r="K83" s="635" t="e">
        <f>SUMIFS(#REF!,#REF!,A83)/1000000</f>
        <v>#REF!</v>
      </c>
      <c r="L83" s="632" t="e">
        <f t="shared" si="2"/>
        <v>#REF!</v>
      </c>
      <c r="M83" s="133"/>
      <c r="N83" s="41"/>
      <c r="O83" s="3"/>
    </row>
    <row r="84" spans="1:19" s="19" customFormat="1" ht="20.100000000000001" customHeight="1">
      <c r="A84" s="666" t="s">
        <v>525</v>
      </c>
      <c r="B84" s="772" t="s">
        <v>525</v>
      </c>
      <c r="C84" s="773"/>
      <c r="D84" s="773"/>
      <c r="E84" s="773"/>
      <c r="F84" s="774"/>
      <c r="G84" s="650">
        <v>9.5679539999999993E-2</v>
      </c>
      <c r="H84" s="650">
        <v>0</v>
      </c>
      <c r="I84" s="651">
        <v>0</v>
      </c>
      <c r="J84" s="651">
        <v>0</v>
      </c>
      <c r="K84" s="635" t="e">
        <f>SUMIFS(#REF!,#REF!,A84)/1000000</f>
        <v>#REF!</v>
      </c>
      <c r="L84" s="632" t="e">
        <f t="shared" si="2"/>
        <v>#REF!</v>
      </c>
      <c r="M84" s="133"/>
      <c r="N84" s="41"/>
      <c r="O84" s="3"/>
    </row>
    <row r="85" spans="1:19" s="19" customFormat="1" ht="20.100000000000001" customHeight="1">
      <c r="A85" s="666" t="s">
        <v>402</v>
      </c>
      <c r="B85" s="934" t="s">
        <v>448</v>
      </c>
      <c r="C85" s="935"/>
      <c r="D85" s="935"/>
      <c r="E85" s="935"/>
      <c r="F85" s="936"/>
      <c r="G85" s="650">
        <v>14.327203809999999</v>
      </c>
      <c r="H85" s="650">
        <v>22.979944399999997</v>
      </c>
      <c r="I85" s="651">
        <v>31.617431199999999</v>
      </c>
      <c r="J85" s="651">
        <v>26.74197388</v>
      </c>
      <c r="K85" s="635" t="e">
        <f>SUMIFS(#REF!,#REF!,A85)/1000000</f>
        <v>#REF!</v>
      </c>
      <c r="L85" s="522" t="e">
        <f t="shared" si="2"/>
        <v>#REF!</v>
      </c>
      <c r="M85" s="134"/>
      <c r="N85" s="41"/>
      <c r="O85" s="3"/>
    </row>
    <row r="86" spans="1:19" s="19" customFormat="1" ht="20.100000000000001" customHeight="1">
      <c r="A86" s="666" t="s">
        <v>403</v>
      </c>
      <c r="B86" s="934" t="s">
        <v>460</v>
      </c>
      <c r="C86" s="935"/>
      <c r="D86" s="935"/>
      <c r="E86" s="935"/>
      <c r="F86" s="936"/>
      <c r="G86" s="650">
        <v>7.3068810400000013</v>
      </c>
      <c r="H86" s="650">
        <v>1.52109261</v>
      </c>
      <c r="I86" s="651">
        <v>3.0933760699999997</v>
      </c>
      <c r="J86" s="651">
        <v>0.79213005000000003</v>
      </c>
      <c r="K86" s="635" t="e">
        <f>SUMIFS(#REF!,#REF!,A86)/1000000</f>
        <v>#REF!</v>
      </c>
      <c r="L86" s="522" t="e">
        <f t="shared" si="2"/>
        <v>#REF!</v>
      </c>
      <c r="M86" s="134"/>
      <c r="N86" s="41"/>
      <c r="O86" s="3"/>
    </row>
    <row r="87" spans="1:19" s="19" customFormat="1" ht="20.100000000000001" customHeight="1">
      <c r="A87" s="666" t="s">
        <v>405</v>
      </c>
      <c r="B87" s="934" t="s">
        <v>461</v>
      </c>
      <c r="C87" s="935"/>
      <c r="D87" s="935"/>
      <c r="E87" s="935"/>
      <c r="F87" s="936"/>
      <c r="G87" s="650">
        <v>425.10165644</v>
      </c>
      <c r="H87" s="650">
        <v>471.55453537</v>
      </c>
      <c r="I87" s="651">
        <v>423.99477540000004</v>
      </c>
      <c r="J87" s="651">
        <v>414.98004929999996</v>
      </c>
      <c r="K87" s="635" t="e">
        <f>SUMIFS(#REF!,#REF!,A87)/1000000</f>
        <v>#REF!</v>
      </c>
      <c r="L87" s="522" t="e">
        <f t="shared" si="2"/>
        <v>#REF!</v>
      </c>
      <c r="M87" s="134"/>
      <c r="N87" s="41"/>
      <c r="O87" s="3"/>
      <c r="S87" s="19">
        <f>P87-Q87</f>
        <v>0</v>
      </c>
    </row>
    <row r="88" spans="1:19" s="19" customFormat="1" ht="20.100000000000001" customHeight="1">
      <c r="A88" s="666" t="s">
        <v>404</v>
      </c>
      <c r="B88" s="934" t="s">
        <v>462</v>
      </c>
      <c r="C88" s="935"/>
      <c r="D88" s="935"/>
      <c r="E88" s="935"/>
      <c r="F88" s="936"/>
      <c r="G88" s="650">
        <v>22.989574839999932</v>
      </c>
      <c r="H88" s="650">
        <v>35.895676029999777</v>
      </c>
      <c r="I88" s="651">
        <v>24.706565809999574</v>
      </c>
      <c r="J88" s="651">
        <v>22.037475849999737</v>
      </c>
      <c r="K88" s="635" t="e">
        <f>K67-SUM(K68,K74,K82,K83,K85,K86,K87,K89)</f>
        <v>#REF!</v>
      </c>
      <c r="L88" s="522" t="e">
        <f t="shared" si="2"/>
        <v>#REF!</v>
      </c>
      <c r="M88" s="134"/>
      <c r="N88" s="41"/>
      <c r="O88" s="3"/>
      <c r="P88" s="135"/>
      <c r="S88" s="19">
        <f>P87-Q88</f>
        <v>0</v>
      </c>
    </row>
    <row r="89" spans="1:19" s="19" customFormat="1" ht="20.100000000000001" customHeight="1" thickBot="1">
      <c r="A89" s="666" t="s">
        <v>443</v>
      </c>
      <c r="B89" s="988" t="s">
        <v>449</v>
      </c>
      <c r="C89" s="989"/>
      <c r="D89" s="989"/>
      <c r="E89" s="989"/>
      <c r="F89" s="990"/>
      <c r="G89" s="654">
        <v>-99.677805049999947</v>
      </c>
      <c r="H89" s="654">
        <v>-144.54875916999998</v>
      </c>
      <c r="I89" s="655">
        <v>-71.422630399999974</v>
      </c>
      <c r="J89" s="655">
        <v>-147.25241909999994</v>
      </c>
      <c r="K89" s="638" t="e">
        <f>SUMIFS(#REF!,#REF!,A89)/1000000-IFERROR(2*VLOOKUP(22601,#REF!,3,FALSE)/1000000,0)-IFERROR(2*VLOOKUP(22602,#REF!,3,FALSE)/1000000,0)</f>
        <v>#REF!</v>
      </c>
      <c r="L89" s="519" t="e">
        <f t="shared" si="2"/>
        <v>#REF!</v>
      </c>
      <c r="M89" s="131"/>
      <c r="N89" s="41"/>
      <c r="O89" s="3"/>
    </row>
    <row r="90" spans="1:19" s="19" customFormat="1" ht="20.100000000000001" customHeight="1" thickTop="1" thickBot="1">
      <c r="A90" s="666" t="s">
        <v>425</v>
      </c>
      <c r="B90" s="979" t="s">
        <v>61</v>
      </c>
      <c r="C90" s="980"/>
      <c r="D90" s="980"/>
      <c r="E90" s="980"/>
      <c r="F90" s="964"/>
      <c r="G90" s="654">
        <v>3044.4718825999998</v>
      </c>
      <c r="H90" s="654">
        <v>2828.2075623200003</v>
      </c>
      <c r="I90" s="655">
        <v>2797.12621494</v>
      </c>
      <c r="J90" s="655">
        <v>3074.9688857199999</v>
      </c>
      <c r="K90" s="800" t="e">
        <f>SUMIFS(#REF!,#REF!,A90)/1000000</f>
        <v>#REF!</v>
      </c>
      <c r="L90" s="519" t="e">
        <f t="shared" si="2"/>
        <v>#REF!</v>
      </c>
      <c r="M90" s="136"/>
      <c r="N90" s="2" t="e">
        <f>ROUND(K90,0)=ROUND(SUM(K91:K95),0)</f>
        <v>#REF!</v>
      </c>
      <c r="O90" s="3"/>
    </row>
    <row r="91" spans="1:19" s="19" customFormat="1" ht="20.100000000000001" customHeight="1" thickTop="1">
      <c r="A91" s="666" t="s">
        <v>438</v>
      </c>
      <c r="B91" s="897" t="s">
        <v>417</v>
      </c>
      <c r="C91" s="981"/>
      <c r="D91" s="981"/>
      <c r="E91" s="981"/>
      <c r="F91" s="982"/>
      <c r="G91" s="648">
        <v>2809.6019094600001</v>
      </c>
      <c r="H91" s="648">
        <v>2527.0329106199997</v>
      </c>
      <c r="I91" s="649">
        <v>2493.7976244899996</v>
      </c>
      <c r="J91" s="649">
        <v>2805.5799210800001</v>
      </c>
      <c r="K91" s="640" t="e">
        <f>SUMIFS(#REF!,#REF!,A91)/1000000</f>
        <v>#REF!</v>
      </c>
      <c r="L91" s="520" t="e">
        <f t="shared" si="2"/>
        <v>#REF!</v>
      </c>
      <c r="M91" s="138"/>
      <c r="N91" s="41"/>
      <c r="O91" s="3"/>
    </row>
    <row r="92" spans="1:19" s="19" customFormat="1" ht="20.100000000000001" customHeight="1">
      <c r="A92" s="666" t="s">
        <v>444</v>
      </c>
      <c r="B92" s="934" t="s">
        <v>419</v>
      </c>
      <c r="C92" s="935"/>
      <c r="D92" s="935"/>
      <c r="E92" s="935"/>
      <c r="F92" s="936"/>
      <c r="G92" s="650">
        <v>0</v>
      </c>
      <c r="H92" s="650">
        <v>0</v>
      </c>
      <c r="I92" s="650">
        <v>0</v>
      </c>
      <c r="J92" s="650">
        <v>0</v>
      </c>
      <c r="K92" s="635" t="e">
        <f>SUMIFS(#REF!,#REF!,A92)/1000000</f>
        <v>#REF!</v>
      </c>
      <c r="L92" s="522" t="e">
        <f t="shared" si="2"/>
        <v>#REF!</v>
      </c>
      <c r="M92" s="134"/>
      <c r="N92" s="41"/>
      <c r="O92" s="3"/>
    </row>
    <row r="93" spans="1:19" s="19" customFormat="1" ht="20.100000000000001" customHeight="1">
      <c r="A93" s="666" t="s">
        <v>445</v>
      </c>
      <c r="B93" s="934" t="s">
        <v>421</v>
      </c>
      <c r="C93" s="935"/>
      <c r="D93" s="935"/>
      <c r="E93" s="935"/>
      <c r="F93" s="936"/>
      <c r="G93" s="650">
        <v>0</v>
      </c>
      <c r="H93" s="650">
        <v>0</v>
      </c>
      <c r="I93" s="650">
        <v>0</v>
      </c>
      <c r="J93" s="650">
        <v>0</v>
      </c>
      <c r="K93" s="635" t="e">
        <f>SUMIFS(#REF!,#REF!,A93)/1000000</f>
        <v>#REF!</v>
      </c>
      <c r="L93" s="522" t="e">
        <f t="shared" si="2"/>
        <v>#REF!</v>
      </c>
      <c r="M93" s="134"/>
      <c r="N93" s="41"/>
      <c r="O93" s="3"/>
      <c r="P93" s="185"/>
    </row>
    <row r="94" spans="1:19" s="19" customFormat="1" ht="20.100000000000001" customHeight="1">
      <c r="A94" s="666" t="s">
        <v>406</v>
      </c>
      <c r="B94" s="934" t="s">
        <v>430</v>
      </c>
      <c r="C94" s="935"/>
      <c r="D94" s="935"/>
      <c r="E94" s="935"/>
      <c r="F94" s="936"/>
      <c r="G94" s="650">
        <v>83.924789369999999</v>
      </c>
      <c r="H94" s="650">
        <v>141.60373749999999</v>
      </c>
      <c r="I94" s="650">
        <v>141.67455894</v>
      </c>
      <c r="J94" s="650">
        <v>143.03645542000001</v>
      </c>
      <c r="K94" s="635" t="e">
        <f>SUMIFS(#REF!,#REF!,A94)/1000000</f>
        <v>#REF!</v>
      </c>
      <c r="L94" s="522" t="e">
        <f t="shared" si="2"/>
        <v>#REF!</v>
      </c>
      <c r="M94" s="134"/>
      <c r="N94" s="41"/>
      <c r="O94" s="3"/>
    </row>
    <row r="95" spans="1:19" s="19" customFormat="1" ht="20.100000000000001" customHeight="1">
      <c r="A95" s="666" t="s">
        <v>437</v>
      </c>
      <c r="B95" s="983" t="s">
        <v>431</v>
      </c>
      <c r="C95" s="984"/>
      <c r="D95" s="984"/>
      <c r="E95" s="984"/>
      <c r="F95" s="985"/>
      <c r="G95" s="664">
        <v>150.94518342999999</v>
      </c>
      <c r="H95" s="664">
        <v>159.57091394999998</v>
      </c>
      <c r="I95" s="665">
        <v>161.65403142000002</v>
      </c>
      <c r="J95" s="665">
        <v>126.35250911</v>
      </c>
      <c r="K95" s="645" t="e">
        <f>SUMIFS(#REF!,#REF!,A95)/1000000</f>
        <v>#REF!</v>
      </c>
      <c r="L95" s="523" t="e">
        <f t="shared" si="2"/>
        <v>#REF!</v>
      </c>
      <c r="M95" s="139"/>
      <c r="N95" s="41"/>
      <c r="O95" s="3"/>
    </row>
    <row r="96" spans="1:19" s="19" customFormat="1" ht="20.100000000000001" customHeight="1">
      <c r="A96" s="666"/>
      <c r="B96" s="986" t="s">
        <v>356</v>
      </c>
      <c r="C96" s="987"/>
      <c r="D96" s="987"/>
      <c r="E96" s="987"/>
      <c r="F96" s="987"/>
      <c r="G96" s="524">
        <v>-135.39096800999994</v>
      </c>
      <c r="H96" s="524">
        <v>-177.04361091999999</v>
      </c>
      <c r="I96" s="524">
        <v>-104.41651961999992</v>
      </c>
      <c r="J96" s="524">
        <v>-197.70686051999996</v>
      </c>
      <c r="K96" s="669" t="e">
        <f>K87+K89-K59</f>
        <v>#REF!</v>
      </c>
      <c r="L96" s="524" t="e">
        <f t="shared" si="2"/>
        <v>#REF!</v>
      </c>
      <c r="M96" s="140"/>
      <c r="N96" s="41"/>
      <c r="O96" s="3"/>
    </row>
    <row r="97" spans="1:51" ht="27" customHeight="1">
      <c r="A97" s="1"/>
      <c r="B97" s="141"/>
      <c r="C97" s="141"/>
      <c r="D97" s="141"/>
      <c r="E97" s="141"/>
      <c r="F97" s="141"/>
      <c r="G97" s="142"/>
      <c r="H97" s="142"/>
      <c r="I97" s="142"/>
      <c r="J97" s="142"/>
      <c r="K97" s="142"/>
      <c r="L97" s="143"/>
      <c r="M97" s="142"/>
      <c r="P97" s="19"/>
      <c r="Q97" s="19"/>
      <c r="R97" s="19"/>
      <c r="S97" s="19"/>
      <c r="T97" s="19"/>
      <c r="U97" s="19"/>
      <c r="V97" s="19"/>
      <c r="W97" s="19"/>
      <c r="X97" s="19"/>
      <c r="Y97" s="19"/>
      <c r="Z97" s="19"/>
      <c r="AA97" s="19"/>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19"/>
    </row>
    <row r="98" spans="1:51" ht="27" customHeight="1">
      <c r="A98" s="1"/>
      <c r="B98" s="110" t="s">
        <v>65</v>
      </c>
      <c r="C98" s="551"/>
      <c r="D98" s="551"/>
      <c r="E98" s="551"/>
      <c r="F98" s="551"/>
      <c r="G98" s="551"/>
      <c r="H98" s="551"/>
      <c r="I98" s="10"/>
      <c r="J98" s="144"/>
      <c r="K98" s="144"/>
      <c r="L98" s="144"/>
      <c r="M98" s="10"/>
    </row>
    <row r="99" spans="1:51" s="19" customFormat="1" ht="20.100000000000001" customHeight="1">
      <c r="A99" s="1"/>
      <c r="B99" s="145" t="s">
        <v>66</v>
      </c>
      <c r="C99" s="551"/>
      <c r="D99" s="551"/>
      <c r="E99" s="551"/>
      <c r="F99" s="551"/>
      <c r="G99" s="551"/>
      <c r="H99" s="551"/>
      <c r="I99" s="10"/>
      <c r="J99" s="144"/>
      <c r="K99" s="144"/>
      <c r="L99" s="144"/>
      <c r="M99" s="146" t="str">
        <f>M31</f>
        <v>(대미환산, 단위 : 백만불)</v>
      </c>
      <c r="N99" s="41"/>
      <c r="O99" s="3"/>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row>
    <row r="100" spans="1:51" s="19" customFormat="1" ht="20.100000000000001" customHeight="1" thickBot="1">
      <c r="A100" s="1"/>
      <c r="B100" s="973" t="s">
        <v>52</v>
      </c>
      <c r="C100" s="975"/>
      <c r="D100" s="975"/>
      <c r="E100" s="975"/>
      <c r="F100" s="975"/>
      <c r="G100" s="761" t="str">
        <f>G66</f>
        <v>2025년(기평)</v>
      </c>
      <c r="H100" s="761">
        <v>46081</v>
      </c>
      <c r="I100" s="760">
        <v>46080</v>
      </c>
      <c r="J100" s="152">
        <v>46108</v>
      </c>
      <c r="K100" s="115">
        <f>K32</f>
        <v>46111</v>
      </c>
      <c r="L100" s="113" t="s">
        <v>67</v>
      </c>
      <c r="M100" s="129" t="s">
        <v>13</v>
      </c>
      <c r="N100" s="41"/>
      <c r="O100" s="3"/>
    </row>
    <row r="101" spans="1:51" s="19" customFormat="1" ht="20.100000000000001" customHeight="1" thickTop="1" thickBot="1">
      <c r="A101" s="1"/>
      <c r="B101" s="963" t="s">
        <v>68</v>
      </c>
      <c r="C101" s="964"/>
      <c r="D101" s="964"/>
      <c r="E101" s="964"/>
      <c r="F101" s="965"/>
      <c r="G101" s="525">
        <v>261.16920197999997</v>
      </c>
      <c r="H101" s="525">
        <v>246.16744496999999</v>
      </c>
      <c r="I101" s="539">
        <v>230.04950246999999</v>
      </c>
      <c r="J101" s="539">
        <v>243.18615763999998</v>
      </c>
      <c r="K101" s="526">
        <f>((IFERROR(VLOOKUP(19999,#REF!,3,FALSE),0)))/1000000</f>
        <v>0</v>
      </c>
      <c r="L101" s="540">
        <f t="shared" ref="L101:L109" si="4">K101-J101</f>
        <v>-243.18615763999998</v>
      </c>
      <c r="M101" s="147"/>
      <c r="N101" s="41"/>
      <c r="O101" s="3"/>
    </row>
    <row r="102" spans="1:51" s="19" customFormat="1" ht="20.100000000000001" customHeight="1" thickTop="1">
      <c r="A102" s="1"/>
      <c r="B102" s="972" t="s">
        <v>54</v>
      </c>
      <c r="C102" s="148"/>
      <c r="D102" s="148"/>
      <c r="E102" s="148"/>
      <c r="F102" s="149"/>
      <c r="G102" s="527">
        <v>40.562840550000004</v>
      </c>
      <c r="H102" s="527">
        <v>33.300945150000004</v>
      </c>
      <c r="I102" s="527">
        <v>30.551941249999999</v>
      </c>
      <c r="J102" s="527">
        <v>32.534815559999998</v>
      </c>
      <c r="K102" s="528">
        <f>SUM(K103:K104)</f>
        <v>0</v>
      </c>
      <c r="L102" s="529">
        <f t="shared" si="4"/>
        <v>-32.534815559999998</v>
      </c>
      <c r="M102" s="126"/>
      <c r="N102" s="41"/>
      <c r="O102" s="3"/>
    </row>
    <row r="103" spans="1:51" s="19" customFormat="1" ht="20.100000000000001" customHeight="1">
      <c r="A103" s="1"/>
      <c r="B103" s="972"/>
      <c r="C103" s="929" t="s">
        <v>69</v>
      </c>
      <c r="D103" s="930"/>
      <c r="E103" s="930"/>
      <c r="F103" s="931"/>
      <c r="G103" s="530">
        <v>22.420656910000002</v>
      </c>
      <c r="H103" s="530">
        <v>14.155172820000001</v>
      </c>
      <c r="I103" s="530">
        <v>14.09879634</v>
      </c>
      <c r="J103" s="530">
        <v>14.670076779999999</v>
      </c>
      <c r="K103" s="531">
        <f>((IFERROR(VLOOKUP(10503,#REF!,3,FALSE),0)))/1000000</f>
        <v>0</v>
      </c>
      <c r="L103" s="530">
        <f t="shared" si="4"/>
        <v>-14.670076779999999</v>
      </c>
      <c r="M103" s="132"/>
      <c r="N103" s="41"/>
      <c r="O103" s="150"/>
    </row>
    <row r="104" spans="1:51" s="19" customFormat="1" ht="20.100000000000001" customHeight="1">
      <c r="A104" s="1"/>
      <c r="B104" s="972"/>
      <c r="C104" s="929" t="s">
        <v>70</v>
      </c>
      <c r="D104" s="930"/>
      <c r="E104" s="930"/>
      <c r="F104" s="931"/>
      <c r="G104" s="530">
        <v>18.142183639999999</v>
      </c>
      <c r="H104" s="530">
        <v>19.14577233</v>
      </c>
      <c r="I104" s="530">
        <v>16.453144909999999</v>
      </c>
      <c r="J104" s="530">
        <v>17.86473878</v>
      </c>
      <c r="K104" s="531">
        <f>((IFERROR(VLOOKUP(10504,#REF!,3,FALSE),0))+(IFERROR(VLOOKUP(10512,#REF!,3,FALSE),0)))/1000000</f>
        <v>0</v>
      </c>
      <c r="L104" s="530">
        <f t="shared" si="4"/>
        <v>-17.86473878</v>
      </c>
      <c r="M104" s="132"/>
      <c r="N104" s="41"/>
      <c r="O104" s="150"/>
    </row>
    <row r="105" spans="1:51" s="19" customFormat="1" ht="20.100000000000001" customHeight="1">
      <c r="A105" s="1"/>
      <c r="B105" s="953" t="s">
        <v>60</v>
      </c>
      <c r="C105" s="954"/>
      <c r="D105" s="954"/>
      <c r="E105" s="954"/>
      <c r="F105" s="955"/>
      <c r="G105" s="532">
        <v>24.094329579999997</v>
      </c>
      <c r="H105" s="532">
        <v>21.039285710000001</v>
      </c>
      <c r="I105" s="532">
        <v>19.38</v>
      </c>
      <c r="J105" s="532">
        <v>31.376000000000001</v>
      </c>
      <c r="K105" s="533">
        <f>((IFERROR(VLOOKUP(10401,#REF!,3,FALSE),0))+(IFERROR(VLOOKUP(10402,#REF!,3,FALSE),0)))/1000000</f>
        <v>0</v>
      </c>
      <c r="L105" s="534">
        <f t="shared" si="4"/>
        <v>-31.376000000000001</v>
      </c>
      <c r="M105" s="132"/>
      <c r="N105" s="41"/>
      <c r="O105" s="150"/>
    </row>
    <row r="106" spans="1:51" s="19" customFormat="1" ht="20.100000000000001" customHeight="1">
      <c r="A106" s="1"/>
      <c r="B106" s="151" t="s">
        <v>71</v>
      </c>
      <c r="C106" s="732"/>
      <c r="D106" s="732"/>
      <c r="E106" s="732"/>
      <c r="F106" s="733"/>
      <c r="G106" s="532">
        <v>5.6575342400000004</v>
      </c>
      <c r="H106" s="532">
        <v>0</v>
      </c>
      <c r="I106" s="535">
        <v>0</v>
      </c>
      <c r="J106" s="535">
        <v>2</v>
      </c>
      <c r="K106" s="533">
        <f>((IFERROR(VLOOKUP(10895,#REF!,3,FALSE),0)))/1000000</f>
        <v>0</v>
      </c>
      <c r="L106" s="534">
        <f t="shared" si="4"/>
        <v>-2</v>
      </c>
      <c r="M106" s="132"/>
      <c r="N106" s="41"/>
      <c r="O106" s="150"/>
    </row>
    <row r="107" spans="1:51" s="19" customFormat="1" ht="20.100000000000001" customHeight="1">
      <c r="A107" s="1"/>
      <c r="B107" s="736" t="s">
        <v>55</v>
      </c>
      <c r="C107" s="711"/>
      <c r="D107" s="711"/>
      <c r="E107" s="711"/>
      <c r="F107" s="712"/>
      <c r="G107" s="532">
        <v>181.84326877000001</v>
      </c>
      <c r="H107" s="532">
        <v>173.15973665000001</v>
      </c>
      <c r="I107" s="535">
        <v>172.12730808000001</v>
      </c>
      <c r="J107" s="535">
        <v>170.09179962000002</v>
      </c>
      <c r="K107" s="533">
        <f>((IFERROR(VLOOKUP(10111,#REF!,3,FALSE),0))+(IFERROR(VLOOKUP(10112,#REF!,3,FALSE),0))+(IFERROR(VLOOKUP(10113,#REF!,3,FALSE),0))+(IFERROR(VLOOKUP(10114,#REF!,3,FALSE),0))+(IFERROR(VLOOKUP(10115,#REF!,3,FALSE),0))+(IFERROR(VLOOKUP(10116,#REF!,3,FALSE),0))+(IFERROR(VLOOKUP(10117,#REF!,3,FALSE),0))+(IFERROR(VLOOKUP(10118,#REF!,3,FALSE),0))+(IFERROR(VLOOKUP(10119,#REF!,3,FALSE),0))+(IFERROR(VLOOKUP(10120,#REF!,3,FALSE),0))+(IFERROR(VLOOKUP(10121,#REF!,3,FALSE),0))+(IFERROR(VLOOKUP(10122,#REF!,3,FALSE),0))+(IFERROR(VLOOKUP(10123,#REF!,3,FALSE),0))+(IFERROR(VLOOKUP(10124,#REF!,3,FALSE),0))+(IFERROR(VLOOKUP(10125,#REF!,3,FALSE),0))+(IFERROR(VLOOKUP(10126,#REF!,3,FALSE),0)))/1000000</f>
        <v>0</v>
      </c>
      <c r="L107" s="532">
        <f t="shared" si="4"/>
        <v>-170.09179962000002</v>
      </c>
      <c r="M107" s="132"/>
      <c r="N107" s="41"/>
      <c r="O107" s="150"/>
    </row>
    <row r="108" spans="1:51" s="19" customFormat="1" ht="20.100000000000001" customHeight="1">
      <c r="A108" s="1"/>
      <c r="B108" s="953" t="s">
        <v>72</v>
      </c>
      <c r="C108" s="954"/>
      <c r="D108" s="954"/>
      <c r="E108" s="954"/>
      <c r="F108" s="955"/>
      <c r="G108" s="532">
        <v>8.5531761999999993</v>
      </c>
      <c r="H108" s="532">
        <v>0</v>
      </c>
      <c r="I108" s="532">
        <v>7.2921840599999994</v>
      </c>
      <c r="J108" s="532">
        <v>6.9044434900000002</v>
      </c>
      <c r="K108" s="533">
        <f>((IFERROR(VLOOKUP(11311,#REF!,3,FALSE),0))+(IFERROR(VLOOKUP(11312,#REF!,3,FALSE),0)))/1000000</f>
        <v>0</v>
      </c>
      <c r="L108" s="532">
        <f t="shared" si="4"/>
        <v>-6.9044434900000002</v>
      </c>
      <c r="M108" s="132"/>
      <c r="N108" s="41"/>
      <c r="O108" s="150"/>
    </row>
    <row r="109" spans="1:51" s="19" customFormat="1" ht="20.100000000000001" customHeight="1">
      <c r="A109" s="1"/>
      <c r="B109" s="956" t="s">
        <v>73</v>
      </c>
      <c r="C109" s="957"/>
      <c r="D109" s="957"/>
      <c r="E109" s="957"/>
      <c r="F109" s="958"/>
      <c r="G109" s="536">
        <v>0.45805263999997337</v>
      </c>
      <c r="H109" s="536">
        <v>18.667477459999986</v>
      </c>
      <c r="I109" s="536">
        <v>0.69806907999999357</v>
      </c>
      <c r="J109" s="536">
        <v>0.27909896999995532</v>
      </c>
      <c r="K109" s="537">
        <f>K101-K102-K105-K106-K107-K108</f>
        <v>0</v>
      </c>
      <c r="L109" s="536">
        <f t="shared" si="4"/>
        <v>-0.27909896999995532</v>
      </c>
      <c r="M109" s="139"/>
      <c r="N109" s="41"/>
      <c r="O109" s="150"/>
    </row>
    <row r="110" spans="1:51" s="19" customFormat="1" ht="20.100000000000001" customHeight="1" thickBot="1">
      <c r="A110" s="1"/>
      <c r="B110" s="973" t="s">
        <v>62</v>
      </c>
      <c r="C110" s="974"/>
      <c r="D110" s="974"/>
      <c r="E110" s="974"/>
      <c r="F110" s="975"/>
      <c r="G110" s="761" t="str">
        <f>G100</f>
        <v>2025년(기평)</v>
      </c>
      <c r="H110" s="761">
        <v>46081</v>
      </c>
      <c r="I110" s="760">
        <v>46080</v>
      </c>
      <c r="J110" s="152">
        <v>46108</v>
      </c>
      <c r="K110" s="153">
        <f>K100</f>
        <v>46111</v>
      </c>
      <c r="L110" s="113" t="s">
        <v>12</v>
      </c>
      <c r="M110" s="129" t="s">
        <v>13</v>
      </c>
      <c r="N110" s="41"/>
      <c r="O110" s="150"/>
    </row>
    <row r="111" spans="1:51" s="19" customFormat="1" ht="20.100000000000001" customHeight="1" thickTop="1" thickBot="1">
      <c r="A111" s="1"/>
      <c r="B111" s="963" t="s">
        <v>68</v>
      </c>
      <c r="C111" s="964"/>
      <c r="D111" s="964"/>
      <c r="E111" s="964"/>
      <c r="F111" s="965"/>
      <c r="G111" s="525">
        <v>261.16920197999997</v>
      </c>
      <c r="H111" s="525">
        <v>246.16744496999999</v>
      </c>
      <c r="I111" s="539">
        <v>230.04950246999999</v>
      </c>
      <c r="J111" s="539">
        <v>243.18615763999998</v>
      </c>
      <c r="K111" s="526">
        <f>K101</f>
        <v>0</v>
      </c>
      <c r="L111" s="525">
        <f t="shared" ref="L111:L120" si="5">K111-J111</f>
        <v>-243.18615763999998</v>
      </c>
      <c r="M111" s="147"/>
      <c r="N111" s="41"/>
      <c r="O111" s="3"/>
    </row>
    <row r="112" spans="1:51" s="19" customFormat="1" ht="20.100000000000001" customHeight="1" thickTop="1">
      <c r="A112" s="1"/>
      <c r="B112" s="966" t="s">
        <v>74</v>
      </c>
      <c r="C112" s="967"/>
      <c r="D112" s="967"/>
      <c r="E112" s="967"/>
      <c r="F112" s="968"/>
      <c r="G112" s="527">
        <v>75.546601840000008</v>
      </c>
      <c r="H112" s="527">
        <v>89.421138509999992</v>
      </c>
      <c r="I112" s="527">
        <v>84.318825140000001</v>
      </c>
      <c r="J112" s="527">
        <v>118.61005179999999</v>
      </c>
      <c r="K112" s="528">
        <f>((IFERROR(VLOOKUP(20101,#REF!,3,FALSE),0))+(IFERROR(VLOOKUP(20102,#REF!,3,FALSE),0))+(IFERROR(VLOOKUP(20111,#REF!,3,FALSE),0))+(IFERROR(VLOOKUP(20112,#REF!,3,FALSE),0))+(IFERROR(VLOOKUP(20121,#REF!,3,FALSE),0))+(IFERROR(VLOOKUP(20131,#REF!,3,FALSE),0))+(IFERROR(VLOOKUP(20211,#REF!,3,FALSE),0))+(IFERROR(VLOOKUP(20212,#REF!,3,FALSE),0))+(IFERROR(VLOOKUP(20221,#REF!,3,FALSE),0))+(IFERROR(VLOOKUP(20231,#REF!,3,FALSE),0))+(IFERROR(VLOOKUP(20241,#REF!,3,FALSE),0))+(IFERROR(VLOOKUP(20242,#REF!,3,FALSE),0))+(IFERROR(VLOOKUP(20243,#REF!,3,FALSE),0))+(IFERROR(VLOOKUP(20244,#REF!,3,FALSE),0))+(IFERROR(VLOOKUP(20501,#REF!,3,FALSE),0))+(IFERROR(VLOOKUP(20301,#REF!,3,FALSE),0))+(IFERROR(VLOOKUP(20302,#REF!,3,FALSE),0))+(IFERROR(VLOOKUP(20311,#REF!,3,FALSE),0))+(IFERROR(VLOOKUP(20312,#REF!,3,FALSE),0))+(IFERROR(VLOOKUP(20321,#REF!,3,FALSE),0))+(IFERROR(VLOOKUP(20331,#REF!,3,FALSE),0))+(IFERROR(VLOOKUP(20401,#REF!,3,FALSE),0))+(IFERROR(VLOOKUP(20402,#REF!,3,FALSE),0))+(IFERROR(VLOOKUP(20411,#REF!,3,FALSE),0))+(IFERROR(VLOOKUP(20412,#REF!,3,FALSE),0))+(IFERROR(VLOOKUP(20421,#REF!,3,FALSE),0))+(IFERROR(VLOOKUP(20431,#REF!,3,FALSE),0))+(IFERROR(VLOOKUP(20441,#REF!,3,FALSE),0))+(IFERROR(VLOOKUP(20451,#REF!,3,FALSE),0))+(IFERROR(VLOOKUP(20452,#REF!,3,FALSE),0))+(IFERROR(VLOOKUP(20453,#REF!,3,FALSE),0))+(IFERROR(VLOOKUP(20454,#REF!,3,FALSE),0))+(IFERROR(VLOOKUP(20511,#REF!,3,FALSE),0))+(IFERROR(VLOOKUP(20512,#REF!,3,FALSE),0))+(IFERROR(VLOOKUP(20513,#REF!,3,FALSE),0))+(IFERROR(VLOOKUP(20514,#REF!,3,FALSE),0))+(IFERROR(VLOOKUP(20515,#REF!,3,FALSE),0)))/1000000</f>
        <v>0</v>
      </c>
      <c r="L112" s="529">
        <f t="shared" si="5"/>
        <v>-118.61005179999999</v>
      </c>
      <c r="M112" s="126"/>
      <c r="N112" s="41"/>
      <c r="O112" s="3"/>
    </row>
    <row r="113" spans="1:51" s="19" customFormat="1" ht="20.100000000000001" customHeight="1">
      <c r="A113" s="1"/>
      <c r="B113" s="953" t="s">
        <v>75</v>
      </c>
      <c r="C113" s="954"/>
      <c r="D113" s="954"/>
      <c r="E113" s="954"/>
      <c r="F113" s="955"/>
      <c r="G113" s="532">
        <v>72.182726700000003</v>
      </c>
      <c r="H113" s="532">
        <v>44.973214280000001</v>
      </c>
      <c r="I113" s="532">
        <v>44.53</v>
      </c>
      <c r="J113" s="532">
        <v>23.443999999999999</v>
      </c>
      <c r="K113" s="533">
        <f>(((IFERROR(VLOOKUP(20801,#REF!,3,FALSE),0))+(IFERROR(VLOOKUP(20802,#REF!,3,FALSE),0))))/1000000</f>
        <v>0</v>
      </c>
      <c r="L113" s="534">
        <f t="shared" si="5"/>
        <v>-23.443999999999999</v>
      </c>
      <c r="M113" s="132"/>
      <c r="N113" s="41"/>
      <c r="O113" s="3"/>
    </row>
    <row r="114" spans="1:51" s="19" customFormat="1" ht="20.100000000000001" customHeight="1">
      <c r="A114" s="1"/>
      <c r="B114" s="969" t="s">
        <v>64</v>
      </c>
      <c r="C114" s="711"/>
      <c r="D114" s="711"/>
      <c r="E114" s="711"/>
      <c r="F114" s="712"/>
      <c r="G114" s="532">
        <v>14.700054789999999</v>
      </c>
      <c r="H114" s="532">
        <v>0</v>
      </c>
      <c r="I114" s="532">
        <v>0</v>
      </c>
      <c r="J114" s="532">
        <v>0</v>
      </c>
      <c r="K114" s="533">
        <f>SUM(K115:K116)</f>
        <v>0</v>
      </c>
      <c r="L114" s="534">
        <f t="shared" si="5"/>
        <v>0</v>
      </c>
      <c r="M114" s="132"/>
      <c r="N114" s="154"/>
      <c r="O114" s="155"/>
      <c r="P114" s="156"/>
    </row>
    <row r="115" spans="1:51" s="158" customFormat="1" ht="20.100000000000001" customHeight="1">
      <c r="A115" s="1"/>
      <c r="B115" s="970"/>
      <c r="C115" s="929" t="s">
        <v>76</v>
      </c>
      <c r="D115" s="930"/>
      <c r="E115" s="930"/>
      <c r="F115" s="931"/>
      <c r="G115" s="530">
        <v>14.700054789999999</v>
      </c>
      <c r="H115" s="530">
        <v>0</v>
      </c>
      <c r="I115" s="530">
        <v>0</v>
      </c>
      <c r="J115" s="530">
        <v>0</v>
      </c>
      <c r="K115" s="531">
        <f>((IFERROR(VLOOKUP(20714,#REF!,3,FALSE),0)))/1000000</f>
        <v>0</v>
      </c>
      <c r="L115" s="530">
        <f t="shared" si="5"/>
        <v>0</v>
      </c>
      <c r="M115" s="132"/>
      <c r="N115" s="154"/>
      <c r="O115" s="155"/>
      <c r="P115" s="156"/>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19"/>
      <c r="AU115" s="19"/>
      <c r="AV115" s="19"/>
      <c r="AW115" s="19"/>
      <c r="AX115" s="19"/>
      <c r="AY115" s="19"/>
    </row>
    <row r="116" spans="1:51" s="158" customFormat="1" ht="20.100000000000001" customHeight="1">
      <c r="A116" s="157"/>
      <c r="B116" s="971"/>
      <c r="C116" s="929" t="s">
        <v>77</v>
      </c>
      <c r="D116" s="930"/>
      <c r="E116" s="930"/>
      <c r="F116" s="931"/>
      <c r="G116" s="530">
        <v>0</v>
      </c>
      <c r="H116" s="530">
        <v>0</v>
      </c>
      <c r="I116" s="530">
        <v>0</v>
      </c>
      <c r="J116" s="530">
        <v>0</v>
      </c>
      <c r="K116" s="531">
        <f>((IFERROR(VLOOKUP(20712,#REF!,3,FALSE),0)))/1000000</f>
        <v>0</v>
      </c>
      <c r="L116" s="530">
        <f t="shared" si="5"/>
        <v>0</v>
      </c>
      <c r="M116" s="132"/>
      <c r="N116" s="154"/>
      <c r="O116" s="155"/>
      <c r="P116" s="156"/>
      <c r="Q116" s="19"/>
    </row>
    <row r="117" spans="1:51" s="158" customFormat="1" ht="20.100000000000001" customHeight="1">
      <c r="A117" s="157"/>
      <c r="B117" s="953" t="s">
        <v>78</v>
      </c>
      <c r="C117" s="954"/>
      <c r="D117" s="954"/>
      <c r="E117" s="954"/>
      <c r="F117" s="955"/>
      <c r="G117" s="532">
        <v>0</v>
      </c>
      <c r="H117" s="532">
        <v>0</v>
      </c>
      <c r="I117" s="532">
        <v>0</v>
      </c>
      <c r="J117" s="532">
        <v>0</v>
      </c>
      <c r="K117" s="533">
        <f>((IFERROR(VLOOKUP(11321,#REF!,3,FALSE),0)))/1000000</f>
        <v>0</v>
      </c>
      <c r="L117" s="532">
        <f t="shared" si="5"/>
        <v>0</v>
      </c>
      <c r="M117" s="132"/>
      <c r="N117" s="154"/>
      <c r="O117" s="155"/>
      <c r="P117" s="156"/>
      <c r="Q117" s="19"/>
    </row>
    <row r="118" spans="1:51" s="158" customFormat="1" ht="20.100000000000001" customHeight="1">
      <c r="A118" s="157"/>
      <c r="B118" s="953" t="s">
        <v>72</v>
      </c>
      <c r="C118" s="954"/>
      <c r="D118" s="954"/>
      <c r="E118" s="954"/>
      <c r="F118" s="955"/>
      <c r="G118" s="532">
        <v>0</v>
      </c>
      <c r="H118" s="532">
        <v>7.5196583499999994</v>
      </c>
      <c r="I118" s="532">
        <v>0</v>
      </c>
      <c r="J118" s="532">
        <v>0</v>
      </c>
      <c r="K118" s="533">
        <f>((IFERROR(VLOOKUP(11311,#REF!,3,FALSE),0))+(IFERROR(VLOOKUP(11312,#REF!,3,FALSE),0)))/1000000</f>
        <v>0</v>
      </c>
      <c r="L118" s="532">
        <f t="shared" si="5"/>
        <v>0</v>
      </c>
      <c r="M118" s="132"/>
      <c r="N118" s="154"/>
      <c r="O118" s="155"/>
      <c r="P118" s="159"/>
    </row>
    <row r="119" spans="1:51" s="19" customFormat="1" ht="20.100000000000001" customHeight="1">
      <c r="A119" s="157"/>
      <c r="B119" s="953" t="s">
        <v>79</v>
      </c>
      <c r="C119" s="954"/>
      <c r="D119" s="954"/>
      <c r="E119" s="954"/>
      <c r="F119" s="955"/>
      <c r="G119" s="532">
        <v>77.831174579999995</v>
      </c>
      <c r="H119" s="532">
        <v>78.821174569999997</v>
      </c>
      <c r="I119" s="532">
        <v>78.821174580000005</v>
      </c>
      <c r="J119" s="532">
        <v>78.461174580000005</v>
      </c>
      <c r="K119" s="533">
        <f>((IFERROR(VLOOKUP(11301,#REF!,3,FALSE),0)))/1000000</f>
        <v>0</v>
      </c>
      <c r="L119" s="532">
        <f t="shared" si="5"/>
        <v>-78.461174580000005</v>
      </c>
      <c r="M119" s="132"/>
      <c r="N119" s="154"/>
      <c r="O119" s="155"/>
      <c r="P119" s="158" t="s">
        <v>80</v>
      </c>
      <c r="Q119" s="160"/>
      <c r="R119" s="160"/>
      <c r="S119" s="158">
        <f>R119-Q119</f>
        <v>0</v>
      </c>
      <c r="T119" s="158"/>
      <c r="U119" s="158"/>
      <c r="V119" s="158"/>
      <c r="W119" s="158"/>
      <c r="X119" s="158"/>
      <c r="Y119" s="158"/>
      <c r="Z119" s="158"/>
      <c r="AA119" s="158"/>
      <c r="AB119" s="158"/>
      <c r="AC119" s="158"/>
      <c r="AD119" s="158"/>
      <c r="AE119" s="158"/>
      <c r="AF119" s="158"/>
      <c r="AG119" s="158"/>
      <c r="AH119" s="158"/>
      <c r="AI119" s="158"/>
      <c r="AJ119" s="158"/>
      <c r="AK119" s="158"/>
      <c r="AL119" s="158"/>
      <c r="AM119" s="158"/>
      <c r="AN119" s="158"/>
      <c r="AO119" s="158"/>
      <c r="AP119" s="158"/>
      <c r="AQ119" s="158"/>
      <c r="AR119" s="158"/>
      <c r="AS119" s="158"/>
      <c r="AT119" s="158"/>
      <c r="AU119" s="158"/>
      <c r="AV119" s="158"/>
      <c r="AW119" s="158"/>
      <c r="AX119" s="158"/>
      <c r="AY119" s="158"/>
    </row>
    <row r="120" spans="1:51" s="19" customFormat="1" ht="20.100000000000001" customHeight="1">
      <c r="A120" s="1"/>
      <c r="B120" s="956" t="s">
        <v>81</v>
      </c>
      <c r="C120" s="957"/>
      <c r="D120" s="957"/>
      <c r="E120" s="957"/>
      <c r="F120" s="958"/>
      <c r="G120" s="536">
        <v>20.90864406999998</v>
      </c>
      <c r="H120" s="536">
        <v>25.432259259999995</v>
      </c>
      <c r="I120" s="536">
        <v>22.379502749999986</v>
      </c>
      <c r="J120" s="536">
        <v>22.670931259999975</v>
      </c>
      <c r="K120" s="537">
        <f>K111-K112-K113-K114-K117-K118-K119</f>
        <v>0</v>
      </c>
      <c r="L120" s="538">
        <f t="shared" si="5"/>
        <v>-22.670931259999975</v>
      </c>
      <c r="M120" s="139"/>
      <c r="N120" s="154"/>
      <c r="O120" s="155"/>
    </row>
    <row r="121" spans="1:51" s="19" customFormat="1" ht="27" customHeight="1">
      <c r="A121" s="1"/>
      <c r="B121" s="105"/>
      <c r="C121" s="105"/>
      <c r="D121" s="105"/>
      <c r="E121" s="105"/>
      <c r="F121" s="105"/>
      <c r="G121" s="161"/>
      <c r="H121" s="161"/>
      <c r="I121" s="161"/>
      <c r="J121" s="161"/>
      <c r="K121" s="162"/>
      <c r="L121" s="163"/>
      <c r="M121" s="142"/>
      <c r="N121" s="154"/>
      <c r="O121" s="155"/>
    </row>
    <row r="122" spans="1:51" s="19" customFormat="1" ht="20.100000000000001" customHeight="1">
      <c r="A122" s="1"/>
      <c r="B122" s="145" t="s">
        <v>82</v>
      </c>
      <c r="C122" s="551"/>
      <c r="D122" s="551"/>
      <c r="E122" s="551"/>
      <c r="F122" s="551"/>
      <c r="G122" s="551"/>
      <c r="H122" s="551"/>
      <c r="I122" s="144"/>
      <c r="J122" s="144"/>
      <c r="K122" s="144"/>
      <c r="L122" s="144"/>
      <c r="M122" s="146"/>
      <c r="N122" s="154"/>
      <c r="O122" s="155"/>
    </row>
    <row r="123" spans="1:51" s="19" customFormat="1" ht="20.100000000000001" customHeight="1" thickBot="1">
      <c r="A123" s="1"/>
      <c r="B123" s="960" t="s">
        <v>52</v>
      </c>
      <c r="C123" s="962"/>
      <c r="D123" s="962"/>
      <c r="E123" s="962"/>
      <c r="F123" s="962"/>
      <c r="G123" s="762" t="str">
        <f>G110</f>
        <v>2025년(기평)</v>
      </c>
      <c r="H123" s="762">
        <v>46081</v>
      </c>
      <c r="I123" s="763">
        <v>46080</v>
      </c>
      <c r="J123" s="167">
        <v>46108</v>
      </c>
      <c r="K123" s="164">
        <f>K100</f>
        <v>46111</v>
      </c>
      <c r="L123" s="165" t="s">
        <v>67</v>
      </c>
      <c r="M123" s="166" t="s">
        <v>13</v>
      </c>
      <c r="N123" s="154"/>
      <c r="O123" s="155"/>
    </row>
    <row r="124" spans="1:51" s="19" customFormat="1" ht="20.100000000000001" customHeight="1" thickTop="1" thickBot="1">
      <c r="A124" s="1"/>
      <c r="B124" s="963" t="s">
        <v>68</v>
      </c>
      <c r="C124" s="964"/>
      <c r="D124" s="964"/>
      <c r="E124" s="964"/>
      <c r="F124" s="965"/>
      <c r="G124" s="525">
        <v>231.35164741999998</v>
      </c>
      <c r="H124" s="525">
        <v>278.07179744999996</v>
      </c>
      <c r="I124" s="539">
        <v>269.33668379</v>
      </c>
      <c r="J124" s="539">
        <v>266.74839617999999</v>
      </c>
      <c r="K124" s="526">
        <f>((IFERROR(VLOOKUP(19999,#REF!,3,FALSE),0)))/1000000</f>
        <v>0</v>
      </c>
      <c r="L124" s="540">
        <f t="shared" ref="L124:L132" si="6">K124-J124</f>
        <v>-266.74839617999999</v>
      </c>
      <c r="M124" s="147"/>
      <c r="N124" s="154"/>
      <c r="O124" s="155"/>
    </row>
    <row r="125" spans="1:51" s="19" customFormat="1" ht="20.100000000000001" customHeight="1" thickTop="1">
      <c r="A125" s="1"/>
      <c r="B125" s="972" t="s">
        <v>54</v>
      </c>
      <c r="C125" s="148"/>
      <c r="D125" s="148"/>
      <c r="E125" s="148"/>
      <c r="F125" s="149"/>
      <c r="G125" s="527">
        <v>2.53003139</v>
      </c>
      <c r="H125" s="527">
        <v>2.6407052700000002</v>
      </c>
      <c r="I125" s="527">
        <v>1.8634796900000001</v>
      </c>
      <c r="J125" s="527">
        <v>2.0090388099999998</v>
      </c>
      <c r="K125" s="528">
        <f>SUM(K126:K127)</f>
        <v>0</v>
      </c>
      <c r="L125" s="529">
        <f t="shared" si="6"/>
        <v>-2.0090388099999998</v>
      </c>
      <c r="M125" s="126"/>
      <c r="N125" s="154"/>
      <c r="O125" s="155"/>
    </row>
    <row r="126" spans="1:51" s="19" customFormat="1" ht="20.100000000000001" customHeight="1">
      <c r="A126" s="1"/>
      <c r="B126" s="972"/>
      <c r="C126" s="929" t="s">
        <v>69</v>
      </c>
      <c r="D126" s="930"/>
      <c r="E126" s="930"/>
      <c r="F126" s="931"/>
      <c r="G126" s="530">
        <v>1.40054503</v>
      </c>
      <c r="H126" s="530">
        <v>0.96954671999999997</v>
      </c>
      <c r="I126" s="530">
        <v>0.57965027000000002</v>
      </c>
      <c r="J126" s="530">
        <v>0.46409009999999995</v>
      </c>
      <c r="K126" s="531">
        <f>((IFERROR(VLOOKUP(10503,#REF!,3,FALSE),0)))/1000000</f>
        <v>0</v>
      </c>
      <c r="L126" s="530">
        <f t="shared" si="6"/>
        <v>-0.46409009999999995</v>
      </c>
      <c r="M126" s="132"/>
      <c r="N126" s="154"/>
      <c r="O126" s="155"/>
    </row>
    <row r="127" spans="1:51" s="19" customFormat="1" ht="20.100000000000001" customHeight="1">
      <c r="A127" s="1"/>
      <c r="B127" s="972"/>
      <c r="C127" s="929" t="s">
        <v>70</v>
      </c>
      <c r="D127" s="930"/>
      <c r="E127" s="930"/>
      <c r="F127" s="931"/>
      <c r="G127" s="530">
        <v>1.12948636</v>
      </c>
      <c r="H127" s="530">
        <v>1.6711585500000001</v>
      </c>
      <c r="I127" s="530">
        <v>1.28382942</v>
      </c>
      <c r="J127" s="530">
        <v>1.5449487099999999</v>
      </c>
      <c r="K127" s="531">
        <f>((IFERROR(VLOOKUP(10504,#REF!,3,FALSE),0))+(IFERROR(VLOOKUP(10512,#REF!,3,FALSE),0)))/1000000</f>
        <v>0</v>
      </c>
      <c r="L127" s="530">
        <f t="shared" si="6"/>
        <v>-1.5449487099999999</v>
      </c>
      <c r="M127" s="132"/>
      <c r="N127" s="154"/>
      <c r="O127" s="155"/>
    </row>
    <row r="128" spans="1:51" s="19" customFormat="1" ht="20.100000000000001" customHeight="1">
      <c r="A128" s="1"/>
      <c r="B128" s="953" t="s">
        <v>60</v>
      </c>
      <c r="C128" s="954"/>
      <c r="D128" s="954"/>
      <c r="E128" s="954"/>
      <c r="F128" s="955"/>
      <c r="G128" s="532">
        <v>145.47980819999998</v>
      </c>
      <c r="H128" s="532">
        <v>181.34642857</v>
      </c>
      <c r="I128" s="532">
        <v>171.54</v>
      </c>
      <c r="J128" s="532">
        <v>170.54</v>
      </c>
      <c r="K128" s="533">
        <f>((IFERROR(VLOOKUP(10401,#REF!,3,FALSE),0))+(IFERROR(VLOOKUP(10402,#REF!,3,FALSE),0)))/1000000</f>
        <v>0</v>
      </c>
      <c r="L128" s="534">
        <f t="shared" si="6"/>
        <v>-170.54</v>
      </c>
      <c r="M128" s="132"/>
      <c r="N128" s="154"/>
      <c r="O128" s="155"/>
    </row>
    <row r="129" spans="1:15" s="19" customFormat="1" ht="20.100000000000001" customHeight="1">
      <c r="A129" s="1"/>
      <c r="B129" s="151" t="s">
        <v>71</v>
      </c>
      <c r="C129" s="732"/>
      <c r="D129" s="732"/>
      <c r="E129" s="732"/>
      <c r="F129" s="733"/>
      <c r="G129" s="532">
        <v>0</v>
      </c>
      <c r="H129" s="532">
        <v>0</v>
      </c>
      <c r="I129" s="535">
        <v>0</v>
      </c>
      <c r="J129" s="535">
        <v>0</v>
      </c>
      <c r="K129" s="533">
        <f>((IFERROR(VLOOKUP(10895,#REF!,3,FALSE),0)))/1000000</f>
        <v>0</v>
      </c>
      <c r="L129" s="534">
        <f t="shared" si="6"/>
        <v>0</v>
      </c>
      <c r="M129" s="132"/>
      <c r="N129" s="154"/>
      <c r="O129" s="155"/>
    </row>
    <row r="130" spans="1:15" s="19" customFormat="1" ht="20.100000000000001" customHeight="1">
      <c r="A130" s="1"/>
      <c r="B130" s="736" t="s">
        <v>55</v>
      </c>
      <c r="C130" s="711"/>
      <c r="D130" s="711"/>
      <c r="E130" s="711"/>
      <c r="F130" s="712"/>
      <c r="G130" s="532">
        <v>80.599156559999997</v>
      </c>
      <c r="H130" s="532">
        <v>91.974941310000006</v>
      </c>
      <c r="I130" s="535">
        <v>92.711669409999999</v>
      </c>
      <c r="J130" s="535">
        <v>92.631971570000005</v>
      </c>
      <c r="K130" s="533">
        <f>((IFERROR(VLOOKUP(10111,#REF!,3,FALSE),0))+(IFERROR(VLOOKUP(10112,#REF!,3,FALSE),0))+(IFERROR(VLOOKUP(10113,#REF!,3,FALSE),0))+(IFERROR(VLOOKUP(10114,#REF!,3,FALSE),0))+(IFERROR(VLOOKUP(10115,#REF!,3,FALSE),0))+(IFERROR(VLOOKUP(10116,#REF!,3,FALSE),0))+(IFERROR(VLOOKUP(10117,#REF!,3,FALSE),0))+(IFERROR(VLOOKUP(10118,#REF!,3,FALSE),0))+(IFERROR(VLOOKUP(10119,#REF!,3,FALSE),0))+(IFERROR(VLOOKUP(10120,#REF!,3,FALSE),0))+(IFERROR(VLOOKUP(10121,#REF!,3,FALSE),0))+(IFERROR(VLOOKUP(10122,#REF!,3,FALSE),0))+(IFERROR(VLOOKUP(10123,#REF!,3,FALSE),0))+(IFERROR(VLOOKUP(10124,#REF!,3,FALSE),0))+(IFERROR(VLOOKUP(10125,#REF!,3,FALSE),0))+(IFERROR(VLOOKUP(10126,#REF!,3,FALSE),0)))/1000000</f>
        <v>0</v>
      </c>
      <c r="L130" s="532">
        <f t="shared" si="6"/>
        <v>-92.631971570000005</v>
      </c>
      <c r="M130" s="132"/>
      <c r="N130" s="154"/>
      <c r="O130" s="155"/>
    </row>
    <row r="131" spans="1:15" s="19" customFormat="1" ht="20.100000000000001" customHeight="1">
      <c r="A131" s="1"/>
      <c r="B131" s="953" t="s">
        <v>72</v>
      </c>
      <c r="C131" s="954"/>
      <c r="D131" s="954"/>
      <c r="E131" s="954"/>
      <c r="F131" s="955"/>
      <c r="G131" s="532">
        <v>5.9395969999999999E-2</v>
      </c>
      <c r="H131" s="532">
        <v>0</v>
      </c>
      <c r="I131" s="532">
        <v>0</v>
      </c>
      <c r="J131" s="532">
        <v>0</v>
      </c>
      <c r="K131" s="533">
        <f>((IFERROR(VLOOKUP(11311,#REF!,3,FALSE),0))+(IFERROR(VLOOKUP(11312,#REF!,3,FALSE),0)))/1000000</f>
        <v>0</v>
      </c>
      <c r="L131" s="532">
        <f t="shared" si="6"/>
        <v>0</v>
      </c>
      <c r="M131" s="132"/>
      <c r="N131" s="154"/>
      <c r="O131" s="155"/>
    </row>
    <row r="132" spans="1:15" s="19" customFormat="1" ht="20.100000000000001" customHeight="1">
      <c r="A132" s="1"/>
      <c r="B132" s="956" t="s">
        <v>73</v>
      </c>
      <c r="C132" s="957"/>
      <c r="D132" s="957"/>
      <c r="E132" s="957"/>
      <c r="F132" s="958"/>
      <c r="G132" s="536">
        <v>2.6832552999999959</v>
      </c>
      <c r="H132" s="536">
        <v>2.1097222999999445</v>
      </c>
      <c r="I132" s="536">
        <v>3.2215346899999844</v>
      </c>
      <c r="J132" s="536">
        <v>1.5673857999999967</v>
      </c>
      <c r="K132" s="537">
        <f>K124-K125-K128-K129-K130-K131</f>
        <v>0</v>
      </c>
      <c r="L132" s="536">
        <f t="shared" si="6"/>
        <v>-1.5673857999999967</v>
      </c>
      <c r="M132" s="139"/>
      <c r="N132" s="154"/>
      <c r="O132" s="155"/>
    </row>
    <row r="133" spans="1:15" s="19" customFormat="1" ht="20.100000000000001" customHeight="1" thickBot="1">
      <c r="A133" s="1"/>
      <c r="B133" s="960" t="s">
        <v>62</v>
      </c>
      <c r="C133" s="961"/>
      <c r="D133" s="961"/>
      <c r="E133" s="961"/>
      <c r="F133" s="962"/>
      <c r="G133" s="762" t="str">
        <f>G123</f>
        <v>2025년(기평)</v>
      </c>
      <c r="H133" s="762">
        <v>46081</v>
      </c>
      <c r="I133" s="763">
        <v>46080</v>
      </c>
      <c r="J133" s="167">
        <v>46108</v>
      </c>
      <c r="K133" s="168">
        <f>K123</f>
        <v>46111</v>
      </c>
      <c r="L133" s="165" t="s">
        <v>12</v>
      </c>
      <c r="M133" s="166" t="s">
        <v>13</v>
      </c>
      <c r="N133" s="154"/>
      <c r="O133" s="155"/>
    </row>
    <row r="134" spans="1:15" s="19" customFormat="1" ht="20.100000000000001" customHeight="1" thickTop="1" thickBot="1">
      <c r="A134" s="1"/>
      <c r="B134" s="963" t="s">
        <v>68</v>
      </c>
      <c r="C134" s="964"/>
      <c r="D134" s="964"/>
      <c r="E134" s="964"/>
      <c r="F134" s="965"/>
      <c r="G134" s="525">
        <v>231.35164741999998</v>
      </c>
      <c r="H134" s="525">
        <v>278.07179744999996</v>
      </c>
      <c r="I134" s="539">
        <v>269.33668379</v>
      </c>
      <c r="J134" s="539">
        <v>266.74839617999999</v>
      </c>
      <c r="K134" s="526">
        <f>K124</f>
        <v>0</v>
      </c>
      <c r="L134" s="525">
        <f t="shared" ref="L134:L143" si="7">K134-J134</f>
        <v>-266.74839617999999</v>
      </c>
      <c r="M134" s="147"/>
      <c r="N134" s="154"/>
      <c r="O134" s="155"/>
    </row>
    <row r="135" spans="1:15" s="19" customFormat="1" ht="20.100000000000001" customHeight="1" thickTop="1">
      <c r="A135" s="1"/>
      <c r="B135" s="966" t="s">
        <v>74</v>
      </c>
      <c r="C135" s="967"/>
      <c r="D135" s="967"/>
      <c r="E135" s="967"/>
      <c r="F135" s="968"/>
      <c r="G135" s="527">
        <v>11.769350100000002</v>
      </c>
      <c r="H135" s="527">
        <v>7.1409273999999998</v>
      </c>
      <c r="I135" s="527">
        <v>7.34376228</v>
      </c>
      <c r="J135" s="527">
        <v>5.9304993699999997</v>
      </c>
      <c r="K135" s="528">
        <f>((IFERROR(VLOOKUP(20101,#REF!,3,FALSE),0))+(IFERROR(VLOOKUP(20102,#REF!,3,FALSE),0))+(IFERROR(VLOOKUP(20111,#REF!,3,FALSE),0))+(IFERROR(VLOOKUP(20112,#REF!,3,FALSE),0))+(IFERROR(VLOOKUP(20121,#REF!,3,FALSE),0))+(IFERROR(VLOOKUP(20131,#REF!,3,FALSE),0))+(IFERROR(VLOOKUP(20211,#REF!,3,FALSE),0))+(IFERROR(VLOOKUP(20212,#REF!,3,FALSE),0))+(IFERROR(VLOOKUP(20221,#REF!,3,FALSE),0))+(IFERROR(VLOOKUP(20231,#REF!,3,FALSE),0))+(IFERROR(VLOOKUP(20241,#REF!,3,FALSE),0))+(IFERROR(VLOOKUP(20242,#REF!,3,FALSE),0))+(IFERROR(VLOOKUP(20243,#REF!,3,FALSE),0))+(IFERROR(VLOOKUP(20244,#REF!,3,FALSE),0))+(IFERROR(VLOOKUP(20501,#REF!,3,FALSE),0))+(IFERROR(VLOOKUP(20301,#REF!,3,FALSE),0))+(IFERROR(VLOOKUP(20302,#REF!,3,FALSE),0))+(IFERROR(VLOOKUP(20311,#REF!,3,FALSE),0))+(IFERROR(VLOOKUP(20312,#REF!,3,FALSE),0))+(IFERROR(VLOOKUP(20321,#REF!,3,FALSE),0))+(IFERROR(VLOOKUP(20331,#REF!,3,FALSE),0))+(IFERROR(VLOOKUP(20401,#REF!,3,FALSE),0))+(IFERROR(VLOOKUP(20402,#REF!,3,FALSE),0))+(IFERROR(VLOOKUP(20411,#REF!,3,FALSE),0))+(IFERROR(VLOOKUP(20412,#REF!,3,FALSE),0))+(IFERROR(VLOOKUP(20421,#REF!,3,FALSE),0))+(IFERROR(VLOOKUP(20431,#REF!,3,FALSE),0))+(IFERROR(VLOOKUP(20441,#REF!,3,FALSE),0))+(IFERROR(VLOOKUP(20451,#REF!,3,FALSE),0))+(IFERROR(VLOOKUP(20452,#REF!,3,FALSE),0))+(IFERROR(VLOOKUP(20453,#REF!,3,FALSE),0))+(IFERROR(VLOOKUP(20454,#REF!,3,FALSE),0))+(IFERROR(VLOOKUP(20511,#REF!,3,FALSE),0))+(IFERROR(VLOOKUP(20512,#REF!,3,FALSE),0))+(IFERROR(VLOOKUP(20513,#REF!,3,FALSE),0))+(IFERROR(VLOOKUP(20514,#REF!,3,FALSE),0))+(IFERROR(VLOOKUP(20515,#REF!,3,FALSE),0)))/1000000</f>
        <v>0</v>
      </c>
      <c r="L135" s="529">
        <f t="shared" si="7"/>
        <v>-5.9304993699999997</v>
      </c>
      <c r="M135" s="126"/>
      <c r="N135" s="154"/>
      <c r="O135" s="155"/>
    </row>
    <row r="136" spans="1:15" s="19" customFormat="1" ht="20.100000000000001" customHeight="1">
      <c r="A136" s="1"/>
      <c r="B136" s="953" t="s">
        <v>75</v>
      </c>
      <c r="C136" s="954"/>
      <c r="D136" s="954"/>
      <c r="E136" s="954"/>
      <c r="F136" s="955"/>
      <c r="G136" s="532">
        <v>181.73312328</v>
      </c>
      <c r="H136" s="532">
        <v>232.71142856999998</v>
      </c>
      <c r="I136" s="532">
        <v>224.04</v>
      </c>
      <c r="J136" s="532">
        <v>223.04</v>
      </c>
      <c r="K136" s="533">
        <f>(((IFERROR(VLOOKUP(20801,#REF!,3,FALSE),0))+(IFERROR(VLOOKUP(20802,#REF!,3,FALSE),0))))/1000000</f>
        <v>0</v>
      </c>
      <c r="L136" s="534">
        <f t="shared" si="7"/>
        <v>-223.04</v>
      </c>
      <c r="M136" s="132"/>
      <c r="N136" s="154"/>
      <c r="O136" s="155"/>
    </row>
    <row r="137" spans="1:15" s="19" customFormat="1" ht="20.100000000000001" customHeight="1">
      <c r="A137" s="1"/>
      <c r="B137" s="969" t="s">
        <v>64</v>
      </c>
      <c r="C137" s="711"/>
      <c r="D137" s="711"/>
      <c r="E137" s="711"/>
      <c r="F137" s="712"/>
      <c r="G137" s="532">
        <v>0</v>
      </c>
      <c r="H137" s="532">
        <v>0</v>
      </c>
      <c r="I137" s="532">
        <v>0</v>
      </c>
      <c r="J137" s="532">
        <v>0</v>
      </c>
      <c r="K137" s="533">
        <f>SUM(K138:K139)</f>
        <v>0</v>
      </c>
      <c r="L137" s="534">
        <f t="shared" si="7"/>
        <v>0</v>
      </c>
      <c r="M137" s="132"/>
      <c r="N137" s="154"/>
      <c r="O137" s="155"/>
    </row>
    <row r="138" spans="1:15" s="19" customFormat="1" ht="20.100000000000001" customHeight="1">
      <c r="A138" s="1"/>
      <c r="B138" s="970"/>
      <c r="C138" s="929" t="s">
        <v>76</v>
      </c>
      <c r="D138" s="930"/>
      <c r="E138" s="930"/>
      <c r="F138" s="931"/>
      <c r="G138" s="530">
        <v>0</v>
      </c>
      <c r="H138" s="530">
        <v>0</v>
      </c>
      <c r="I138" s="530">
        <v>0</v>
      </c>
      <c r="J138" s="530">
        <v>0</v>
      </c>
      <c r="K138" s="531">
        <f>((IFERROR(VLOOKUP(20714,#REF!,3,FALSE),0)))/1000000</f>
        <v>0</v>
      </c>
      <c r="L138" s="530">
        <f t="shared" si="7"/>
        <v>0</v>
      </c>
      <c r="M138" s="132"/>
      <c r="N138" s="154"/>
      <c r="O138" s="155"/>
    </row>
    <row r="139" spans="1:15" s="19" customFormat="1" ht="20.100000000000001" customHeight="1">
      <c r="A139" s="1"/>
      <c r="B139" s="971"/>
      <c r="C139" s="929" t="s">
        <v>77</v>
      </c>
      <c r="D139" s="930"/>
      <c r="E139" s="930"/>
      <c r="F139" s="931"/>
      <c r="G139" s="530">
        <v>0</v>
      </c>
      <c r="H139" s="530">
        <v>0</v>
      </c>
      <c r="I139" s="530">
        <v>0</v>
      </c>
      <c r="J139" s="530">
        <v>0</v>
      </c>
      <c r="K139" s="531">
        <f>((IFERROR(VLOOKUP(20712,#REF!,3,FALSE),0)))/1000000</f>
        <v>0</v>
      </c>
      <c r="L139" s="530">
        <f t="shared" si="7"/>
        <v>0</v>
      </c>
      <c r="M139" s="132"/>
      <c r="N139" s="154"/>
      <c r="O139" s="155"/>
    </row>
    <row r="140" spans="1:15" s="19" customFormat="1" ht="20.100000000000001" customHeight="1">
      <c r="A140" s="1"/>
      <c r="B140" s="953" t="s">
        <v>78</v>
      </c>
      <c r="C140" s="954"/>
      <c r="D140" s="954"/>
      <c r="E140" s="954"/>
      <c r="F140" s="955"/>
      <c r="G140" s="532">
        <v>0</v>
      </c>
      <c r="H140" s="532">
        <v>0</v>
      </c>
      <c r="I140" s="532">
        <v>0</v>
      </c>
      <c r="J140" s="532">
        <v>0</v>
      </c>
      <c r="K140" s="533">
        <f>((IFERROR(VLOOKUP(11321,#REF!,3,FALSE),0)))/1000000</f>
        <v>0</v>
      </c>
      <c r="L140" s="532">
        <f t="shared" si="7"/>
        <v>0</v>
      </c>
      <c r="M140" s="132"/>
      <c r="N140" s="154"/>
      <c r="O140" s="155"/>
    </row>
    <row r="141" spans="1:15" s="19" customFormat="1" ht="20.100000000000001" customHeight="1">
      <c r="A141" s="1"/>
      <c r="B141" s="953" t="s">
        <v>72</v>
      </c>
      <c r="C141" s="954"/>
      <c r="D141" s="954"/>
      <c r="E141" s="954"/>
      <c r="F141" s="955"/>
      <c r="G141" s="532">
        <v>0</v>
      </c>
      <c r="H141" s="532">
        <v>0</v>
      </c>
      <c r="I141" s="532">
        <v>0</v>
      </c>
      <c r="J141" s="532">
        <v>0</v>
      </c>
      <c r="K141" s="533">
        <f>((IFERROR(VLOOKUP(11311,#REF!,3,FALSE),0))+(IFERROR(VLOOKUP(11312,#REF!,3,FALSE),0)))/1000000</f>
        <v>0</v>
      </c>
      <c r="L141" s="532">
        <f t="shared" si="7"/>
        <v>0</v>
      </c>
      <c r="M141" s="132"/>
      <c r="N141" s="154"/>
      <c r="O141" s="155"/>
    </row>
    <row r="142" spans="1:15" s="19" customFormat="1" ht="20.100000000000001" customHeight="1">
      <c r="A142" s="1"/>
      <c r="B142" s="953" t="s">
        <v>79</v>
      </c>
      <c r="C142" s="954"/>
      <c r="D142" s="954"/>
      <c r="E142" s="954"/>
      <c r="F142" s="955"/>
      <c r="G142" s="532">
        <v>35</v>
      </c>
      <c r="H142" s="532">
        <v>35</v>
      </c>
      <c r="I142" s="532">
        <v>35</v>
      </c>
      <c r="J142" s="532">
        <v>35</v>
      </c>
      <c r="K142" s="533">
        <f>((IFERROR(VLOOKUP(11301,#REF!,3,FALSE),0)))/1000000</f>
        <v>0</v>
      </c>
      <c r="L142" s="532">
        <f t="shared" si="7"/>
        <v>-35</v>
      </c>
      <c r="M142" s="132"/>
      <c r="N142" s="154"/>
      <c r="O142" s="155"/>
    </row>
    <row r="143" spans="1:15" s="19" customFormat="1" ht="20.100000000000001" customHeight="1">
      <c r="A143" s="1"/>
      <c r="B143" s="956" t="s">
        <v>81</v>
      </c>
      <c r="C143" s="957"/>
      <c r="D143" s="957"/>
      <c r="E143" s="957"/>
      <c r="F143" s="958"/>
      <c r="G143" s="536">
        <v>2.8491740399999799</v>
      </c>
      <c r="H143" s="536">
        <v>3.219441479999972</v>
      </c>
      <c r="I143" s="536">
        <v>2.9529215099999817</v>
      </c>
      <c r="J143" s="536">
        <v>2.7778968099999872</v>
      </c>
      <c r="K143" s="537">
        <f>K134-K135-K136-K137-K140-K141-K142</f>
        <v>0</v>
      </c>
      <c r="L143" s="538">
        <f t="shared" si="7"/>
        <v>-2.7778968099999872</v>
      </c>
      <c r="M143" s="139"/>
      <c r="N143" s="154"/>
      <c r="O143" s="155"/>
    </row>
    <row r="144" spans="1:15" s="19" customFormat="1" ht="27" customHeight="1">
      <c r="A144" s="1"/>
      <c r="B144" s="105"/>
      <c r="C144" s="105"/>
      <c r="D144" s="105"/>
      <c r="E144" s="105"/>
      <c r="F144" s="105"/>
      <c r="G144" s="161"/>
      <c r="H144" s="161"/>
      <c r="I144" s="161"/>
      <c r="J144" s="161"/>
      <c r="K144" s="162"/>
      <c r="L144" s="163" t="s">
        <v>50</v>
      </c>
      <c r="M144" s="142"/>
      <c r="N144" s="41"/>
      <c r="O144" s="3"/>
    </row>
    <row r="145" spans="1:36" s="19" customFormat="1" ht="27" customHeight="1">
      <c r="A145" s="1"/>
      <c r="B145" s="959" t="s">
        <v>363</v>
      </c>
      <c r="C145" s="959"/>
      <c r="D145" s="959"/>
      <c r="E145" s="959"/>
      <c r="F145" s="959"/>
      <c r="G145" s="959"/>
      <c r="H145" s="959"/>
      <c r="I145" s="959"/>
      <c r="J145" s="142"/>
      <c r="K145" s="142"/>
      <c r="L145" s="143"/>
      <c r="M145" s="169"/>
      <c r="N145" s="41"/>
      <c r="O145" s="3"/>
    </row>
    <row r="146" spans="1:36" ht="20.100000000000001" customHeight="1">
      <c r="A146" s="1"/>
      <c r="B146" s="862" t="s">
        <v>84</v>
      </c>
      <c r="C146" s="862"/>
      <c r="D146" s="862"/>
      <c r="E146" s="171"/>
      <c r="F146" s="171"/>
      <c r="G146" s="10"/>
      <c r="H146" s="172"/>
      <c r="I146" s="173"/>
      <c r="J146" s="111"/>
      <c r="K146" s="111"/>
      <c r="L146" s="10"/>
      <c r="M146" s="174" t="s">
        <v>85</v>
      </c>
      <c r="N146" s="175"/>
      <c r="O146" s="150"/>
    </row>
    <row r="147" spans="1:36" ht="20.100000000000001" customHeight="1">
      <c r="A147" s="1"/>
      <c r="B147" s="176" t="s">
        <v>86</v>
      </c>
      <c r="C147" s="859" t="s">
        <v>87</v>
      </c>
      <c r="D147" s="859"/>
      <c r="E147" s="859" t="s">
        <v>88</v>
      </c>
      <c r="F147" s="859"/>
      <c r="G147" s="713" t="s">
        <v>89</v>
      </c>
      <c r="H147" s="713" t="s">
        <v>90</v>
      </c>
      <c r="I147" s="713" t="s">
        <v>690</v>
      </c>
      <c r="J147" s="713" t="s">
        <v>142</v>
      </c>
      <c r="K147" s="713" t="s">
        <v>93</v>
      </c>
      <c r="L147" s="713" t="s">
        <v>94</v>
      </c>
      <c r="M147" s="713" t="s">
        <v>95</v>
      </c>
      <c r="N147" s="177" t="s">
        <v>96</v>
      </c>
      <c r="O147" s="178" t="e">
        <f>ROUND(K57-K105-K128,3)</f>
        <v>#REF!</v>
      </c>
      <c r="P147" s="184" t="e">
        <f>ROUND(O147,3)=ROUND(B148,3)</f>
        <v>#REF!</v>
      </c>
    </row>
    <row r="148" spans="1:36" ht="20.100000000000001" customHeight="1">
      <c r="A148" s="1"/>
      <c r="B148" s="868">
        <f>SUM(H148:H162)</f>
        <v>80.724000000000004</v>
      </c>
      <c r="C148" s="864">
        <f t="shared" ref="C148:C152" si="8">J148-I148</f>
        <v>28</v>
      </c>
      <c r="D148" s="865"/>
      <c r="E148" s="750" t="s">
        <v>121</v>
      </c>
      <c r="F148" s="751"/>
      <c r="G148" s="179" t="s">
        <v>608</v>
      </c>
      <c r="H148" s="188">
        <f>IF(G148="","",IF(LEFT(G148,3)="JPY",_xlfn.NUMBERVALUE(RIGHT(G148,5))*$P$3,G148))</f>
        <v>24.936</v>
      </c>
      <c r="I148" s="181">
        <v>46084</v>
      </c>
      <c r="J148" s="181">
        <v>46112</v>
      </c>
      <c r="K148" s="182">
        <v>5.7000000000000002E-3</v>
      </c>
      <c r="L148" s="560" t="s">
        <v>593</v>
      </c>
      <c r="M148" s="553"/>
      <c r="N148" s="63">
        <f>IF(J148="","",J148-$B$3)</f>
        <v>1</v>
      </c>
      <c r="O148" s="150"/>
      <c r="Z148" s="55"/>
      <c r="AA148" s="55"/>
    </row>
    <row r="149" spans="1:36" ht="20.100000000000001" customHeight="1">
      <c r="A149" s="1"/>
      <c r="B149" s="868"/>
      <c r="C149" s="864">
        <f t="shared" si="8"/>
        <v>28</v>
      </c>
      <c r="D149" s="865"/>
      <c r="E149" s="750" t="s">
        <v>121</v>
      </c>
      <c r="F149" s="751"/>
      <c r="G149" s="179" t="s">
        <v>612</v>
      </c>
      <c r="H149" s="188">
        <f>IF(G149="","",IF(LEFT(G149,3)="JPY",_xlfn.NUMBERVALUE(RIGHT(G149,5))*$P$3,G149))</f>
        <v>31.169999999999998</v>
      </c>
      <c r="I149" s="181">
        <v>46084</v>
      </c>
      <c r="J149" s="181">
        <v>46112</v>
      </c>
      <c r="K149" s="182">
        <v>5.5999999999999999E-3</v>
      </c>
      <c r="L149" s="560" t="s">
        <v>613</v>
      </c>
      <c r="M149" s="553"/>
      <c r="N149" s="63">
        <f>IF(J149="","",J149-$B$3)</f>
        <v>1</v>
      </c>
      <c r="O149" s="150"/>
      <c r="Z149" s="55"/>
      <c r="AA149" s="55"/>
      <c r="AB149" s="55"/>
      <c r="AI149" s="55"/>
      <c r="AJ149" s="56"/>
    </row>
    <row r="150" spans="1:36" ht="20.100000000000001" customHeight="1">
      <c r="A150" s="1"/>
      <c r="B150" s="868"/>
      <c r="C150" s="864">
        <f t="shared" si="8"/>
        <v>26</v>
      </c>
      <c r="D150" s="865"/>
      <c r="E150" s="750" t="s">
        <v>121</v>
      </c>
      <c r="F150" s="751"/>
      <c r="G150" s="179" t="s">
        <v>616</v>
      </c>
      <c r="H150" s="188">
        <f>IF(G150="","",IF(LEFT(G150,3)="JPY",_xlfn.NUMBERVALUE(RIGHT(G150,5))*$P$3,G150))</f>
        <v>6.234</v>
      </c>
      <c r="I150" s="181">
        <v>46086</v>
      </c>
      <c r="J150" s="181">
        <v>46112</v>
      </c>
      <c r="K150" s="182">
        <v>5.5999999999999999E-3</v>
      </c>
      <c r="L150" s="560" t="s">
        <v>593</v>
      </c>
      <c r="M150" s="553"/>
      <c r="N150" s="63">
        <f>IF(J150="","",J150-$B$3)</f>
        <v>1</v>
      </c>
      <c r="O150" s="150"/>
      <c r="Z150" s="55"/>
      <c r="AA150" s="55"/>
      <c r="AB150" s="55"/>
      <c r="AI150" s="55"/>
      <c r="AJ150" s="56"/>
    </row>
    <row r="151" spans="1:36" ht="20.100000000000001" customHeight="1">
      <c r="A151" s="1"/>
      <c r="B151" s="868"/>
      <c r="C151" s="864">
        <f t="shared" ref="C151" si="9">J151-I151</f>
        <v>33</v>
      </c>
      <c r="D151" s="865"/>
      <c r="E151" s="750" t="s">
        <v>617</v>
      </c>
      <c r="F151" s="751"/>
      <c r="G151" s="179" t="s">
        <v>573</v>
      </c>
      <c r="H151" s="188">
        <f>IF(G151="","",IF(LEFT(G151,3)="EUR",_xlfn.NUMBERVALUE(RIGHT(G151,4))*$P$5,G151))</f>
        <v>11.49</v>
      </c>
      <c r="I151" s="181">
        <v>46086</v>
      </c>
      <c r="J151" s="181">
        <v>46119</v>
      </c>
      <c r="K151" s="182">
        <v>0.02</v>
      </c>
      <c r="L151" s="560" t="s">
        <v>554</v>
      </c>
      <c r="M151" s="553"/>
      <c r="N151" s="63">
        <f>IF(J151="","",J151-$B$3)</f>
        <v>8</v>
      </c>
      <c r="O151" s="150"/>
      <c r="Z151" s="55"/>
      <c r="AA151" s="55"/>
      <c r="AB151" s="55"/>
      <c r="AI151" s="55"/>
      <c r="AJ151" s="56"/>
    </row>
    <row r="152" spans="1:36" ht="20.100000000000001" customHeight="1">
      <c r="A152" s="1"/>
      <c r="B152" s="868"/>
      <c r="C152" s="864">
        <f t="shared" si="8"/>
        <v>31</v>
      </c>
      <c r="D152" s="865"/>
      <c r="E152" s="750" t="s">
        <v>588</v>
      </c>
      <c r="F152" s="751"/>
      <c r="G152" s="179" t="s">
        <v>589</v>
      </c>
      <c r="H152" s="188">
        <f>IF(G152="","",IF(LEFT(G152,3)="EUR",_xlfn.NUMBERVALUE(RIGHT(G152,4))*$P$5,G152))</f>
        <v>6.8940000000000001</v>
      </c>
      <c r="I152" s="181">
        <v>46101</v>
      </c>
      <c r="J152" s="181">
        <v>46132</v>
      </c>
      <c r="K152" s="182">
        <v>1.9800000000000002E-2</v>
      </c>
      <c r="L152" s="560" t="s">
        <v>554</v>
      </c>
      <c r="M152" s="553"/>
      <c r="N152" s="63">
        <f>IF(J152="","",J152-$B$3)</f>
        <v>21</v>
      </c>
      <c r="O152" s="150"/>
      <c r="Z152" s="55"/>
      <c r="AA152" s="55"/>
      <c r="AB152" s="55"/>
      <c r="AI152" s="55"/>
      <c r="AJ152" s="56"/>
    </row>
    <row r="153" spans="1:36" ht="20.100000000000001" customHeight="1">
      <c r="A153" s="1"/>
      <c r="B153" s="868"/>
      <c r="C153" s="864">
        <f t="shared" ref="C153:C162" si="10">J153-I153</f>
        <v>29</v>
      </c>
      <c r="D153" s="865"/>
      <c r="E153" s="750" t="s">
        <v>121</v>
      </c>
      <c r="F153" s="751"/>
      <c r="G153" s="179" t="s">
        <v>612</v>
      </c>
      <c r="H153" s="188"/>
      <c r="I153" s="181">
        <v>46113</v>
      </c>
      <c r="J153" s="181">
        <v>46142</v>
      </c>
      <c r="K153" s="182">
        <v>5.7999999999999996E-3</v>
      </c>
      <c r="L153" s="560" t="s">
        <v>613</v>
      </c>
      <c r="M153" s="553"/>
      <c r="N153" s="63">
        <f t="shared" ref="N153:N154" si="11">IF(J153="","",J153-$B$3)</f>
        <v>31</v>
      </c>
      <c r="O153" s="150"/>
      <c r="Z153" s="55"/>
      <c r="AA153" s="55"/>
      <c r="AB153" s="55"/>
      <c r="AI153" s="55"/>
      <c r="AJ153" s="56"/>
    </row>
    <row r="154" spans="1:36" ht="20.100000000000001" customHeight="1">
      <c r="A154" s="1"/>
      <c r="B154" s="868"/>
      <c r="C154" s="864">
        <f>J154-I154</f>
        <v>29</v>
      </c>
      <c r="D154" s="865"/>
      <c r="E154" s="750" t="s">
        <v>121</v>
      </c>
      <c r="F154" s="751"/>
      <c r="G154" s="179" t="s">
        <v>752</v>
      </c>
      <c r="H154" s="188"/>
      <c r="I154" s="181">
        <v>46113</v>
      </c>
      <c r="J154" s="181">
        <v>46142</v>
      </c>
      <c r="K154" s="182">
        <v>5.7999999999999996E-3</v>
      </c>
      <c r="L154" s="560" t="s">
        <v>593</v>
      </c>
      <c r="M154" s="553"/>
      <c r="N154" s="63">
        <f t="shared" si="11"/>
        <v>31</v>
      </c>
      <c r="O154" s="150"/>
      <c r="Z154" s="55"/>
      <c r="AA154" s="55"/>
      <c r="AB154" s="55"/>
      <c r="AI154" s="55"/>
      <c r="AJ154" s="56"/>
    </row>
    <row r="155" spans="1:36" ht="20.100000000000001" customHeight="1">
      <c r="A155" s="1"/>
      <c r="B155" s="868"/>
      <c r="C155" s="864">
        <f t="shared" si="10"/>
        <v>0</v>
      </c>
      <c r="D155" s="865"/>
      <c r="E155" s="750"/>
      <c r="F155" s="751"/>
      <c r="G155" s="179"/>
      <c r="H155" s="188"/>
      <c r="I155" s="181"/>
      <c r="J155" s="181"/>
      <c r="K155" s="182"/>
      <c r="L155" s="560"/>
      <c r="M155" s="553"/>
      <c r="N155" s="63" t="str">
        <f t="shared" ref="N155:N162" si="12">IF(J155="","",J155-$B$3)</f>
        <v/>
      </c>
      <c r="O155" s="150"/>
      <c r="Z155" s="55"/>
      <c r="AA155" s="55"/>
      <c r="AB155" s="55"/>
      <c r="AI155" s="55"/>
      <c r="AJ155" s="56"/>
    </row>
    <row r="156" spans="1:36" ht="20.100000000000001" customHeight="1">
      <c r="A156" s="1"/>
      <c r="B156" s="868"/>
      <c r="C156" s="864">
        <f t="shared" si="10"/>
        <v>0</v>
      </c>
      <c r="D156" s="865"/>
      <c r="E156" s="750"/>
      <c r="F156" s="751"/>
      <c r="G156" s="179"/>
      <c r="H156" s="188"/>
      <c r="I156" s="181"/>
      <c r="J156" s="181"/>
      <c r="K156" s="182"/>
      <c r="L156" s="560"/>
      <c r="M156" s="553"/>
      <c r="N156" s="63" t="str">
        <f t="shared" si="12"/>
        <v/>
      </c>
      <c r="O156" s="150"/>
      <c r="Z156" s="55"/>
      <c r="AA156" s="55"/>
      <c r="AB156" s="55"/>
      <c r="AI156" s="55"/>
      <c r="AJ156" s="56"/>
    </row>
    <row r="157" spans="1:36" ht="20.100000000000001" customHeight="1">
      <c r="A157" s="1"/>
      <c r="B157" s="868"/>
      <c r="C157" s="864">
        <f t="shared" si="10"/>
        <v>0</v>
      </c>
      <c r="D157" s="865"/>
      <c r="E157" s="750"/>
      <c r="F157" s="751"/>
      <c r="G157" s="179"/>
      <c r="H157" s="188"/>
      <c r="I157" s="181"/>
      <c r="J157" s="181"/>
      <c r="K157" s="182"/>
      <c r="L157" s="560"/>
      <c r="M157" s="553"/>
      <c r="N157" s="63" t="str">
        <f t="shared" si="12"/>
        <v/>
      </c>
      <c r="O157" s="150"/>
      <c r="Z157" s="55"/>
      <c r="AA157" s="55"/>
      <c r="AB157" s="55"/>
      <c r="AI157" s="55"/>
      <c r="AJ157" s="56"/>
    </row>
    <row r="158" spans="1:36" ht="20.100000000000001" customHeight="1">
      <c r="A158" s="1"/>
      <c r="B158" s="868"/>
      <c r="C158" s="864">
        <f t="shared" si="10"/>
        <v>0</v>
      </c>
      <c r="D158" s="865"/>
      <c r="E158" s="750"/>
      <c r="F158" s="751"/>
      <c r="G158" s="179"/>
      <c r="H158" s="791"/>
      <c r="I158" s="181"/>
      <c r="J158" s="181"/>
      <c r="K158" s="182"/>
      <c r="L158" s="560"/>
      <c r="M158" s="553"/>
      <c r="N158" s="63" t="str">
        <f t="shared" si="12"/>
        <v/>
      </c>
      <c r="O158" s="150"/>
      <c r="Z158" s="55"/>
      <c r="AA158" s="55"/>
      <c r="AB158" s="55"/>
      <c r="AI158" s="55"/>
      <c r="AJ158" s="56"/>
    </row>
    <row r="159" spans="1:36" ht="20.100000000000001" customHeight="1">
      <c r="A159" s="1"/>
      <c r="B159" s="868"/>
      <c r="C159" s="864">
        <f t="shared" si="10"/>
        <v>0</v>
      </c>
      <c r="D159" s="865"/>
      <c r="E159" s="750"/>
      <c r="F159" s="751"/>
      <c r="G159" s="179"/>
      <c r="H159" s="791"/>
      <c r="I159" s="181"/>
      <c r="J159" s="181"/>
      <c r="K159" s="182"/>
      <c r="L159" s="560"/>
      <c r="M159" s="553"/>
      <c r="N159" s="63" t="str">
        <f t="shared" si="12"/>
        <v/>
      </c>
      <c r="O159" s="150"/>
      <c r="AB159" s="55"/>
      <c r="AI159" s="55"/>
      <c r="AJ159" s="56"/>
    </row>
    <row r="160" spans="1:36" ht="20.100000000000001" customHeight="1">
      <c r="A160" s="1"/>
      <c r="B160" s="868"/>
      <c r="C160" s="864">
        <f t="shared" si="10"/>
        <v>0</v>
      </c>
      <c r="D160" s="865"/>
      <c r="E160" s="724"/>
      <c r="F160" s="725"/>
      <c r="G160" s="179"/>
      <c r="H160" s="188"/>
      <c r="I160" s="181"/>
      <c r="J160" s="181"/>
      <c r="K160" s="182"/>
      <c r="L160" s="560"/>
      <c r="M160" s="553"/>
      <c r="N160" s="63" t="str">
        <f t="shared" si="12"/>
        <v/>
      </c>
      <c r="O160" s="150"/>
      <c r="AB160" s="55"/>
      <c r="AI160" s="55"/>
      <c r="AJ160" s="56"/>
    </row>
    <row r="161" spans="1:36" ht="20.100000000000001" customHeight="1">
      <c r="A161" s="1"/>
      <c r="B161" s="868"/>
      <c r="C161" s="864">
        <f t="shared" si="10"/>
        <v>0</v>
      </c>
      <c r="D161" s="865"/>
      <c r="E161" s="750"/>
      <c r="F161" s="725"/>
      <c r="G161" s="179"/>
      <c r="H161" s="188"/>
      <c r="I161" s="181"/>
      <c r="J161" s="181"/>
      <c r="K161" s="182"/>
      <c r="L161" s="560"/>
      <c r="M161" s="553"/>
      <c r="N161" s="63" t="str">
        <f t="shared" si="12"/>
        <v/>
      </c>
      <c r="O161" s="150"/>
      <c r="Z161" s="55"/>
      <c r="AA161" s="55"/>
      <c r="AB161" s="55"/>
      <c r="AI161" s="55"/>
      <c r="AJ161" s="56"/>
    </row>
    <row r="162" spans="1:36" ht="20.100000000000001" customHeight="1">
      <c r="A162" s="1"/>
      <c r="B162" s="869"/>
      <c r="C162" s="864">
        <f t="shared" si="10"/>
        <v>0</v>
      </c>
      <c r="D162" s="865"/>
      <c r="E162" s="750"/>
      <c r="F162" s="725"/>
      <c r="G162" s="179"/>
      <c r="H162" s="188"/>
      <c r="I162" s="181"/>
      <c r="J162" s="181"/>
      <c r="K162" s="182"/>
      <c r="L162" s="560"/>
      <c r="M162" s="553"/>
      <c r="N162" s="63" t="str">
        <f t="shared" si="12"/>
        <v/>
      </c>
      <c r="O162" s="150"/>
      <c r="Z162" s="55"/>
      <c r="AA162" s="55"/>
      <c r="AB162" s="55"/>
      <c r="AI162" s="55"/>
      <c r="AJ162" s="56"/>
    </row>
    <row r="163" spans="1:36" ht="20.100000000000001" customHeight="1">
      <c r="A163" s="1"/>
      <c r="B163" s="176" t="s">
        <v>83</v>
      </c>
      <c r="C163" s="859" t="s">
        <v>87</v>
      </c>
      <c r="D163" s="859"/>
      <c r="E163" s="859" t="s">
        <v>88</v>
      </c>
      <c r="F163" s="859"/>
      <c r="G163" s="767" t="s">
        <v>89</v>
      </c>
      <c r="H163" s="767" t="s">
        <v>90</v>
      </c>
      <c r="I163" s="767" t="s">
        <v>690</v>
      </c>
      <c r="J163" s="767" t="s">
        <v>142</v>
      </c>
      <c r="K163" s="767" t="s">
        <v>93</v>
      </c>
      <c r="L163" s="767" t="s">
        <v>94</v>
      </c>
      <c r="M163" s="767" t="s">
        <v>95</v>
      </c>
      <c r="N163" s="177" t="s">
        <v>96</v>
      </c>
      <c r="O163" s="150">
        <f>K105</f>
        <v>0</v>
      </c>
      <c r="P163" s="184" t="b">
        <f>ROUND(B164,0)=ROUND(O163,0)</f>
        <v>0</v>
      </c>
      <c r="T163" s="19"/>
      <c r="U163" s="19"/>
      <c r="V163" s="19"/>
      <c r="W163" s="19"/>
      <c r="X163" s="19"/>
      <c r="Y163" s="19"/>
      <c r="Z163" s="185"/>
      <c r="AA163" s="185"/>
      <c r="AB163" s="185"/>
      <c r="AC163" s="19"/>
      <c r="AD163" s="19"/>
      <c r="AE163" s="19"/>
      <c r="AF163" s="19"/>
      <c r="AG163" s="19"/>
      <c r="AH163" s="19"/>
      <c r="AI163" s="185"/>
      <c r="AJ163" s="186"/>
    </row>
    <row r="164" spans="1:36" ht="20.100000000000001" customHeight="1">
      <c r="A164" s="1"/>
      <c r="B164" s="867">
        <f>SUM(H164:H172)</f>
        <v>32.340000000000003</v>
      </c>
      <c r="C164" s="864">
        <f t="shared" ref="C164:C172" si="13">J164-I164</f>
        <v>14</v>
      </c>
      <c r="D164" s="865"/>
      <c r="E164" s="189" t="s">
        <v>691</v>
      </c>
      <c r="F164" s="751"/>
      <c r="G164" s="187" t="s">
        <v>727</v>
      </c>
      <c r="H164" s="188">
        <f>IF(LEFT(G164,3)="CNY",_xlfn.NUMBERVALUE(RIGHT(G164,3))*$P$4,G164)</f>
        <v>14.45</v>
      </c>
      <c r="I164" s="181">
        <v>46100</v>
      </c>
      <c r="J164" s="181">
        <v>46114</v>
      </c>
      <c r="K164" s="182">
        <v>1.55E-2</v>
      </c>
      <c r="L164" s="554"/>
      <c r="M164" s="502"/>
      <c r="N164" s="63">
        <f>IF(J164="","",J164-$B$3)</f>
        <v>3</v>
      </c>
      <c r="O164" s="150"/>
      <c r="Z164" s="55"/>
      <c r="AA164" s="55"/>
      <c r="AB164" s="55"/>
      <c r="AI164" s="55"/>
      <c r="AJ164" s="56"/>
    </row>
    <row r="165" spans="1:36" ht="20.100000000000001" customHeight="1">
      <c r="A165" s="1"/>
      <c r="B165" s="868"/>
      <c r="C165" s="864">
        <f t="shared" si="13"/>
        <v>90</v>
      </c>
      <c r="D165" s="865"/>
      <c r="E165" s="196" t="s">
        <v>584</v>
      </c>
      <c r="F165" s="751"/>
      <c r="G165" s="187">
        <v>5</v>
      </c>
      <c r="H165" s="188">
        <v>5</v>
      </c>
      <c r="I165" s="181">
        <v>46030</v>
      </c>
      <c r="J165" s="181">
        <v>46120</v>
      </c>
      <c r="K165" s="182">
        <v>3.6999999999999998E-2</v>
      </c>
      <c r="L165" s="554"/>
      <c r="M165" s="502"/>
      <c r="N165" s="63">
        <f>IF(J165="","",J165-$B$3)</f>
        <v>9</v>
      </c>
      <c r="O165" s="150"/>
      <c r="Z165" s="55"/>
      <c r="AA165" s="55"/>
      <c r="AB165" s="55"/>
      <c r="AI165" s="55"/>
      <c r="AJ165" s="56"/>
    </row>
    <row r="166" spans="1:36" ht="20.100000000000001" customHeight="1">
      <c r="A166" s="1"/>
      <c r="B166" s="868"/>
      <c r="C166" s="864">
        <f t="shared" si="13"/>
        <v>30</v>
      </c>
      <c r="D166" s="865"/>
      <c r="E166" s="196" t="s">
        <v>725</v>
      </c>
      <c r="F166" s="751"/>
      <c r="G166" s="187" t="s">
        <v>724</v>
      </c>
      <c r="H166" s="188">
        <f>IF(LEFT(G166,3)="CNY",_xlfn.NUMBERVALUE(RIGHT(G166,3))*$P$4,G166)</f>
        <v>2.8899999999999997</v>
      </c>
      <c r="I166" s="181">
        <v>46099</v>
      </c>
      <c r="J166" s="181">
        <v>46129</v>
      </c>
      <c r="K166" s="182">
        <v>1.5900000000000001E-2</v>
      </c>
      <c r="L166" s="554"/>
      <c r="M166" s="502"/>
      <c r="N166" s="63">
        <f>IF(J166="","",J166-$B$3)</f>
        <v>18</v>
      </c>
      <c r="O166" s="150"/>
      <c r="Z166" s="55"/>
      <c r="AA166" s="55"/>
      <c r="AB166" s="55"/>
      <c r="AI166" s="55"/>
      <c r="AJ166" s="56"/>
    </row>
    <row r="167" spans="1:36" ht="20.100000000000001" customHeight="1">
      <c r="A167" s="1"/>
      <c r="B167" s="868"/>
      <c r="C167" s="864">
        <f t="shared" si="13"/>
        <v>62</v>
      </c>
      <c r="D167" s="865"/>
      <c r="E167" s="196" t="s">
        <v>584</v>
      </c>
      <c r="F167" s="751"/>
      <c r="G167" s="187">
        <v>4</v>
      </c>
      <c r="H167" s="187">
        <v>4</v>
      </c>
      <c r="I167" s="181">
        <v>46091</v>
      </c>
      <c r="J167" s="181">
        <v>46153</v>
      </c>
      <c r="K167" s="182">
        <v>3.6999999999999998E-2</v>
      </c>
      <c r="L167" s="554"/>
      <c r="M167" s="502"/>
      <c r="N167" s="63">
        <f>IF(J167="","",J167-$B$3)</f>
        <v>42</v>
      </c>
      <c r="O167" s="150"/>
      <c r="Z167" s="55"/>
      <c r="AA167" s="55"/>
      <c r="AB167" s="55"/>
      <c r="AI167" s="55"/>
      <c r="AJ167" s="56"/>
    </row>
    <row r="168" spans="1:36" ht="20.100000000000001" customHeight="1">
      <c r="A168" s="1"/>
      <c r="B168" s="868"/>
      <c r="C168" s="864">
        <f t="shared" si="13"/>
        <v>90</v>
      </c>
      <c r="D168" s="865"/>
      <c r="E168" s="196" t="s">
        <v>584</v>
      </c>
      <c r="F168" s="751"/>
      <c r="G168" s="187">
        <v>5</v>
      </c>
      <c r="H168" s="187">
        <v>5</v>
      </c>
      <c r="I168" s="181">
        <v>46085</v>
      </c>
      <c r="J168" s="181">
        <v>46175</v>
      </c>
      <c r="K168" s="182">
        <v>3.6999999999999998E-2</v>
      </c>
      <c r="L168" s="554"/>
      <c r="M168" s="502"/>
      <c r="N168" s="63">
        <f t="shared" ref="N168:N172" si="14">IF(J168="","",J168-$B$3)</f>
        <v>64</v>
      </c>
      <c r="O168" s="150"/>
      <c r="Z168" s="55"/>
      <c r="AA168" s="55"/>
      <c r="AB168" s="55"/>
      <c r="AI168" s="55"/>
      <c r="AJ168" s="56"/>
    </row>
    <row r="169" spans="1:36" ht="20.100000000000001" customHeight="1">
      <c r="A169" s="1"/>
      <c r="B169" s="868"/>
      <c r="C169" s="864">
        <f t="shared" ref="C169" si="15">J169-I169</f>
        <v>1</v>
      </c>
      <c r="D169" s="865"/>
      <c r="E169" s="189" t="s">
        <v>750</v>
      </c>
      <c r="F169" s="725"/>
      <c r="G169" s="187">
        <v>1</v>
      </c>
      <c r="H169" s="188">
        <v>1</v>
      </c>
      <c r="I169" s="181" t="s">
        <v>736</v>
      </c>
      <c r="J169" s="181" t="s">
        <v>740</v>
      </c>
      <c r="K169" s="182">
        <v>3.6799999999999999E-2</v>
      </c>
      <c r="L169" s="554"/>
      <c r="M169" s="502"/>
      <c r="N169" s="63">
        <f t="shared" si="14"/>
        <v>1</v>
      </c>
      <c r="O169" s="150"/>
      <c r="T169" s="195"/>
      <c r="Z169" s="55"/>
      <c r="AA169" s="55"/>
      <c r="AB169" s="55"/>
      <c r="AI169" s="55"/>
      <c r="AJ169" s="56"/>
    </row>
    <row r="170" spans="1:36" ht="20.100000000000001" customHeight="1">
      <c r="A170" s="1"/>
      <c r="B170" s="868"/>
      <c r="C170" s="866">
        <f>J169-I170</f>
        <v>46112</v>
      </c>
      <c r="D170" s="866"/>
      <c r="E170" s="196"/>
      <c r="F170" s="725"/>
      <c r="G170" s="179"/>
      <c r="H170" s="188"/>
      <c r="I170" s="181"/>
      <c r="J170" s="181"/>
      <c r="K170" s="182"/>
      <c r="L170" s="554"/>
      <c r="M170" s="502"/>
      <c r="N170" s="63">
        <f>IF(J169="","",J169-$B$3)</f>
        <v>1</v>
      </c>
      <c r="O170" s="150"/>
      <c r="T170" s="195"/>
      <c r="Z170" s="55"/>
      <c r="AA170" s="55"/>
      <c r="AB170" s="55"/>
      <c r="AI170" s="55"/>
      <c r="AJ170" s="56"/>
    </row>
    <row r="171" spans="1:36" ht="20.100000000000001" customHeight="1">
      <c r="A171" s="1"/>
      <c r="B171" s="868"/>
      <c r="C171" s="866">
        <f t="shared" si="13"/>
        <v>0</v>
      </c>
      <c r="D171" s="866"/>
      <c r="E171" s="189"/>
      <c r="F171" s="725"/>
      <c r="G171" s="179"/>
      <c r="H171" s="188"/>
      <c r="I171" s="181"/>
      <c r="J171" s="181"/>
      <c r="K171" s="182"/>
      <c r="L171" s="554"/>
      <c r="M171" s="502"/>
      <c r="N171" s="63" t="str">
        <f t="shared" si="14"/>
        <v/>
      </c>
      <c r="O171" s="150"/>
      <c r="T171" s="195"/>
      <c r="Z171" s="55"/>
      <c r="AA171" s="55"/>
      <c r="AB171" s="55"/>
      <c r="AI171" s="55"/>
      <c r="AJ171" s="56"/>
    </row>
    <row r="172" spans="1:36" ht="20.100000000000001" customHeight="1">
      <c r="A172" s="1"/>
      <c r="B172" s="869"/>
      <c r="C172" s="866">
        <f t="shared" si="13"/>
        <v>0</v>
      </c>
      <c r="D172" s="866"/>
      <c r="E172" s="189"/>
      <c r="F172" s="725"/>
      <c r="G172" s="187"/>
      <c r="H172" s="188"/>
      <c r="I172" s="181"/>
      <c r="J172" s="181"/>
      <c r="K172" s="182"/>
      <c r="L172" s="554"/>
      <c r="M172" s="502"/>
      <c r="N172" s="63" t="str">
        <f t="shared" si="14"/>
        <v/>
      </c>
      <c r="O172" s="150"/>
      <c r="T172" s="195"/>
      <c r="Z172" s="55"/>
      <c r="AA172" s="55"/>
      <c r="AB172" s="55"/>
      <c r="AI172" s="55"/>
      <c r="AJ172" s="56"/>
    </row>
    <row r="173" spans="1:36" ht="20.100000000000001" customHeight="1">
      <c r="A173" s="1"/>
      <c r="B173" s="176" t="s">
        <v>97</v>
      </c>
      <c r="C173" s="859" t="s">
        <v>87</v>
      </c>
      <c r="D173" s="859"/>
      <c r="E173" s="859" t="s">
        <v>514</v>
      </c>
      <c r="F173" s="859"/>
      <c r="G173" s="713" t="s">
        <v>89</v>
      </c>
      <c r="H173" s="183" t="s">
        <v>90</v>
      </c>
      <c r="I173" s="713" t="s">
        <v>690</v>
      </c>
      <c r="J173" s="713" t="s">
        <v>142</v>
      </c>
      <c r="K173" s="713" t="s">
        <v>93</v>
      </c>
      <c r="L173" s="713" t="s">
        <v>94</v>
      </c>
      <c r="M173" s="713" t="s">
        <v>95</v>
      </c>
      <c r="N173" s="177" t="s">
        <v>96</v>
      </c>
      <c r="O173" s="150">
        <f>K128</f>
        <v>0</v>
      </c>
      <c r="P173" s="184" t="b">
        <f>O173=B174</f>
        <v>0</v>
      </c>
      <c r="T173" s="19"/>
      <c r="U173" s="19"/>
      <c r="V173" s="19"/>
      <c r="W173" s="19"/>
      <c r="X173" s="19"/>
      <c r="Y173" s="19"/>
      <c r="Z173" s="185"/>
      <c r="AA173" s="185"/>
      <c r="AB173" s="185"/>
      <c r="AC173" s="19"/>
      <c r="AD173" s="19"/>
      <c r="AE173" s="19"/>
      <c r="AF173" s="19"/>
      <c r="AG173" s="19"/>
      <c r="AH173" s="19"/>
      <c r="AI173" s="185"/>
      <c r="AJ173" s="186"/>
    </row>
    <row r="174" spans="1:36" ht="20.100000000000001" customHeight="1">
      <c r="A174" s="1"/>
      <c r="B174" s="949">
        <f>SUM(H174:H193)</f>
        <v>172.82</v>
      </c>
      <c r="C174" s="864">
        <f t="shared" ref="C174:C193" si="16">J174-I174</f>
        <v>1</v>
      </c>
      <c r="D174" s="865"/>
      <c r="E174" s="750" t="s">
        <v>600</v>
      </c>
      <c r="F174" s="751"/>
      <c r="G174" s="179" t="str">
        <f t="shared" ref="G174:G175" si="17">IF(LEN(P174)&gt;8,"VND "&amp;TEXT(P174/1000000,"#,##0"),P174/1000000)</f>
        <v>VND 60,000</v>
      </c>
      <c r="H174" s="188">
        <f>IF(LEFT(G174,3)="vnd",_xlfn.NUMBERVALUE(RIGHT(G174,7))*$P$6,G174)</f>
        <v>2.2800000000000002</v>
      </c>
      <c r="I174" s="181" t="s">
        <v>736</v>
      </c>
      <c r="J174" s="181" t="s">
        <v>740</v>
      </c>
      <c r="K174" s="194">
        <v>0.1</v>
      </c>
      <c r="L174" s="554"/>
      <c r="M174" s="502"/>
      <c r="N174" s="63">
        <f t="shared" ref="N174:N185" si="18">IF(J174="","",J174-$B$3)</f>
        <v>1</v>
      </c>
      <c r="O174" s="150"/>
      <c r="P174" s="4">
        <v>60000000000</v>
      </c>
      <c r="Z174" s="55"/>
      <c r="AA174" s="55"/>
      <c r="AB174" s="55"/>
      <c r="AI174" s="55"/>
      <c r="AJ174" s="56"/>
    </row>
    <row r="175" spans="1:36" ht="20.100000000000001" customHeight="1">
      <c r="A175" s="1"/>
      <c r="B175" s="950"/>
      <c r="C175" s="864">
        <f t="shared" ref="C175:C192" si="19">J175-I175</f>
        <v>1</v>
      </c>
      <c r="D175" s="865"/>
      <c r="E175" s="750" t="s">
        <v>741</v>
      </c>
      <c r="F175" s="751"/>
      <c r="G175" s="179" t="str">
        <f t="shared" si="17"/>
        <v>VND 320,000</v>
      </c>
      <c r="H175" s="188">
        <f>IF(LEFT(G175,3)="vnd",_xlfn.NUMBERVALUE(RIGHT(G175,7))*$P$6,G175)</f>
        <v>12.16</v>
      </c>
      <c r="I175" s="181" t="s">
        <v>736</v>
      </c>
      <c r="J175" s="181" t="s">
        <v>740</v>
      </c>
      <c r="K175" s="194">
        <v>0.13</v>
      </c>
      <c r="L175" s="554"/>
      <c r="M175" s="502"/>
      <c r="N175" s="63">
        <f t="shared" si="18"/>
        <v>1</v>
      </c>
      <c r="O175" s="150"/>
      <c r="P175" s="4">
        <v>320000000000</v>
      </c>
      <c r="Z175" s="55"/>
      <c r="AA175" s="55"/>
      <c r="AB175" s="55"/>
      <c r="AI175" s="55"/>
      <c r="AJ175" s="56"/>
    </row>
    <row r="176" spans="1:36" ht="20.100000000000001" customHeight="1">
      <c r="A176" s="1"/>
      <c r="B176" s="950"/>
      <c r="C176" s="864">
        <f t="shared" si="19"/>
        <v>1</v>
      </c>
      <c r="D176" s="865"/>
      <c r="E176" s="750" t="s">
        <v>742</v>
      </c>
      <c r="F176" s="751"/>
      <c r="G176" s="179" t="str">
        <f t="shared" ref="G176:G185" si="20">IF(LEN(P176)&gt;8,"VND "&amp;TEXT(P176/1000000,"#,##0"),P176/1000000)</f>
        <v>VND 300,000</v>
      </c>
      <c r="H176" s="188">
        <f t="shared" ref="H176:H184" si="21">IF(LEFT(G176,3)="vnd",_xlfn.NUMBERVALUE(RIGHT(G176,8))*$P$6,G176)</f>
        <v>11.4</v>
      </c>
      <c r="I176" s="181" t="s">
        <v>736</v>
      </c>
      <c r="J176" s="181" t="s">
        <v>740</v>
      </c>
      <c r="K176" s="194">
        <v>0.12</v>
      </c>
      <c r="L176" s="554"/>
      <c r="M176" s="502"/>
      <c r="N176" s="63">
        <f t="shared" si="18"/>
        <v>1</v>
      </c>
      <c r="O176" s="150"/>
      <c r="P176" s="4">
        <v>300000000000</v>
      </c>
      <c r="Z176" s="55"/>
      <c r="AA176" s="55"/>
      <c r="AB176" s="55"/>
      <c r="AI176" s="55"/>
      <c r="AJ176" s="56"/>
    </row>
    <row r="177" spans="1:36" ht="20.100000000000001" customHeight="1">
      <c r="A177" s="1"/>
      <c r="B177" s="950"/>
      <c r="C177" s="864">
        <f t="shared" si="19"/>
        <v>1</v>
      </c>
      <c r="D177" s="865"/>
      <c r="E177" s="750" t="s">
        <v>743</v>
      </c>
      <c r="F177" s="751"/>
      <c r="G177" s="179" t="str">
        <f t="shared" si="20"/>
        <v>VND 260,000</v>
      </c>
      <c r="H177" s="188">
        <f t="shared" si="21"/>
        <v>9.8800000000000008</v>
      </c>
      <c r="I177" s="181" t="s">
        <v>736</v>
      </c>
      <c r="J177" s="181" t="s">
        <v>740</v>
      </c>
      <c r="K177" s="194">
        <v>0.13</v>
      </c>
      <c r="L177" s="554"/>
      <c r="M177" s="502"/>
      <c r="N177" s="63">
        <f t="shared" si="18"/>
        <v>1</v>
      </c>
      <c r="O177" s="150"/>
      <c r="P177" s="4">
        <v>260000000000</v>
      </c>
      <c r="Z177" s="55"/>
      <c r="AA177" s="55"/>
      <c r="AB177" s="55"/>
      <c r="AI177" s="55"/>
      <c r="AJ177" s="56"/>
    </row>
    <row r="178" spans="1:36" ht="20.100000000000001" customHeight="1">
      <c r="A178" s="1"/>
      <c r="B178" s="950"/>
      <c r="C178" s="864">
        <f t="shared" si="19"/>
        <v>1</v>
      </c>
      <c r="D178" s="865"/>
      <c r="E178" s="750" t="s">
        <v>742</v>
      </c>
      <c r="F178" s="751"/>
      <c r="G178" s="179" t="str">
        <f t="shared" si="20"/>
        <v>VND 200,000</v>
      </c>
      <c r="H178" s="188">
        <f t="shared" si="21"/>
        <v>7.6000000000000005</v>
      </c>
      <c r="I178" s="181" t="s">
        <v>736</v>
      </c>
      <c r="J178" s="181" t="s">
        <v>740</v>
      </c>
      <c r="K178" s="194">
        <v>0.12</v>
      </c>
      <c r="L178" s="554"/>
      <c r="M178" s="502"/>
      <c r="N178" s="63">
        <f t="shared" si="18"/>
        <v>1</v>
      </c>
      <c r="O178" s="150"/>
      <c r="P178" s="4">
        <v>200000000000</v>
      </c>
      <c r="Z178" s="55"/>
      <c r="AA178" s="55"/>
      <c r="AB178" s="55"/>
      <c r="AI178" s="55"/>
      <c r="AJ178" s="56"/>
    </row>
    <row r="179" spans="1:36" ht="20.100000000000001" customHeight="1">
      <c r="A179" s="1"/>
      <c r="B179" s="950"/>
      <c r="C179" s="864">
        <f t="shared" si="19"/>
        <v>1</v>
      </c>
      <c r="D179" s="865"/>
      <c r="E179" s="750" t="s">
        <v>551</v>
      </c>
      <c r="F179" s="751"/>
      <c r="G179" s="179" t="str">
        <f t="shared" si="20"/>
        <v>VND 480,000</v>
      </c>
      <c r="H179" s="188">
        <f t="shared" si="21"/>
        <v>18.240000000000002</v>
      </c>
      <c r="I179" s="181" t="s">
        <v>736</v>
      </c>
      <c r="J179" s="181" t="s">
        <v>740</v>
      </c>
      <c r="K179" s="194">
        <v>0.13</v>
      </c>
      <c r="L179" s="554"/>
      <c r="M179" s="502"/>
      <c r="N179" s="63">
        <f t="shared" si="18"/>
        <v>1</v>
      </c>
      <c r="O179" s="150"/>
      <c r="P179" s="4">
        <v>480000000000</v>
      </c>
      <c r="Z179" s="55"/>
      <c r="AA179" s="55"/>
      <c r="AB179" s="55"/>
      <c r="AI179" s="55"/>
      <c r="AJ179" s="56"/>
    </row>
    <row r="180" spans="1:36" ht="20.100000000000001" customHeight="1">
      <c r="A180" s="1"/>
      <c r="B180" s="950"/>
      <c r="C180" s="864">
        <f t="shared" si="19"/>
        <v>1</v>
      </c>
      <c r="D180" s="865"/>
      <c r="E180" s="750" t="s">
        <v>742</v>
      </c>
      <c r="F180" s="751"/>
      <c r="G180" s="179" t="str">
        <f t="shared" si="20"/>
        <v>VND 310,000</v>
      </c>
      <c r="H180" s="188">
        <f t="shared" si="21"/>
        <v>11.780000000000001</v>
      </c>
      <c r="I180" s="181" t="s">
        <v>736</v>
      </c>
      <c r="J180" s="181" t="s">
        <v>740</v>
      </c>
      <c r="K180" s="194">
        <v>0.13</v>
      </c>
      <c r="L180" s="554"/>
      <c r="M180" s="502"/>
      <c r="N180" s="63">
        <f t="shared" si="18"/>
        <v>1</v>
      </c>
      <c r="O180" s="150"/>
      <c r="P180" s="4">
        <v>310000000000</v>
      </c>
      <c r="Z180" s="55"/>
      <c r="AA180" s="55"/>
      <c r="AB180" s="55"/>
      <c r="AI180" s="55"/>
      <c r="AJ180" s="56"/>
    </row>
    <row r="181" spans="1:36" ht="20.100000000000001" customHeight="1">
      <c r="A181" s="1"/>
      <c r="B181" s="950"/>
      <c r="C181" s="864">
        <f t="shared" si="19"/>
        <v>1</v>
      </c>
      <c r="D181" s="865"/>
      <c r="E181" s="750" t="s">
        <v>743</v>
      </c>
      <c r="F181" s="751"/>
      <c r="G181" s="179" t="str">
        <f t="shared" si="20"/>
        <v>VND 440,000</v>
      </c>
      <c r="H181" s="188">
        <f t="shared" si="21"/>
        <v>16.720000000000002</v>
      </c>
      <c r="I181" s="181" t="s">
        <v>736</v>
      </c>
      <c r="J181" s="181" t="s">
        <v>740</v>
      </c>
      <c r="K181" s="194">
        <v>0.13</v>
      </c>
      <c r="L181" s="554"/>
      <c r="M181" s="502"/>
      <c r="N181" s="63">
        <f t="shared" si="18"/>
        <v>1</v>
      </c>
      <c r="O181" s="150"/>
      <c r="P181" s="4">
        <v>440000000000</v>
      </c>
      <c r="Z181" s="55"/>
      <c r="AA181" s="55"/>
      <c r="AB181" s="55"/>
      <c r="AI181" s="55"/>
      <c r="AJ181" s="56"/>
    </row>
    <row r="182" spans="1:36" ht="20.100000000000001" customHeight="1">
      <c r="A182" s="1"/>
      <c r="B182" s="950"/>
      <c r="C182" s="864">
        <f t="shared" si="19"/>
        <v>1</v>
      </c>
      <c r="D182" s="865"/>
      <c r="E182" s="196" t="s">
        <v>741</v>
      </c>
      <c r="F182" s="751"/>
      <c r="G182" s="179" t="str">
        <f t="shared" si="20"/>
        <v>VND 300,000</v>
      </c>
      <c r="H182" s="188">
        <f t="shared" si="21"/>
        <v>11.4</v>
      </c>
      <c r="I182" s="181" t="s">
        <v>736</v>
      </c>
      <c r="J182" s="181" t="s">
        <v>740</v>
      </c>
      <c r="K182" s="194">
        <v>0.13</v>
      </c>
      <c r="L182" s="554"/>
      <c r="M182" s="502"/>
      <c r="N182" s="63">
        <f t="shared" si="18"/>
        <v>1</v>
      </c>
      <c r="O182" s="150"/>
      <c r="P182" s="4">
        <v>300000000000</v>
      </c>
      <c r="Z182" s="55"/>
      <c r="AA182" s="55"/>
      <c r="AB182" s="55"/>
      <c r="AI182" s="55"/>
      <c r="AJ182" s="56"/>
    </row>
    <row r="183" spans="1:36" ht="20.100000000000001" customHeight="1">
      <c r="A183" s="1"/>
      <c r="B183" s="950"/>
      <c r="C183" s="864">
        <f t="shared" si="19"/>
        <v>1</v>
      </c>
      <c r="D183" s="865"/>
      <c r="E183" s="196" t="s">
        <v>744</v>
      </c>
      <c r="F183" s="751"/>
      <c r="G183" s="179" t="str">
        <f t="shared" si="20"/>
        <v>VND 300,000</v>
      </c>
      <c r="H183" s="188">
        <f t="shared" si="21"/>
        <v>11.4</v>
      </c>
      <c r="I183" s="181" t="s">
        <v>736</v>
      </c>
      <c r="J183" s="181" t="s">
        <v>740</v>
      </c>
      <c r="K183" s="194">
        <v>0.11</v>
      </c>
      <c r="L183" s="554"/>
      <c r="M183" s="502"/>
      <c r="N183" s="63">
        <f t="shared" si="18"/>
        <v>1</v>
      </c>
      <c r="O183" s="150"/>
      <c r="P183" s="4">
        <v>300000000000</v>
      </c>
      <c r="Z183" s="55"/>
      <c r="AA183" s="55"/>
      <c r="AB183" s="55"/>
      <c r="AI183" s="55"/>
      <c r="AJ183" s="56"/>
    </row>
    <row r="184" spans="1:36" ht="20.100000000000001" customHeight="1">
      <c r="A184" s="1"/>
      <c r="B184" s="950"/>
      <c r="C184" s="864">
        <f t="shared" si="19"/>
        <v>1</v>
      </c>
      <c r="D184" s="865"/>
      <c r="E184" s="196" t="s">
        <v>600</v>
      </c>
      <c r="F184" s="751"/>
      <c r="G184" s="179" t="str">
        <f t="shared" si="20"/>
        <v>VND 400,000</v>
      </c>
      <c r="H184" s="188">
        <f t="shared" si="21"/>
        <v>15.200000000000001</v>
      </c>
      <c r="I184" s="181" t="s">
        <v>736</v>
      </c>
      <c r="J184" s="181" t="s">
        <v>740</v>
      </c>
      <c r="K184" s="194">
        <v>0.13</v>
      </c>
      <c r="L184" s="554"/>
      <c r="M184" s="502"/>
      <c r="N184" s="63">
        <f t="shared" si="18"/>
        <v>1</v>
      </c>
      <c r="O184" s="150"/>
      <c r="P184" s="4">
        <v>400000000000</v>
      </c>
      <c r="Z184" s="55"/>
      <c r="AA184" s="55"/>
      <c r="AB184" s="55"/>
      <c r="AI184" s="55"/>
      <c r="AJ184" s="56"/>
    </row>
    <row r="185" spans="1:36" ht="20.100000000000001" customHeight="1">
      <c r="A185" s="1"/>
      <c r="B185" s="950"/>
      <c r="C185" s="864">
        <f t="shared" ref="C185" si="22">J185-I185</f>
        <v>1</v>
      </c>
      <c r="D185" s="865"/>
      <c r="E185" s="750" t="s">
        <v>742</v>
      </c>
      <c r="F185" s="751"/>
      <c r="G185" s="179" t="str">
        <f t="shared" si="20"/>
        <v>VND 520,000</v>
      </c>
      <c r="H185" s="188">
        <f>IF(LEFT(G185,3)="vnd",_xlfn.NUMBERVALUE(RIGHT(G185,8))*$P$6,G185)</f>
        <v>19.760000000000002</v>
      </c>
      <c r="I185" s="181" t="s">
        <v>736</v>
      </c>
      <c r="J185" s="181" t="s">
        <v>740</v>
      </c>
      <c r="K185" s="194">
        <v>0.13</v>
      </c>
      <c r="L185" s="554"/>
      <c r="M185" s="502"/>
      <c r="N185" s="63">
        <f t="shared" si="18"/>
        <v>1</v>
      </c>
      <c r="O185" s="150"/>
      <c r="P185" s="4">
        <v>520000000000</v>
      </c>
      <c r="Z185" s="55"/>
      <c r="AA185" s="55"/>
      <c r="AB185" s="55"/>
      <c r="AI185" s="55"/>
      <c r="AJ185" s="56"/>
    </row>
    <row r="186" spans="1:36" ht="20.100000000000001" customHeight="1">
      <c r="A186" s="1"/>
      <c r="B186" s="950"/>
      <c r="C186" s="864">
        <f t="shared" ref="C186" si="23">J186-I186</f>
        <v>88</v>
      </c>
      <c r="D186" s="865"/>
      <c r="E186" s="750" t="s">
        <v>551</v>
      </c>
      <c r="F186" s="751"/>
      <c r="G186" s="179">
        <f t="shared" ref="G186:G187" si="24">IF(LEN(P186)&gt;8,"VND "&amp;TEXT(P186/1000000,"#,##0"),P186/1000000)</f>
        <v>10</v>
      </c>
      <c r="H186" s="188">
        <f>IF(LEFT(G186,3)="vnd",_xlfn.NUMBERVALUE(RIGHT(G186,8))*$P$6,G186)</f>
        <v>10</v>
      </c>
      <c r="I186" s="181">
        <v>46048</v>
      </c>
      <c r="J186" s="181">
        <v>46136</v>
      </c>
      <c r="K186" s="194">
        <v>3.7999999999999999E-2</v>
      </c>
      <c r="L186" s="554"/>
      <c r="M186" s="502"/>
      <c r="N186" s="63">
        <f t="shared" ref="N186:N187" si="25">IF(J186="","",J186-$B$3)</f>
        <v>25</v>
      </c>
      <c r="O186" s="150"/>
      <c r="P186" s="4">
        <v>10000000</v>
      </c>
      <c r="Z186" s="55"/>
      <c r="AA186" s="55"/>
      <c r="AB186" s="55"/>
      <c r="AI186" s="55"/>
      <c r="AJ186" s="56"/>
    </row>
    <row r="187" spans="1:36" ht="20.100000000000001" customHeight="1">
      <c r="A187" s="1"/>
      <c r="B187" s="950"/>
      <c r="C187" s="864">
        <f t="shared" si="19"/>
        <v>89</v>
      </c>
      <c r="D187" s="865"/>
      <c r="E187" s="750" t="s">
        <v>602</v>
      </c>
      <c r="F187" s="751"/>
      <c r="G187" s="179">
        <f t="shared" si="24"/>
        <v>15</v>
      </c>
      <c r="H187" s="188">
        <f>IF(LEFT(G187,3)="vnd",_xlfn.NUMBERVALUE(RIGHT(G187,8))*$P$6,G187)</f>
        <v>15</v>
      </c>
      <c r="I187" s="181">
        <v>46066</v>
      </c>
      <c r="J187" s="181">
        <v>46155</v>
      </c>
      <c r="K187" s="194">
        <v>3.7999999999999999E-2</v>
      </c>
      <c r="L187" s="554"/>
      <c r="M187" s="502"/>
      <c r="N187" s="63">
        <f t="shared" si="25"/>
        <v>44</v>
      </c>
      <c r="O187" s="150"/>
      <c r="P187" s="4">
        <v>15000000</v>
      </c>
      <c r="Z187" s="55"/>
      <c r="AA187" s="55"/>
      <c r="AB187" s="55"/>
      <c r="AI187" s="55"/>
      <c r="AJ187" s="56"/>
    </row>
    <row r="188" spans="1:36" ht="20.100000000000001" customHeight="1">
      <c r="A188" s="1"/>
      <c r="B188" s="950"/>
      <c r="C188" s="864">
        <f t="shared" si="19"/>
        <v>0</v>
      </c>
      <c r="D188" s="865"/>
      <c r="E188" s="750"/>
      <c r="F188" s="751"/>
      <c r="G188" s="179"/>
      <c r="H188" s="188"/>
      <c r="I188" s="181"/>
      <c r="J188" s="181"/>
      <c r="K188" s="194"/>
      <c r="L188" s="554"/>
      <c r="M188" s="502"/>
      <c r="N188" s="63"/>
      <c r="O188" s="150"/>
      <c r="Z188" s="55"/>
      <c r="AA188" s="55"/>
      <c r="AB188" s="55"/>
      <c r="AI188" s="55"/>
      <c r="AJ188" s="56"/>
    </row>
    <row r="189" spans="1:36" ht="20.100000000000001" customHeight="1">
      <c r="A189" s="1"/>
      <c r="B189" s="950"/>
      <c r="C189" s="864">
        <f t="shared" si="19"/>
        <v>0</v>
      </c>
      <c r="D189" s="865"/>
      <c r="E189" s="750"/>
      <c r="F189" s="751"/>
      <c r="G189" s="179"/>
      <c r="H189" s="188"/>
      <c r="I189" s="181"/>
      <c r="J189" s="181"/>
      <c r="K189" s="194"/>
      <c r="L189" s="554"/>
      <c r="M189" s="502"/>
      <c r="N189" s="63"/>
      <c r="O189" s="150"/>
      <c r="Z189" s="55"/>
      <c r="AA189" s="55"/>
      <c r="AB189" s="55"/>
      <c r="AI189" s="55"/>
      <c r="AJ189" s="56"/>
    </row>
    <row r="190" spans="1:36" ht="20.100000000000001" customHeight="1">
      <c r="A190" s="1"/>
      <c r="B190" s="950"/>
      <c r="C190" s="864">
        <f t="shared" si="19"/>
        <v>0</v>
      </c>
      <c r="D190" s="865"/>
      <c r="E190" s="750"/>
      <c r="F190" s="751"/>
      <c r="G190" s="179"/>
      <c r="H190" s="188"/>
      <c r="I190" s="181"/>
      <c r="J190" s="181"/>
      <c r="K190" s="194"/>
      <c r="L190" s="554"/>
      <c r="M190" s="502"/>
      <c r="N190" s="63"/>
      <c r="O190" s="150"/>
      <c r="Z190" s="55"/>
      <c r="AA190" s="55"/>
      <c r="AB190" s="55"/>
      <c r="AI190" s="55"/>
      <c r="AJ190" s="56"/>
    </row>
    <row r="191" spans="1:36" ht="20.100000000000001" customHeight="1">
      <c r="A191" s="1"/>
      <c r="B191" s="950"/>
      <c r="C191" s="864">
        <f t="shared" si="19"/>
        <v>0</v>
      </c>
      <c r="D191" s="865"/>
      <c r="E191" s="750"/>
      <c r="F191" s="751"/>
      <c r="G191" s="179"/>
      <c r="H191" s="188"/>
      <c r="I191" s="181"/>
      <c r="J191" s="181"/>
      <c r="K191" s="194"/>
      <c r="L191" s="554"/>
      <c r="M191" s="502"/>
      <c r="N191" s="63"/>
      <c r="O191" s="150"/>
      <c r="Z191" s="55"/>
      <c r="AA191" s="55"/>
      <c r="AB191" s="55"/>
      <c r="AI191" s="55"/>
      <c r="AJ191" s="56"/>
    </row>
    <row r="192" spans="1:36" ht="20.100000000000001" customHeight="1">
      <c r="A192" s="1"/>
      <c r="B192" s="950"/>
      <c r="C192" s="864">
        <f t="shared" si="19"/>
        <v>0</v>
      </c>
      <c r="D192" s="865"/>
      <c r="E192" s="750"/>
      <c r="F192" s="751"/>
      <c r="G192" s="179"/>
      <c r="H192" s="188"/>
      <c r="I192" s="181"/>
      <c r="J192" s="181"/>
      <c r="K192" s="194"/>
      <c r="L192" s="554"/>
      <c r="M192" s="502"/>
      <c r="N192" s="63"/>
      <c r="O192" s="150"/>
      <c r="Z192" s="55"/>
      <c r="AA192" s="55"/>
      <c r="AB192" s="55"/>
      <c r="AI192" s="55"/>
      <c r="AJ192" s="56"/>
    </row>
    <row r="193" spans="1:36" ht="20.100000000000001" customHeight="1">
      <c r="A193" s="1"/>
      <c r="B193" s="950"/>
      <c r="C193" s="864">
        <f t="shared" si="16"/>
        <v>0</v>
      </c>
      <c r="D193" s="865"/>
      <c r="E193" s="750"/>
      <c r="F193" s="751"/>
      <c r="G193" s="179"/>
      <c r="H193" s="188"/>
      <c r="I193" s="181"/>
      <c r="J193" s="181"/>
      <c r="K193" s="194"/>
      <c r="L193" s="554"/>
      <c r="M193" s="502"/>
      <c r="N193" s="63"/>
      <c r="O193" s="150"/>
      <c r="Z193" s="55"/>
      <c r="AA193" s="55"/>
      <c r="AB193" s="55"/>
      <c r="AI193" s="55"/>
      <c r="AJ193" s="56"/>
    </row>
    <row r="194" spans="1:36" ht="20.100000000000001" customHeight="1">
      <c r="A194" s="1"/>
      <c r="B194" s="198"/>
      <c r="C194" s="199"/>
      <c r="D194" s="199"/>
      <c r="E194" s="199"/>
      <c r="F194" s="105"/>
      <c r="G194" s="200"/>
      <c r="H194" s="202"/>
      <c r="I194" s="555"/>
      <c r="J194" s="203"/>
      <c r="K194" s="204"/>
      <c r="L194" s="556"/>
      <c r="M194" s="557"/>
      <c r="N194" s="205"/>
      <c r="O194" s="150"/>
      <c r="T194" s="195"/>
      <c r="Z194" s="55"/>
      <c r="AA194" s="55"/>
      <c r="AB194" s="55"/>
      <c r="AI194" s="55"/>
      <c r="AJ194" s="56"/>
    </row>
    <row r="195" spans="1:36" ht="20.100000000000001" customHeight="1">
      <c r="A195" s="1"/>
      <c r="B195" s="862" t="s">
        <v>98</v>
      </c>
      <c r="C195" s="862"/>
      <c r="D195" s="862"/>
      <c r="E195" s="206"/>
      <c r="F195" s="206"/>
      <c r="G195" s="11"/>
      <c r="H195" s="111"/>
      <c r="I195" s="207"/>
      <c r="J195" s="11"/>
      <c r="K195" s="777"/>
      <c r="L195" s="10"/>
      <c r="M195" s="174" t="s">
        <v>85</v>
      </c>
      <c r="N195" s="175"/>
      <c r="O195" s="150" t="e">
        <f>K56</f>
        <v>#REF!</v>
      </c>
      <c r="T195" s="195"/>
      <c r="Z195" s="55"/>
      <c r="AA195" s="55"/>
      <c r="AB195" s="55"/>
      <c r="AI195" s="55"/>
      <c r="AJ195" s="56"/>
    </row>
    <row r="196" spans="1:36" ht="20.100000000000001" customHeight="1" thickBot="1">
      <c r="A196" s="1"/>
      <c r="B196" s="176" t="s">
        <v>86</v>
      </c>
      <c r="C196" s="859" t="s">
        <v>87</v>
      </c>
      <c r="D196" s="859"/>
      <c r="E196" s="951" t="s">
        <v>88</v>
      </c>
      <c r="F196" s="952"/>
      <c r="G196" s="792" t="s">
        <v>89</v>
      </c>
      <c r="H196" s="792" t="s">
        <v>90</v>
      </c>
      <c r="I196" s="792" t="s">
        <v>690</v>
      </c>
      <c r="J196" s="792" t="s">
        <v>142</v>
      </c>
      <c r="K196" s="792" t="s">
        <v>93</v>
      </c>
      <c r="L196" s="792" t="s">
        <v>94</v>
      </c>
      <c r="M196" s="208" t="s">
        <v>99</v>
      </c>
      <c r="N196" s="209"/>
      <c r="O196" s="150" t="e">
        <f>O195-O201-O205</f>
        <v>#REF!</v>
      </c>
      <c r="P196" s="184" t="e">
        <f>O196=B197</f>
        <v>#REF!</v>
      </c>
      <c r="AI196" s="55"/>
      <c r="AJ196" s="56"/>
    </row>
    <row r="197" spans="1:36" ht="20.100000000000001" customHeight="1">
      <c r="A197" s="1"/>
      <c r="B197" s="867">
        <f>SUM(H197:H200)</f>
        <v>175</v>
      </c>
      <c r="C197" s="864">
        <f>J197-I197</f>
        <v>364</v>
      </c>
      <c r="D197" s="865"/>
      <c r="E197" s="213" t="s">
        <v>104</v>
      </c>
      <c r="F197" s="214"/>
      <c r="G197" s="215">
        <v>50</v>
      </c>
      <c r="H197" s="215">
        <v>50</v>
      </c>
      <c r="I197" s="216">
        <v>45758</v>
      </c>
      <c r="J197" s="216">
        <v>46122</v>
      </c>
      <c r="K197" s="797">
        <v>5.11E-2</v>
      </c>
      <c r="L197" s="217" t="s">
        <v>101</v>
      </c>
      <c r="M197" s="946" t="s">
        <v>102</v>
      </c>
      <c r="N197" s="63">
        <f>J197-$K$32</f>
        <v>11</v>
      </c>
      <c r="O197" s="150"/>
      <c r="P197" s="218"/>
      <c r="Q197" s="218" t="s">
        <v>555</v>
      </c>
      <c r="R197" s="218"/>
      <c r="Z197" s="55"/>
      <c r="AA197" s="55"/>
      <c r="AB197" s="55"/>
      <c r="AI197" s="55"/>
      <c r="AJ197" s="56"/>
    </row>
    <row r="198" spans="1:36" ht="20.100000000000001" customHeight="1">
      <c r="A198" s="1"/>
      <c r="B198" s="868"/>
      <c r="C198" s="864">
        <f>J198-I198</f>
        <v>364</v>
      </c>
      <c r="D198" s="865"/>
      <c r="E198" s="219" t="s">
        <v>103</v>
      </c>
      <c r="F198" s="220"/>
      <c r="G198" s="221">
        <v>50</v>
      </c>
      <c r="H198" s="221">
        <v>50</v>
      </c>
      <c r="I198" s="222">
        <v>45786</v>
      </c>
      <c r="J198" s="222">
        <v>46150</v>
      </c>
      <c r="K198" s="783">
        <v>5.0700000000000002E-2</v>
      </c>
      <c r="L198" s="223" t="s">
        <v>101</v>
      </c>
      <c r="M198" s="947"/>
      <c r="N198" s="63">
        <f>J198-$K$32</f>
        <v>39</v>
      </c>
      <c r="O198" s="150"/>
      <c r="P198" s="218"/>
      <c r="Q198" s="218" t="s">
        <v>556</v>
      </c>
      <c r="R198" s="218"/>
      <c r="Z198" s="55"/>
      <c r="AA198" s="55"/>
      <c r="AB198" s="55"/>
      <c r="AI198" s="55"/>
      <c r="AJ198" s="56"/>
    </row>
    <row r="199" spans="1:36" ht="20.100000000000001" customHeight="1" thickBot="1">
      <c r="A199" s="1"/>
      <c r="B199" s="868"/>
      <c r="C199" s="864">
        <f>J199-I199</f>
        <v>364</v>
      </c>
      <c r="D199" s="865"/>
      <c r="E199" s="224" t="s">
        <v>100</v>
      </c>
      <c r="F199" s="225"/>
      <c r="G199" s="226">
        <v>75</v>
      </c>
      <c r="H199" s="226">
        <v>75</v>
      </c>
      <c r="I199" s="227">
        <v>45793</v>
      </c>
      <c r="J199" s="227">
        <v>46157</v>
      </c>
      <c r="K199" s="798">
        <v>5.0700000000000002E-2</v>
      </c>
      <c r="L199" s="228" t="s">
        <v>101</v>
      </c>
      <c r="M199" s="948"/>
      <c r="N199" s="63">
        <f>J199-$K$32</f>
        <v>46</v>
      </c>
      <c r="O199" s="150"/>
      <c r="P199" s="218"/>
      <c r="Q199" s="218" t="s">
        <v>556</v>
      </c>
      <c r="R199" s="218"/>
      <c r="S199" s="229"/>
      <c r="Z199" s="55"/>
      <c r="AA199" s="55"/>
      <c r="AB199" s="55"/>
      <c r="AI199" s="55"/>
      <c r="AJ199" s="56"/>
    </row>
    <row r="200" spans="1:36" ht="20.100000000000001" customHeight="1">
      <c r="A200" s="1"/>
      <c r="B200" s="869"/>
      <c r="C200" s="864">
        <f>J200-I200</f>
        <v>0</v>
      </c>
      <c r="D200" s="865"/>
      <c r="E200" s="784"/>
      <c r="F200" s="785"/>
      <c r="G200" s="788"/>
      <c r="H200" s="188"/>
      <c r="I200" s="781"/>
      <c r="J200" s="781"/>
      <c r="K200" s="782"/>
      <c r="L200" s="782"/>
      <c r="M200" s="786"/>
      <c r="N200" s="63"/>
      <c r="O200" s="150"/>
      <c r="P200" s="218"/>
      <c r="Q200" s="218"/>
      <c r="R200" s="218"/>
      <c r="S200" s="229"/>
      <c r="Z200" s="55"/>
      <c r="AA200" s="55"/>
      <c r="AB200" s="55"/>
      <c r="AI200" s="55"/>
      <c r="AJ200" s="56"/>
    </row>
    <row r="201" spans="1:36" ht="20.100000000000001" customHeight="1">
      <c r="A201" s="1"/>
      <c r="B201" s="176" t="s">
        <v>83</v>
      </c>
      <c r="C201" s="859" t="s">
        <v>87</v>
      </c>
      <c r="D201" s="859"/>
      <c r="E201" s="945" t="s">
        <v>88</v>
      </c>
      <c r="F201" s="945"/>
      <c r="G201" s="728" t="s">
        <v>89</v>
      </c>
      <c r="H201" s="728" t="s">
        <v>90</v>
      </c>
      <c r="I201" s="728" t="s">
        <v>690</v>
      </c>
      <c r="J201" s="728" t="s">
        <v>142</v>
      </c>
      <c r="K201" s="728" t="s">
        <v>93</v>
      </c>
      <c r="L201" s="728" t="s">
        <v>94</v>
      </c>
      <c r="M201" s="728" t="s">
        <v>95</v>
      </c>
      <c r="N201" s="63"/>
      <c r="O201" s="150">
        <f>K106</f>
        <v>0</v>
      </c>
      <c r="P201" s="184" t="b">
        <f>O201=SUM(H202:H204)</f>
        <v>0</v>
      </c>
      <c r="Z201" s="55"/>
      <c r="AA201" s="55"/>
      <c r="AB201" s="55"/>
      <c r="AI201" s="55"/>
      <c r="AJ201" s="56"/>
    </row>
    <row r="202" spans="1:36" ht="20.100000000000001" customHeight="1">
      <c r="A202" s="1"/>
      <c r="B202" s="867">
        <f>SUM(H202:H204)</f>
        <v>2</v>
      </c>
      <c r="C202" s="857">
        <f>J202-I202</f>
        <v>105</v>
      </c>
      <c r="D202" s="858"/>
      <c r="E202" s="196" t="s">
        <v>726</v>
      </c>
      <c r="F202" s="725"/>
      <c r="G202" s="192">
        <v>2</v>
      </c>
      <c r="H202" s="188">
        <v>2</v>
      </c>
      <c r="I202" s="193">
        <v>46099</v>
      </c>
      <c r="J202" s="193">
        <v>46204</v>
      </c>
      <c r="K202" s="182">
        <v>3.7199999999999997E-2</v>
      </c>
      <c r="L202" s="552"/>
      <c r="M202" s="553"/>
      <c r="N202" s="63">
        <f>IF(J202="","",J202-$B$3)</f>
        <v>93</v>
      </c>
      <c r="O202" s="150"/>
      <c r="P202" s="218"/>
      <c r="Z202" s="55"/>
      <c r="AA202" s="55"/>
      <c r="AB202" s="55"/>
      <c r="AI202" s="55"/>
      <c r="AJ202" s="56"/>
    </row>
    <row r="203" spans="1:36" ht="20.100000000000001" customHeight="1">
      <c r="A203" s="1"/>
      <c r="B203" s="868"/>
      <c r="C203" s="857">
        <f>J203-I203</f>
        <v>0</v>
      </c>
      <c r="D203" s="858"/>
      <c r="E203" s="196"/>
      <c r="F203" s="725"/>
      <c r="G203" s="179"/>
      <c r="H203" s="188"/>
      <c r="I203" s="181"/>
      <c r="J203" s="181"/>
      <c r="K203" s="182"/>
      <c r="L203" s="552"/>
      <c r="M203" s="558"/>
      <c r="N203" s="63" t="str">
        <f>IF(J203="","",J203-$B$3)</f>
        <v/>
      </c>
      <c r="O203" s="150"/>
      <c r="P203" s="218"/>
      <c r="Z203" s="55"/>
      <c r="AA203" s="55"/>
      <c r="AB203" s="55"/>
      <c r="AI203" s="55"/>
      <c r="AJ203" s="56"/>
    </row>
    <row r="204" spans="1:36" ht="20.100000000000001" customHeight="1">
      <c r="A204" s="1"/>
      <c r="B204" s="868"/>
      <c r="C204" s="857">
        <f>J204-I204</f>
        <v>0</v>
      </c>
      <c r="D204" s="858"/>
      <c r="E204" s="196"/>
      <c r="F204" s="733"/>
      <c r="G204" s="788"/>
      <c r="H204" s="188"/>
      <c r="I204" s="211"/>
      <c r="J204" s="211"/>
      <c r="K204" s="182"/>
      <c r="L204" s="552"/>
      <c r="M204" s="553"/>
      <c r="N204" s="63" t="str">
        <f>IF(J204="","",J204-$B$3)</f>
        <v/>
      </c>
      <c r="O204" s="150"/>
      <c r="P204" s="218"/>
      <c r="Z204" s="55"/>
      <c r="AA204" s="55"/>
      <c r="AB204" s="55"/>
      <c r="AI204" s="55"/>
      <c r="AJ204" s="56"/>
    </row>
    <row r="205" spans="1:36" ht="20.100000000000001" customHeight="1">
      <c r="A205" s="1"/>
      <c r="B205" s="176" t="s">
        <v>97</v>
      </c>
      <c r="C205" s="859" t="s">
        <v>87</v>
      </c>
      <c r="D205" s="859"/>
      <c r="E205" s="945" t="s">
        <v>88</v>
      </c>
      <c r="F205" s="945"/>
      <c r="G205" s="728" t="s">
        <v>89</v>
      </c>
      <c r="H205" s="728" t="s">
        <v>90</v>
      </c>
      <c r="I205" s="728" t="s">
        <v>690</v>
      </c>
      <c r="J205" s="728" t="s">
        <v>142</v>
      </c>
      <c r="K205" s="728" t="s">
        <v>93</v>
      </c>
      <c r="L205" s="728" t="s">
        <v>94</v>
      </c>
      <c r="M205" s="728" t="s">
        <v>95</v>
      </c>
      <c r="N205" s="63"/>
      <c r="O205" s="150">
        <f>K129</f>
        <v>0</v>
      </c>
      <c r="P205" s="184" t="b">
        <f>O205=SUM(H206:H208)</f>
        <v>1</v>
      </c>
      <c r="Z205" s="55"/>
      <c r="AA205" s="55"/>
      <c r="AB205" s="55"/>
      <c r="AI205" s="55"/>
      <c r="AJ205" s="56"/>
    </row>
    <row r="206" spans="1:36" ht="20.100000000000001" customHeight="1">
      <c r="A206" s="172"/>
      <c r="B206" s="867">
        <f>SUM(H206:H208)</f>
        <v>0</v>
      </c>
      <c r="C206" s="857">
        <f>J206-I206</f>
        <v>0</v>
      </c>
      <c r="D206" s="858"/>
      <c r="E206" s="196"/>
      <c r="F206" s="733"/>
      <c r="G206" s="179"/>
      <c r="H206" s="210"/>
      <c r="I206" s="211"/>
      <c r="J206" s="211"/>
      <c r="K206" s="182"/>
      <c r="L206" s="552"/>
      <c r="M206" s="230"/>
      <c r="N206" s="63" t="str">
        <f>IF(J206="","",J206-$B$3)</f>
        <v/>
      </c>
      <c r="O206" s="231"/>
      <c r="P206" s="232"/>
      <c r="Z206" s="55"/>
      <c r="AA206" s="55"/>
      <c r="AB206" s="55"/>
      <c r="AI206" s="55"/>
      <c r="AJ206" s="56"/>
    </row>
    <row r="207" spans="1:36" ht="20.100000000000001" customHeight="1">
      <c r="A207" s="1"/>
      <c r="B207" s="868"/>
      <c r="C207" s="857">
        <f>J207-I207</f>
        <v>0</v>
      </c>
      <c r="D207" s="858"/>
      <c r="E207" s="196"/>
      <c r="F207" s="733"/>
      <c r="G207" s="210"/>
      <c r="H207" s="212"/>
      <c r="I207" s="211"/>
      <c r="J207" s="211"/>
      <c r="K207" s="182"/>
      <c r="L207" s="552"/>
      <c r="M207" s="558"/>
      <c r="N207" s="63" t="str">
        <f>IF(J207="","",J207-$B$3)</f>
        <v/>
      </c>
      <c r="O207" s="150"/>
      <c r="P207" s="218"/>
      <c r="Z207" s="55"/>
      <c r="AA207" s="55"/>
      <c r="AB207" s="55"/>
      <c r="AI207" s="55"/>
      <c r="AJ207" s="56"/>
    </row>
    <row r="208" spans="1:36" ht="20.100000000000001" customHeight="1">
      <c r="A208" s="1"/>
      <c r="B208" s="869"/>
      <c r="C208" s="864">
        <f>J208-I208</f>
        <v>0</v>
      </c>
      <c r="D208" s="865"/>
      <c r="E208" s="196"/>
      <c r="F208" s="733"/>
      <c r="G208" s="210"/>
      <c r="H208" s="212"/>
      <c r="I208" s="211"/>
      <c r="J208" s="211"/>
      <c r="K208" s="182"/>
      <c r="L208" s="552"/>
      <c r="M208" s="558"/>
      <c r="N208" s="63" t="str">
        <f>IF(J208="","",J208-$B$3)</f>
        <v/>
      </c>
      <c r="O208" s="150"/>
      <c r="P208" s="218"/>
      <c r="Z208" s="55"/>
      <c r="AA208" s="55"/>
      <c r="AB208" s="55"/>
      <c r="AI208" s="55"/>
      <c r="AJ208" s="56"/>
    </row>
    <row r="209" spans="1:51" s="19" customFormat="1" ht="20.100000000000001" customHeight="1">
      <c r="A209" s="1"/>
      <c r="B209" s="199"/>
      <c r="C209" s="199"/>
      <c r="D209" s="199"/>
      <c r="E209" s="199"/>
      <c r="F209" s="105"/>
      <c r="G209" s="201"/>
      <c r="H209" s="202"/>
      <c r="I209" s="557"/>
      <c r="J209" s="203"/>
      <c r="K209" s="203"/>
      <c r="L209" s="556"/>
      <c r="M209" s="557"/>
      <c r="N209" s="205"/>
      <c r="O209" s="150"/>
      <c r="P209" s="218"/>
      <c r="Q209" s="4"/>
      <c r="R209" s="4"/>
      <c r="S209" s="4"/>
      <c r="T209" s="4"/>
      <c r="U209" s="4"/>
      <c r="V209" s="4"/>
      <c r="W209" s="4"/>
      <c r="X209" s="4"/>
      <c r="Y209" s="4"/>
      <c r="Z209" s="55"/>
      <c r="AA209" s="55"/>
      <c r="AB209" s="55"/>
      <c r="AC209" s="4"/>
      <c r="AD209" s="4"/>
      <c r="AE209" s="4"/>
      <c r="AF209" s="4"/>
      <c r="AG209" s="4"/>
      <c r="AH209" s="4"/>
      <c r="AI209" s="55"/>
      <c r="AJ209" s="56"/>
      <c r="AK209" s="4"/>
      <c r="AL209" s="4"/>
      <c r="AM209" s="4"/>
      <c r="AN209" s="4"/>
      <c r="AO209" s="4"/>
      <c r="AP209" s="4"/>
      <c r="AQ209" s="4"/>
      <c r="AR209" s="4"/>
      <c r="AS209" s="4"/>
      <c r="AT209" s="4"/>
      <c r="AU209" s="4"/>
      <c r="AV209" s="4"/>
      <c r="AW209" s="4"/>
      <c r="AX209" s="4"/>
      <c r="AY209" s="4"/>
    </row>
    <row r="210" spans="1:51" ht="20.100000000000001" customHeight="1">
      <c r="A210" s="1"/>
      <c r="B210" s="862" t="s">
        <v>105</v>
      </c>
      <c r="C210" s="862"/>
      <c r="D210" s="862"/>
      <c r="E210" s="233" t="s">
        <v>106</v>
      </c>
      <c r="F210" s="206"/>
      <c r="G210" s="694" t="s">
        <v>490</v>
      </c>
      <c r="H210" s="10"/>
      <c r="I210" s="173"/>
      <c r="J210" s="10"/>
      <c r="K210" s="10"/>
      <c r="L210" s="10"/>
      <c r="M210" s="174" t="s">
        <v>85</v>
      </c>
      <c r="P210" s="218"/>
      <c r="Q210" s="19"/>
      <c r="R210" s="19"/>
      <c r="S210" s="19"/>
      <c r="Z210" s="55"/>
      <c r="AA210" s="55"/>
      <c r="AB210" s="55"/>
      <c r="AI210" s="55"/>
      <c r="AJ210" s="56"/>
      <c r="AK210" s="19"/>
      <c r="AL210" s="19"/>
      <c r="AM210" s="19"/>
      <c r="AN210" s="19"/>
      <c r="AO210" s="19"/>
      <c r="AP210" s="19"/>
      <c r="AQ210" s="19"/>
      <c r="AR210" s="19"/>
      <c r="AS210" s="19"/>
      <c r="AT210" s="19"/>
      <c r="AU210" s="19"/>
      <c r="AV210" s="19"/>
      <c r="AW210" s="19"/>
      <c r="AX210" s="19"/>
      <c r="AY210" s="19"/>
    </row>
    <row r="211" spans="1:51" ht="20.100000000000001" customHeight="1">
      <c r="A211" s="1"/>
      <c r="B211" s="176" t="s">
        <v>530</v>
      </c>
      <c r="C211" s="859" t="s">
        <v>87</v>
      </c>
      <c r="D211" s="859"/>
      <c r="E211" s="859" t="s">
        <v>88</v>
      </c>
      <c r="F211" s="859"/>
      <c r="G211" s="779" t="s">
        <v>89</v>
      </c>
      <c r="H211" s="779" t="s">
        <v>90</v>
      </c>
      <c r="I211" s="779" t="s">
        <v>690</v>
      </c>
      <c r="J211" s="779" t="s">
        <v>142</v>
      </c>
      <c r="K211" s="779" t="s">
        <v>93</v>
      </c>
      <c r="L211" s="779" t="s">
        <v>94</v>
      </c>
      <c r="M211" s="779" t="s">
        <v>529</v>
      </c>
      <c r="N211" s="175"/>
      <c r="O211" s="3">
        <f>IFERROR(VLOOKUP(10511,#REF!,3,FALSE)/1000000,0)+IFERROR(VLOOKUP(10512,#REF!,3,FALSE)/1000000,0)-O214-O221</f>
        <v>0</v>
      </c>
      <c r="P211" s="184" t="b">
        <f>O211=B212</f>
        <v>1</v>
      </c>
      <c r="Q211" s="234"/>
      <c r="Z211" s="55"/>
      <c r="AA211" s="55"/>
      <c r="AB211" s="55"/>
      <c r="AI211" s="55"/>
      <c r="AJ211" s="56"/>
    </row>
    <row r="212" spans="1:51" ht="20.100000000000001" customHeight="1">
      <c r="A212" s="1"/>
      <c r="B212" s="860">
        <f>SUM(H212:H213)</f>
        <v>0</v>
      </c>
      <c r="C212" s="857">
        <f>J212-I212</f>
        <v>0</v>
      </c>
      <c r="D212" s="858"/>
      <c r="E212" s="190"/>
      <c r="F212" s="787"/>
      <c r="G212" s="192"/>
      <c r="H212" s="247"/>
      <c r="I212" s="235"/>
      <c r="J212" s="235"/>
      <c r="K212" s="194"/>
      <c r="L212" s="560"/>
      <c r="M212" s="502"/>
      <c r="N212" s="63" t="str">
        <f>IF(J212="","",J212-$B$3)</f>
        <v/>
      </c>
      <c r="P212" s="234"/>
      <c r="R212" s="195"/>
      <c r="S212" s="195"/>
      <c r="T212" s="195"/>
      <c r="Z212" s="55"/>
      <c r="AA212" s="55"/>
      <c r="AB212" s="55"/>
      <c r="AI212" s="55"/>
      <c r="AJ212" s="56"/>
    </row>
    <row r="213" spans="1:51" ht="20.100000000000001" customHeight="1">
      <c r="A213" s="1"/>
      <c r="B213" s="861"/>
      <c r="C213" s="857">
        <f>J213-I213</f>
        <v>0</v>
      </c>
      <c r="D213" s="858"/>
      <c r="E213" s="196"/>
      <c r="F213" s="780"/>
      <c r="G213" s="179"/>
      <c r="H213" s="210"/>
      <c r="I213" s="211"/>
      <c r="J213" s="211"/>
      <c r="K213" s="182"/>
      <c r="L213" s="182"/>
      <c r="M213" s="502"/>
      <c r="N213" s="63" t="str">
        <f>IF(J213="","",J213-$B$3)</f>
        <v/>
      </c>
      <c r="O213" s="121"/>
      <c r="P213" s="240"/>
      <c r="Q213" s="195"/>
      <c r="R213" s="195"/>
      <c r="S213" s="195"/>
      <c r="T213" s="195"/>
      <c r="Z213" s="55"/>
      <c r="AA213" s="55"/>
      <c r="AB213" s="55"/>
      <c r="AI213" s="55"/>
      <c r="AJ213" s="56"/>
    </row>
    <row r="214" spans="1:51" ht="20.100000000000001" customHeight="1">
      <c r="A214" s="1"/>
      <c r="B214" s="176" t="s">
        <v>83</v>
      </c>
      <c r="C214" s="859" t="s">
        <v>87</v>
      </c>
      <c r="D214" s="859"/>
      <c r="E214" s="859" t="s">
        <v>88</v>
      </c>
      <c r="F214" s="859"/>
      <c r="G214" s="713" t="s">
        <v>89</v>
      </c>
      <c r="H214" s="713" t="s">
        <v>90</v>
      </c>
      <c r="I214" s="713" t="s">
        <v>690</v>
      </c>
      <c r="J214" s="713" t="s">
        <v>142</v>
      </c>
      <c r="K214" s="713" t="s">
        <v>93</v>
      </c>
      <c r="L214" s="713" t="s">
        <v>94</v>
      </c>
      <c r="M214" s="713" t="s">
        <v>107</v>
      </c>
      <c r="N214" s="175"/>
      <c r="O214" s="3">
        <f>IFERROR(VLOOKUP(10512,#REF!,3,FALSE)/1000000,0)</f>
        <v>0</v>
      </c>
      <c r="P214" s="184" t="b">
        <f>O214=B215</f>
        <v>0</v>
      </c>
      <c r="Q214" s="234" t="s">
        <v>108</v>
      </c>
      <c r="S214" s="234" t="s">
        <v>109</v>
      </c>
      <c r="Z214" s="55"/>
      <c r="AA214" s="55"/>
      <c r="AB214" s="55"/>
      <c r="AI214" s="55"/>
      <c r="AJ214" s="56"/>
    </row>
    <row r="215" spans="1:51" ht="20.100000000000001" customHeight="1">
      <c r="A215" s="1"/>
      <c r="B215" s="860">
        <f>SUM(H215:H220)</f>
        <v>11.670000000000002</v>
      </c>
      <c r="C215" s="857">
        <f t="shared" ref="C215:C220" si="26">J215-I215</f>
        <v>90</v>
      </c>
      <c r="D215" s="858"/>
      <c r="E215" s="196" t="s">
        <v>483</v>
      </c>
      <c r="F215" s="841"/>
      <c r="G215" s="179">
        <v>3</v>
      </c>
      <c r="H215" s="188">
        <v>3</v>
      </c>
      <c r="I215" s="211">
        <v>46078</v>
      </c>
      <c r="J215" s="211">
        <v>46168</v>
      </c>
      <c r="K215" s="182">
        <v>3.5000000000000003E-2</v>
      </c>
      <c r="L215" s="559" t="s">
        <v>110</v>
      </c>
      <c r="M215" s="502"/>
      <c r="N215" s="63">
        <f t="shared" ref="N215:N220" si="27">IF(J215="","",J215-$B$3)</f>
        <v>57</v>
      </c>
      <c r="P215" s="41"/>
      <c r="Q215" s="236"/>
      <c r="R215" s="195"/>
      <c r="S215" s="195"/>
      <c r="Z215" s="55"/>
      <c r="AA215" s="55"/>
      <c r="AB215" s="55"/>
      <c r="AI215" s="55"/>
      <c r="AJ215" s="56"/>
    </row>
    <row r="216" spans="1:51" ht="20.100000000000001" customHeight="1">
      <c r="A216" s="237"/>
      <c r="B216" s="863"/>
      <c r="C216" s="857">
        <f t="shared" si="26"/>
        <v>181</v>
      </c>
      <c r="D216" s="858"/>
      <c r="E216" s="196" t="s">
        <v>475</v>
      </c>
      <c r="F216" s="841"/>
      <c r="G216" s="179" t="s">
        <v>599</v>
      </c>
      <c r="H216" s="188">
        <f>IF(LEFT(G216,3)="CNY",_xlfn.NUMBERVALUE(RIGHT(G216,3))*$P$4,G216)</f>
        <v>1.4449999999999998</v>
      </c>
      <c r="I216" s="211">
        <v>46059</v>
      </c>
      <c r="J216" s="211">
        <v>46240</v>
      </c>
      <c r="K216" s="182">
        <v>1.5900000000000001E-2</v>
      </c>
      <c r="L216" s="559" t="s">
        <v>110</v>
      </c>
      <c r="M216" s="502"/>
      <c r="N216" s="63">
        <f t="shared" si="27"/>
        <v>129</v>
      </c>
      <c r="P216" s="41"/>
      <c r="Q216" s="236"/>
      <c r="R216" s="238"/>
      <c r="S216" s="195"/>
      <c r="Z216" s="55"/>
      <c r="AA216" s="55"/>
      <c r="AB216" s="55"/>
      <c r="AI216" s="55"/>
      <c r="AJ216" s="56"/>
    </row>
    <row r="217" spans="1:51" ht="20.100000000000001" customHeight="1">
      <c r="A217" s="1"/>
      <c r="B217" s="863"/>
      <c r="C217" s="857">
        <f t="shared" si="26"/>
        <v>273</v>
      </c>
      <c r="D217" s="858"/>
      <c r="E217" s="196" t="s">
        <v>580</v>
      </c>
      <c r="F217" s="841"/>
      <c r="G217" s="179" t="s">
        <v>489</v>
      </c>
      <c r="H217" s="188">
        <f>IF(LEFT(G217,3)="CNY",_xlfn.NUMBERVALUE(RIGHT(G217,3))*$P$4,G217)</f>
        <v>3.6124999999999998</v>
      </c>
      <c r="I217" s="211">
        <v>46015</v>
      </c>
      <c r="J217" s="211">
        <v>46288</v>
      </c>
      <c r="K217" s="182">
        <v>1.6299999999999999E-2</v>
      </c>
      <c r="L217" s="559" t="s">
        <v>110</v>
      </c>
      <c r="M217" s="502"/>
      <c r="N217" s="63">
        <f t="shared" si="27"/>
        <v>177</v>
      </c>
      <c r="P217" s="41"/>
      <c r="Q217" s="195"/>
      <c r="R217" s="238"/>
      <c r="S217" s="195"/>
      <c r="Z217" s="55"/>
      <c r="AA217" s="55"/>
      <c r="AB217" s="55"/>
      <c r="AI217" s="55"/>
      <c r="AJ217" s="56"/>
    </row>
    <row r="218" spans="1:51" ht="20.100000000000001" customHeight="1">
      <c r="A218" s="1"/>
      <c r="B218" s="863"/>
      <c r="C218" s="857">
        <f t="shared" si="26"/>
        <v>365</v>
      </c>
      <c r="D218" s="858"/>
      <c r="E218" s="196" t="s">
        <v>580</v>
      </c>
      <c r="F218" s="841"/>
      <c r="G218" s="179" t="s">
        <v>489</v>
      </c>
      <c r="H218" s="188">
        <f>IF(LEFT(G218,3)="CNY",_xlfn.NUMBERVALUE(RIGHT(G218,3))*$P$4,G218)</f>
        <v>3.6124999999999998</v>
      </c>
      <c r="I218" s="211">
        <v>46104</v>
      </c>
      <c r="J218" s="211">
        <v>46469</v>
      </c>
      <c r="K218" s="182">
        <v>1.52E-2</v>
      </c>
      <c r="L218" s="559" t="s">
        <v>110</v>
      </c>
      <c r="M218" s="502"/>
      <c r="N218" s="63">
        <f t="shared" si="27"/>
        <v>358</v>
      </c>
      <c r="R218" s="195"/>
      <c r="S218" s="195"/>
      <c r="Z218" s="55"/>
      <c r="AA218" s="55"/>
      <c r="AB218" s="55"/>
      <c r="AI218" s="55"/>
      <c r="AJ218" s="56"/>
    </row>
    <row r="219" spans="1:51" ht="20.100000000000001" customHeight="1">
      <c r="A219" s="1"/>
      <c r="B219" s="863"/>
      <c r="C219" s="857">
        <f t="shared" si="26"/>
        <v>0</v>
      </c>
      <c r="D219" s="858"/>
      <c r="E219" s="196"/>
      <c r="F219" s="796"/>
      <c r="G219" s="179"/>
      <c r="H219" s="188"/>
      <c r="I219" s="211"/>
      <c r="J219" s="211"/>
      <c r="K219" s="182"/>
      <c r="L219" s="559"/>
      <c r="M219" s="502"/>
      <c r="N219" s="63"/>
      <c r="R219" s="195"/>
      <c r="S219" s="195"/>
      <c r="Z219" s="55"/>
      <c r="AA219" s="55"/>
      <c r="AB219" s="55"/>
      <c r="AI219" s="55"/>
      <c r="AJ219" s="56"/>
    </row>
    <row r="220" spans="1:51" ht="20.100000000000001" customHeight="1">
      <c r="A220" s="1"/>
      <c r="B220" s="863"/>
      <c r="C220" s="857">
        <f t="shared" si="26"/>
        <v>0</v>
      </c>
      <c r="D220" s="858"/>
      <c r="E220" s="196"/>
      <c r="F220" s="780"/>
      <c r="G220" s="179"/>
      <c r="H220" s="188"/>
      <c r="I220" s="211"/>
      <c r="J220" s="211"/>
      <c r="K220" s="182"/>
      <c r="L220" s="560"/>
      <c r="M220" s="502"/>
      <c r="N220" s="63" t="str">
        <f t="shared" si="27"/>
        <v/>
      </c>
      <c r="P220" s="239"/>
      <c r="Q220" s="195"/>
      <c r="R220" s="238"/>
      <c r="S220" s="195"/>
      <c r="T220" s="195"/>
      <c r="Z220" s="55"/>
      <c r="AA220" s="55"/>
      <c r="AB220" s="55"/>
      <c r="AI220" s="55"/>
      <c r="AJ220" s="56"/>
    </row>
    <row r="221" spans="1:51" ht="20.100000000000001" customHeight="1">
      <c r="A221" s="1"/>
      <c r="B221" s="176" t="s">
        <v>97</v>
      </c>
      <c r="C221" s="859" t="s">
        <v>87</v>
      </c>
      <c r="D221" s="859"/>
      <c r="E221" s="859" t="s">
        <v>88</v>
      </c>
      <c r="F221" s="859"/>
      <c r="G221" s="713" t="s">
        <v>89</v>
      </c>
      <c r="H221" s="713" t="s">
        <v>90</v>
      </c>
      <c r="I221" s="713" t="s">
        <v>690</v>
      </c>
      <c r="J221" s="713" t="s">
        <v>142</v>
      </c>
      <c r="K221" s="713" t="s">
        <v>93</v>
      </c>
      <c r="L221" s="713" t="s">
        <v>94</v>
      </c>
      <c r="M221" s="713" t="s">
        <v>107</v>
      </c>
      <c r="N221" s="175"/>
      <c r="O221" s="3">
        <f>IFERROR(VLOOKUP(10512,#REF!,3,FALSE)/1000000,0)</f>
        <v>0</v>
      </c>
      <c r="P221" s="184" t="b">
        <f>O221=B222</f>
        <v>1</v>
      </c>
      <c r="Q221" s="234"/>
      <c r="Z221" s="55"/>
      <c r="AA221" s="55"/>
      <c r="AB221" s="55"/>
      <c r="AI221" s="55"/>
      <c r="AJ221" s="56"/>
    </row>
    <row r="222" spans="1:51" ht="20.100000000000001" customHeight="1">
      <c r="A222" s="1"/>
      <c r="B222" s="860">
        <f>SUM(H222:H223)</f>
        <v>0</v>
      </c>
      <c r="C222" s="857">
        <f>J222-I222</f>
        <v>0</v>
      </c>
      <c r="D222" s="858"/>
      <c r="E222" s="196"/>
      <c r="F222" s="780"/>
      <c r="G222" s="179"/>
      <c r="H222" s="210"/>
      <c r="I222" s="211"/>
      <c r="J222" s="211"/>
      <c r="K222" s="182"/>
      <c r="L222" s="552"/>
      <c r="M222" s="502"/>
      <c r="N222" s="63" t="str">
        <f>IF(J222="","",J222-$B$3)</f>
        <v/>
      </c>
      <c r="P222" s="234"/>
      <c r="R222" s="195"/>
      <c r="S222" s="195"/>
      <c r="T222" s="195"/>
      <c r="Z222" s="55"/>
      <c r="AA222" s="55"/>
      <c r="AB222" s="55"/>
      <c r="AI222" s="55"/>
      <c r="AJ222" s="56"/>
    </row>
    <row r="223" spans="1:51" ht="20.100000000000001" customHeight="1">
      <c r="A223" s="1"/>
      <c r="B223" s="861"/>
      <c r="C223" s="857">
        <f>J223-I223</f>
        <v>0</v>
      </c>
      <c r="D223" s="858"/>
      <c r="E223" s="196"/>
      <c r="F223" s="780"/>
      <c r="G223" s="179"/>
      <c r="H223" s="210"/>
      <c r="I223" s="211"/>
      <c r="J223" s="211"/>
      <c r="K223" s="182"/>
      <c r="L223" s="182"/>
      <c r="M223" s="502"/>
      <c r="N223" s="63" t="str">
        <f>IF(J223="","",J223-$B$3)</f>
        <v/>
      </c>
      <c r="O223" s="121"/>
      <c r="P223" s="240"/>
      <c r="Q223" s="195"/>
      <c r="R223" s="195"/>
      <c r="S223" s="195"/>
      <c r="T223" s="195"/>
      <c r="Z223" s="55"/>
      <c r="AA223" s="55"/>
      <c r="AB223" s="55"/>
      <c r="AI223" s="55"/>
      <c r="AJ223" s="56"/>
    </row>
    <row r="224" spans="1:51" s="19" customFormat="1" ht="20.100000000000001" customHeight="1">
      <c r="A224" s="1"/>
      <c r="B224" s="241"/>
      <c r="C224" s="199"/>
      <c r="D224" s="199"/>
      <c r="E224" s="199"/>
      <c r="F224" s="105"/>
      <c r="G224" s="201"/>
      <c r="H224" s="202"/>
      <c r="I224" s="557"/>
      <c r="J224" s="203"/>
      <c r="K224" s="203"/>
      <c r="L224" s="556"/>
      <c r="M224" s="557"/>
      <c r="N224" s="242"/>
      <c r="O224" s="150"/>
      <c r="P224" s="243"/>
      <c r="Q224" s="4"/>
      <c r="R224" s="4"/>
      <c r="S224" s="4"/>
      <c r="T224" s="4"/>
      <c r="U224" s="4"/>
      <c r="V224" s="4"/>
      <c r="W224" s="4"/>
      <c r="X224" s="4"/>
      <c r="Y224" s="4"/>
      <c r="Z224" s="55"/>
      <c r="AA224" s="55"/>
      <c r="AB224" s="55"/>
      <c r="AC224" s="4"/>
      <c r="AD224" s="4"/>
      <c r="AE224" s="4"/>
      <c r="AF224" s="4"/>
      <c r="AG224" s="4"/>
      <c r="AH224" s="4"/>
      <c r="AI224" s="55"/>
      <c r="AJ224" s="56"/>
      <c r="AK224" s="4"/>
      <c r="AL224" s="4"/>
      <c r="AM224" s="4"/>
      <c r="AN224" s="4"/>
      <c r="AO224" s="4"/>
      <c r="AP224" s="4"/>
      <c r="AQ224" s="4"/>
      <c r="AR224" s="4"/>
      <c r="AS224" s="4"/>
      <c r="AT224" s="4"/>
      <c r="AU224" s="4"/>
      <c r="AV224" s="4"/>
      <c r="AW224" s="4"/>
      <c r="AX224" s="4"/>
      <c r="AY224" s="4"/>
    </row>
    <row r="225" spans="1:36" s="19" customFormat="1" ht="20.100000000000001" customHeight="1">
      <c r="A225" s="1"/>
      <c r="B225" s="862" t="s">
        <v>111</v>
      </c>
      <c r="C225" s="862"/>
      <c r="D225" s="862"/>
      <c r="E225" s="206"/>
      <c r="F225" s="206"/>
      <c r="G225" s="10"/>
      <c r="H225" s="10"/>
      <c r="I225" s="173"/>
      <c r="J225" s="11"/>
      <c r="K225" s="11"/>
      <c r="L225" s="10"/>
      <c r="M225" s="174"/>
      <c r="N225" s="242"/>
      <c r="O225" s="3" t="e">
        <f>K83</f>
        <v>#REF!</v>
      </c>
      <c r="P225" s="242"/>
      <c r="Q225" s="175"/>
      <c r="R225" s="244"/>
      <c r="S225" s="244"/>
      <c r="T225" s="4"/>
      <c r="U225" s="4"/>
      <c r="V225" s="4"/>
      <c r="W225" s="4"/>
      <c r="X225" s="4"/>
      <c r="Y225" s="4"/>
      <c r="Z225" s="55"/>
      <c r="AA225" s="55"/>
      <c r="AB225" s="55"/>
      <c r="AC225" s="4"/>
      <c r="AD225" s="4"/>
      <c r="AE225" s="4"/>
      <c r="AF225" s="4"/>
      <c r="AG225" s="4"/>
      <c r="AH225" s="4"/>
      <c r="AI225" s="55"/>
      <c r="AJ225" s="56"/>
    </row>
    <row r="226" spans="1:36" s="19" customFormat="1" ht="20.100000000000001" customHeight="1">
      <c r="A226" s="1"/>
      <c r="B226" s="176" t="s">
        <v>86</v>
      </c>
      <c r="C226" s="891" t="s">
        <v>87</v>
      </c>
      <c r="D226" s="892"/>
      <c r="E226" s="891" t="s">
        <v>88</v>
      </c>
      <c r="F226" s="892"/>
      <c r="G226" s="722" t="s">
        <v>89</v>
      </c>
      <c r="H226" s="713" t="s">
        <v>90</v>
      </c>
      <c r="I226" s="713" t="s">
        <v>690</v>
      </c>
      <c r="J226" s="713" t="s">
        <v>142</v>
      </c>
      <c r="K226" s="713" t="s">
        <v>93</v>
      </c>
      <c r="L226" s="713" t="s">
        <v>94</v>
      </c>
      <c r="M226" s="713" t="s">
        <v>95</v>
      </c>
      <c r="N226" s="242"/>
      <c r="O226" s="245" t="e">
        <f>O225-O238-O252</f>
        <v>#REF!</v>
      </c>
      <c r="P226" s="218" t="e">
        <f>ROUND(O226,5)=ROUND(B227,5)</f>
        <v>#REF!</v>
      </c>
      <c r="T226" s="4"/>
      <c r="U226" s="4"/>
      <c r="V226" s="4"/>
      <c r="W226" s="4"/>
      <c r="X226" s="4"/>
      <c r="Y226" s="4"/>
      <c r="Z226" s="55"/>
      <c r="AA226" s="55"/>
      <c r="AB226" s="55"/>
      <c r="AC226" s="4"/>
      <c r="AD226" s="4"/>
      <c r="AE226" s="4"/>
      <c r="AF226" s="4"/>
      <c r="AG226" s="4"/>
      <c r="AH226" s="4"/>
      <c r="AI226" s="55"/>
      <c r="AJ226" s="56"/>
    </row>
    <row r="227" spans="1:36" s="19" customFormat="1" ht="20.100000000000001" customHeight="1">
      <c r="A227" s="1"/>
      <c r="B227" s="860">
        <f>SUM(H227:H237)</f>
        <v>10</v>
      </c>
      <c r="C227" s="866">
        <f t="shared" ref="C227" si="28">J227-I227</f>
        <v>1</v>
      </c>
      <c r="D227" s="866"/>
      <c r="E227" s="750" t="s">
        <v>748</v>
      </c>
      <c r="F227" s="751"/>
      <c r="G227" s="179">
        <v>10</v>
      </c>
      <c r="H227" s="179">
        <f>G227</f>
        <v>10</v>
      </c>
      <c r="I227" s="181">
        <v>46111</v>
      </c>
      <c r="J227" s="181">
        <v>46112</v>
      </c>
      <c r="K227" s="182">
        <v>3.6299999999999999E-2</v>
      </c>
      <c r="L227" s="560" t="s">
        <v>749</v>
      </c>
      <c r="M227" s="553"/>
      <c r="N227" s="63">
        <f t="shared" ref="N227:N233" si="29">IF(J227="","",J227-$B$3)</f>
        <v>1</v>
      </c>
      <c r="O227" s="150"/>
      <c r="P227" s="218"/>
      <c r="T227" s="19" t="s">
        <v>112</v>
      </c>
      <c r="U227" s="19" t="s">
        <v>113</v>
      </c>
      <c r="V227" s="19" t="s">
        <v>114</v>
      </c>
      <c r="W227" s="19" t="s">
        <v>115</v>
      </c>
      <c r="X227" s="19" t="s">
        <v>116</v>
      </c>
      <c r="Y227" s="19">
        <v>10118</v>
      </c>
      <c r="Z227" s="185">
        <v>39755</v>
      </c>
      <c r="AA227" s="185">
        <v>39755</v>
      </c>
      <c r="AB227" s="185">
        <v>43407</v>
      </c>
      <c r="AC227" s="19" t="s">
        <v>117</v>
      </c>
      <c r="AD227" s="19">
        <v>4864260.43</v>
      </c>
      <c r="AE227" s="19">
        <v>0.9</v>
      </c>
      <c r="AF227" s="19" t="s">
        <v>118</v>
      </c>
      <c r="AG227" s="19" t="s">
        <v>119</v>
      </c>
      <c r="AH227" s="19" t="s">
        <v>120</v>
      </c>
      <c r="AI227" s="185">
        <v>39755</v>
      </c>
      <c r="AJ227" s="186">
        <v>0.5081944444444445</v>
      </c>
    </row>
    <row r="228" spans="1:36" s="19" customFormat="1" ht="20.100000000000001" customHeight="1">
      <c r="A228" s="1"/>
      <c r="B228" s="863"/>
      <c r="C228" s="866">
        <f t="shared" ref="C228" si="30">J228-I228</f>
        <v>0</v>
      </c>
      <c r="D228" s="866"/>
      <c r="E228" s="750"/>
      <c r="F228" s="751"/>
      <c r="G228" s="179"/>
      <c r="H228" s="179"/>
      <c r="I228" s="181"/>
      <c r="J228" s="181"/>
      <c r="K228" s="182"/>
      <c r="L228" s="560"/>
      <c r="M228" s="553"/>
      <c r="N228" s="63" t="str">
        <f t="shared" si="29"/>
        <v/>
      </c>
      <c r="O228" s="150"/>
      <c r="P228" s="218"/>
    </row>
    <row r="229" spans="1:36" s="19" customFormat="1" ht="20.100000000000001" customHeight="1">
      <c r="A229" s="1"/>
      <c r="B229" s="863"/>
      <c r="C229" s="866">
        <f t="shared" ref="C229:C237" si="31">J229-I229</f>
        <v>0</v>
      </c>
      <c r="D229" s="866"/>
      <c r="E229" s="750"/>
      <c r="F229" s="751"/>
      <c r="G229" s="179"/>
      <c r="H229" s="179"/>
      <c r="I229" s="181"/>
      <c r="J229" s="181"/>
      <c r="K229" s="182"/>
      <c r="L229" s="560"/>
      <c r="M229" s="502"/>
      <c r="N229" s="63" t="str">
        <f t="shared" si="29"/>
        <v/>
      </c>
      <c r="O229" s="150"/>
      <c r="P229" s="218"/>
    </row>
    <row r="230" spans="1:36" s="19" customFormat="1" ht="20.100000000000001" customHeight="1">
      <c r="A230" s="1"/>
      <c r="B230" s="863"/>
      <c r="C230" s="866">
        <f t="shared" si="31"/>
        <v>0</v>
      </c>
      <c r="D230" s="866"/>
      <c r="E230" s="750"/>
      <c r="F230" s="751"/>
      <c r="G230" s="179"/>
      <c r="H230" s="814"/>
      <c r="I230" s="181"/>
      <c r="J230" s="181"/>
      <c r="K230" s="182"/>
      <c r="L230" s="560"/>
      <c r="M230" s="553"/>
      <c r="N230" s="63" t="str">
        <f t="shared" si="29"/>
        <v/>
      </c>
      <c r="O230" s="150"/>
      <c r="P230" s="218"/>
    </row>
    <row r="231" spans="1:36" s="19" customFormat="1" ht="20.100000000000001" customHeight="1">
      <c r="A231" s="1"/>
      <c r="B231" s="863"/>
      <c r="C231" s="866">
        <f t="shared" ref="C231:C232" si="32">J231-I231</f>
        <v>0</v>
      </c>
      <c r="D231" s="866"/>
      <c r="E231" s="750"/>
      <c r="F231" s="751"/>
      <c r="G231" s="179"/>
      <c r="H231" s="814"/>
      <c r="I231" s="181"/>
      <c r="J231" s="181"/>
      <c r="K231" s="182"/>
      <c r="L231" s="560"/>
      <c r="M231" s="502"/>
      <c r="N231" s="63" t="str">
        <f t="shared" si="29"/>
        <v/>
      </c>
      <c r="O231" s="150"/>
      <c r="P231" s="218"/>
    </row>
    <row r="232" spans="1:36" s="19" customFormat="1" ht="20.100000000000001" customHeight="1">
      <c r="A232" s="1"/>
      <c r="B232" s="863"/>
      <c r="C232" s="866">
        <f t="shared" si="32"/>
        <v>0</v>
      </c>
      <c r="D232" s="866"/>
      <c r="E232" s="750"/>
      <c r="F232" s="751"/>
      <c r="G232" s="179"/>
      <c r="H232" s="814"/>
      <c r="I232" s="181"/>
      <c r="J232" s="181"/>
      <c r="K232" s="182"/>
      <c r="L232" s="560"/>
      <c r="M232" s="553"/>
      <c r="N232" s="63" t="str">
        <f t="shared" si="29"/>
        <v/>
      </c>
      <c r="O232" s="150"/>
      <c r="P232" s="218"/>
    </row>
    <row r="233" spans="1:36" s="19" customFormat="1" ht="20.100000000000001" customHeight="1">
      <c r="A233" s="1"/>
      <c r="B233" s="863"/>
      <c r="C233" s="866">
        <f t="shared" si="31"/>
        <v>0</v>
      </c>
      <c r="D233" s="866"/>
      <c r="E233" s="750"/>
      <c r="F233" s="751"/>
      <c r="G233" s="179"/>
      <c r="H233" s="814"/>
      <c r="I233" s="181"/>
      <c r="J233" s="181"/>
      <c r="K233" s="182"/>
      <c r="L233" s="560"/>
      <c r="M233" s="502"/>
      <c r="N233" s="63" t="str">
        <f t="shared" si="29"/>
        <v/>
      </c>
      <c r="O233" s="150"/>
      <c r="P233" s="218"/>
    </row>
    <row r="234" spans="1:36" s="19" customFormat="1" ht="20.100000000000001" customHeight="1">
      <c r="A234" s="1"/>
      <c r="B234" s="863"/>
      <c r="C234" s="866">
        <f t="shared" ref="C234" si="33">J234-I234</f>
        <v>0</v>
      </c>
      <c r="D234" s="866"/>
      <c r="E234" s="750"/>
      <c r="F234" s="751"/>
      <c r="G234" s="179"/>
      <c r="H234" s="814"/>
      <c r="I234" s="181"/>
      <c r="J234" s="181"/>
      <c r="K234" s="182"/>
      <c r="L234" s="560"/>
      <c r="M234" s="502"/>
      <c r="N234" s="63"/>
      <c r="O234" s="150"/>
      <c r="P234" s="218"/>
    </row>
    <row r="235" spans="1:36" s="19" customFormat="1" ht="20.100000000000001" customHeight="1">
      <c r="A235" s="1"/>
      <c r="B235" s="863"/>
      <c r="C235" s="866">
        <f t="shared" ref="C235" si="34">J235-I235</f>
        <v>0</v>
      </c>
      <c r="D235" s="866"/>
      <c r="E235" s="190"/>
      <c r="F235" s="751"/>
      <c r="G235" s="179"/>
      <c r="H235" s="188"/>
      <c r="I235" s="181"/>
      <c r="J235" s="181"/>
      <c r="K235" s="182"/>
      <c r="L235" s="560"/>
      <c r="M235" s="502"/>
      <c r="N235" s="63"/>
      <c r="O235" s="150"/>
      <c r="P235" s="218"/>
    </row>
    <row r="236" spans="1:36" s="19" customFormat="1" ht="20.100000000000001" customHeight="1">
      <c r="A236" s="1"/>
      <c r="B236" s="863"/>
      <c r="C236" s="866">
        <f t="shared" ref="C236" si="35">J236-I236</f>
        <v>0</v>
      </c>
      <c r="D236" s="866"/>
      <c r="E236" s="190"/>
      <c r="F236" s="751"/>
      <c r="G236" s="179"/>
      <c r="H236" s="188"/>
      <c r="I236" s="181"/>
      <c r="J236" s="181"/>
      <c r="K236" s="182"/>
      <c r="L236" s="560"/>
      <c r="M236" s="502"/>
      <c r="N236" s="63" t="str">
        <f>IF(J236="","",J236-$B$3)</f>
        <v/>
      </c>
      <c r="O236" s="150"/>
      <c r="P236" s="218"/>
    </row>
    <row r="237" spans="1:36" s="19" customFormat="1" ht="20.100000000000001" customHeight="1">
      <c r="A237" s="1"/>
      <c r="B237" s="861"/>
      <c r="C237" s="866">
        <f t="shared" si="31"/>
        <v>0</v>
      </c>
      <c r="D237" s="866"/>
      <c r="E237" s="190"/>
      <c r="F237" s="751"/>
      <c r="G237" s="179"/>
      <c r="H237" s="188"/>
      <c r="I237" s="181"/>
      <c r="J237" s="181"/>
      <c r="K237" s="182"/>
      <c r="L237" s="560"/>
      <c r="M237" s="502"/>
      <c r="N237" s="63" t="str">
        <f>IF(J237="","",J237-$B$3)</f>
        <v/>
      </c>
      <c r="O237" s="150"/>
      <c r="P237" s="218"/>
    </row>
    <row r="238" spans="1:36" s="19" customFormat="1" ht="20.100000000000001" customHeight="1">
      <c r="A238" s="1"/>
      <c r="B238" s="176" t="s">
        <v>83</v>
      </c>
      <c r="C238" s="891" t="s">
        <v>87</v>
      </c>
      <c r="D238" s="892"/>
      <c r="E238" s="891" t="s">
        <v>88</v>
      </c>
      <c r="F238" s="892"/>
      <c r="G238" s="722" t="s">
        <v>89</v>
      </c>
      <c r="H238" s="713" t="s">
        <v>90</v>
      </c>
      <c r="I238" s="713" t="s">
        <v>690</v>
      </c>
      <c r="J238" s="713" t="s">
        <v>142</v>
      </c>
      <c r="K238" s="713" t="s">
        <v>93</v>
      </c>
      <c r="L238" s="713" t="s">
        <v>94</v>
      </c>
      <c r="M238" s="713" t="s">
        <v>95</v>
      </c>
      <c r="N238" s="242"/>
      <c r="O238" s="150">
        <f>K113</f>
        <v>0</v>
      </c>
      <c r="P238" s="245" t="b">
        <f>ROUND(O238,0)=ROUND(B239,0)</f>
        <v>0</v>
      </c>
    </row>
    <row r="239" spans="1:36" s="19" customFormat="1" ht="20.100000000000001" customHeight="1">
      <c r="A239" s="1"/>
      <c r="B239" s="863">
        <f>SUM(H239:H251)</f>
        <v>25.397500000000001</v>
      </c>
      <c r="C239" s="864">
        <f t="shared" ref="C239:C251" si="36">J239-I239</f>
        <v>1</v>
      </c>
      <c r="D239" s="865"/>
      <c r="E239" s="196" t="s">
        <v>751</v>
      </c>
      <c r="F239" s="751"/>
      <c r="G239" s="179">
        <v>3</v>
      </c>
      <c r="H239" s="210">
        <f>IF(LEFT(G239,3)="CNY",_xlfn.NUMBERVALUE(RIGHT(G239,3))*$P$4,G239)</f>
        <v>3</v>
      </c>
      <c r="I239" s="235" t="s">
        <v>736</v>
      </c>
      <c r="J239" s="211" t="s">
        <v>740</v>
      </c>
      <c r="K239" s="182">
        <v>3.6600000000000001E-2</v>
      </c>
      <c r="L239" s="552"/>
      <c r="M239" s="561">
        <f>_xlfn.NUMBERVALUE(RIGHT(G239,3))</f>
        <v>3</v>
      </c>
      <c r="N239" s="63">
        <f>IF(J239="","",J239-$B$3)</f>
        <v>1</v>
      </c>
      <c r="O239" s="150"/>
      <c r="P239" s="218"/>
    </row>
    <row r="240" spans="1:36" s="19" customFormat="1" ht="20.100000000000001" customHeight="1">
      <c r="A240" s="1"/>
      <c r="B240" s="863"/>
      <c r="C240" s="864">
        <f t="shared" si="36"/>
        <v>30</v>
      </c>
      <c r="D240" s="865"/>
      <c r="E240" s="190" t="s">
        <v>606</v>
      </c>
      <c r="F240" s="191"/>
      <c r="G240" s="179" t="s">
        <v>614</v>
      </c>
      <c r="H240" s="210">
        <f>IF(LEFT(G240,3)="CNY",_xlfn.NUMBERVALUE(RIGHT(G240,3))*$P$4,G240)</f>
        <v>7.2249999999999996</v>
      </c>
      <c r="I240" s="235">
        <v>46083</v>
      </c>
      <c r="J240" s="235">
        <v>46113</v>
      </c>
      <c r="K240" s="194">
        <v>1.6199999999999999E-2</v>
      </c>
      <c r="L240" s="552"/>
      <c r="M240" s="561">
        <f>_xlfn.NUMBERVALUE(RIGHT(G240,3))</f>
        <v>50</v>
      </c>
      <c r="N240" s="63">
        <f>IF(J240="","",J240-$B$3)</f>
        <v>2</v>
      </c>
      <c r="O240" s="150"/>
      <c r="P240" s="218"/>
    </row>
    <row r="241" spans="1:16" s="19" customFormat="1" ht="20.100000000000001" customHeight="1">
      <c r="A241" s="1"/>
      <c r="B241" s="863"/>
      <c r="C241" s="864">
        <f t="shared" si="36"/>
        <v>88</v>
      </c>
      <c r="D241" s="865"/>
      <c r="E241" s="190" t="s">
        <v>548</v>
      </c>
      <c r="F241" s="191"/>
      <c r="G241" s="179" t="s">
        <v>591</v>
      </c>
      <c r="H241" s="210">
        <f>IF(LEFT(G241,3)="CNY",_xlfn.NUMBERVALUE(RIGHT(G241,3))*$P$4,G241)</f>
        <v>7.9474999999999998</v>
      </c>
      <c r="I241" s="235">
        <v>46048</v>
      </c>
      <c r="J241" s="235">
        <v>46136</v>
      </c>
      <c r="K241" s="194">
        <v>1.6500000000000001E-2</v>
      </c>
      <c r="L241" s="552"/>
      <c r="M241" s="561">
        <f>_xlfn.NUMBERVALUE(RIGHT(G241,3))</f>
        <v>55</v>
      </c>
      <c r="N241" s="63">
        <f>IF(J241="","",J241-$B$3)</f>
        <v>25</v>
      </c>
      <c r="O241" s="150"/>
      <c r="P241" s="218"/>
    </row>
    <row r="242" spans="1:16" s="19" customFormat="1" ht="20.100000000000001" customHeight="1">
      <c r="A242" s="1"/>
      <c r="B242" s="863"/>
      <c r="C242" s="864">
        <f t="shared" si="36"/>
        <v>90</v>
      </c>
      <c r="D242" s="865"/>
      <c r="E242" s="196" t="s">
        <v>548</v>
      </c>
      <c r="F242" s="751"/>
      <c r="G242" s="179" t="s">
        <v>614</v>
      </c>
      <c r="H242" s="210">
        <f>IF(LEFT(G242,3)="CNY",_xlfn.NUMBERVALUE(RIGHT(G242,3))*$P$4,G242)</f>
        <v>7.2249999999999996</v>
      </c>
      <c r="I242" s="235">
        <v>46101</v>
      </c>
      <c r="J242" s="211">
        <v>46191</v>
      </c>
      <c r="K242" s="182">
        <v>1.5800000000000002E-2</v>
      </c>
      <c r="L242" s="552"/>
      <c r="M242" s="561">
        <f>_xlfn.NUMBERVALUE(RIGHT(G242,3))</f>
        <v>50</v>
      </c>
      <c r="N242" s="63">
        <f>IF(J242="","",J242-$B$3)</f>
        <v>80</v>
      </c>
      <c r="O242" s="150"/>
      <c r="P242" s="218"/>
    </row>
    <row r="243" spans="1:16" s="19" customFormat="1" ht="20.100000000000001" customHeight="1">
      <c r="A243" s="1"/>
      <c r="B243" s="863"/>
      <c r="C243" s="864">
        <f t="shared" si="36"/>
        <v>0</v>
      </c>
      <c r="D243" s="865"/>
      <c r="E243" s="196"/>
      <c r="F243" s="751"/>
      <c r="G243" s="179"/>
      <c r="H243" s="210"/>
      <c r="I243" s="235"/>
      <c r="J243" s="211"/>
      <c r="K243" s="182"/>
      <c r="L243" s="552"/>
      <c r="M243" s="561"/>
      <c r="N243" s="63"/>
      <c r="O243" s="150"/>
      <c r="P243" s="218"/>
    </row>
    <row r="244" spans="1:16" s="19" customFormat="1" ht="20.100000000000001" customHeight="1">
      <c r="A244" s="1"/>
      <c r="B244" s="863"/>
      <c r="C244" s="864">
        <f t="shared" si="36"/>
        <v>0</v>
      </c>
      <c r="D244" s="865"/>
      <c r="E244" s="190"/>
      <c r="F244" s="191"/>
      <c r="G244" s="179"/>
      <c r="H244" s="210"/>
      <c r="I244" s="235"/>
      <c r="J244" s="235"/>
      <c r="K244" s="194"/>
      <c r="L244" s="552"/>
      <c r="M244" s="561"/>
      <c r="N244" s="63" t="str">
        <f t="shared" ref="N244:N251" si="37">IF(J244="","",J244-$B$3)</f>
        <v/>
      </c>
      <c r="O244" s="150"/>
      <c r="P244" s="218"/>
    </row>
    <row r="245" spans="1:16" s="19" customFormat="1" ht="20.100000000000001" customHeight="1">
      <c r="A245" s="1"/>
      <c r="B245" s="863"/>
      <c r="C245" s="864">
        <f t="shared" si="36"/>
        <v>0</v>
      </c>
      <c r="D245" s="865"/>
      <c r="E245" s="190"/>
      <c r="F245" s="191"/>
      <c r="G245" s="192"/>
      <c r="H245" s="188"/>
      <c r="I245" s="235"/>
      <c r="J245" s="235"/>
      <c r="K245" s="194"/>
      <c r="L245" s="552"/>
      <c r="M245" s="561"/>
      <c r="N245" s="63" t="str">
        <f t="shared" si="37"/>
        <v/>
      </c>
      <c r="O245" s="150"/>
      <c r="P245" s="218"/>
    </row>
    <row r="246" spans="1:16" s="19" customFormat="1" ht="20.100000000000001" customHeight="1">
      <c r="A246" s="1"/>
      <c r="B246" s="863"/>
      <c r="C246" s="864">
        <f t="shared" si="36"/>
        <v>0</v>
      </c>
      <c r="D246" s="865"/>
      <c r="E246" s="190"/>
      <c r="F246" s="191"/>
      <c r="G246" s="192"/>
      <c r="H246" s="188"/>
      <c r="I246" s="235"/>
      <c r="J246" s="235"/>
      <c r="K246" s="194"/>
      <c r="L246" s="552"/>
      <c r="M246" s="561"/>
      <c r="N246" s="63" t="str">
        <f t="shared" si="37"/>
        <v/>
      </c>
      <c r="O246" s="150"/>
      <c r="P246" s="218"/>
    </row>
    <row r="247" spans="1:16" s="19" customFormat="1" ht="20.100000000000001" customHeight="1">
      <c r="A247" s="1"/>
      <c r="B247" s="863"/>
      <c r="C247" s="864">
        <f t="shared" si="36"/>
        <v>0</v>
      </c>
      <c r="D247" s="865"/>
      <c r="E247" s="190"/>
      <c r="F247" s="191"/>
      <c r="G247" s="192"/>
      <c r="H247" s="188"/>
      <c r="I247" s="235"/>
      <c r="J247" s="235"/>
      <c r="K247" s="194"/>
      <c r="L247" s="552"/>
      <c r="M247" s="561"/>
      <c r="N247" s="63" t="str">
        <f t="shared" si="37"/>
        <v/>
      </c>
      <c r="O247" s="150"/>
      <c r="P247" s="218"/>
    </row>
    <row r="248" spans="1:16" s="19" customFormat="1" ht="20.100000000000001" customHeight="1">
      <c r="A248" s="1"/>
      <c r="B248" s="863"/>
      <c r="C248" s="864">
        <f t="shared" si="36"/>
        <v>0</v>
      </c>
      <c r="D248" s="865"/>
      <c r="E248" s="190"/>
      <c r="F248" s="191"/>
      <c r="G248" s="192"/>
      <c r="H248" s="188"/>
      <c r="I248" s="235"/>
      <c r="J248" s="235"/>
      <c r="K248" s="194"/>
      <c r="L248" s="552"/>
      <c r="M248" s="561"/>
      <c r="N248" s="63" t="str">
        <f t="shared" si="37"/>
        <v/>
      </c>
      <c r="O248" s="150"/>
      <c r="P248" s="218"/>
    </row>
    <row r="249" spans="1:16" s="19" customFormat="1" ht="20.100000000000001" customHeight="1">
      <c r="A249" s="1"/>
      <c r="B249" s="863"/>
      <c r="C249" s="864">
        <f t="shared" si="36"/>
        <v>0</v>
      </c>
      <c r="D249" s="865"/>
      <c r="E249" s="190"/>
      <c r="F249" s="191"/>
      <c r="G249" s="192"/>
      <c r="H249" s="188"/>
      <c r="I249" s="235"/>
      <c r="J249" s="235"/>
      <c r="K249" s="194"/>
      <c r="L249" s="552"/>
      <c r="M249" s="561"/>
      <c r="N249" s="63" t="str">
        <f t="shared" si="37"/>
        <v/>
      </c>
      <c r="O249" s="150"/>
      <c r="P249" s="218"/>
    </row>
    <row r="250" spans="1:16" s="19" customFormat="1" ht="20.100000000000001" customHeight="1">
      <c r="A250" s="1"/>
      <c r="B250" s="863"/>
      <c r="C250" s="864">
        <f t="shared" si="36"/>
        <v>0</v>
      </c>
      <c r="D250" s="865"/>
      <c r="E250" s="196"/>
      <c r="F250" s="751"/>
      <c r="G250" s="179"/>
      <c r="H250" s="188"/>
      <c r="I250" s="235"/>
      <c r="J250" s="211"/>
      <c r="K250" s="182"/>
      <c r="L250" s="552"/>
      <c r="M250" s="502"/>
      <c r="N250" s="63" t="str">
        <f t="shared" si="37"/>
        <v/>
      </c>
      <c r="O250" s="150"/>
      <c r="P250" s="218"/>
    </row>
    <row r="251" spans="1:16" s="19" customFormat="1" ht="20.100000000000001" customHeight="1">
      <c r="A251" s="1"/>
      <c r="B251" s="863"/>
      <c r="C251" s="866">
        <f t="shared" si="36"/>
        <v>0</v>
      </c>
      <c r="D251" s="866"/>
      <c r="E251" s="190"/>
      <c r="F251" s="191"/>
      <c r="G251" s="192"/>
      <c r="H251" s="188"/>
      <c r="I251" s="235"/>
      <c r="J251" s="235"/>
      <c r="K251" s="194"/>
      <c r="L251" s="552"/>
      <c r="M251" s="197"/>
      <c r="N251" s="63" t="str">
        <f t="shared" si="37"/>
        <v/>
      </c>
      <c r="O251" s="150"/>
      <c r="P251" s="218"/>
    </row>
    <row r="252" spans="1:16" s="19" customFormat="1" ht="20.100000000000001" customHeight="1">
      <c r="A252" s="1"/>
      <c r="B252" s="176" t="s">
        <v>97</v>
      </c>
      <c r="C252" s="891" t="s">
        <v>87</v>
      </c>
      <c r="D252" s="892"/>
      <c r="E252" s="891" t="s">
        <v>514</v>
      </c>
      <c r="F252" s="892"/>
      <c r="G252" s="722" t="s">
        <v>89</v>
      </c>
      <c r="H252" s="713" t="s">
        <v>90</v>
      </c>
      <c r="I252" s="713" t="s">
        <v>690</v>
      </c>
      <c r="J252" s="713" t="s">
        <v>142</v>
      </c>
      <c r="K252" s="713" t="s">
        <v>93</v>
      </c>
      <c r="L252" s="713" t="s">
        <v>94</v>
      </c>
      <c r="M252" s="713" t="s">
        <v>95</v>
      </c>
      <c r="N252" s="242"/>
      <c r="O252" s="150">
        <f>K136</f>
        <v>0</v>
      </c>
      <c r="P252" s="245" t="b">
        <f>ROUND(O252,1)=ROUND(B253,1)</f>
        <v>0</v>
      </c>
    </row>
    <row r="253" spans="1:16" s="19" customFormat="1" ht="20.100000000000001" customHeight="1">
      <c r="A253" s="1"/>
      <c r="B253" s="867">
        <f>SUM(H253:H279)</f>
        <v>224.66</v>
      </c>
      <c r="C253" s="864">
        <f t="shared" ref="C253" si="38">J253-I253</f>
        <v>1</v>
      </c>
      <c r="D253" s="865"/>
      <c r="E253" s="816" t="s">
        <v>583</v>
      </c>
      <c r="F253" s="817"/>
      <c r="G253" s="818">
        <f t="shared" ref="G253:G270" si="39">IF(LEN(P253)&gt;8,"VND "&amp;TEXT(P253/1000000,"#,##0"),P253/1000000)</f>
        <v>3.5</v>
      </c>
      <c r="H253" s="819">
        <f>IF(LEFT(G253,3)="vnd",_xlfn.NUMBERVALUE(RIGHT(G253,8))*$P$6,G253)</f>
        <v>3.5</v>
      </c>
      <c r="I253" s="820" t="s">
        <v>736</v>
      </c>
      <c r="J253" s="820" t="s">
        <v>740</v>
      </c>
      <c r="K253" s="821">
        <v>3.6299999999999999E-2</v>
      </c>
      <c r="L253" s="552"/>
      <c r="M253" s="502"/>
      <c r="N253" s="63">
        <f t="shared" ref="N253:N270" si="40">IF(J253="","",J253-$B$3)</f>
        <v>1</v>
      </c>
      <c r="O253" s="150"/>
      <c r="P253" s="19">
        <v>3500000</v>
      </c>
    </row>
    <row r="254" spans="1:16" s="19" customFormat="1" ht="20.100000000000001" customHeight="1">
      <c r="A254" s="1"/>
      <c r="B254" s="868"/>
      <c r="C254" s="864">
        <f t="shared" ref="C254:C276" si="41">J254-I254</f>
        <v>1</v>
      </c>
      <c r="D254" s="865"/>
      <c r="E254" s="822" t="s">
        <v>745</v>
      </c>
      <c r="F254" s="823"/>
      <c r="G254" s="818" t="str">
        <f t="shared" si="39"/>
        <v>VND 200,000</v>
      </c>
      <c r="H254" s="819">
        <f>IF(LEFT(G254,3)="vnd",_xlfn.NUMBERVALUE(RIGHT(G254,7))*$P$6,G254)</f>
        <v>7.6000000000000005</v>
      </c>
      <c r="I254" s="820" t="s">
        <v>736</v>
      </c>
      <c r="J254" s="820" t="s">
        <v>740</v>
      </c>
      <c r="K254" s="821">
        <v>0.1</v>
      </c>
      <c r="L254" s="552"/>
      <c r="M254" s="502"/>
      <c r="N254" s="63">
        <f t="shared" si="40"/>
        <v>1</v>
      </c>
      <c r="O254" s="150"/>
      <c r="P254" s="19">
        <v>200000000000</v>
      </c>
    </row>
    <row r="255" spans="1:16" s="19" customFormat="1" ht="20.100000000000001" customHeight="1">
      <c r="A255" s="1"/>
      <c r="B255" s="868"/>
      <c r="C255" s="864">
        <f t="shared" si="41"/>
        <v>1</v>
      </c>
      <c r="D255" s="865"/>
      <c r="E255" s="822" t="s">
        <v>746</v>
      </c>
      <c r="F255" s="823"/>
      <c r="G255" s="818" t="str">
        <f t="shared" si="39"/>
        <v>VND 200,000</v>
      </c>
      <c r="H255" s="819">
        <f>IF(LEFT(G255,3)="vnd",_xlfn.NUMBERVALUE(RIGHT(G255,8))*$P$6,G255)</f>
        <v>7.6000000000000005</v>
      </c>
      <c r="I255" s="820" t="s">
        <v>736</v>
      </c>
      <c r="J255" s="820" t="s">
        <v>740</v>
      </c>
      <c r="K255" s="821">
        <v>0.12</v>
      </c>
      <c r="L255" s="552"/>
      <c r="M255" s="502"/>
      <c r="N255" s="63">
        <f t="shared" si="40"/>
        <v>1</v>
      </c>
      <c r="O255" s="150"/>
      <c r="P255" s="19">
        <v>200000000000</v>
      </c>
    </row>
    <row r="256" spans="1:16" s="19" customFormat="1" ht="20.100000000000001" customHeight="1">
      <c r="A256" s="1"/>
      <c r="B256" s="868"/>
      <c r="C256" s="864">
        <f t="shared" si="41"/>
        <v>1</v>
      </c>
      <c r="D256" s="865"/>
      <c r="E256" s="816" t="s">
        <v>733</v>
      </c>
      <c r="F256" s="817"/>
      <c r="G256" s="818" t="str">
        <f t="shared" si="39"/>
        <v>VND 290,000</v>
      </c>
      <c r="H256" s="819">
        <f>IF(LEFT(G256,3)="vnd",_xlfn.NUMBERVALUE(RIGHT(G256,7))*$P$6,G256)</f>
        <v>11.020000000000001</v>
      </c>
      <c r="I256" s="820" t="s">
        <v>736</v>
      </c>
      <c r="J256" s="820" t="s">
        <v>740</v>
      </c>
      <c r="K256" s="821">
        <v>0.1</v>
      </c>
      <c r="L256" s="552"/>
      <c r="M256" s="502"/>
      <c r="N256" s="63">
        <f t="shared" si="40"/>
        <v>1</v>
      </c>
      <c r="O256" s="150"/>
      <c r="P256" s="19">
        <v>290000000000</v>
      </c>
    </row>
    <row r="257" spans="1:16" s="19" customFormat="1" ht="20.100000000000001" customHeight="1">
      <c r="A257" s="1"/>
      <c r="B257" s="868"/>
      <c r="C257" s="864">
        <f t="shared" si="41"/>
        <v>1</v>
      </c>
      <c r="D257" s="865"/>
      <c r="E257" s="816" t="s">
        <v>732</v>
      </c>
      <c r="F257" s="817"/>
      <c r="G257" s="818" t="str">
        <f t="shared" si="39"/>
        <v>VND 300,000</v>
      </c>
      <c r="H257" s="819">
        <f>IF(LEFT(G257,3)="vnd",_xlfn.NUMBERVALUE(RIGHT(G257,8))*$P$6,G257)</f>
        <v>11.4</v>
      </c>
      <c r="I257" s="820" t="s">
        <v>736</v>
      </c>
      <c r="J257" s="820" t="s">
        <v>740</v>
      </c>
      <c r="K257" s="821">
        <v>0.125</v>
      </c>
      <c r="L257" s="552"/>
      <c r="M257" s="502"/>
      <c r="N257" s="63">
        <f t="shared" si="40"/>
        <v>1</v>
      </c>
      <c r="O257" s="150"/>
      <c r="P257" s="19">
        <v>300000000000</v>
      </c>
    </row>
    <row r="258" spans="1:16" s="19" customFormat="1" ht="20.100000000000001" customHeight="1">
      <c r="A258" s="1"/>
      <c r="B258" s="868"/>
      <c r="C258" s="864">
        <f t="shared" si="41"/>
        <v>1</v>
      </c>
      <c r="D258" s="865"/>
      <c r="E258" s="816" t="s">
        <v>747</v>
      </c>
      <c r="F258" s="817"/>
      <c r="G258" s="818" t="str">
        <f t="shared" si="39"/>
        <v>VND 300,000</v>
      </c>
      <c r="H258" s="819">
        <f>IF(LEFT(G258,3)="vnd",_xlfn.NUMBERVALUE(RIGHT(G258,7))*$P$6,G258)</f>
        <v>11.4</v>
      </c>
      <c r="I258" s="820" t="s">
        <v>736</v>
      </c>
      <c r="J258" s="820" t="s">
        <v>740</v>
      </c>
      <c r="K258" s="821">
        <v>0.115</v>
      </c>
      <c r="L258" s="552"/>
      <c r="M258" s="502"/>
      <c r="N258" s="63">
        <f t="shared" si="40"/>
        <v>1</v>
      </c>
      <c r="O258" s="150"/>
      <c r="P258" s="19">
        <v>300000000000</v>
      </c>
    </row>
    <row r="259" spans="1:16" s="19" customFormat="1" ht="20.100000000000001" customHeight="1">
      <c r="A259" s="1"/>
      <c r="B259" s="868"/>
      <c r="C259" s="864">
        <f t="shared" si="41"/>
        <v>1</v>
      </c>
      <c r="D259" s="865"/>
      <c r="E259" s="822" t="s">
        <v>583</v>
      </c>
      <c r="F259" s="823"/>
      <c r="G259" s="818" t="str">
        <f t="shared" si="39"/>
        <v>VND 200,000</v>
      </c>
      <c r="H259" s="819">
        <f>IF(LEFT(G259,3)="vnd",_xlfn.NUMBERVALUE(RIGHT(G259,8))*$P$6,G259)</f>
        <v>7.6000000000000005</v>
      </c>
      <c r="I259" s="820" t="s">
        <v>736</v>
      </c>
      <c r="J259" s="820" t="s">
        <v>740</v>
      </c>
      <c r="K259" s="821">
        <v>0.14499999999999999</v>
      </c>
      <c r="L259" s="552"/>
      <c r="M259" s="502"/>
      <c r="N259" s="63">
        <f t="shared" si="40"/>
        <v>1</v>
      </c>
      <c r="O259" s="150"/>
      <c r="P259" s="19">
        <v>200000000000</v>
      </c>
    </row>
    <row r="260" spans="1:16" s="19" customFormat="1" ht="20.100000000000001" customHeight="1">
      <c r="A260" s="1"/>
      <c r="B260" s="868"/>
      <c r="C260" s="864">
        <f t="shared" si="41"/>
        <v>1</v>
      </c>
      <c r="D260" s="865"/>
      <c r="E260" s="822" t="s">
        <v>615</v>
      </c>
      <c r="F260" s="817"/>
      <c r="G260" s="818" t="str">
        <f t="shared" si="39"/>
        <v>VND 320,000</v>
      </c>
      <c r="H260" s="819">
        <f>IF(LEFT(G260,3)="vnd",_xlfn.NUMBERVALUE(RIGHT(G260,7))*$P$6,G260)</f>
        <v>12.16</v>
      </c>
      <c r="I260" s="820" t="s">
        <v>736</v>
      </c>
      <c r="J260" s="820" t="s">
        <v>740</v>
      </c>
      <c r="K260" s="821">
        <v>0.13</v>
      </c>
      <c r="L260" s="552"/>
      <c r="M260" s="502"/>
      <c r="N260" s="63">
        <f t="shared" si="40"/>
        <v>1</v>
      </c>
      <c r="O260" s="150"/>
      <c r="P260" s="19">
        <v>320000000000</v>
      </c>
    </row>
    <row r="261" spans="1:16" s="19" customFormat="1" ht="20.100000000000001" customHeight="1">
      <c r="A261" s="1"/>
      <c r="B261" s="868"/>
      <c r="C261" s="864">
        <f t="shared" si="41"/>
        <v>1</v>
      </c>
      <c r="D261" s="865"/>
      <c r="E261" s="822" t="s">
        <v>730</v>
      </c>
      <c r="F261" s="817"/>
      <c r="G261" s="818" t="str">
        <f t="shared" si="39"/>
        <v>VND 440,000</v>
      </c>
      <c r="H261" s="819">
        <f t="shared" ref="H261:H270" si="42">IF(LEFT(G261,3)="vnd",_xlfn.NUMBERVALUE(RIGHT(G261,8))*$P$6,G261)</f>
        <v>16.720000000000002</v>
      </c>
      <c r="I261" s="820" t="s">
        <v>736</v>
      </c>
      <c r="J261" s="820" t="s">
        <v>740</v>
      </c>
      <c r="K261" s="821">
        <v>0.13</v>
      </c>
      <c r="L261" s="552"/>
      <c r="M261" s="502"/>
      <c r="N261" s="63">
        <f t="shared" si="40"/>
        <v>1</v>
      </c>
      <c r="O261" s="150"/>
      <c r="P261" s="19">
        <v>440000000000</v>
      </c>
    </row>
    <row r="262" spans="1:16" s="19" customFormat="1" ht="20.100000000000001" customHeight="1">
      <c r="A262" s="1"/>
      <c r="B262" s="868"/>
      <c r="C262" s="864">
        <f t="shared" si="41"/>
        <v>1</v>
      </c>
      <c r="D262" s="865"/>
      <c r="E262" s="822" t="s">
        <v>738</v>
      </c>
      <c r="F262" s="817"/>
      <c r="G262" s="818" t="str">
        <f t="shared" si="39"/>
        <v>VND 200,000</v>
      </c>
      <c r="H262" s="819">
        <f>IF(LEFT(G262,3)="vnd",_xlfn.NUMBERVALUE(RIGHT(G262,7))*$P$6,G262)</f>
        <v>7.6000000000000005</v>
      </c>
      <c r="I262" s="820" t="s">
        <v>736</v>
      </c>
      <c r="J262" s="820" t="s">
        <v>740</v>
      </c>
      <c r="K262" s="821">
        <v>0.11</v>
      </c>
      <c r="L262" s="552"/>
      <c r="M262" s="502"/>
      <c r="N262" s="63">
        <f t="shared" si="40"/>
        <v>1</v>
      </c>
      <c r="O262" s="150"/>
      <c r="P262" s="19">
        <v>200000000000</v>
      </c>
    </row>
    <row r="263" spans="1:16" s="19" customFormat="1" ht="20.100000000000001" customHeight="1">
      <c r="A263" s="1"/>
      <c r="B263" s="868"/>
      <c r="C263" s="864">
        <f t="shared" si="41"/>
        <v>1</v>
      </c>
      <c r="D263" s="865"/>
      <c r="E263" s="822" t="s">
        <v>618</v>
      </c>
      <c r="F263" s="817"/>
      <c r="G263" s="818" t="str">
        <f t="shared" si="39"/>
        <v>VND 520,000</v>
      </c>
      <c r="H263" s="819">
        <f t="shared" si="42"/>
        <v>19.760000000000002</v>
      </c>
      <c r="I263" s="820" t="s">
        <v>736</v>
      </c>
      <c r="J263" s="820" t="s">
        <v>740</v>
      </c>
      <c r="K263" s="821">
        <v>0.13</v>
      </c>
      <c r="L263" s="552"/>
      <c r="M263" s="502"/>
      <c r="N263" s="63">
        <f t="shared" si="40"/>
        <v>1</v>
      </c>
      <c r="O263" s="150"/>
      <c r="P263" s="19">
        <v>520000000000</v>
      </c>
    </row>
    <row r="264" spans="1:16" s="19" customFormat="1" ht="20.100000000000001" customHeight="1">
      <c r="A264" s="1"/>
      <c r="B264" s="868"/>
      <c r="C264" s="864">
        <f t="shared" si="41"/>
        <v>1</v>
      </c>
      <c r="D264" s="865"/>
      <c r="E264" s="822" t="s">
        <v>618</v>
      </c>
      <c r="F264" s="817"/>
      <c r="G264" s="818" t="str">
        <f t="shared" si="39"/>
        <v>VND 480,000</v>
      </c>
      <c r="H264" s="819">
        <f t="shared" si="42"/>
        <v>18.240000000000002</v>
      </c>
      <c r="I264" s="824" t="s">
        <v>736</v>
      </c>
      <c r="J264" s="820" t="s">
        <v>740</v>
      </c>
      <c r="K264" s="821">
        <v>0.13</v>
      </c>
      <c r="L264" s="552"/>
      <c r="M264" s="502"/>
      <c r="N264" s="63">
        <f t="shared" si="40"/>
        <v>1</v>
      </c>
      <c r="O264" s="150"/>
      <c r="P264" s="19">
        <v>480000000000</v>
      </c>
    </row>
    <row r="265" spans="1:16" s="19" customFormat="1" ht="20.100000000000001" customHeight="1">
      <c r="A265" s="1"/>
      <c r="B265" s="868"/>
      <c r="C265" s="864">
        <f t="shared" si="41"/>
        <v>1</v>
      </c>
      <c r="D265" s="865"/>
      <c r="E265" s="822" t="s">
        <v>615</v>
      </c>
      <c r="F265" s="817"/>
      <c r="G265" s="818" t="str">
        <f t="shared" si="39"/>
        <v>VND 400,000</v>
      </c>
      <c r="H265" s="819">
        <f t="shared" si="42"/>
        <v>15.200000000000001</v>
      </c>
      <c r="I265" s="824" t="s">
        <v>736</v>
      </c>
      <c r="J265" s="820" t="s">
        <v>740</v>
      </c>
      <c r="K265" s="821">
        <v>0.13</v>
      </c>
      <c r="L265" s="552"/>
      <c r="M265" s="502"/>
      <c r="N265" s="63">
        <f t="shared" si="40"/>
        <v>1</v>
      </c>
      <c r="O265" s="150"/>
      <c r="P265" s="19">
        <v>400000000000</v>
      </c>
    </row>
    <row r="266" spans="1:16" s="19" customFormat="1" ht="20.100000000000001" customHeight="1">
      <c r="A266" s="1"/>
      <c r="B266" s="868"/>
      <c r="C266" s="864">
        <f t="shared" si="41"/>
        <v>1</v>
      </c>
      <c r="D266" s="865"/>
      <c r="E266" s="822" t="s">
        <v>615</v>
      </c>
      <c r="F266" s="817"/>
      <c r="G266" s="818" t="str">
        <f t="shared" si="39"/>
        <v>VND 310,000</v>
      </c>
      <c r="H266" s="819">
        <f t="shared" si="42"/>
        <v>11.780000000000001</v>
      </c>
      <c r="I266" s="824" t="s">
        <v>736</v>
      </c>
      <c r="J266" s="820" t="s">
        <v>740</v>
      </c>
      <c r="K266" s="821">
        <v>0.13</v>
      </c>
      <c r="L266" s="552"/>
      <c r="M266" s="502"/>
      <c r="N266" s="63">
        <f t="shared" si="40"/>
        <v>1</v>
      </c>
      <c r="O266" s="150"/>
      <c r="P266" s="19">
        <v>310000000000</v>
      </c>
    </row>
    <row r="267" spans="1:16" s="19" customFormat="1" ht="20.100000000000001" customHeight="1">
      <c r="A267" s="1"/>
      <c r="B267" s="868"/>
      <c r="C267" s="864">
        <f t="shared" si="41"/>
        <v>1</v>
      </c>
      <c r="D267" s="865"/>
      <c r="E267" s="822" t="s">
        <v>729</v>
      </c>
      <c r="F267" s="817"/>
      <c r="G267" s="818" t="str">
        <f t="shared" si="39"/>
        <v>VND 300,000</v>
      </c>
      <c r="H267" s="819">
        <f t="shared" si="42"/>
        <v>11.4</v>
      </c>
      <c r="I267" s="824" t="s">
        <v>736</v>
      </c>
      <c r="J267" s="820" t="s">
        <v>740</v>
      </c>
      <c r="K267" s="821">
        <v>0.11</v>
      </c>
      <c r="L267" s="552"/>
      <c r="M267" s="502"/>
      <c r="N267" s="63">
        <f t="shared" si="40"/>
        <v>1</v>
      </c>
      <c r="O267" s="150"/>
      <c r="P267" s="19">
        <v>300000000000</v>
      </c>
    </row>
    <row r="268" spans="1:16" s="19" customFormat="1" ht="20.100000000000001" customHeight="1">
      <c r="A268" s="1"/>
      <c r="B268" s="868"/>
      <c r="C268" s="864">
        <f t="shared" si="41"/>
        <v>1</v>
      </c>
      <c r="D268" s="865"/>
      <c r="E268" s="822" t="s">
        <v>619</v>
      </c>
      <c r="F268" s="817"/>
      <c r="G268" s="818" t="str">
        <f t="shared" si="39"/>
        <v>VND 300,000</v>
      </c>
      <c r="H268" s="819">
        <f t="shared" si="42"/>
        <v>11.4</v>
      </c>
      <c r="I268" s="824" t="s">
        <v>736</v>
      </c>
      <c r="J268" s="820" t="s">
        <v>740</v>
      </c>
      <c r="K268" s="821">
        <v>0.12</v>
      </c>
      <c r="L268" s="552"/>
      <c r="M268" s="502"/>
      <c r="N268" s="63">
        <f t="shared" si="40"/>
        <v>1</v>
      </c>
      <c r="O268" s="150"/>
      <c r="P268" s="19">
        <v>300000000000</v>
      </c>
    </row>
    <row r="269" spans="1:16" s="19" customFormat="1" ht="20.100000000000001" customHeight="1">
      <c r="A269" s="1"/>
      <c r="B269" s="868"/>
      <c r="C269" s="864">
        <f t="shared" si="41"/>
        <v>1</v>
      </c>
      <c r="D269" s="865"/>
      <c r="E269" s="822" t="s">
        <v>619</v>
      </c>
      <c r="F269" s="817"/>
      <c r="G269" s="818" t="str">
        <f t="shared" si="39"/>
        <v>VND 260,000</v>
      </c>
      <c r="H269" s="819">
        <f t="shared" si="42"/>
        <v>9.8800000000000008</v>
      </c>
      <c r="I269" s="824" t="s">
        <v>736</v>
      </c>
      <c r="J269" s="820" t="s">
        <v>740</v>
      </c>
      <c r="K269" s="821">
        <v>0.13</v>
      </c>
      <c r="L269" s="552"/>
      <c r="M269" s="502"/>
      <c r="N269" s="63">
        <f t="shared" si="40"/>
        <v>1</v>
      </c>
      <c r="O269" s="150"/>
      <c r="P269" s="19">
        <v>260000000000</v>
      </c>
    </row>
    <row r="270" spans="1:16" s="19" customFormat="1" ht="20.100000000000001" customHeight="1">
      <c r="A270" s="1"/>
      <c r="B270" s="868"/>
      <c r="C270" s="864">
        <f t="shared" si="41"/>
        <v>1</v>
      </c>
      <c r="D270" s="865"/>
      <c r="E270" s="822" t="s">
        <v>619</v>
      </c>
      <c r="F270" s="817"/>
      <c r="G270" s="818" t="str">
        <f t="shared" si="39"/>
        <v>VND 200,000</v>
      </c>
      <c r="H270" s="819">
        <f t="shared" si="42"/>
        <v>7.6000000000000005</v>
      </c>
      <c r="I270" s="824" t="s">
        <v>736</v>
      </c>
      <c r="J270" s="820" t="s">
        <v>740</v>
      </c>
      <c r="K270" s="821">
        <v>0.12</v>
      </c>
      <c r="L270" s="552"/>
      <c r="M270" s="502"/>
      <c r="N270" s="63">
        <f t="shared" si="40"/>
        <v>1</v>
      </c>
      <c r="O270" s="150"/>
      <c r="P270" s="19">
        <v>200000000000</v>
      </c>
    </row>
    <row r="271" spans="1:16" s="19" customFormat="1" ht="20.100000000000001" customHeight="1">
      <c r="A271" s="1"/>
      <c r="B271" s="868"/>
      <c r="C271" s="864">
        <f t="shared" si="41"/>
        <v>1</v>
      </c>
      <c r="D271" s="865"/>
      <c r="E271" s="822" t="s">
        <v>737</v>
      </c>
      <c r="F271" s="817"/>
      <c r="G271" s="818" t="str">
        <f t="shared" ref="G271" si="43">IF(LEN(P271)&gt;8,"VND "&amp;TEXT(P271/1000000,"#,##0"),P271/1000000)</f>
        <v>VND 300,000</v>
      </c>
      <c r="H271" s="819">
        <f t="shared" ref="H271" si="44">IF(LEFT(G271,3)="vnd",_xlfn.NUMBERVALUE(RIGHT(G271,8))*$P$6,G271)</f>
        <v>11.4</v>
      </c>
      <c r="I271" s="824" t="s">
        <v>736</v>
      </c>
      <c r="J271" s="824" t="s">
        <v>740</v>
      </c>
      <c r="K271" s="821">
        <v>0.13</v>
      </c>
      <c r="L271" s="552"/>
      <c r="M271" s="502"/>
      <c r="N271" s="63">
        <f t="shared" ref="N271" si="45">IF(J271="","",J271-$B$3)</f>
        <v>1</v>
      </c>
      <c r="O271" s="150"/>
      <c r="P271" s="19">
        <v>300000000000</v>
      </c>
    </row>
    <row r="272" spans="1:16" s="19" customFormat="1" ht="20.100000000000001" customHeight="1">
      <c r="A272" s="1"/>
      <c r="B272" s="868"/>
      <c r="C272" s="864">
        <f t="shared" si="41"/>
        <v>1</v>
      </c>
      <c r="D272" s="865"/>
      <c r="E272" s="822" t="s">
        <v>730</v>
      </c>
      <c r="F272" s="817"/>
      <c r="G272" s="818" t="str">
        <f t="shared" ref="G272" si="46">IF(LEN(P272)&gt;8,"VND "&amp;TEXT(P272/1000000,"#,##0"),P272/1000000)</f>
        <v>VND 300,000</v>
      </c>
      <c r="H272" s="819">
        <f t="shared" ref="H272" si="47">IF(LEFT(G272,3)="vnd",_xlfn.NUMBERVALUE(RIGHT(G272,8))*$P$6,G272)</f>
        <v>11.4</v>
      </c>
      <c r="I272" s="824" t="s">
        <v>736</v>
      </c>
      <c r="J272" s="824" t="s">
        <v>740</v>
      </c>
      <c r="K272" s="821">
        <v>0.13</v>
      </c>
      <c r="L272" s="552"/>
      <c r="M272" s="502"/>
      <c r="N272" s="63"/>
      <c r="O272" s="150"/>
      <c r="P272" s="19">
        <v>300000000000</v>
      </c>
    </row>
    <row r="273" spans="1:51" s="19" customFormat="1" ht="20.100000000000001" customHeight="1">
      <c r="A273" s="1"/>
      <c r="B273" s="868"/>
      <c r="C273" s="864">
        <f t="shared" si="41"/>
        <v>0</v>
      </c>
      <c r="D273" s="865"/>
      <c r="E273" s="822"/>
      <c r="F273" s="817"/>
      <c r="G273" s="818"/>
      <c r="H273" s="819"/>
      <c r="I273" s="824"/>
      <c r="J273" s="824"/>
      <c r="K273" s="821"/>
      <c r="L273" s="552"/>
      <c r="M273" s="502"/>
      <c r="N273" s="63"/>
      <c r="O273" s="150"/>
    </row>
    <row r="274" spans="1:51" s="19" customFormat="1" ht="20.100000000000001" customHeight="1">
      <c r="A274" s="1"/>
      <c r="B274" s="868"/>
      <c r="C274" s="864">
        <f t="shared" si="41"/>
        <v>0</v>
      </c>
      <c r="D274" s="865"/>
      <c r="E274" s="822"/>
      <c r="F274" s="817"/>
      <c r="G274" s="818"/>
      <c r="H274" s="819"/>
      <c r="I274" s="824"/>
      <c r="J274" s="824"/>
      <c r="K274" s="821"/>
      <c r="L274" s="552"/>
      <c r="M274" s="502"/>
      <c r="N274" s="63"/>
      <c r="O274" s="150"/>
    </row>
    <row r="275" spans="1:51" s="19" customFormat="1" ht="20.100000000000001" customHeight="1">
      <c r="A275" s="1"/>
      <c r="B275" s="868"/>
      <c r="C275" s="864">
        <f t="shared" si="41"/>
        <v>0</v>
      </c>
      <c r="D275" s="865"/>
      <c r="E275" s="822"/>
      <c r="F275" s="817"/>
      <c r="G275" s="818"/>
      <c r="H275" s="819"/>
      <c r="I275" s="824"/>
      <c r="J275" s="824"/>
      <c r="K275" s="821"/>
      <c r="L275" s="552"/>
      <c r="M275" s="502"/>
      <c r="N275" s="63"/>
      <c r="O275" s="150"/>
    </row>
    <row r="276" spans="1:51" s="19" customFormat="1" ht="20.100000000000001" customHeight="1">
      <c r="A276" s="1"/>
      <c r="B276" s="868"/>
      <c r="C276" s="864">
        <f t="shared" si="41"/>
        <v>0</v>
      </c>
      <c r="D276" s="865"/>
      <c r="E276" s="822"/>
      <c r="F276" s="817"/>
      <c r="G276" s="818"/>
      <c r="H276" s="819"/>
      <c r="I276" s="824"/>
      <c r="J276" s="824"/>
      <c r="K276" s="821"/>
      <c r="L276" s="552"/>
      <c r="M276" s="502"/>
      <c r="N276" s="63"/>
      <c r="O276" s="150"/>
    </row>
    <row r="277" spans="1:51" s="19" customFormat="1" ht="20.100000000000001" customHeight="1">
      <c r="A277" s="1"/>
      <c r="B277" s="868"/>
      <c r="C277" s="864">
        <f t="shared" ref="C277" si="48">J277-I277</f>
        <v>0</v>
      </c>
      <c r="D277" s="865"/>
      <c r="E277" s="822"/>
      <c r="F277" s="817"/>
      <c r="G277" s="818"/>
      <c r="H277" s="819"/>
      <c r="I277" s="824"/>
      <c r="J277" s="824"/>
      <c r="K277" s="821"/>
      <c r="L277" s="552"/>
      <c r="M277" s="502"/>
      <c r="N277" s="63"/>
      <c r="O277" s="150"/>
    </row>
    <row r="278" spans="1:51" s="19" customFormat="1" ht="20.100000000000001" customHeight="1">
      <c r="A278" s="1"/>
      <c r="B278" s="868"/>
      <c r="C278" s="864">
        <f t="shared" ref="C278" si="49">J278-I278</f>
        <v>0</v>
      </c>
      <c r="D278" s="865"/>
      <c r="E278" s="196"/>
      <c r="F278" s="191"/>
      <c r="G278" s="179"/>
      <c r="H278" s="188"/>
      <c r="I278" s="193"/>
      <c r="J278" s="193"/>
      <c r="K278" s="194"/>
      <c r="L278" s="552"/>
      <c r="M278" s="502"/>
      <c r="N278" s="63" t="str">
        <f t="shared" ref="N278:N279" si="50">IF(J278="","",J278-$B$3)</f>
        <v/>
      </c>
      <c r="O278" s="150"/>
      <c r="P278" s="4"/>
    </row>
    <row r="279" spans="1:51" ht="20.100000000000001" customHeight="1">
      <c r="A279" s="1"/>
      <c r="B279" s="869"/>
      <c r="C279" s="864">
        <f t="shared" ref="C279" si="51">J279-I279</f>
        <v>0</v>
      </c>
      <c r="D279" s="865"/>
      <c r="E279" s="196"/>
      <c r="F279" s="191"/>
      <c r="G279" s="179"/>
      <c r="H279" s="188"/>
      <c r="I279" s="193"/>
      <c r="J279" s="193"/>
      <c r="K279" s="194"/>
      <c r="L279" s="552"/>
      <c r="M279" s="502"/>
      <c r="N279" s="63" t="str">
        <f t="shared" si="50"/>
        <v/>
      </c>
      <c r="O279" s="150"/>
      <c r="Q279" s="19"/>
      <c r="R279" s="19"/>
      <c r="S279" s="19"/>
      <c r="T279" s="19"/>
      <c r="U279" s="19"/>
      <c r="V279" s="19"/>
      <c r="W279" s="19"/>
      <c r="X279" s="19"/>
      <c r="Y279" s="19"/>
      <c r="Z279" s="19"/>
      <c r="AA279" s="19"/>
      <c r="AB279" s="19"/>
      <c r="AC279" s="19"/>
      <c r="AD279" s="19"/>
      <c r="AE279" s="19"/>
      <c r="AF279" s="19"/>
      <c r="AG279" s="19"/>
      <c r="AH279" s="19"/>
      <c r="AI279" s="19"/>
      <c r="AJ279" s="19"/>
      <c r="AK279" s="19"/>
      <c r="AL279" s="19"/>
      <c r="AM279" s="19"/>
      <c r="AN279" s="19"/>
      <c r="AO279" s="19"/>
      <c r="AP279" s="19"/>
      <c r="AQ279" s="19"/>
      <c r="AR279" s="19"/>
      <c r="AS279" s="19"/>
      <c r="AT279" s="19"/>
      <c r="AU279" s="19"/>
      <c r="AV279" s="19"/>
      <c r="AW279" s="19"/>
      <c r="AX279" s="19"/>
      <c r="AY279" s="19"/>
    </row>
    <row r="280" spans="1:51" s="19" customFormat="1" ht="20.100000000000001" customHeight="1">
      <c r="A280" s="1"/>
      <c r="B280" s="268"/>
      <c r="C280" s="269"/>
      <c r="D280" s="270"/>
      <c r="E280" s="271"/>
      <c r="F280" s="271"/>
      <c r="G280" s="272"/>
      <c r="H280" s="268"/>
      <c r="I280" s="273"/>
      <c r="J280" s="273"/>
      <c r="K280" s="274"/>
      <c r="L280" s="562"/>
      <c r="M280" s="562"/>
      <c r="N280" s="256"/>
      <c r="O280" s="121"/>
      <c r="P280" s="218"/>
      <c r="R280" s="259"/>
    </row>
    <row r="281" spans="1:51" s="19" customFormat="1" ht="20.100000000000001" customHeight="1">
      <c r="A281" s="1"/>
      <c r="B281" s="776" t="s">
        <v>524</v>
      </c>
      <c r="C281" s="776"/>
      <c r="D281" s="776"/>
      <c r="E281" s="206"/>
      <c r="F281" s="206"/>
      <c r="G281" s="10"/>
      <c r="H281" s="10"/>
      <c r="I281" s="173"/>
      <c r="J281" s="10"/>
      <c r="K281" s="10"/>
      <c r="L281" s="10"/>
      <c r="M281" s="174" t="s">
        <v>85</v>
      </c>
      <c r="N281" s="256"/>
      <c r="O281" s="121"/>
      <c r="P281" s="260"/>
      <c r="Q281" s="260"/>
      <c r="R281" s="275"/>
      <c r="S281" s="260"/>
    </row>
    <row r="282" spans="1:51" s="19" customFormat="1" ht="20.100000000000001" customHeight="1">
      <c r="A282" s="1"/>
      <c r="B282" s="176" t="s">
        <v>86</v>
      </c>
      <c r="C282" s="859" t="s">
        <v>87</v>
      </c>
      <c r="D282" s="859"/>
      <c r="E282" s="859" t="s">
        <v>88</v>
      </c>
      <c r="F282" s="859"/>
      <c r="G282" s="775" t="s">
        <v>89</v>
      </c>
      <c r="H282" s="775" t="s">
        <v>90</v>
      </c>
      <c r="I282" s="815" t="s">
        <v>690</v>
      </c>
      <c r="J282" s="815" t="s">
        <v>142</v>
      </c>
      <c r="K282" s="775" t="s">
        <v>93</v>
      </c>
      <c r="L282" s="775" t="s">
        <v>94</v>
      </c>
      <c r="M282" s="775" t="s">
        <v>95</v>
      </c>
      <c r="N282" s="256" t="s">
        <v>50</v>
      </c>
      <c r="O282" s="121" t="e">
        <f>K84</f>
        <v>#REF!</v>
      </c>
      <c r="P282" s="63" t="e">
        <f>B283=O282</f>
        <v>#REF!</v>
      </c>
      <c r="Q282" s="260"/>
      <c r="S282" s="260"/>
    </row>
    <row r="283" spans="1:51" s="19" customFormat="1" ht="20.100000000000001" customHeight="1">
      <c r="A283" s="1"/>
      <c r="B283" s="771">
        <f>SUM(H283:H283)</f>
        <v>0</v>
      </c>
      <c r="C283" s="866">
        <f t="shared" ref="C283" si="52">J283-I283</f>
        <v>0</v>
      </c>
      <c r="D283" s="866"/>
      <c r="E283" s="190"/>
      <c r="F283" s="191"/>
      <c r="G283" s="246"/>
      <c r="H283" s="188">
        <f>IF(LEFT(G283,3)="vnd",_xlfn.NUMBERVALUE(RIGHT(G283,8))*$P$6,G283)</f>
        <v>0</v>
      </c>
      <c r="I283" s="235"/>
      <c r="J283" s="235"/>
      <c r="K283" s="194"/>
      <c r="L283" s="560"/>
      <c r="M283" s="502"/>
      <c r="N283" s="63" t="str">
        <f>IF(J283="","",J283-$B$3)</f>
        <v/>
      </c>
      <c r="O283" s="150"/>
      <c r="P283" s="218"/>
      <c r="Q283" s="260"/>
      <c r="S283" s="260"/>
    </row>
    <row r="284" spans="1:51" s="19" customFormat="1" ht="20.100000000000001" customHeight="1">
      <c r="A284" s="1"/>
      <c r="B284" s="241"/>
      <c r="C284" s="199"/>
      <c r="D284" s="199"/>
      <c r="E284" s="248"/>
      <c r="F284" s="105"/>
      <c r="G284" s="557"/>
      <c r="H284" s="249"/>
      <c r="I284" s="250"/>
      <c r="J284" s="251"/>
      <c r="K284" s="252"/>
      <c r="L284" s="172"/>
      <c r="M284" s="172"/>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c r="AV284" s="4"/>
      <c r="AW284" s="4"/>
      <c r="AX284" s="4"/>
      <c r="AY284" s="4"/>
    </row>
    <row r="285" spans="1:51" s="19" customFormat="1" ht="20.100000000000001" customHeight="1">
      <c r="A285" s="1"/>
      <c r="B285" s="862" t="s">
        <v>122</v>
      </c>
      <c r="C285" s="862"/>
      <c r="D285" s="862"/>
      <c r="E285" s="696">
        <f>SUMIFS(H287:H328,D287:D328,"장기")/(B287+B323+B327)</f>
        <v>0.77611940298507465</v>
      </c>
      <c r="F285" s="695"/>
      <c r="G285" s="172"/>
      <c r="H285" s="253"/>
      <c r="I285" s="11"/>
      <c r="J285" s="254"/>
      <c r="K285" s="690">
        <f>SUMPRODUCT(H287:H321,P287:P321)/SUM(H287:H321)</f>
        <v>4.3207462686567166E-2</v>
      </c>
      <c r="L285" s="795">
        <f>((H289*M289)+(H290*M290)+(H302*M302))/(SUM(H289,H290,H302))</f>
        <v>26.602499999999985</v>
      </c>
      <c r="M285" s="174" t="s">
        <v>85</v>
      </c>
      <c r="N285" s="175"/>
      <c r="O285" s="255"/>
      <c r="P285" s="218"/>
    </row>
    <row r="286" spans="1:51" s="19" customFormat="1" ht="20.100000000000001" customHeight="1">
      <c r="A286" s="1"/>
      <c r="B286" s="176" t="s">
        <v>86</v>
      </c>
      <c r="C286" s="667" t="s">
        <v>87</v>
      </c>
      <c r="D286" s="667"/>
      <c r="E286" s="683" t="s">
        <v>354</v>
      </c>
      <c r="F286" s="684"/>
      <c r="G286" s="667" t="s">
        <v>89</v>
      </c>
      <c r="H286" s="667" t="s">
        <v>90</v>
      </c>
      <c r="I286" s="667" t="s">
        <v>690</v>
      </c>
      <c r="J286" s="667" t="s">
        <v>142</v>
      </c>
      <c r="K286" s="667" t="s">
        <v>93</v>
      </c>
      <c r="L286" s="667" t="s">
        <v>94</v>
      </c>
      <c r="M286" s="667" t="s">
        <v>95</v>
      </c>
      <c r="N286" s="256"/>
      <c r="O286" s="150" t="e">
        <f>K75-K114-K137</f>
        <v>#REF!</v>
      </c>
      <c r="P286" s="218" t="e">
        <f>O286=B287</f>
        <v>#REF!</v>
      </c>
      <c r="Q286" s="754" t="s">
        <v>511</v>
      </c>
      <c r="S286" s="229"/>
    </row>
    <row r="287" spans="1:51" s="19" customFormat="1" ht="20.100000000000001" customHeight="1">
      <c r="A287" s="675"/>
      <c r="B287" s="860">
        <f>SUM(H287:H321)</f>
        <v>670</v>
      </c>
      <c r="C287" s="836">
        <f t="shared" ref="C287:C316" si="53">J287-I287</f>
        <v>1096</v>
      </c>
      <c r="D287" s="838" t="str">
        <f t="shared" ref="D287:D316" si="54">IF(C287&lt;366,"단기","장기")</f>
        <v>장기</v>
      </c>
      <c r="E287" s="830" t="s">
        <v>130</v>
      </c>
      <c r="F287" s="817"/>
      <c r="G287" s="831">
        <v>30</v>
      </c>
      <c r="H287" s="831">
        <f t="shared" ref="H287:H312" si="55">G287</f>
        <v>30</v>
      </c>
      <c r="I287" s="824">
        <v>45023</v>
      </c>
      <c r="J287" s="824">
        <v>46119</v>
      </c>
      <c r="K287" s="832" t="s">
        <v>131</v>
      </c>
      <c r="L287" s="561" t="s">
        <v>126</v>
      </c>
      <c r="M287" s="258" t="s">
        <v>532</v>
      </c>
      <c r="N287" s="63">
        <f t="shared" ref="N287:N316" si="56">IF(J287="","",J287-$B$3)</f>
        <v>8</v>
      </c>
      <c r="O287" s="63" t="s">
        <v>476</v>
      </c>
      <c r="P287" s="689">
        <f t="shared" ref="P287:P316" si="57">IFERROR(IF(ISNUMBER(K287)=TRUE,K287,RIGHT(M287,4)/100),"")</f>
        <v>5.4299999999999994E-2</v>
      </c>
      <c r="Q287" s="738" t="s">
        <v>496</v>
      </c>
      <c r="R287" s="259"/>
      <c r="S287" s="260"/>
      <c r="T287" s="738" t="s">
        <v>694</v>
      </c>
    </row>
    <row r="288" spans="1:51" s="19" customFormat="1" ht="20.100000000000001" customHeight="1">
      <c r="A288" s="675"/>
      <c r="B288" s="863"/>
      <c r="C288" s="836">
        <f t="shared" si="53"/>
        <v>1096</v>
      </c>
      <c r="D288" s="837" t="str">
        <f t="shared" si="54"/>
        <v>장기</v>
      </c>
      <c r="E288" s="830" t="s">
        <v>129</v>
      </c>
      <c r="F288" s="817"/>
      <c r="G288" s="831">
        <v>50</v>
      </c>
      <c r="H288" s="831">
        <f t="shared" si="55"/>
        <v>50</v>
      </c>
      <c r="I288" s="824">
        <v>45043</v>
      </c>
      <c r="J288" s="824">
        <v>46139</v>
      </c>
      <c r="K288" s="832" t="s">
        <v>125</v>
      </c>
      <c r="L288" s="561" t="s">
        <v>126</v>
      </c>
      <c r="M288" s="261" t="s">
        <v>546</v>
      </c>
      <c r="N288" s="63">
        <f t="shared" si="56"/>
        <v>28</v>
      </c>
      <c r="O288" s="63" t="s">
        <v>478</v>
      </c>
      <c r="P288" s="689">
        <f t="shared" si="57"/>
        <v>5.7999999999999996E-2</v>
      </c>
      <c r="Q288" s="738" t="s">
        <v>495</v>
      </c>
      <c r="R288" s="259"/>
      <c r="S288" s="757"/>
      <c r="T288" s="738" t="s">
        <v>695</v>
      </c>
    </row>
    <row r="289" spans="1:40" s="19" customFormat="1" ht="20.100000000000001" customHeight="1">
      <c r="A289" s="675"/>
      <c r="B289" s="863"/>
      <c r="C289" s="834">
        <f t="shared" si="53"/>
        <v>273</v>
      </c>
      <c r="D289" s="835" t="str">
        <f t="shared" si="54"/>
        <v>단기</v>
      </c>
      <c r="E289" s="825" t="s">
        <v>544</v>
      </c>
      <c r="F289" s="826"/>
      <c r="G289" s="827">
        <v>20</v>
      </c>
      <c r="H289" s="827">
        <f t="shared" si="55"/>
        <v>20</v>
      </c>
      <c r="I289" s="828">
        <v>45876</v>
      </c>
      <c r="J289" s="828">
        <v>46149</v>
      </c>
      <c r="K289" s="829">
        <v>4.3900000000000002E-2</v>
      </c>
      <c r="L289" s="503" t="s">
        <v>543</v>
      </c>
      <c r="M289" s="668">
        <f>(K289*100-4.10356)*100</f>
        <v>28.644000000000069</v>
      </c>
      <c r="N289" s="63">
        <f t="shared" si="56"/>
        <v>38</v>
      </c>
      <c r="O289" s="63" t="s">
        <v>533</v>
      </c>
      <c r="P289" s="689">
        <f t="shared" si="57"/>
        <v>4.3900000000000002E-2</v>
      </c>
      <c r="Q289" s="738" t="s">
        <v>545</v>
      </c>
      <c r="R289" s="259"/>
      <c r="S289" s="260"/>
      <c r="T289" s="738" t="s">
        <v>696</v>
      </c>
    </row>
    <row r="290" spans="1:40" s="19" customFormat="1" ht="20.100000000000001" customHeight="1">
      <c r="A290" s="675"/>
      <c r="B290" s="863"/>
      <c r="C290" s="834">
        <f t="shared" si="53"/>
        <v>181</v>
      </c>
      <c r="D290" s="835" t="str">
        <f t="shared" si="54"/>
        <v>단기</v>
      </c>
      <c r="E290" s="825" t="s">
        <v>121</v>
      </c>
      <c r="F290" s="826"/>
      <c r="G290" s="827">
        <v>30</v>
      </c>
      <c r="H290" s="827">
        <f t="shared" si="55"/>
        <v>30</v>
      </c>
      <c r="I290" s="828">
        <v>45973</v>
      </c>
      <c r="J290" s="828">
        <v>46154</v>
      </c>
      <c r="K290" s="829">
        <v>4.0599999999999997E-2</v>
      </c>
      <c r="L290" s="503" t="s">
        <v>543</v>
      </c>
      <c r="M290" s="668">
        <f>(K290*100-3.76086)*100</f>
        <v>29.913999999999952</v>
      </c>
      <c r="N290" s="63">
        <f t="shared" si="56"/>
        <v>43</v>
      </c>
      <c r="O290" s="63" t="s">
        <v>476</v>
      </c>
      <c r="P290" s="689">
        <f t="shared" si="57"/>
        <v>4.0599999999999997E-2</v>
      </c>
      <c r="Q290" s="738" t="s">
        <v>492</v>
      </c>
      <c r="R290" s="259"/>
      <c r="S290" s="260"/>
      <c r="T290" s="738" t="s">
        <v>697</v>
      </c>
      <c r="Y290" s="790"/>
      <c r="Z290" s="790"/>
      <c r="AA290" s="790"/>
      <c r="AB290" s="790"/>
      <c r="AC290" s="790"/>
      <c r="AD290" s="790"/>
      <c r="AE290" s="790"/>
      <c r="AF290" s="790"/>
      <c r="AG290" s="790"/>
      <c r="AH290" s="790"/>
      <c r="AI290" s="790"/>
    </row>
    <row r="291" spans="1:40" s="19" customFormat="1" ht="20.100000000000001" customHeight="1">
      <c r="A291" s="675"/>
      <c r="B291" s="863"/>
      <c r="C291" s="836">
        <f t="shared" si="53"/>
        <v>368</v>
      </c>
      <c r="D291" s="837" t="str">
        <f t="shared" si="54"/>
        <v>장기</v>
      </c>
      <c r="E291" s="830" t="s">
        <v>520</v>
      </c>
      <c r="F291" s="817"/>
      <c r="G291" s="831">
        <v>20</v>
      </c>
      <c r="H291" s="831">
        <f t="shared" si="55"/>
        <v>20</v>
      </c>
      <c r="I291" s="824">
        <v>45800</v>
      </c>
      <c r="J291" s="824">
        <v>46168</v>
      </c>
      <c r="K291" s="832" t="s">
        <v>480</v>
      </c>
      <c r="L291" s="561" t="s">
        <v>123</v>
      </c>
      <c r="M291" s="258" t="s">
        <v>604</v>
      </c>
      <c r="N291" s="63">
        <f t="shared" si="56"/>
        <v>57</v>
      </c>
      <c r="O291" s="63" t="s">
        <v>515</v>
      </c>
      <c r="P291" s="689">
        <f t="shared" si="57"/>
        <v>4.0800000000000003E-2</v>
      </c>
      <c r="Q291" s="738" t="s">
        <v>516</v>
      </c>
      <c r="R291" s="259"/>
      <c r="S291" s="260"/>
      <c r="T291" s="738" t="s">
        <v>698</v>
      </c>
    </row>
    <row r="292" spans="1:40" s="790" customFormat="1" ht="20.100000000000001" customHeight="1">
      <c r="A292" s="789"/>
      <c r="B292" s="863"/>
      <c r="C292" s="836">
        <f t="shared" si="53"/>
        <v>367</v>
      </c>
      <c r="D292" s="837" t="str">
        <f t="shared" si="54"/>
        <v>장기</v>
      </c>
      <c r="E292" s="816" t="s">
        <v>128</v>
      </c>
      <c r="F292" s="817"/>
      <c r="G292" s="831">
        <v>20</v>
      </c>
      <c r="H292" s="831">
        <f t="shared" si="55"/>
        <v>20</v>
      </c>
      <c r="I292" s="824">
        <v>45807</v>
      </c>
      <c r="J292" s="824">
        <v>46174</v>
      </c>
      <c r="K292" s="832" t="s">
        <v>381</v>
      </c>
      <c r="L292" s="561" t="s">
        <v>123</v>
      </c>
      <c r="M292" s="261" t="s">
        <v>611</v>
      </c>
      <c r="N292" s="63">
        <f t="shared" si="56"/>
        <v>63</v>
      </c>
      <c r="O292" s="63" t="s">
        <v>477</v>
      </c>
      <c r="P292" s="689">
        <f t="shared" si="57"/>
        <v>4.1399999999999999E-2</v>
      </c>
      <c r="Q292" s="738" t="s">
        <v>493</v>
      </c>
      <c r="R292" s="259"/>
      <c r="S292" s="260"/>
      <c r="T292" s="738" t="s">
        <v>699</v>
      </c>
      <c r="U292" s="19"/>
      <c r="V292" s="19"/>
      <c r="W292" s="19"/>
      <c r="X292" s="19"/>
      <c r="Y292" s="19"/>
      <c r="Z292" s="19"/>
      <c r="AA292" s="19"/>
      <c r="AB292" s="19"/>
      <c r="AC292" s="19"/>
      <c r="AD292" s="19"/>
      <c r="AE292" s="19"/>
      <c r="AF292" s="19"/>
      <c r="AG292" s="19"/>
      <c r="AH292" s="19"/>
      <c r="AI292" s="19"/>
    </row>
    <row r="293" spans="1:40" s="19" customFormat="1" ht="20.100000000000001" customHeight="1">
      <c r="A293" s="675"/>
      <c r="B293" s="863"/>
      <c r="C293" s="262">
        <f t="shared" si="53"/>
        <v>367</v>
      </c>
      <c r="D293" s="263" t="str">
        <f t="shared" si="54"/>
        <v>장기</v>
      </c>
      <c r="E293" s="189" t="s">
        <v>463</v>
      </c>
      <c r="F293" s="191"/>
      <c r="G293" s="192">
        <v>20</v>
      </c>
      <c r="H293" s="192">
        <f t="shared" si="55"/>
        <v>20</v>
      </c>
      <c r="I293" s="193">
        <v>45821</v>
      </c>
      <c r="J293" s="193">
        <v>46188</v>
      </c>
      <c r="K293" s="501" t="s">
        <v>526</v>
      </c>
      <c r="L293" s="561" t="s">
        <v>123</v>
      </c>
      <c r="M293" s="258" t="s">
        <v>723</v>
      </c>
      <c r="N293" s="63">
        <f t="shared" si="56"/>
        <v>77</v>
      </c>
      <c r="O293" s="63" t="s">
        <v>534</v>
      </c>
      <c r="P293" s="689">
        <f t="shared" si="57"/>
        <v>4.1100000000000005E-2</v>
      </c>
      <c r="Q293" s="738" t="s">
        <v>536</v>
      </c>
      <c r="R293" s="259"/>
      <c r="S293" s="260"/>
      <c r="T293" s="738" t="s">
        <v>722</v>
      </c>
    </row>
    <row r="294" spans="1:40" s="19" customFormat="1" ht="20.100000000000001" customHeight="1">
      <c r="A294" s="675"/>
      <c r="B294" s="863"/>
      <c r="C294" s="836">
        <f t="shared" si="53"/>
        <v>367</v>
      </c>
      <c r="D294" s="838" t="str">
        <f t="shared" si="54"/>
        <v>장기</v>
      </c>
      <c r="E294" s="830" t="s">
        <v>528</v>
      </c>
      <c r="F294" s="817"/>
      <c r="G294" s="831">
        <v>20</v>
      </c>
      <c r="H294" s="831">
        <f t="shared" si="55"/>
        <v>20</v>
      </c>
      <c r="I294" s="824">
        <v>45835</v>
      </c>
      <c r="J294" s="824">
        <v>46202</v>
      </c>
      <c r="K294" s="832" t="s">
        <v>527</v>
      </c>
      <c r="L294" s="561" t="s">
        <v>123</v>
      </c>
      <c r="M294" s="258" t="s">
        <v>739</v>
      </c>
      <c r="N294" s="63">
        <f t="shared" si="56"/>
        <v>91</v>
      </c>
      <c r="O294" s="63" t="s">
        <v>515</v>
      </c>
      <c r="P294" s="689">
        <f t="shared" si="57"/>
        <v>4.1100000000000005E-2</v>
      </c>
      <c r="Q294" s="738" t="s">
        <v>516</v>
      </c>
      <c r="R294" s="259"/>
      <c r="S294" s="260"/>
      <c r="T294" s="738" t="s">
        <v>700</v>
      </c>
    </row>
    <row r="295" spans="1:40" s="19" customFormat="1" ht="20.100000000000001" customHeight="1">
      <c r="A295" s="675"/>
      <c r="B295" s="863"/>
      <c r="C295" s="839">
        <f t="shared" si="53"/>
        <v>367</v>
      </c>
      <c r="D295" s="840" t="str">
        <f t="shared" si="54"/>
        <v>장기</v>
      </c>
      <c r="E295" s="830" t="s">
        <v>537</v>
      </c>
      <c r="F295" s="823"/>
      <c r="G295" s="831">
        <v>20</v>
      </c>
      <c r="H295" s="831">
        <f t="shared" si="55"/>
        <v>20</v>
      </c>
      <c r="I295" s="824">
        <v>45849</v>
      </c>
      <c r="J295" s="824">
        <v>46216</v>
      </c>
      <c r="K295" s="832" t="s">
        <v>485</v>
      </c>
      <c r="L295" s="561" t="s">
        <v>123</v>
      </c>
      <c r="M295" s="258" t="s">
        <v>585</v>
      </c>
      <c r="N295" s="63">
        <f t="shared" si="56"/>
        <v>105</v>
      </c>
      <c r="O295" s="63" t="s">
        <v>538</v>
      </c>
      <c r="P295" s="689">
        <f t="shared" si="57"/>
        <v>4.0999999999999995E-2</v>
      </c>
      <c r="Q295" s="738" t="s">
        <v>539</v>
      </c>
      <c r="R295" s="259"/>
      <c r="S295" s="260"/>
      <c r="T295" s="738" t="s">
        <v>701</v>
      </c>
      <c r="AG295" s="264"/>
    </row>
    <row r="296" spans="1:40" s="19" customFormat="1" ht="20.100000000000001" customHeight="1">
      <c r="A296" s="675"/>
      <c r="B296" s="863"/>
      <c r="C296" s="839">
        <f t="shared" si="53"/>
        <v>367</v>
      </c>
      <c r="D296" s="840" t="str">
        <f t="shared" si="54"/>
        <v>장기</v>
      </c>
      <c r="E296" s="830" t="s">
        <v>463</v>
      </c>
      <c r="F296" s="817"/>
      <c r="G296" s="831">
        <v>20</v>
      </c>
      <c r="H296" s="831">
        <f t="shared" si="55"/>
        <v>20</v>
      </c>
      <c r="I296" s="824">
        <v>45863</v>
      </c>
      <c r="J296" s="824">
        <v>46230</v>
      </c>
      <c r="K296" s="832" t="s">
        <v>542</v>
      </c>
      <c r="L296" s="561" t="s">
        <v>123</v>
      </c>
      <c r="M296" s="258" t="s">
        <v>590</v>
      </c>
      <c r="N296" s="63">
        <f t="shared" si="56"/>
        <v>119</v>
      </c>
      <c r="O296" s="63" t="s">
        <v>534</v>
      </c>
      <c r="P296" s="689">
        <f t="shared" si="57"/>
        <v>4.0899999999999999E-2</v>
      </c>
      <c r="Q296" s="738" t="s">
        <v>541</v>
      </c>
      <c r="R296" s="259"/>
      <c r="S296" s="260"/>
      <c r="T296" s="738" t="s">
        <v>702</v>
      </c>
    </row>
    <row r="297" spans="1:40" s="19" customFormat="1" ht="20.100000000000001" customHeight="1">
      <c r="A297" s="675"/>
      <c r="B297" s="863"/>
      <c r="C297" s="836">
        <f t="shared" si="53"/>
        <v>242</v>
      </c>
      <c r="D297" s="837" t="str">
        <f t="shared" si="54"/>
        <v>단기</v>
      </c>
      <c r="E297" s="830" t="s">
        <v>568</v>
      </c>
      <c r="F297" s="817"/>
      <c r="G297" s="831">
        <v>20</v>
      </c>
      <c r="H297" s="831">
        <f t="shared" si="55"/>
        <v>20</v>
      </c>
      <c r="I297" s="824">
        <v>45989</v>
      </c>
      <c r="J297" s="824">
        <v>46231</v>
      </c>
      <c r="K297" s="832" t="s">
        <v>569</v>
      </c>
      <c r="L297" s="561" t="s">
        <v>123</v>
      </c>
      <c r="M297" s="258" t="s">
        <v>575</v>
      </c>
      <c r="N297" s="63">
        <f t="shared" si="56"/>
        <v>120</v>
      </c>
      <c r="O297" s="63" t="s">
        <v>570</v>
      </c>
      <c r="P297" s="689">
        <f t="shared" si="57"/>
        <v>4.0399999999999998E-2</v>
      </c>
      <c r="Q297" s="738" t="s">
        <v>571</v>
      </c>
      <c r="R297" s="259"/>
      <c r="S297" s="260"/>
      <c r="T297" s="738" t="s">
        <v>703</v>
      </c>
      <c r="AM297" s="185">
        <v>44931</v>
      </c>
      <c r="AN297" s="185">
        <v>44931</v>
      </c>
    </row>
    <row r="298" spans="1:40" s="19" customFormat="1" ht="20.100000000000001" customHeight="1">
      <c r="A298" s="675"/>
      <c r="B298" s="863"/>
      <c r="C298" s="836">
        <f t="shared" si="53"/>
        <v>368</v>
      </c>
      <c r="D298" s="837" t="str">
        <f t="shared" si="54"/>
        <v>장기</v>
      </c>
      <c r="E298" s="830" t="s">
        <v>537</v>
      </c>
      <c r="F298" s="817"/>
      <c r="G298" s="831">
        <v>20</v>
      </c>
      <c r="H298" s="831">
        <f t="shared" si="55"/>
        <v>20</v>
      </c>
      <c r="I298" s="824">
        <v>45877</v>
      </c>
      <c r="J298" s="824">
        <v>46245</v>
      </c>
      <c r="K298" s="832" t="s">
        <v>542</v>
      </c>
      <c r="L298" s="561" t="s">
        <v>123</v>
      </c>
      <c r="M298" s="261" t="s">
        <v>598</v>
      </c>
      <c r="N298" s="63">
        <f t="shared" si="56"/>
        <v>134</v>
      </c>
      <c r="O298" s="63" t="s">
        <v>538</v>
      </c>
      <c r="P298" s="689">
        <f t="shared" si="57"/>
        <v>4.0800000000000003E-2</v>
      </c>
      <c r="Q298" s="738" t="s">
        <v>539</v>
      </c>
      <c r="R298" s="259"/>
      <c r="S298" s="260"/>
      <c r="T298" s="738" t="s">
        <v>704</v>
      </c>
    </row>
    <row r="299" spans="1:40" s="19" customFormat="1" ht="20.100000000000001" customHeight="1">
      <c r="A299" s="675"/>
      <c r="B299" s="863"/>
      <c r="C299" s="839">
        <f t="shared" si="53"/>
        <v>731</v>
      </c>
      <c r="D299" s="840" t="str">
        <f t="shared" si="54"/>
        <v>장기</v>
      </c>
      <c r="E299" s="830" t="s">
        <v>127</v>
      </c>
      <c r="F299" s="817"/>
      <c r="G299" s="831">
        <v>20</v>
      </c>
      <c r="H299" s="831">
        <f t="shared" si="55"/>
        <v>20</v>
      </c>
      <c r="I299" s="824">
        <v>45520</v>
      </c>
      <c r="J299" s="824">
        <v>46251</v>
      </c>
      <c r="K299" s="832" t="s">
        <v>132</v>
      </c>
      <c r="L299" s="561" t="s">
        <v>126</v>
      </c>
      <c r="M299" s="258" t="s">
        <v>607</v>
      </c>
      <c r="N299" s="63">
        <f t="shared" si="56"/>
        <v>140</v>
      </c>
      <c r="O299" s="63" t="s">
        <v>535</v>
      </c>
      <c r="P299" s="689">
        <f t="shared" si="57"/>
        <v>4.5499999999999999E-2</v>
      </c>
      <c r="Q299" s="738" t="s">
        <v>498</v>
      </c>
      <c r="R299" s="259"/>
      <c r="S299" s="260"/>
      <c r="T299" s="738" t="s">
        <v>705</v>
      </c>
    </row>
    <row r="300" spans="1:40" s="19" customFormat="1" ht="20.100000000000001" customHeight="1">
      <c r="A300" s="675"/>
      <c r="B300" s="863"/>
      <c r="C300" s="836">
        <f t="shared" si="53"/>
        <v>367</v>
      </c>
      <c r="D300" s="837" t="str">
        <f t="shared" si="54"/>
        <v>장기</v>
      </c>
      <c r="E300" s="830" t="s">
        <v>550</v>
      </c>
      <c r="F300" s="817"/>
      <c r="G300" s="831">
        <v>20</v>
      </c>
      <c r="H300" s="831">
        <f t="shared" si="55"/>
        <v>20</v>
      </c>
      <c r="I300" s="824">
        <v>45898</v>
      </c>
      <c r="J300" s="824">
        <v>46265</v>
      </c>
      <c r="K300" s="832" t="s">
        <v>542</v>
      </c>
      <c r="L300" s="561" t="s">
        <v>123</v>
      </c>
      <c r="M300" s="261" t="s">
        <v>572</v>
      </c>
      <c r="N300" s="63">
        <f t="shared" si="56"/>
        <v>154</v>
      </c>
      <c r="O300" s="63" t="s">
        <v>538</v>
      </c>
      <c r="P300" s="689">
        <f t="shared" si="57"/>
        <v>4.24E-2</v>
      </c>
      <c r="Q300" s="738" t="s">
        <v>491</v>
      </c>
      <c r="R300" s="259"/>
      <c r="S300" s="260"/>
      <c r="T300" s="738" t="s">
        <v>720</v>
      </c>
      <c r="V300" s="4" t="s">
        <v>567</v>
      </c>
    </row>
    <row r="301" spans="1:40" s="19" customFormat="1" ht="20.100000000000001" customHeight="1">
      <c r="A301" s="675"/>
      <c r="B301" s="863"/>
      <c r="C301" s="839">
        <f t="shared" si="53"/>
        <v>369</v>
      </c>
      <c r="D301" s="840" t="str">
        <f t="shared" si="54"/>
        <v>장기</v>
      </c>
      <c r="E301" s="830" t="s">
        <v>557</v>
      </c>
      <c r="F301" s="817"/>
      <c r="G301" s="831">
        <v>20</v>
      </c>
      <c r="H301" s="831">
        <f t="shared" si="55"/>
        <v>20</v>
      </c>
      <c r="I301" s="824">
        <v>45946</v>
      </c>
      <c r="J301" s="824">
        <v>46315</v>
      </c>
      <c r="K301" s="832" t="s">
        <v>527</v>
      </c>
      <c r="L301" s="561" t="s">
        <v>123</v>
      </c>
      <c r="M301" s="258" t="s">
        <v>586</v>
      </c>
      <c r="N301" s="63">
        <f t="shared" si="56"/>
        <v>204</v>
      </c>
      <c r="O301" s="63" t="s">
        <v>558</v>
      </c>
      <c r="P301" s="689">
        <f t="shared" si="57"/>
        <v>4.07E-2</v>
      </c>
      <c r="Q301" s="738" t="s">
        <v>559</v>
      </c>
      <c r="R301" s="259"/>
      <c r="S301" s="260"/>
      <c r="T301" s="738" t="s">
        <v>706</v>
      </c>
      <c r="X301" s="4"/>
      <c r="Y301" s="4"/>
      <c r="Z301" s="4"/>
      <c r="AA301" s="4"/>
      <c r="AB301" s="4"/>
      <c r="AC301" s="4"/>
      <c r="AD301" s="4"/>
      <c r="AE301" s="4"/>
      <c r="AF301" s="4"/>
      <c r="AG301" s="4"/>
      <c r="AH301" s="4"/>
      <c r="AI301" s="4"/>
    </row>
    <row r="302" spans="1:40" s="19" customFormat="1" ht="20.100000000000001" customHeight="1">
      <c r="A302" s="675"/>
      <c r="B302" s="863"/>
      <c r="C302" s="834">
        <f t="shared" si="53"/>
        <v>273</v>
      </c>
      <c r="D302" s="835" t="str">
        <f t="shared" si="54"/>
        <v>단기</v>
      </c>
      <c r="E302" s="825" t="s">
        <v>587</v>
      </c>
      <c r="F302" s="826"/>
      <c r="G302" s="827">
        <v>30</v>
      </c>
      <c r="H302" s="827">
        <f t="shared" si="55"/>
        <v>30</v>
      </c>
      <c r="I302" s="828">
        <v>46044</v>
      </c>
      <c r="J302" s="828">
        <v>46317</v>
      </c>
      <c r="K302" s="829">
        <v>3.7699999999999997E-2</v>
      </c>
      <c r="L302" s="503" t="s">
        <v>543</v>
      </c>
      <c r="M302" s="668">
        <f>(K302*100-3.5507)*100</f>
        <v>21.929999999999961</v>
      </c>
      <c r="N302" s="63">
        <f t="shared" si="56"/>
        <v>206</v>
      </c>
      <c r="O302" s="63" t="s">
        <v>533</v>
      </c>
      <c r="P302" s="689">
        <f t="shared" si="57"/>
        <v>3.7699999999999997E-2</v>
      </c>
      <c r="Q302" s="738" t="s">
        <v>560</v>
      </c>
      <c r="R302" s="259"/>
      <c r="S302" s="260"/>
      <c r="T302" s="738" t="s">
        <v>707</v>
      </c>
      <c r="W302" s="4"/>
    </row>
    <row r="303" spans="1:40" ht="20.100000000000001" customHeight="1">
      <c r="A303" s="675"/>
      <c r="B303" s="863"/>
      <c r="C303" s="836">
        <f t="shared" si="53"/>
        <v>367</v>
      </c>
      <c r="D303" s="840" t="str">
        <f t="shared" si="54"/>
        <v>장기</v>
      </c>
      <c r="E303" s="830" t="s">
        <v>124</v>
      </c>
      <c r="F303" s="817"/>
      <c r="G303" s="831">
        <v>20</v>
      </c>
      <c r="H303" s="831">
        <f t="shared" si="55"/>
        <v>20</v>
      </c>
      <c r="I303" s="824">
        <v>45968</v>
      </c>
      <c r="J303" s="824">
        <v>46335</v>
      </c>
      <c r="K303" s="832" t="s">
        <v>563</v>
      </c>
      <c r="L303" s="561" t="s">
        <v>123</v>
      </c>
      <c r="M303" s="258" t="s">
        <v>564</v>
      </c>
      <c r="N303" s="63">
        <f t="shared" si="56"/>
        <v>224</v>
      </c>
      <c r="O303" s="63" t="s">
        <v>477</v>
      </c>
      <c r="P303" s="689">
        <f t="shared" si="57"/>
        <v>4.2500000000000003E-2</v>
      </c>
      <c r="Q303" s="738" t="s">
        <v>124</v>
      </c>
      <c r="R303" s="259"/>
      <c r="S303" s="260"/>
      <c r="T303" s="738" t="s">
        <v>708</v>
      </c>
      <c r="U303" s="19"/>
      <c r="V303" s="19"/>
      <c r="W303" s="19"/>
      <c r="X303" s="19"/>
      <c r="Y303" s="19"/>
      <c r="Z303" s="19"/>
      <c r="AA303" s="19"/>
      <c r="AB303" s="19"/>
      <c r="AC303" s="19"/>
      <c r="AD303" s="19"/>
      <c r="AE303" s="19"/>
      <c r="AF303" s="19"/>
      <c r="AG303" s="19"/>
      <c r="AH303" s="19"/>
      <c r="AI303" s="19"/>
    </row>
    <row r="304" spans="1:40" s="19" customFormat="1" ht="20.100000000000001" customHeight="1">
      <c r="A304" s="675"/>
      <c r="B304" s="863"/>
      <c r="C304" s="836">
        <f t="shared" si="53"/>
        <v>367</v>
      </c>
      <c r="D304" s="840" t="str">
        <f t="shared" si="54"/>
        <v>장기</v>
      </c>
      <c r="E304" s="830" t="s">
        <v>557</v>
      </c>
      <c r="F304" s="817"/>
      <c r="G304" s="831">
        <v>20</v>
      </c>
      <c r="H304" s="831">
        <f t="shared" si="55"/>
        <v>20</v>
      </c>
      <c r="I304" s="824">
        <v>45975</v>
      </c>
      <c r="J304" s="824">
        <v>46342</v>
      </c>
      <c r="K304" s="832" t="s">
        <v>563</v>
      </c>
      <c r="L304" s="561" t="s">
        <v>123</v>
      </c>
      <c r="M304" s="258" t="s">
        <v>601</v>
      </c>
      <c r="N304" s="63">
        <f t="shared" si="56"/>
        <v>231</v>
      </c>
      <c r="O304" s="63" t="s">
        <v>558</v>
      </c>
      <c r="P304" s="689">
        <f t="shared" si="57"/>
        <v>4.0199999999999993E-2</v>
      </c>
      <c r="Q304" s="738" t="s">
        <v>559</v>
      </c>
      <c r="R304" s="259"/>
      <c r="S304" s="260"/>
      <c r="T304" s="738" t="s">
        <v>709</v>
      </c>
    </row>
    <row r="305" spans="1:35" s="19" customFormat="1" ht="20.100000000000001" customHeight="1">
      <c r="A305" s="675"/>
      <c r="B305" s="863"/>
      <c r="C305" s="836">
        <f t="shared" si="53"/>
        <v>367</v>
      </c>
      <c r="D305" s="837" t="str">
        <f t="shared" si="54"/>
        <v>장기</v>
      </c>
      <c r="E305" s="830" t="s">
        <v>557</v>
      </c>
      <c r="F305" s="817"/>
      <c r="G305" s="831">
        <v>20</v>
      </c>
      <c r="H305" s="831">
        <f t="shared" si="55"/>
        <v>20</v>
      </c>
      <c r="I305" s="824">
        <v>45982</v>
      </c>
      <c r="J305" s="824">
        <v>46349</v>
      </c>
      <c r="K305" s="832" t="s">
        <v>563</v>
      </c>
      <c r="L305" s="561" t="s">
        <v>123</v>
      </c>
      <c r="M305" s="258" t="s">
        <v>605</v>
      </c>
      <c r="N305" s="63">
        <f t="shared" si="56"/>
        <v>238</v>
      </c>
      <c r="O305" s="63" t="s">
        <v>558</v>
      </c>
      <c r="P305" s="689">
        <f t="shared" si="57"/>
        <v>4.0399999999999998E-2</v>
      </c>
      <c r="Q305" s="738" t="s">
        <v>559</v>
      </c>
      <c r="R305" s="259"/>
      <c r="S305" s="260"/>
      <c r="T305" s="738" t="s">
        <v>710</v>
      </c>
      <c r="AG305" s="790"/>
      <c r="AH305" s="790"/>
      <c r="AI305" s="790"/>
    </row>
    <row r="306" spans="1:35" s="19" customFormat="1" ht="20.100000000000001" customHeight="1">
      <c r="A306" s="675"/>
      <c r="B306" s="863"/>
      <c r="C306" s="836">
        <f t="shared" si="53"/>
        <v>367</v>
      </c>
      <c r="D306" s="837" t="str">
        <f t="shared" si="54"/>
        <v>장기</v>
      </c>
      <c r="E306" s="830" t="s">
        <v>552</v>
      </c>
      <c r="F306" s="817"/>
      <c r="G306" s="831">
        <v>20</v>
      </c>
      <c r="H306" s="831">
        <f t="shared" si="55"/>
        <v>20</v>
      </c>
      <c r="I306" s="824">
        <v>46003</v>
      </c>
      <c r="J306" s="824">
        <v>46370</v>
      </c>
      <c r="K306" s="832" t="s">
        <v>513</v>
      </c>
      <c r="L306" s="561" t="s">
        <v>123</v>
      </c>
      <c r="M306" s="258" t="s">
        <v>577</v>
      </c>
      <c r="N306" s="63">
        <f t="shared" si="56"/>
        <v>259</v>
      </c>
      <c r="O306" s="63" t="s">
        <v>478</v>
      </c>
      <c r="P306" s="689">
        <f t="shared" si="57"/>
        <v>4.1299999999999996E-2</v>
      </c>
      <c r="Q306" s="738" t="s">
        <v>494</v>
      </c>
      <c r="R306" s="259"/>
      <c r="S306" s="260"/>
      <c r="T306" s="738" t="s">
        <v>711</v>
      </c>
      <c r="AF306" s="790"/>
      <c r="AG306" s="790"/>
      <c r="AH306" s="790"/>
      <c r="AI306" s="790"/>
    </row>
    <row r="307" spans="1:35" s="790" customFormat="1" ht="20.100000000000001" customHeight="1">
      <c r="A307" s="789"/>
      <c r="B307" s="863"/>
      <c r="C307" s="836">
        <f t="shared" si="53"/>
        <v>367</v>
      </c>
      <c r="D307" s="840" t="str">
        <f t="shared" si="54"/>
        <v>장기</v>
      </c>
      <c r="E307" s="830" t="s">
        <v>537</v>
      </c>
      <c r="F307" s="817"/>
      <c r="G307" s="831">
        <v>20</v>
      </c>
      <c r="H307" s="831">
        <f t="shared" si="55"/>
        <v>20</v>
      </c>
      <c r="I307" s="824">
        <v>46010</v>
      </c>
      <c r="J307" s="824">
        <v>46377</v>
      </c>
      <c r="K307" s="832" t="s">
        <v>563</v>
      </c>
      <c r="L307" s="561" t="s">
        <v>123</v>
      </c>
      <c r="M307" s="258" t="s">
        <v>578</v>
      </c>
      <c r="N307" s="63">
        <f t="shared" si="56"/>
        <v>266</v>
      </c>
      <c r="O307" s="63" t="s">
        <v>538</v>
      </c>
      <c r="P307" s="689">
        <f t="shared" si="57"/>
        <v>4.0899999999999999E-2</v>
      </c>
      <c r="Q307" s="738" t="s">
        <v>539</v>
      </c>
      <c r="R307" s="259"/>
      <c r="S307" s="260"/>
      <c r="T307" s="738" t="s">
        <v>712</v>
      </c>
      <c r="U307" s="19"/>
      <c r="V307" s="19"/>
      <c r="W307" s="19"/>
      <c r="X307" s="19"/>
      <c r="Y307" s="19"/>
      <c r="Z307" s="19"/>
      <c r="AA307" s="19"/>
      <c r="AB307" s="19"/>
      <c r="AC307" s="19"/>
      <c r="AD307" s="19"/>
      <c r="AE307" s="19"/>
      <c r="AF307" s="19"/>
      <c r="AG307" s="19"/>
      <c r="AH307" s="19"/>
      <c r="AI307" s="19"/>
    </row>
    <row r="308" spans="1:35" s="790" customFormat="1" ht="20.100000000000001" customHeight="1">
      <c r="A308" s="789"/>
      <c r="B308" s="863"/>
      <c r="C308" s="836">
        <f t="shared" si="53"/>
        <v>365</v>
      </c>
      <c r="D308" s="837" t="str">
        <f t="shared" si="54"/>
        <v>단기</v>
      </c>
      <c r="E308" s="830" t="s">
        <v>537</v>
      </c>
      <c r="F308" s="817"/>
      <c r="G308" s="831">
        <v>20</v>
      </c>
      <c r="H308" s="831">
        <f t="shared" si="55"/>
        <v>20</v>
      </c>
      <c r="I308" s="824">
        <v>46050</v>
      </c>
      <c r="J308" s="824">
        <v>46415</v>
      </c>
      <c r="K308" s="832" t="s">
        <v>563</v>
      </c>
      <c r="L308" s="561" t="s">
        <v>123</v>
      </c>
      <c r="M308" s="258" t="s">
        <v>594</v>
      </c>
      <c r="N308" s="63">
        <f t="shared" si="56"/>
        <v>304</v>
      </c>
      <c r="O308" s="63" t="s">
        <v>538</v>
      </c>
      <c r="P308" s="689">
        <f t="shared" si="57"/>
        <v>4.0599999999999997E-2</v>
      </c>
      <c r="Q308" s="738" t="s">
        <v>539</v>
      </c>
      <c r="R308" s="259"/>
      <c r="S308" s="260"/>
      <c r="T308" s="738" t="s">
        <v>713</v>
      </c>
      <c r="U308" s="19"/>
      <c r="V308" s="19"/>
      <c r="W308" s="19"/>
      <c r="X308" s="19"/>
      <c r="Y308" s="19"/>
      <c r="Z308" s="19"/>
      <c r="AA308" s="19"/>
      <c r="AB308" s="19"/>
      <c r="AC308" s="19"/>
      <c r="AD308" s="19"/>
      <c r="AE308" s="19"/>
      <c r="AF308" s="19"/>
      <c r="AG308" s="19"/>
      <c r="AH308" s="19"/>
      <c r="AI308" s="19"/>
    </row>
    <row r="309" spans="1:35" s="19" customFormat="1" ht="20.100000000000001" customHeight="1">
      <c r="A309" s="675"/>
      <c r="B309" s="863"/>
      <c r="C309" s="836">
        <f t="shared" si="53"/>
        <v>364</v>
      </c>
      <c r="D309" s="837" t="str">
        <f t="shared" si="54"/>
        <v>단기</v>
      </c>
      <c r="E309" s="830" t="s">
        <v>721</v>
      </c>
      <c r="F309" s="817"/>
      <c r="G309" s="831">
        <v>30</v>
      </c>
      <c r="H309" s="831">
        <f t="shared" si="55"/>
        <v>30</v>
      </c>
      <c r="I309" s="824">
        <v>46080</v>
      </c>
      <c r="J309" s="824">
        <v>46444</v>
      </c>
      <c r="K309" s="832" t="s">
        <v>609</v>
      </c>
      <c r="L309" s="561" t="s">
        <v>123</v>
      </c>
      <c r="M309" s="258" t="s">
        <v>610</v>
      </c>
      <c r="N309" s="63">
        <f t="shared" si="56"/>
        <v>333</v>
      </c>
      <c r="O309" s="63" t="s">
        <v>538</v>
      </c>
      <c r="P309" s="689">
        <f t="shared" si="57"/>
        <v>4.0500000000000001E-2</v>
      </c>
      <c r="Q309" s="738" t="s">
        <v>721</v>
      </c>
      <c r="R309" s="259"/>
      <c r="S309" s="260"/>
      <c r="T309" s="738" t="s">
        <v>714</v>
      </c>
    </row>
    <row r="310" spans="1:35" s="19" customFormat="1" ht="19.5" customHeight="1">
      <c r="A310" s="675"/>
      <c r="B310" s="863"/>
      <c r="C310" s="836">
        <f t="shared" si="53"/>
        <v>367</v>
      </c>
      <c r="D310" s="837" t="str">
        <f t="shared" si="54"/>
        <v>장기</v>
      </c>
      <c r="E310" s="830" t="s">
        <v>692</v>
      </c>
      <c r="F310" s="817"/>
      <c r="G310" s="831">
        <v>20</v>
      </c>
      <c r="H310" s="831">
        <f t="shared" si="55"/>
        <v>20</v>
      </c>
      <c r="I310" s="824">
        <v>46094</v>
      </c>
      <c r="J310" s="824">
        <v>46461</v>
      </c>
      <c r="K310" s="832" t="s">
        <v>527</v>
      </c>
      <c r="L310" s="561" t="s">
        <v>123</v>
      </c>
      <c r="M310" s="258" t="s">
        <v>693</v>
      </c>
      <c r="N310" s="63">
        <f t="shared" si="56"/>
        <v>350</v>
      </c>
      <c r="O310" s="63" t="s">
        <v>538</v>
      </c>
      <c r="P310" s="689">
        <f t="shared" si="57"/>
        <v>4.0800000000000003E-2</v>
      </c>
      <c r="Q310" s="738" t="s">
        <v>491</v>
      </c>
      <c r="R310" s="259"/>
      <c r="S310" s="260"/>
      <c r="T310" s="738" t="s">
        <v>715</v>
      </c>
    </row>
    <row r="311" spans="1:35" s="19" customFormat="1" ht="20.100000000000001" customHeight="1">
      <c r="A311" s="675"/>
      <c r="B311" s="863"/>
      <c r="C311" s="836">
        <f t="shared" si="53"/>
        <v>367</v>
      </c>
      <c r="D311" s="837" t="str">
        <f t="shared" si="54"/>
        <v>장기</v>
      </c>
      <c r="E311" s="830" t="s">
        <v>557</v>
      </c>
      <c r="F311" s="817"/>
      <c r="G311" s="831">
        <v>20</v>
      </c>
      <c r="H311" s="831">
        <f t="shared" si="55"/>
        <v>20</v>
      </c>
      <c r="I311" s="824">
        <v>46101</v>
      </c>
      <c r="J311" s="824">
        <v>46468</v>
      </c>
      <c r="K311" s="832" t="s">
        <v>526</v>
      </c>
      <c r="L311" s="561" t="s">
        <v>123</v>
      </c>
      <c r="M311" s="258" t="s">
        <v>728</v>
      </c>
      <c r="N311" s="63">
        <f t="shared" si="56"/>
        <v>357</v>
      </c>
      <c r="O311" s="63" t="s">
        <v>558</v>
      </c>
      <c r="P311" s="689">
        <f t="shared" si="57"/>
        <v>4.1200000000000001E-2</v>
      </c>
      <c r="Q311" s="738" t="s">
        <v>559</v>
      </c>
      <c r="R311" s="259"/>
      <c r="S311" s="260"/>
      <c r="T311" s="738" t="s">
        <v>719</v>
      </c>
    </row>
    <row r="312" spans="1:35" s="19" customFormat="1" ht="20.100000000000001" customHeight="1">
      <c r="A312" s="1"/>
      <c r="B312" s="863"/>
      <c r="C312" s="836">
        <f t="shared" si="53"/>
        <v>368</v>
      </c>
      <c r="D312" s="837" t="str">
        <f t="shared" si="54"/>
        <v>장기</v>
      </c>
      <c r="E312" s="830" t="s">
        <v>557</v>
      </c>
      <c r="F312" s="191"/>
      <c r="G312" s="831">
        <v>20</v>
      </c>
      <c r="H312" s="831">
        <f t="shared" si="55"/>
        <v>20</v>
      </c>
      <c r="I312" s="193">
        <v>46108</v>
      </c>
      <c r="J312" s="193">
        <v>46476</v>
      </c>
      <c r="K312" s="832" t="s">
        <v>526</v>
      </c>
      <c r="L312" s="561" t="s">
        <v>123</v>
      </c>
      <c r="M312" s="258" t="s">
        <v>734</v>
      </c>
      <c r="N312" s="63">
        <f t="shared" si="56"/>
        <v>365</v>
      </c>
      <c r="O312" s="63" t="s">
        <v>558</v>
      </c>
      <c r="P312" s="689">
        <f t="shared" si="57"/>
        <v>4.1500000000000002E-2</v>
      </c>
      <c r="Q312" s="738" t="s">
        <v>559</v>
      </c>
      <c r="R312" s="259"/>
      <c r="S312" s="260"/>
      <c r="T312" s="738" t="s">
        <v>735</v>
      </c>
    </row>
    <row r="313" spans="1:35" s="19" customFormat="1" ht="20.100000000000001" customHeight="1">
      <c r="A313" s="1"/>
      <c r="B313" s="863"/>
      <c r="C313" s="836">
        <f t="shared" si="53"/>
        <v>731</v>
      </c>
      <c r="D313" s="837" t="str">
        <f t="shared" si="54"/>
        <v>장기</v>
      </c>
      <c r="E313" s="830" t="s">
        <v>130</v>
      </c>
      <c r="F313" s="817"/>
      <c r="G313" s="831">
        <v>20</v>
      </c>
      <c r="H313" s="831">
        <f>G313</f>
        <v>20</v>
      </c>
      <c r="I313" s="824">
        <v>45867</v>
      </c>
      <c r="J313" s="833">
        <v>46598</v>
      </c>
      <c r="K313" s="832" t="s">
        <v>540</v>
      </c>
      <c r="L313" s="561" t="s">
        <v>126</v>
      </c>
      <c r="M313" s="261" t="s">
        <v>595</v>
      </c>
      <c r="N313" s="63">
        <f t="shared" si="56"/>
        <v>487</v>
      </c>
      <c r="O313" s="63" t="s">
        <v>476</v>
      </c>
      <c r="P313" s="689">
        <f t="shared" si="57"/>
        <v>4.4000000000000004E-2</v>
      </c>
      <c r="Q313" s="738" t="s">
        <v>496</v>
      </c>
      <c r="R313" s="259"/>
      <c r="S313" s="260"/>
      <c r="T313" s="738" t="s">
        <v>716</v>
      </c>
    </row>
    <row r="314" spans="1:35" s="19" customFormat="1" ht="20.100000000000001" customHeight="1">
      <c r="A314" s="1"/>
      <c r="B314" s="863"/>
      <c r="C314" s="836">
        <f t="shared" si="53"/>
        <v>731</v>
      </c>
      <c r="D314" s="837" t="str">
        <f t="shared" si="54"/>
        <v>장기</v>
      </c>
      <c r="E314" s="830" t="s">
        <v>130</v>
      </c>
      <c r="F314" s="817"/>
      <c r="G314" s="831">
        <v>20</v>
      </c>
      <c r="H314" s="831">
        <f>G314</f>
        <v>20</v>
      </c>
      <c r="I314" s="824">
        <v>45887</v>
      </c>
      <c r="J314" s="833">
        <v>46618</v>
      </c>
      <c r="K314" s="832" t="s">
        <v>547</v>
      </c>
      <c r="L314" s="561" t="s">
        <v>126</v>
      </c>
      <c r="M314" s="258" t="s">
        <v>603</v>
      </c>
      <c r="N314" s="63">
        <f t="shared" si="56"/>
        <v>507</v>
      </c>
      <c r="O314" s="63" t="s">
        <v>476</v>
      </c>
      <c r="P314" s="689">
        <f t="shared" si="57"/>
        <v>4.3499999999999997E-2</v>
      </c>
      <c r="Q314" s="738" t="s">
        <v>496</v>
      </c>
      <c r="R314" s="259"/>
      <c r="S314" s="260"/>
      <c r="T314" s="738" t="s">
        <v>717</v>
      </c>
    </row>
    <row r="315" spans="1:35" s="19" customFormat="1" ht="20.100000000000001" customHeight="1">
      <c r="A315" s="1"/>
      <c r="B315" s="863"/>
      <c r="C315" s="262">
        <f t="shared" si="53"/>
        <v>730</v>
      </c>
      <c r="D315" s="263" t="str">
        <f t="shared" si="54"/>
        <v>장기</v>
      </c>
      <c r="E315" s="830" t="s">
        <v>121</v>
      </c>
      <c r="F315" s="817"/>
      <c r="G315" s="831">
        <v>20</v>
      </c>
      <c r="H315" s="831">
        <f>G315</f>
        <v>20</v>
      </c>
      <c r="I315" s="824">
        <v>45924</v>
      </c>
      <c r="J315" s="833">
        <v>46654</v>
      </c>
      <c r="K315" s="832" t="s">
        <v>553</v>
      </c>
      <c r="L315" s="561" t="s">
        <v>126</v>
      </c>
      <c r="M315" s="258" t="s">
        <v>581</v>
      </c>
      <c r="N315" s="63">
        <f t="shared" si="56"/>
        <v>543</v>
      </c>
      <c r="O315" s="63" t="s">
        <v>476</v>
      </c>
      <c r="P315" s="689">
        <f t="shared" si="57"/>
        <v>4.3299999999999998E-2</v>
      </c>
      <c r="Q315" s="738" t="s">
        <v>492</v>
      </c>
      <c r="R315" s="259"/>
      <c r="S315" s="260"/>
      <c r="T315" s="738" t="s">
        <v>718</v>
      </c>
    </row>
    <row r="316" spans="1:35" s="19" customFormat="1" ht="20.100000000000001" customHeight="1">
      <c r="A316" s="1"/>
      <c r="B316" s="863"/>
      <c r="C316" s="262">
        <f t="shared" si="53"/>
        <v>730</v>
      </c>
      <c r="D316" s="263" t="str">
        <f t="shared" si="54"/>
        <v>장기</v>
      </c>
      <c r="E316" s="830" t="s">
        <v>121</v>
      </c>
      <c r="F316" s="817"/>
      <c r="G316" s="831">
        <v>20</v>
      </c>
      <c r="H316" s="831">
        <f>G316</f>
        <v>20</v>
      </c>
      <c r="I316" s="824">
        <v>45958</v>
      </c>
      <c r="J316" s="824">
        <v>46688</v>
      </c>
      <c r="K316" s="832" t="s">
        <v>562</v>
      </c>
      <c r="L316" s="561" t="s">
        <v>126</v>
      </c>
      <c r="M316" s="258" t="s">
        <v>592</v>
      </c>
      <c r="N316" s="63">
        <f t="shared" si="56"/>
        <v>577</v>
      </c>
      <c r="O316" s="63" t="s">
        <v>476</v>
      </c>
      <c r="P316" s="689">
        <f t="shared" si="57"/>
        <v>4.2599999999999999E-2</v>
      </c>
      <c r="Q316" s="738" t="s">
        <v>492</v>
      </c>
      <c r="R316" s="259"/>
      <c r="S316" s="260"/>
      <c r="T316" s="738" t="s">
        <v>719</v>
      </c>
    </row>
    <row r="317" spans="1:35" s="19" customFormat="1" ht="20.100000000000001" customHeight="1">
      <c r="A317" s="1"/>
      <c r="B317" s="863"/>
      <c r="C317" s="262"/>
      <c r="D317" s="263"/>
      <c r="E317" s="830"/>
      <c r="F317" s="817"/>
      <c r="G317" s="831"/>
      <c r="H317" s="831"/>
      <c r="I317" s="824"/>
      <c r="J317" s="824"/>
      <c r="K317" s="832"/>
      <c r="L317" s="561"/>
      <c r="M317" s="258"/>
      <c r="N317" s="63"/>
      <c r="O317" s="63"/>
      <c r="P317" s="689"/>
      <c r="Q317" s="738"/>
      <c r="R317" s="259"/>
      <c r="S317" s="260"/>
      <c r="T317" s="738"/>
    </row>
    <row r="318" spans="1:35" s="19" customFormat="1" ht="20.100000000000001" customHeight="1">
      <c r="A318" s="1"/>
      <c r="B318" s="863"/>
      <c r="C318" s="262"/>
      <c r="D318" s="263"/>
      <c r="E318" s="189"/>
      <c r="F318" s="191"/>
      <c r="G318" s="192"/>
      <c r="H318" s="192"/>
      <c r="I318" s="193"/>
      <c r="J318" s="193"/>
      <c r="K318" s="501"/>
      <c r="L318" s="561"/>
      <c r="M318" s="258"/>
      <c r="N318" s="63"/>
      <c r="O318" s="63"/>
      <c r="P318" s="689"/>
      <c r="Q318" s="738"/>
      <c r="R318" s="259"/>
      <c r="S318" s="260"/>
      <c r="T318" s="738"/>
    </row>
    <row r="319" spans="1:35" s="19" customFormat="1" ht="20.100000000000001" customHeight="1">
      <c r="A319" s="1"/>
      <c r="B319" s="863"/>
      <c r="C319" s="262"/>
      <c r="D319" s="263"/>
      <c r="E319" s="189"/>
      <c r="F319" s="191"/>
      <c r="G319" s="192"/>
      <c r="H319" s="192"/>
      <c r="I319" s="193"/>
      <c r="J319" s="193"/>
      <c r="K319" s="501"/>
      <c r="L319" s="561"/>
      <c r="M319" s="258"/>
      <c r="N319" s="63"/>
      <c r="O319" s="63"/>
      <c r="P319" s="689"/>
      <c r="Q319" s="738"/>
      <c r="R319" s="259"/>
      <c r="S319" s="260"/>
      <c r="T319" s="738"/>
    </row>
    <row r="320" spans="1:35" s="19" customFormat="1" ht="20.100000000000001" customHeight="1">
      <c r="A320" s="1"/>
      <c r="B320" s="863"/>
      <c r="C320" s="262"/>
      <c r="D320" s="263"/>
      <c r="E320" s="189"/>
      <c r="F320" s="191"/>
      <c r="G320" s="192"/>
      <c r="H320" s="192"/>
      <c r="I320" s="193"/>
      <c r="J320" s="193"/>
      <c r="K320" s="501"/>
      <c r="L320" s="561"/>
      <c r="M320" s="258"/>
      <c r="N320" s="63"/>
      <c r="O320" s="63"/>
      <c r="P320" s="689"/>
      <c r="Q320" s="738"/>
      <c r="R320" s="259"/>
      <c r="S320" s="260"/>
      <c r="T320" s="738"/>
    </row>
    <row r="321" spans="1:20" s="19" customFormat="1" ht="20.100000000000001" customHeight="1">
      <c r="A321" s="1"/>
      <c r="B321" s="861"/>
      <c r="C321" s="262"/>
      <c r="D321" s="263"/>
      <c r="E321" s="189"/>
      <c r="F321" s="191"/>
      <c r="G321" s="192"/>
      <c r="H321" s="192"/>
      <c r="I321" s="193"/>
      <c r="J321" s="193"/>
      <c r="K321" s="501"/>
      <c r="L321" s="561"/>
      <c r="M321" s="261"/>
      <c r="N321" s="63"/>
      <c r="O321" s="63"/>
      <c r="P321" s="689"/>
      <c r="Q321" s="738"/>
      <c r="R321" s="259"/>
      <c r="S321" s="260"/>
      <c r="T321" s="738"/>
    </row>
    <row r="322" spans="1:20" s="19" customFormat="1" ht="20.100000000000001" customHeight="1">
      <c r="A322" s="1"/>
      <c r="B322" s="176" t="s">
        <v>83</v>
      </c>
      <c r="C322" s="859" t="s">
        <v>87</v>
      </c>
      <c r="D322" s="859"/>
      <c r="E322" s="667" t="s">
        <v>521</v>
      </c>
      <c r="F322" s="667"/>
      <c r="G322" s="713" t="s">
        <v>89</v>
      </c>
      <c r="H322" s="713" t="s">
        <v>90</v>
      </c>
      <c r="I322" s="713" t="s">
        <v>690</v>
      </c>
      <c r="J322" s="713" t="s">
        <v>142</v>
      </c>
      <c r="K322" s="713" t="s">
        <v>93</v>
      </c>
      <c r="L322" s="713" t="s">
        <v>94</v>
      </c>
      <c r="M322" s="713" t="s">
        <v>95</v>
      </c>
      <c r="N322" s="256"/>
      <c r="O322" s="121">
        <f>K114</f>
        <v>0</v>
      </c>
      <c r="P322" s="63" t="b">
        <f>O322=B323</f>
        <v>1</v>
      </c>
      <c r="Q322" s="754" t="s">
        <v>511</v>
      </c>
      <c r="R322" s="259"/>
      <c r="S322" s="260"/>
    </row>
    <row r="323" spans="1:20" s="19" customFormat="1" ht="20.100000000000001" customHeight="1">
      <c r="A323" s="1"/>
      <c r="B323" s="860">
        <f>SUM(H323:H325)</f>
        <v>0</v>
      </c>
      <c r="C323" s="265">
        <f>J323-I323</f>
        <v>0</v>
      </c>
      <c r="D323" s="266" t="str">
        <f>IF(C323&lt;366,"단기","장기")</f>
        <v>단기</v>
      </c>
      <c r="E323" s="750"/>
      <c r="F323" s="751"/>
      <c r="G323" s="179"/>
      <c r="H323" s="188"/>
      <c r="I323" s="181"/>
      <c r="J323" s="181"/>
      <c r="K323" s="182"/>
      <c r="L323" s="502"/>
      <c r="M323" s="502"/>
      <c r="N323" s="63" t="str">
        <f>IF(J323="","",J323-$B$3)</f>
        <v/>
      </c>
      <c r="O323" s="63" t="s">
        <v>479</v>
      </c>
      <c r="P323" s="218"/>
      <c r="Q323" s="738" t="s">
        <v>497</v>
      </c>
      <c r="R323" s="259"/>
    </row>
    <row r="324" spans="1:20" s="19" customFormat="1" ht="20.100000000000001" customHeight="1">
      <c r="A324" s="1"/>
      <c r="B324" s="863"/>
      <c r="C324" s="265">
        <f>J324-I324</f>
        <v>0</v>
      </c>
      <c r="D324" s="266" t="str">
        <f>IF(C324&lt;366,"단기","장기")</f>
        <v>단기</v>
      </c>
      <c r="E324" s="724"/>
      <c r="F324" s="725"/>
      <c r="G324" s="179"/>
      <c r="H324" s="188"/>
      <c r="I324" s="181"/>
      <c r="J324" s="181"/>
      <c r="K324" s="182"/>
      <c r="L324" s="502"/>
      <c r="M324" s="502"/>
      <c r="N324" s="63" t="str">
        <f>IF(J324="","",J324-$B$3)</f>
        <v/>
      </c>
      <c r="O324" s="63"/>
      <c r="P324" s="218"/>
      <c r="Q324" s="738"/>
      <c r="R324" s="259"/>
    </row>
    <row r="325" spans="1:20" s="19" customFormat="1" ht="20.100000000000001" customHeight="1">
      <c r="A325" s="1"/>
      <c r="B325" s="861"/>
      <c r="C325" s="265">
        <f>J325-I325</f>
        <v>0</v>
      </c>
      <c r="D325" s="267" t="str">
        <f>IF(C325&lt;366,"단기","장기")</f>
        <v>단기</v>
      </c>
      <c r="E325" s="724"/>
      <c r="F325" s="725"/>
      <c r="G325" s="179"/>
      <c r="H325" s="188"/>
      <c r="I325" s="181"/>
      <c r="J325" s="181"/>
      <c r="K325" s="182"/>
      <c r="L325" s="502"/>
      <c r="M325" s="502"/>
      <c r="N325" s="63" t="str">
        <f>IF(J325="","",J325-$B$3)</f>
        <v/>
      </c>
      <c r="O325" s="121"/>
      <c r="P325" s="218"/>
      <c r="Q325" s="738"/>
      <c r="R325" s="259"/>
    </row>
    <row r="326" spans="1:20" s="19" customFormat="1" ht="20.100000000000001" customHeight="1">
      <c r="A326" s="1"/>
      <c r="B326" s="176" t="s">
        <v>97</v>
      </c>
      <c r="C326" s="859" t="s">
        <v>87</v>
      </c>
      <c r="D326" s="859"/>
      <c r="E326" s="769" t="s">
        <v>521</v>
      </c>
      <c r="F326" s="769"/>
      <c r="G326" s="728" t="s">
        <v>89</v>
      </c>
      <c r="H326" s="728" t="s">
        <v>90</v>
      </c>
      <c r="I326" s="728" t="s">
        <v>690</v>
      </c>
      <c r="J326" s="728" t="s">
        <v>142</v>
      </c>
      <c r="K326" s="728" t="s">
        <v>93</v>
      </c>
      <c r="L326" s="728" t="s">
        <v>94</v>
      </c>
      <c r="M326" s="713" t="s">
        <v>95</v>
      </c>
      <c r="N326" s="256"/>
      <c r="O326" s="121">
        <f>K137</f>
        <v>0</v>
      </c>
      <c r="P326" s="218" t="b">
        <f>O326=B327</f>
        <v>1</v>
      </c>
      <c r="Q326" s="754" t="s">
        <v>511</v>
      </c>
      <c r="R326" s="259"/>
    </row>
    <row r="327" spans="1:20" s="19" customFormat="1" ht="20.100000000000001" customHeight="1">
      <c r="A327" s="1"/>
      <c r="B327" s="860">
        <f>SUM(H328:H328)</f>
        <v>0</v>
      </c>
      <c r="C327" s="265">
        <f>J327-I327</f>
        <v>0</v>
      </c>
      <c r="D327" s="267" t="str">
        <f>IF(C327&lt;366,"단기","장기")</f>
        <v>단기</v>
      </c>
      <c r="E327" s="724"/>
      <c r="F327" s="725"/>
      <c r="G327" s="179"/>
      <c r="H327" s="210"/>
      <c r="I327" s="181"/>
      <c r="J327" s="181"/>
      <c r="K327" s="182"/>
      <c r="L327" s="502"/>
      <c r="M327" s="197"/>
      <c r="N327" s="63" t="str">
        <f>IF(J327="","",J327-$B$3)</f>
        <v/>
      </c>
      <c r="O327" s="121"/>
      <c r="P327" s="218"/>
      <c r="Q327" s="738"/>
      <c r="R327" s="259"/>
    </row>
    <row r="328" spans="1:20" s="19" customFormat="1" ht="20.100000000000001" customHeight="1">
      <c r="A328" s="1"/>
      <c r="B328" s="861"/>
      <c r="C328" s="265">
        <f>J328-I328</f>
        <v>0</v>
      </c>
      <c r="D328" s="267" t="str">
        <f>IF(C328&lt;366,"단기","장기")</f>
        <v>단기</v>
      </c>
      <c r="E328" s="196"/>
      <c r="F328" s="725"/>
      <c r="G328" s="179"/>
      <c r="H328" s="247"/>
      <c r="I328" s="181"/>
      <c r="J328" s="181"/>
      <c r="K328" s="182"/>
      <c r="L328" s="502"/>
      <c r="M328" s="197"/>
      <c r="N328" s="63" t="str">
        <f>IF(J328="","",J328-$B$3)</f>
        <v/>
      </c>
      <c r="O328" s="121"/>
      <c r="P328" s="218"/>
      <c r="Q328" s="738"/>
      <c r="R328" s="259"/>
    </row>
    <row r="329" spans="1:20" s="19" customFormat="1" ht="20.100000000000001" customHeight="1">
      <c r="A329" s="1"/>
      <c r="B329" s="268"/>
      <c r="C329" s="269"/>
      <c r="D329" s="270"/>
      <c r="E329" s="271"/>
      <c r="F329" s="271"/>
      <c r="G329" s="272"/>
      <c r="H329" s="268"/>
      <c r="I329" s="273"/>
      <c r="J329" s="273"/>
      <c r="K329" s="274"/>
      <c r="L329" s="562"/>
      <c r="M329" s="562"/>
      <c r="N329" s="256"/>
      <c r="O329" s="121"/>
      <c r="P329" s="218"/>
      <c r="R329" s="259"/>
    </row>
    <row r="330" spans="1:20" s="19" customFormat="1" ht="20.100000000000001" customHeight="1">
      <c r="A330" s="1"/>
      <c r="B330" s="729" t="s">
        <v>133</v>
      </c>
      <c r="C330" s="729"/>
      <c r="D330" s="729"/>
      <c r="E330" s="206"/>
      <c r="F330" s="206"/>
      <c r="G330" s="10"/>
      <c r="H330" s="10"/>
      <c r="I330" s="173"/>
      <c r="J330" s="10"/>
      <c r="K330" s="10"/>
      <c r="L330" s="10"/>
      <c r="M330" s="174" t="s">
        <v>85</v>
      </c>
      <c r="N330" s="256"/>
      <c r="O330" s="121"/>
      <c r="P330" s="260"/>
      <c r="Q330" s="260"/>
      <c r="R330" s="275"/>
      <c r="S330" s="260"/>
    </row>
    <row r="331" spans="1:20" s="19" customFormat="1" ht="20.100000000000001" customHeight="1">
      <c r="A331" s="1"/>
      <c r="B331" s="176" t="s">
        <v>86</v>
      </c>
      <c r="C331" s="859" t="s">
        <v>87</v>
      </c>
      <c r="D331" s="859"/>
      <c r="E331" s="859" t="s">
        <v>88</v>
      </c>
      <c r="F331" s="859"/>
      <c r="G331" s="713" t="s">
        <v>89</v>
      </c>
      <c r="H331" s="713" t="s">
        <v>90</v>
      </c>
      <c r="I331" s="713" t="s">
        <v>690</v>
      </c>
      <c r="J331" s="713" t="s">
        <v>142</v>
      </c>
      <c r="K331" s="713" t="s">
        <v>93</v>
      </c>
      <c r="L331" s="713" t="s">
        <v>94</v>
      </c>
      <c r="M331" s="713" t="s">
        <v>95</v>
      </c>
      <c r="N331" s="256" t="s">
        <v>50</v>
      </c>
      <c r="O331" s="121" t="e">
        <f>K82</f>
        <v>#REF!</v>
      </c>
      <c r="P331" s="63" t="e">
        <f>O331=B332</f>
        <v>#REF!</v>
      </c>
      <c r="Q331" s="260"/>
      <c r="S331" s="260"/>
    </row>
    <row r="332" spans="1:20" s="19" customFormat="1" ht="20.100000000000001" customHeight="1">
      <c r="A332" s="1"/>
      <c r="B332" s="860">
        <f>SUM(H332:H333)</f>
        <v>0</v>
      </c>
      <c r="C332" s="257">
        <f>J332-I332</f>
        <v>0</v>
      </c>
      <c r="D332" s="727" t="str">
        <f>IF(C332&lt;366,"단기","장기")</f>
        <v>단기</v>
      </c>
      <c r="E332" s="724"/>
      <c r="F332" s="725"/>
      <c r="G332" s="179"/>
      <c r="H332" s="210"/>
      <c r="I332" s="181"/>
      <c r="J332" s="181"/>
      <c r="K332" s="182"/>
      <c r="L332" s="502"/>
      <c r="M332" s="502"/>
      <c r="N332" s="63" t="str">
        <f>IF(J332="","",J332-$B$3)</f>
        <v/>
      </c>
      <c r="O332" s="121"/>
      <c r="P332" s="276"/>
      <c r="Q332" s="260"/>
      <c r="S332" s="260"/>
    </row>
    <row r="333" spans="1:20" s="19" customFormat="1" ht="20.100000000000001" customHeight="1">
      <c r="A333" s="1"/>
      <c r="B333" s="861"/>
      <c r="C333" s="257">
        <f>J333-I333</f>
        <v>0</v>
      </c>
      <c r="D333" s="726" t="s">
        <v>134</v>
      </c>
      <c r="E333" s="724"/>
      <c r="F333" s="725"/>
      <c r="G333" s="277"/>
      <c r="H333" s="180"/>
      <c r="I333" s="211"/>
      <c r="J333" s="211"/>
      <c r="K333" s="182"/>
      <c r="L333" s="502"/>
      <c r="M333" s="502"/>
      <c r="N333" s="63" t="str">
        <f>IF(J333="","",J333-$B$3)</f>
        <v/>
      </c>
      <c r="P333" s="276"/>
      <c r="Q333" s="260"/>
      <c r="S333" s="260"/>
    </row>
    <row r="334" spans="1:20" s="19" customFormat="1" ht="20.100000000000001" customHeight="1">
      <c r="A334" s="1"/>
      <c r="B334" s="278"/>
      <c r="C334" s="279" t="s">
        <v>135</v>
      </c>
      <c r="D334" s="280"/>
      <c r="E334" s="281"/>
      <c r="F334" s="281"/>
      <c r="G334" s="282"/>
      <c r="H334" s="283"/>
      <c r="I334" s="284"/>
      <c r="J334" s="285"/>
      <c r="K334" s="283"/>
      <c r="L334" s="284"/>
      <c r="M334" s="562"/>
      <c r="N334" s="256"/>
      <c r="O334" s="121"/>
      <c r="P334" s="276"/>
      <c r="Q334" s="260"/>
      <c r="S334" s="260"/>
    </row>
    <row r="335" spans="1:20" s="19" customFormat="1" ht="20.100000000000001" customHeight="1">
      <c r="A335" s="1"/>
      <c r="B335" s="286"/>
      <c r="C335" s="286"/>
      <c r="D335" s="286"/>
      <c r="E335" s="286"/>
      <c r="F335" s="286"/>
      <c r="G335" s="286"/>
      <c r="H335" s="286"/>
      <c r="I335" s="286"/>
      <c r="J335" s="286"/>
      <c r="K335" s="286"/>
      <c r="L335" s="286"/>
      <c r="M335" s="286"/>
      <c r="N335" s="256"/>
      <c r="O335" s="121"/>
      <c r="P335" s="276"/>
      <c r="Q335" s="260"/>
      <c r="S335" s="260"/>
    </row>
    <row r="336" spans="1:20" s="19" customFormat="1" ht="20.100000000000001" customHeight="1">
      <c r="A336" s="1"/>
      <c r="B336" s="729" t="s">
        <v>136</v>
      </c>
      <c r="C336" s="729"/>
      <c r="D336" s="729"/>
      <c r="E336" s="112"/>
      <c r="F336" s="206"/>
      <c r="G336" s="10"/>
      <c r="H336" s="10"/>
      <c r="I336" s="173"/>
      <c r="J336" s="10"/>
      <c r="K336" s="10"/>
      <c r="L336" s="10"/>
      <c r="M336" s="174"/>
      <c r="N336" s="256"/>
      <c r="O336" s="121"/>
      <c r="P336" s="276"/>
      <c r="Q336" s="260"/>
      <c r="S336" s="260"/>
    </row>
    <row r="337" spans="1:51" s="19" customFormat="1" ht="20.100000000000001" customHeight="1">
      <c r="A337" s="1"/>
      <c r="B337" s="176" t="s">
        <v>137</v>
      </c>
      <c r="C337" s="891" t="s">
        <v>87</v>
      </c>
      <c r="D337" s="892"/>
      <c r="E337" s="859" t="s">
        <v>88</v>
      </c>
      <c r="F337" s="859"/>
      <c r="G337" s="713" t="s">
        <v>89</v>
      </c>
      <c r="H337" s="713" t="s">
        <v>90</v>
      </c>
      <c r="I337" s="713" t="s">
        <v>690</v>
      </c>
      <c r="J337" s="713" t="s">
        <v>142</v>
      </c>
      <c r="K337" s="713" t="s">
        <v>93</v>
      </c>
      <c r="L337" s="713" t="s">
        <v>94</v>
      </c>
      <c r="M337" s="713" t="s">
        <v>95</v>
      </c>
      <c r="N337" s="256"/>
      <c r="O337" s="150">
        <f>K117+K140</f>
        <v>0</v>
      </c>
      <c r="P337" s="63" t="b">
        <f>O337=B338</f>
        <v>1</v>
      </c>
      <c r="Q337" s="175"/>
      <c r="R337" s="244"/>
      <c r="S337" s="244"/>
      <c r="T337" s="244"/>
    </row>
    <row r="338" spans="1:51" s="19" customFormat="1" ht="20.100000000000001" customHeight="1">
      <c r="A338" s="1"/>
      <c r="B338" s="860">
        <f>SUM(H338:H342)</f>
        <v>0</v>
      </c>
      <c r="C338" s="864">
        <f>J338-I338</f>
        <v>0</v>
      </c>
      <c r="D338" s="865"/>
      <c r="E338" s="196"/>
      <c r="F338" s="712"/>
      <c r="G338" s="210"/>
      <c r="H338" s="247"/>
      <c r="I338" s="211"/>
      <c r="J338" s="211"/>
      <c r="K338" s="182"/>
      <c r="L338" s="552"/>
      <c r="M338" s="502"/>
      <c r="N338" s="63" t="str">
        <f>IF(J338="","",J338-$B$3)</f>
        <v/>
      </c>
      <c r="O338" s="150"/>
      <c r="P338" s="53"/>
    </row>
    <row r="339" spans="1:51" s="19" customFormat="1" ht="20.100000000000001" customHeight="1">
      <c r="A339" s="1"/>
      <c r="B339" s="863"/>
      <c r="C339" s="864">
        <f>J339-I339</f>
        <v>0</v>
      </c>
      <c r="D339" s="865"/>
      <c r="E339" s="196"/>
      <c r="F339" s="712"/>
      <c r="G339" s="210"/>
      <c r="H339" s="247"/>
      <c r="I339" s="211"/>
      <c r="J339" s="211"/>
      <c r="K339" s="182"/>
      <c r="L339" s="552"/>
      <c r="M339" s="502"/>
      <c r="N339" s="63" t="str">
        <f>IF(J339="","",J339-$B$3)</f>
        <v/>
      </c>
      <c r="O339" s="150"/>
    </row>
    <row r="340" spans="1:51" s="19" customFormat="1" ht="20.100000000000001" customHeight="1">
      <c r="A340" s="1"/>
      <c r="B340" s="863"/>
      <c r="C340" s="864">
        <f>J340-I340</f>
        <v>0</v>
      </c>
      <c r="D340" s="865"/>
      <c r="E340" s="196"/>
      <c r="F340" s="712"/>
      <c r="G340" s="210"/>
      <c r="H340" s="247"/>
      <c r="I340" s="211"/>
      <c r="J340" s="211"/>
      <c r="K340" s="182"/>
      <c r="L340" s="552"/>
      <c r="M340" s="502"/>
      <c r="N340" s="63" t="str">
        <f>IF(J340="","",J340-$B$3)</f>
        <v/>
      </c>
      <c r="O340" s="150"/>
    </row>
    <row r="341" spans="1:51" s="19" customFormat="1" ht="20.100000000000001" customHeight="1">
      <c r="A341" s="1"/>
      <c r="B341" s="863"/>
      <c r="C341" s="866">
        <f>J341-I341</f>
        <v>0</v>
      </c>
      <c r="D341" s="866"/>
      <c r="E341" s="196"/>
      <c r="F341" s="712"/>
      <c r="G341" s="210"/>
      <c r="H341" s="210"/>
      <c r="I341" s="211"/>
      <c r="J341" s="211"/>
      <c r="K341" s="182"/>
      <c r="L341" s="552"/>
      <c r="M341" s="502"/>
      <c r="N341" s="63" t="str">
        <f>IF(J341="","",J341-$B$3)</f>
        <v/>
      </c>
      <c r="O341" s="150"/>
    </row>
    <row r="342" spans="1:51" s="19" customFormat="1" ht="20.100000000000001" customHeight="1">
      <c r="A342" s="1"/>
      <c r="B342" s="861"/>
      <c r="C342" s="866">
        <f>J342-I342</f>
        <v>0</v>
      </c>
      <c r="D342" s="866"/>
      <c r="E342" s="196"/>
      <c r="F342" s="712"/>
      <c r="G342" s="210"/>
      <c r="H342" s="210"/>
      <c r="I342" s="211"/>
      <c r="J342" s="211"/>
      <c r="K342" s="182"/>
      <c r="L342" s="552"/>
      <c r="M342" s="502"/>
      <c r="N342" s="63" t="str">
        <f>IF(J342="","",J342-$B$3)</f>
        <v/>
      </c>
      <c r="O342" s="150"/>
    </row>
    <row r="343" spans="1:51" s="19" customFormat="1" ht="20.100000000000001" customHeight="1" thickBot="1">
      <c r="A343" s="1"/>
      <c r="B343" s="287"/>
      <c r="C343" s="270"/>
      <c r="D343" s="270"/>
      <c r="E343" s="288"/>
      <c r="F343" s="289"/>
      <c r="G343" s="268"/>
      <c r="H343" s="268"/>
      <c r="I343" s="273"/>
      <c r="J343" s="273"/>
      <c r="K343" s="288"/>
      <c r="L343" s="289"/>
      <c r="M343" s="562"/>
      <c r="N343" s="256"/>
      <c r="O343" s="290"/>
      <c r="P343" s="53"/>
    </row>
    <row r="344" spans="1:51" ht="20.100000000000001" customHeight="1">
      <c r="A344" s="1"/>
      <c r="B344" s="729" t="s">
        <v>138</v>
      </c>
      <c r="C344" s="729"/>
      <c r="D344" s="729"/>
      <c r="E344" s="291"/>
      <c r="F344" s="292"/>
      <c r="G344" s="293"/>
      <c r="H344" s="294"/>
      <c r="I344" s="111"/>
      <c r="J344" s="111"/>
      <c r="K344" s="291"/>
      <c r="L344" s="295"/>
      <c r="M344" s="174" t="s">
        <v>85</v>
      </c>
      <c r="N344" s="296" t="s">
        <v>139</v>
      </c>
      <c r="O344" s="297" t="s">
        <v>140</v>
      </c>
      <c r="P344" s="53"/>
      <c r="AQ344" s="19"/>
      <c r="AR344" s="19"/>
      <c r="AS344" s="19"/>
      <c r="AT344" s="19"/>
      <c r="AU344" s="19"/>
      <c r="AV344" s="19"/>
      <c r="AW344" s="19"/>
      <c r="AX344" s="19"/>
      <c r="AY344" s="19"/>
    </row>
    <row r="345" spans="1:51" ht="20.100000000000001" customHeight="1" thickBot="1">
      <c r="A345" s="1"/>
      <c r="B345" s="176" t="s">
        <v>86</v>
      </c>
      <c r="C345" s="891" t="s">
        <v>87</v>
      </c>
      <c r="D345" s="892"/>
      <c r="E345" s="891" t="s">
        <v>88</v>
      </c>
      <c r="F345" s="892"/>
      <c r="G345" s="713" t="s">
        <v>89</v>
      </c>
      <c r="H345" s="713" t="s">
        <v>90</v>
      </c>
      <c r="I345" s="713" t="s">
        <v>141</v>
      </c>
      <c r="J345" s="713" t="s">
        <v>142</v>
      </c>
      <c r="K345" s="713" t="s">
        <v>93</v>
      </c>
      <c r="L345" s="713" t="s">
        <v>94</v>
      </c>
      <c r="M345" s="721" t="s">
        <v>95</v>
      </c>
      <c r="N345" s="298"/>
      <c r="O345" s="299">
        <f>B353-N345</f>
        <v>137.36000000000001</v>
      </c>
      <c r="P345" s="300"/>
    </row>
    <row r="346" spans="1:51" ht="20.100000000000001" customHeight="1">
      <c r="A346" s="1"/>
      <c r="B346" s="860">
        <f>SUM(H346:H347)</f>
        <v>75</v>
      </c>
      <c r="C346" s="265">
        <f>J346-I346</f>
        <v>365</v>
      </c>
      <c r="D346" s="743" t="str">
        <f>IF(C346&lt;366,"단기","장기")</f>
        <v>단기</v>
      </c>
      <c r="E346" s="750" t="s">
        <v>502</v>
      </c>
      <c r="F346" s="742"/>
      <c r="G346" s="303">
        <v>25</v>
      </c>
      <c r="H346" s="247">
        <f>G346</f>
        <v>25</v>
      </c>
      <c r="I346" s="304">
        <v>45756</v>
      </c>
      <c r="J346" s="193">
        <v>46121</v>
      </c>
      <c r="K346" s="182" t="s">
        <v>503</v>
      </c>
      <c r="L346" s="301" t="s">
        <v>383</v>
      </c>
      <c r="M346" s="302" t="s">
        <v>509</v>
      </c>
      <c r="N346" s="63">
        <f>IF(J346="","",J346-$B$3)</f>
        <v>10</v>
      </c>
      <c r="O346" s="300"/>
    </row>
    <row r="347" spans="1:51" ht="20.100000000000001" customHeight="1">
      <c r="A347" s="1"/>
      <c r="B347" s="863"/>
      <c r="C347" s="265">
        <f>J347-I347</f>
        <v>365</v>
      </c>
      <c r="D347" s="726" t="str">
        <f>IF(C347&lt;366,"단기","장기")</f>
        <v>단기</v>
      </c>
      <c r="E347" s="750" t="s">
        <v>121</v>
      </c>
      <c r="F347" s="725"/>
      <c r="G347" s="303">
        <v>50</v>
      </c>
      <c r="H347" s="247">
        <f>G347</f>
        <v>50</v>
      </c>
      <c r="I347" s="304">
        <v>45953</v>
      </c>
      <c r="J347" s="193">
        <v>46318</v>
      </c>
      <c r="K347" s="182" t="s">
        <v>504</v>
      </c>
      <c r="L347" s="301" t="s">
        <v>383</v>
      </c>
      <c r="M347" s="302" t="s">
        <v>561</v>
      </c>
      <c r="N347" s="63">
        <f>IF(J347="","",J347-$B$3)</f>
        <v>207</v>
      </c>
      <c r="O347" s="300"/>
    </row>
    <row r="348" spans="1:51" ht="20.100000000000001" customHeight="1">
      <c r="A348" s="10"/>
      <c r="B348" s="176" t="s">
        <v>83</v>
      </c>
      <c r="C348" s="891" t="s">
        <v>87</v>
      </c>
      <c r="D348" s="892"/>
      <c r="E348" s="891" t="s">
        <v>88</v>
      </c>
      <c r="F348" s="892"/>
      <c r="G348" s="713" t="s">
        <v>89</v>
      </c>
      <c r="H348" s="713" t="s">
        <v>90</v>
      </c>
      <c r="I348" s="713" t="s">
        <v>141</v>
      </c>
      <c r="J348" s="713" t="s">
        <v>142</v>
      </c>
      <c r="K348" s="713" t="s">
        <v>93</v>
      </c>
      <c r="L348" s="713" t="s">
        <v>94</v>
      </c>
      <c r="M348" s="721" t="s">
        <v>95</v>
      </c>
      <c r="N348" s="63"/>
      <c r="O348" s="300"/>
    </row>
    <row r="349" spans="1:51" ht="20.100000000000001" customHeight="1">
      <c r="A349" s="10"/>
      <c r="B349" s="860">
        <f>SUM(H349:H350)</f>
        <v>57.8</v>
      </c>
      <c r="C349" s="265">
        <f>J349-I349</f>
        <v>365</v>
      </c>
      <c r="D349" s="726" t="str">
        <f>IF(C349&lt;366,"단기","장기")</f>
        <v>단기</v>
      </c>
      <c r="E349" s="750" t="s">
        <v>146</v>
      </c>
      <c r="F349" s="751"/>
      <c r="G349" s="303" t="s">
        <v>144</v>
      </c>
      <c r="H349" s="210">
        <f>200*$P$4</f>
        <v>28.9</v>
      </c>
      <c r="I349" s="193">
        <v>45791</v>
      </c>
      <c r="J349" s="193">
        <v>46156</v>
      </c>
      <c r="K349" s="182" t="s">
        <v>505</v>
      </c>
      <c r="L349" s="301" t="s">
        <v>147</v>
      </c>
      <c r="M349" s="752" t="s">
        <v>510</v>
      </c>
      <c r="N349" s="63">
        <f>IF(J349="","",J349-$B$3)</f>
        <v>45</v>
      </c>
      <c r="O349" s="300"/>
      <c r="P349" s="306" t="s">
        <v>148</v>
      </c>
      <c r="R349" s="236" t="s">
        <v>731</v>
      </c>
    </row>
    <row r="350" spans="1:51" ht="20.100000000000001" customHeight="1">
      <c r="A350" s="10"/>
      <c r="B350" s="863"/>
      <c r="C350" s="265">
        <f>J350-I350</f>
        <v>365</v>
      </c>
      <c r="D350" s="726" t="str">
        <f>IF(C350&lt;366,"단기","장기")</f>
        <v>단기</v>
      </c>
      <c r="E350" s="750" t="s">
        <v>143</v>
      </c>
      <c r="F350" s="751"/>
      <c r="G350" s="303" t="s">
        <v>144</v>
      </c>
      <c r="H350" s="210">
        <f>200*$P$4</f>
        <v>28.9</v>
      </c>
      <c r="I350" s="181">
        <v>45926</v>
      </c>
      <c r="J350" s="181">
        <v>46291</v>
      </c>
      <c r="K350" s="182" t="s">
        <v>506</v>
      </c>
      <c r="L350" s="301" t="s">
        <v>145</v>
      </c>
      <c r="M350" s="753" t="s">
        <v>507</v>
      </c>
      <c r="N350" s="63">
        <f>IF(J350="","",J350-$B$3)</f>
        <v>180</v>
      </c>
      <c r="O350" s="300"/>
      <c r="P350" s="306" t="s">
        <v>370</v>
      </c>
      <c r="Q350" s="306"/>
      <c r="R350" s="306" t="s">
        <v>372</v>
      </c>
    </row>
    <row r="351" spans="1:51" ht="20.100000000000001" customHeight="1">
      <c r="A351" s="10"/>
      <c r="B351" s="176" t="s">
        <v>97</v>
      </c>
      <c r="C351" s="891" t="s">
        <v>87</v>
      </c>
      <c r="D351" s="892"/>
      <c r="E351" s="891" t="s">
        <v>88</v>
      </c>
      <c r="F351" s="892"/>
      <c r="G351" s="713" t="s">
        <v>89</v>
      </c>
      <c r="H351" s="713" t="s">
        <v>90</v>
      </c>
      <c r="I351" s="713" t="s">
        <v>141</v>
      </c>
      <c r="J351" s="713" t="s">
        <v>142</v>
      </c>
      <c r="K351" s="713" t="s">
        <v>93</v>
      </c>
      <c r="L351" s="713" t="s">
        <v>94</v>
      </c>
      <c r="M351" s="713" t="s">
        <v>95</v>
      </c>
      <c r="N351" s="63"/>
      <c r="O351" s="300"/>
      <c r="P351" s="307"/>
      <c r="Q351" s="307"/>
      <c r="R351" s="308"/>
    </row>
    <row r="352" spans="1:51" ht="20.100000000000001" customHeight="1">
      <c r="A352" s="10"/>
      <c r="B352" s="723">
        <f>SUM(H352:H352)</f>
        <v>4.5600000000000005</v>
      </c>
      <c r="C352" s="265">
        <f>J352-I352</f>
        <v>365</v>
      </c>
      <c r="D352" s="726" t="str">
        <f>IF(C352&lt;366,"단기","장기")</f>
        <v>단기</v>
      </c>
      <c r="E352" s="750" t="s">
        <v>149</v>
      </c>
      <c r="F352" s="751"/>
      <c r="G352" s="303" t="s">
        <v>150</v>
      </c>
      <c r="H352" s="210">
        <f>120000*$P$6</f>
        <v>4.5600000000000005</v>
      </c>
      <c r="I352" s="181">
        <v>45931</v>
      </c>
      <c r="J352" s="181">
        <v>46296</v>
      </c>
      <c r="K352" s="182" t="s">
        <v>506</v>
      </c>
      <c r="L352" s="301" t="s">
        <v>145</v>
      </c>
      <c r="M352" s="305" t="s">
        <v>508</v>
      </c>
      <c r="N352" s="63">
        <f>IF(J352="","",J352-$B$3)</f>
        <v>185</v>
      </c>
      <c r="O352" s="300"/>
      <c r="P352" s="307" t="s">
        <v>373</v>
      </c>
      <c r="Q352" s="307"/>
      <c r="R352" s="308" t="s">
        <v>371</v>
      </c>
    </row>
    <row r="353" spans="1:48" ht="20.100000000000001" customHeight="1">
      <c r="A353" s="10"/>
      <c r="B353" s="620">
        <f>SUM(B346+B349+B352)</f>
        <v>137.36000000000001</v>
      </c>
      <c r="C353" s="268"/>
      <c r="D353" s="268"/>
      <c r="E353" s="309"/>
      <c r="F353" s="271"/>
      <c r="G353" s="157"/>
      <c r="H353" s="310"/>
      <c r="I353" s="273"/>
      <c r="J353" s="273"/>
      <c r="K353" s="201"/>
      <c r="L353" s="563"/>
      <c r="M353" s="563"/>
      <c r="N353" s="311"/>
      <c r="P353" s="312"/>
      <c r="R353" s="313"/>
      <c r="V353" s="55"/>
      <c r="W353" s="55"/>
      <c r="X353" s="55"/>
      <c r="AN353" s="55"/>
      <c r="AO353" s="56"/>
    </row>
    <row r="354" spans="1:48" ht="20.100000000000001" customHeight="1">
      <c r="A354" s="10"/>
      <c r="B354" s="268"/>
      <c r="C354" s="268"/>
      <c r="D354" s="268"/>
      <c r="E354" s="309"/>
      <c r="F354" s="271"/>
      <c r="G354" s="157"/>
      <c r="H354" s="310"/>
      <c r="I354" s="273"/>
      <c r="J354" s="273"/>
      <c r="K354" s="201"/>
      <c r="L354" s="563"/>
      <c r="M354" s="563"/>
      <c r="N354" s="311"/>
      <c r="P354" s="312"/>
      <c r="R354" s="313"/>
      <c r="V354" s="55"/>
      <c r="W354" s="55"/>
      <c r="X354" s="55"/>
      <c r="AN354" s="55"/>
      <c r="AO354" s="56"/>
    </row>
    <row r="355" spans="1:48" ht="20.100000000000001" customHeight="1">
      <c r="A355" s="10"/>
      <c r="B355" s="314"/>
      <c r="C355" s="268"/>
      <c r="D355" s="268"/>
      <c r="E355" s="309"/>
      <c r="F355" s="271"/>
      <c r="G355" s="271"/>
      <c r="H355" s="315"/>
      <c r="I355" s="273"/>
      <c r="J355" s="273"/>
      <c r="K355" s="201"/>
      <c r="L355" s="564"/>
      <c r="M355" s="565"/>
      <c r="N355" s="54"/>
      <c r="P355" s="53"/>
      <c r="V355" s="55"/>
      <c r="W355" s="55"/>
      <c r="X355" s="55"/>
      <c r="AN355" s="55"/>
      <c r="AO355" s="56"/>
    </row>
    <row r="356" spans="1:48" ht="20.100000000000001" customHeight="1">
      <c r="A356" s="10"/>
      <c r="B356" s="729" t="s">
        <v>151</v>
      </c>
      <c r="C356" s="729"/>
      <c r="D356" s="729"/>
      <c r="E356" s="172"/>
      <c r="F356" s="702"/>
      <c r="G356" s="316"/>
      <c r="H356" s="702"/>
      <c r="I356" s="702"/>
      <c r="J356" s="702"/>
      <c r="K356" s="317"/>
      <c r="L356" s="702"/>
      <c r="M356" s="174" t="s">
        <v>152</v>
      </c>
      <c r="P356" s="53"/>
      <c r="V356" s="55"/>
      <c r="W356" s="55"/>
      <c r="X356" s="55"/>
      <c r="AN356" s="55"/>
      <c r="AO356" s="56"/>
    </row>
    <row r="357" spans="1:48" ht="20.100000000000001" customHeight="1">
      <c r="A357" s="10"/>
      <c r="B357" s="170" t="s">
        <v>89</v>
      </c>
      <c r="C357" s="891" t="s">
        <v>87</v>
      </c>
      <c r="D357" s="892"/>
      <c r="E357" s="713" t="s">
        <v>153</v>
      </c>
      <c r="F357" s="170" t="s">
        <v>154</v>
      </c>
      <c r="G357" s="170" t="s">
        <v>155</v>
      </c>
      <c r="H357" s="170" t="s">
        <v>156</v>
      </c>
      <c r="I357" s="170" t="s">
        <v>157</v>
      </c>
      <c r="J357" s="170" t="s">
        <v>158</v>
      </c>
      <c r="K357" s="170" t="s">
        <v>159</v>
      </c>
      <c r="L357" s="170" t="s">
        <v>160</v>
      </c>
      <c r="M357" s="170" t="s">
        <v>13</v>
      </c>
      <c r="N357" s="794" t="str">
        <f ca="1">"USD"  &amp;" "&amp;  ROUND(SUMIF($G$358:$H$368,"USD",$H$358:$H$368)+SUMIF($I$358:$J$368,"USD",$J$358:$J$368),2)*-1</f>
        <v>USD 16.69</v>
      </c>
      <c r="O357" s="52"/>
      <c r="P357" s="53"/>
      <c r="V357" s="55"/>
      <c r="W357" s="55"/>
      <c r="X357" s="55"/>
      <c r="AN357" s="55"/>
      <c r="AO357" s="56"/>
    </row>
    <row r="358" spans="1:48" ht="20.100000000000001" customHeight="1">
      <c r="A358" s="10"/>
      <c r="B358" s="860">
        <f>SUMIF(I358:I368,"USD",J358:J368)+SUMIF(G358:G368,"USD",H358:H368)</f>
        <v>-16.687160679999998</v>
      </c>
      <c r="C358" s="257">
        <f t="shared" ref="C358:C368" si="58">L358-K358</f>
        <v>29</v>
      </c>
      <c r="D358" s="726" t="str">
        <f t="shared" ref="D358:D368" si="59">IF(C358&lt;4,"O/N","기간")</f>
        <v>기간</v>
      </c>
      <c r="E358" s="318" t="str">
        <f t="shared" ref="E358:E368" si="60">LEFT(V358,4)</f>
        <v>HSBC</v>
      </c>
      <c r="F358" s="319" t="str">
        <f t="shared" ref="F358:F368" si="61">AA358</f>
        <v>매도</v>
      </c>
      <c r="G358" s="325" t="str">
        <f t="shared" ref="G358:G368" si="62">MID($S358,9,3)</f>
        <v>USD</v>
      </c>
      <c r="H358" s="621">
        <f t="shared" ref="H358:H368" si="63">IF(F358="매입",AK358/1000000,-(AK358/1000000))</f>
        <v>-3.1678350699999998</v>
      </c>
      <c r="I358" s="325" t="str">
        <f t="shared" ref="I358:I368" si="64">MID($S358,13,3)</f>
        <v>THB</v>
      </c>
      <c r="J358" s="622">
        <f t="shared" ref="J358:J368" si="65">IF(F358="매입",-(AN358/1000000),AN358/1000000)</f>
        <v>100</v>
      </c>
      <c r="K358" s="324" t="s">
        <v>621</v>
      </c>
      <c r="L358" s="321">
        <v>46122</v>
      </c>
      <c r="M358" s="322">
        <f t="shared" ref="M358:M368" si="66">N358</f>
        <v>11</v>
      </c>
      <c r="N358" s="63">
        <f t="shared" ref="N358:N368" si="67">IF(L358="","",L358-$B$3)</f>
        <v>11</v>
      </c>
      <c r="O358" s="63" t="s">
        <v>119</v>
      </c>
      <c r="P358" s="63" t="s">
        <v>623</v>
      </c>
      <c r="Q358" s="63" t="s">
        <v>624</v>
      </c>
      <c r="R358" s="63" t="s">
        <v>625</v>
      </c>
      <c r="S358" s="63" t="s">
        <v>180</v>
      </c>
      <c r="T358" s="4" t="s">
        <v>375</v>
      </c>
      <c r="U358" s="63" t="s">
        <v>162</v>
      </c>
      <c r="V358" s="63" t="s">
        <v>163</v>
      </c>
      <c r="W358" s="63" t="s">
        <v>620</v>
      </c>
      <c r="Y358" s="63" t="s">
        <v>621</v>
      </c>
      <c r="Z358" s="63" t="s">
        <v>622</v>
      </c>
      <c r="AA358" s="63" t="s">
        <v>173</v>
      </c>
      <c r="AB358" s="63" t="s">
        <v>174</v>
      </c>
      <c r="AC358" s="63" t="s">
        <v>566</v>
      </c>
      <c r="AD358" s="63" t="s">
        <v>117</v>
      </c>
      <c r="AE358" s="63">
        <v>3171542.38</v>
      </c>
      <c r="AF358" s="63">
        <v>31.5304</v>
      </c>
      <c r="AG358" s="63" t="s">
        <v>181</v>
      </c>
      <c r="AH358" s="63">
        <v>100000000</v>
      </c>
      <c r="AI358" s="63" t="s">
        <v>167</v>
      </c>
      <c r="AJ358" s="63" t="s">
        <v>117</v>
      </c>
      <c r="AK358" s="63">
        <v>3167835.07</v>
      </c>
      <c r="AL358" s="63">
        <v>31.567299999999999</v>
      </c>
      <c r="AM358" s="63" t="s">
        <v>181</v>
      </c>
      <c r="AN358" s="63">
        <v>100000000</v>
      </c>
      <c r="AO358" s="63" t="s">
        <v>168</v>
      </c>
      <c r="AP358" s="63" t="s">
        <v>620</v>
      </c>
      <c r="AQ358" s="63" t="s">
        <v>626</v>
      </c>
      <c r="AR358" s="63" t="s">
        <v>169</v>
      </c>
      <c r="AS358" s="63" t="s">
        <v>169</v>
      </c>
      <c r="AT358" s="4" t="s">
        <v>627</v>
      </c>
      <c r="AU358" s="4" t="s">
        <v>628</v>
      </c>
      <c r="AV358" s="4" t="s">
        <v>629</v>
      </c>
    </row>
    <row r="359" spans="1:48" ht="20.100000000000001" customHeight="1">
      <c r="A359" s="10"/>
      <c r="B359" s="863"/>
      <c r="C359" s="257">
        <f t="shared" ref="C359" si="68">L359-K359</f>
        <v>29</v>
      </c>
      <c r="D359" s="768" t="str">
        <f t="shared" ref="D359" si="69">IF(C359&lt;4,"O/N","기간")</f>
        <v>기간</v>
      </c>
      <c r="E359" s="318" t="str">
        <f t="shared" si="60"/>
        <v>HSBC</v>
      </c>
      <c r="F359" s="319" t="str">
        <f t="shared" si="61"/>
        <v>매도</v>
      </c>
      <c r="G359" s="325" t="str">
        <f t="shared" si="62"/>
        <v>USD</v>
      </c>
      <c r="H359" s="621">
        <f t="shared" si="63"/>
        <v>-2.3633138100000002</v>
      </c>
      <c r="I359" s="325" t="str">
        <f t="shared" si="64"/>
        <v>SGD</v>
      </c>
      <c r="J359" s="622">
        <f t="shared" si="65"/>
        <v>3</v>
      </c>
      <c r="K359" s="324" t="s">
        <v>621</v>
      </c>
      <c r="L359" s="321" t="s">
        <v>622</v>
      </c>
      <c r="M359" s="322">
        <f t="shared" si="66"/>
        <v>11</v>
      </c>
      <c r="N359" s="63">
        <f t="shared" si="67"/>
        <v>11</v>
      </c>
      <c r="O359" s="63" t="s">
        <v>119</v>
      </c>
      <c r="P359" s="63" t="s">
        <v>623</v>
      </c>
      <c r="Q359" s="63" t="s">
        <v>630</v>
      </c>
      <c r="R359" s="63" t="s">
        <v>631</v>
      </c>
      <c r="S359" s="63" t="s">
        <v>182</v>
      </c>
      <c r="T359" s="4" t="s">
        <v>375</v>
      </c>
      <c r="U359" s="63" t="s">
        <v>162</v>
      </c>
      <c r="V359" s="63" t="s">
        <v>163</v>
      </c>
      <c r="W359" s="63" t="s">
        <v>620</v>
      </c>
      <c r="Y359" s="63" t="s">
        <v>621</v>
      </c>
      <c r="Z359" s="63" t="s">
        <v>622</v>
      </c>
      <c r="AA359" s="63" t="s">
        <v>173</v>
      </c>
      <c r="AB359" s="63" t="s">
        <v>565</v>
      </c>
      <c r="AC359" s="63" t="s">
        <v>566</v>
      </c>
      <c r="AD359" s="63" t="s">
        <v>117</v>
      </c>
      <c r="AE359" s="63">
        <v>2358503.5499999998</v>
      </c>
      <c r="AF359" s="63">
        <v>1.2719929999999999</v>
      </c>
      <c r="AG359" s="63" t="s">
        <v>183</v>
      </c>
      <c r="AH359" s="63">
        <v>3000000</v>
      </c>
      <c r="AI359" s="63" t="s">
        <v>167</v>
      </c>
      <c r="AJ359" s="63" t="s">
        <v>117</v>
      </c>
      <c r="AK359" s="63">
        <v>2363313.81</v>
      </c>
      <c r="AL359" s="63">
        <v>1.269404</v>
      </c>
      <c r="AM359" s="63" t="s">
        <v>183</v>
      </c>
      <c r="AN359" s="63">
        <v>3000000</v>
      </c>
      <c r="AO359" s="63" t="s">
        <v>168</v>
      </c>
      <c r="AP359" s="63" t="s">
        <v>620</v>
      </c>
      <c r="AQ359" s="63" t="s">
        <v>632</v>
      </c>
      <c r="AR359" s="63" t="s">
        <v>169</v>
      </c>
      <c r="AS359" s="63" t="s">
        <v>169</v>
      </c>
      <c r="AT359" s="4" t="s">
        <v>633</v>
      </c>
      <c r="AU359" s="4" t="s">
        <v>634</v>
      </c>
      <c r="AV359" s="4" t="s">
        <v>635</v>
      </c>
    </row>
    <row r="360" spans="1:48" ht="20.100000000000001" customHeight="1">
      <c r="A360" s="10"/>
      <c r="B360" s="863"/>
      <c r="C360" s="257">
        <f t="shared" si="58"/>
        <v>29</v>
      </c>
      <c r="D360" s="726" t="str">
        <f t="shared" si="59"/>
        <v>기간</v>
      </c>
      <c r="E360" s="318" t="str">
        <f t="shared" si="60"/>
        <v>HSBC</v>
      </c>
      <c r="F360" s="319" t="str">
        <f t="shared" si="61"/>
        <v>매도</v>
      </c>
      <c r="G360" s="325" t="str">
        <f t="shared" si="62"/>
        <v>USD</v>
      </c>
      <c r="H360" s="621">
        <f t="shared" si="63"/>
        <v>-0.32783604</v>
      </c>
      <c r="I360" s="325" t="str">
        <f t="shared" si="64"/>
        <v>SEK</v>
      </c>
      <c r="J360" s="622">
        <f t="shared" si="65"/>
        <v>3</v>
      </c>
      <c r="K360" s="324" t="s">
        <v>621</v>
      </c>
      <c r="L360" s="321" t="s">
        <v>622</v>
      </c>
      <c r="M360" s="322">
        <f t="shared" si="66"/>
        <v>11</v>
      </c>
      <c r="N360" s="63">
        <f t="shared" si="67"/>
        <v>11</v>
      </c>
      <c r="O360" s="63" t="s">
        <v>119</v>
      </c>
      <c r="P360" s="63" t="s">
        <v>623</v>
      </c>
      <c r="Q360" s="63" t="s">
        <v>636</v>
      </c>
      <c r="R360" s="63" t="s">
        <v>637</v>
      </c>
      <c r="S360" s="63" t="s">
        <v>190</v>
      </c>
      <c r="T360" s="4" t="s">
        <v>375</v>
      </c>
      <c r="U360" s="63" t="s">
        <v>162</v>
      </c>
      <c r="V360" s="63" t="s">
        <v>163</v>
      </c>
      <c r="W360" s="63" t="s">
        <v>620</v>
      </c>
      <c r="Y360" s="63" t="s">
        <v>621</v>
      </c>
      <c r="Z360" s="63" t="s">
        <v>622</v>
      </c>
      <c r="AA360" s="63" t="s">
        <v>173</v>
      </c>
      <c r="AB360" s="63" t="s">
        <v>565</v>
      </c>
      <c r="AC360" s="63" t="s">
        <v>566</v>
      </c>
      <c r="AD360" s="63" t="s">
        <v>117</v>
      </c>
      <c r="AE360" s="63">
        <v>327333.65000000002</v>
      </c>
      <c r="AF360" s="63">
        <v>9.1649609999999999</v>
      </c>
      <c r="AG360" s="63" t="s">
        <v>191</v>
      </c>
      <c r="AH360" s="63">
        <v>3000000</v>
      </c>
      <c r="AI360" s="63" t="s">
        <v>167</v>
      </c>
      <c r="AJ360" s="63" t="s">
        <v>117</v>
      </c>
      <c r="AK360" s="63">
        <v>327836.03999999998</v>
      </c>
      <c r="AL360" s="63">
        <v>9.1509160000000005</v>
      </c>
      <c r="AM360" s="63" t="s">
        <v>191</v>
      </c>
      <c r="AN360" s="63">
        <v>3000000</v>
      </c>
      <c r="AO360" s="63" t="s">
        <v>168</v>
      </c>
      <c r="AP360" s="63" t="s">
        <v>620</v>
      </c>
      <c r="AQ360" s="63" t="s">
        <v>638</v>
      </c>
      <c r="AR360" s="63" t="s">
        <v>169</v>
      </c>
      <c r="AS360" s="63" t="s">
        <v>169</v>
      </c>
      <c r="AT360" s="4" t="s">
        <v>639</v>
      </c>
      <c r="AU360" s="4" t="s">
        <v>640</v>
      </c>
      <c r="AV360" s="4" t="s">
        <v>641</v>
      </c>
    </row>
    <row r="361" spans="1:48" ht="20.100000000000001" customHeight="1">
      <c r="A361" s="10"/>
      <c r="B361" s="863"/>
      <c r="C361" s="257">
        <f t="shared" si="58"/>
        <v>29</v>
      </c>
      <c r="D361" s="726" t="str">
        <f t="shared" si="59"/>
        <v>기간</v>
      </c>
      <c r="E361" s="318" t="str">
        <f t="shared" si="60"/>
        <v>HSBC</v>
      </c>
      <c r="F361" s="319" t="str">
        <f t="shared" si="61"/>
        <v>매도</v>
      </c>
      <c r="G361" s="325" t="str">
        <f t="shared" si="62"/>
        <v>USD</v>
      </c>
      <c r="H361" s="621">
        <f t="shared" si="63"/>
        <v>-0.10387594</v>
      </c>
      <c r="I361" s="325" t="str">
        <f t="shared" si="64"/>
        <v>NOK</v>
      </c>
      <c r="J361" s="622">
        <f t="shared" si="65"/>
        <v>1</v>
      </c>
      <c r="K361" s="321" t="s">
        <v>621</v>
      </c>
      <c r="L361" s="321" t="s">
        <v>622</v>
      </c>
      <c r="M361" s="322">
        <f t="shared" si="66"/>
        <v>11</v>
      </c>
      <c r="N361" s="63">
        <f t="shared" si="67"/>
        <v>11</v>
      </c>
      <c r="O361" s="63" t="s">
        <v>119</v>
      </c>
      <c r="P361" s="63" t="s">
        <v>623</v>
      </c>
      <c r="Q361" s="63" t="s">
        <v>642</v>
      </c>
      <c r="R361" s="63" t="s">
        <v>643</v>
      </c>
      <c r="S361" s="63" t="s">
        <v>186</v>
      </c>
      <c r="T361" s="4" t="s">
        <v>375</v>
      </c>
      <c r="U361" s="63" t="s">
        <v>162</v>
      </c>
      <c r="V361" s="63" t="s">
        <v>163</v>
      </c>
      <c r="W361" s="63" t="s">
        <v>620</v>
      </c>
      <c r="Y361" s="63" t="s">
        <v>621</v>
      </c>
      <c r="Z361" s="63" t="s">
        <v>622</v>
      </c>
      <c r="AA361" s="63" t="s">
        <v>173</v>
      </c>
      <c r="AB361" s="63" t="s">
        <v>565</v>
      </c>
      <c r="AC361" s="63" t="s">
        <v>566</v>
      </c>
      <c r="AD361" s="63" t="s">
        <v>117</v>
      </c>
      <c r="AE361" s="63">
        <v>103890.36</v>
      </c>
      <c r="AF361" s="63">
        <v>9.6255319999999998</v>
      </c>
      <c r="AG361" s="63" t="s">
        <v>187</v>
      </c>
      <c r="AH361" s="63">
        <v>1000000</v>
      </c>
      <c r="AI361" s="63" t="s">
        <v>167</v>
      </c>
      <c r="AJ361" s="63" t="s">
        <v>117</v>
      </c>
      <c r="AK361" s="63">
        <v>103875.94</v>
      </c>
      <c r="AL361" s="63">
        <v>9.6268689999999992</v>
      </c>
      <c r="AM361" s="63" t="s">
        <v>187</v>
      </c>
      <c r="AN361" s="63">
        <v>1000000</v>
      </c>
      <c r="AO361" s="63" t="s">
        <v>168</v>
      </c>
      <c r="AP361" s="63" t="s">
        <v>620</v>
      </c>
      <c r="AQ361" s="63" t="s">
        <v>644</v>
      </c>
      <c r="AR361" s="63" t="s">
        <v>169</v>
      </c>
      <c r="AS361" s="63" t="s">
        <v>169</v>
      </c>
      <c r="AT361" s="4" t="s">
        <v>645</v>
      </c>
      <c r="AU361" s="4" t="s">
        <v>646</v>
      </c>
      <c r="AV361" s="4" t="s">
        <v>647</v>
      </c>
    </row>
    <row r="362" spans="1:48" ht="20.100000000000001" customHeight="1">
      <c r="A362" s="10"/>
      <c r="B362" s="863"/>
      <c r="C362" s="257">
        <f t="shared" si="58"/>
        <v>29</v>
      </c>
      <c r="D362" s="726" t="str">
        <f t="shared" si="59"/>
        <v>기간</v>
      </c>
      <c r="E362" s="318" t="str">
        <f t="shared" si="60"/>
        <v>HSBC</v>
      </c>
      <c r="F362" s="319" t="str">
        <f t="shared" si="61"/>
        <v>매도</v>
      </c>
      <c r="G362" s="325" t="str">
        <f t="shared" si="62"/>
        <v>USD</v>
      </c>
      <c r="H362" s="621">
        <f t="shared" si="63"/>
        <v>-3.1993398599999998</v>
      </c>
      <c r="I362" s="325" t="str">
        <f t="shared" si="64"/>
        <v>HKD</v>
      </c>
      <c r="J362" s="622">
        <f t="shared" si="65"/>
        <v>25</v>
      </c>
      <c r="K362" s="321" t="s">
        <v>621</v>
      </c>
      <c r="L362" s="321" t="s">
        <v>622</v>
      </c>
      <c r="M362" s="322">
        <f t="shared" si="66"/>
        <v>11</v>
      </c>
      <c r="N362" s="63">
        <f t="shared" si="67"/>
        <v>11</v>
      </c>
      <c r="O362" s="63" t="s">
        <v>119</v>
      </c>
      <c r="P362" s="63" t="s">
        <v>623</v>
      </c>
      <c r="Q362" s="63" t="s">
        <v>648</v>
      </c>
      <c r="R362" s="63" t="s">
        <v>649</v>
      </c>
      <c r="S362" s="63" t="s">
        <v>176</v>
      </c>
      <c r="T362" s="4" t="s">
        <v>375</v>
      </c>
      <c r="U362" s="63" t="s">
        <v>162</v>
      </c>
      <c r="V362" s="63" t="s">
        <v>163</v>
      </c>
      <c r="W362" s="63" t="s">
        <v>620</v>
      </c>
      <c r="Y362" s="63" t="s">
        <v>621</v>
      </c>
      <c r="Z362" s="63" t="s">
        <v>622</v>
      </c>
      <c r="AA362" s="63" t="s">
        <v>173</v>
      </c>
      <c r="AB362" s="63" t="s">
        <v>565</v>
      </c>
      <c r="AC362" s="63" t="s">
        <v>566</v>
      </c>
      <c r="AD362" s="63" t="s">
        <v>117</v>
      </c>
      <c r="AE362" s="63">
        <v>3194977.19</v>
      </c>
      <c r="AF362" s="63">
        <v>7.8247819999999999</v>
      </c>
      <c r="AG362" s="63" t="s">
        <v>177</v>
      </c>
      <c r="AH362" s="63">
        <v>25000000</v>
      </c>
      <c r="AI362" s="63" t="s">
        <v>167</v>
      </c>
      <c r="AJ362" s="63" t="s">
        <v>117</v>
      </c>
      <c r="AK362" s="63">
        <v>3199339.86</v>
      </c>
      <c r="AL362" s="63">
        <v>7.8141119999999997</v>
      </c>
      <c r="AM362" s="63" t="s">
        <v>177</v>
      </c>
      <c r="AN362" s="63">
        <v>25000000</v>
      </c>
      <c r="AO362" s="63" t="s">
        <v>168</v>
      </c>
      <c r="AP362" s="63" t="s">
        <v>620</v>
      </c>
      <c r="AQ362" s="63" t="s">
        <v>650</v>
      </c>
      <c r="AR362" s="63" t="s">
        <v>169</v>
      </c>
      <c r="AS362" s="63" t="s">
        <v>169</v>
      </c>
      <c r="AT362" s="4" t="s">
        <v>651</v>
      </c>
      <c r="AU362" s="4" t="s">
        <v>652</v>
      </c>
      <c r="AV362" s="4" t="s">
        <v>653</v>
      </c>
    </row>
    <row r="363" spans="1:48" ht="20.100000000000001" customHeight="1">
      <c r="A363" s="10"/>
      <c r="B363" s="863"/>
      <c r="C363" s="257">
        <f t="shared" si="58"/>
        <v>29</v>
      </c>
      <c r="D363" s="726" t="str">
        <f t="shared" si="59"/>
        <v>기간</v>
      </c>
      <c r="E363" s="318" t="str">
        <f t="shared" si="60"/>
        <v>HSBC</v>
      </c>
      <c r="F363" s="319" t="str">
        <f t="shared" si="61"/>
        <v>매도</v>
      </c>
      <c r="G363" s="325" t="str">
        <f t="shared" si="62"/>
        <v>USD</v>
      </c>
      <c r="H363" s="621">
        <f t="shared" si="63"/>
        <v>-0.15579801000000001</v>
      </c>
      <c r="I363" s="325" t="str">
        <f t="shared" si="64"/>
        <v>DKK</v>
      </c>
      <c r="J363" s="622">
        <f t="shared" si="65"/>
        <v>1</v>
      </c>
      <c r="K363" s="321" t="s">
        <v>621</v>
      </c>
      <c r="L363" s="321" t="s">
        <v>622</v>
      </c>
      <c r="M363" s="322">
        <f t="shared" si="66"/>
        <v>11</v>
      </c>
      <c r="N363" s="63">
        <f t="shared" si="67"/>
        <v>11</v>
      </c>
      <c r="O363" s="63" t="s">
        <v>119</v>
      </c>
      <c r="P363" s="63" t="s">
        <v>623</v>
      </c>
      <c r="Q363" s="63" t="s">
        <v>654</v>
      </c>
      <c r="R363" s="63" t="s">
        <v>655</v>
      </c>
      <c r="S363" s="63" t="s">
        <v>184</v>
      </c>
      <c r="T363" s="4" t="s">
        <v>375</v>
      </c>
      <c r="U363" s="63" t="s">
        <v>162</v>
      </c>
      <c r="V363" s="63" t="s">
        <v>163</v>
      </c>
      <c r="W363" s="63" t="s">
        <v>620</v>
      </c>
      <c r="Y363" s="63" t="s">
        <v>621</v>
      </c>
      <c r="Z363" s="63" t="s">
        <v>622</v>
      </c>
      <c r="AA363" s="63" t="s">
        <v>173</v>
      </c>
      <c r="AB363" s="63" t="s">
        <v>565</v>
      </c>
      <c r="AC363" s="63" t="s">
        <v>566</v>
      </c>
      <c r="AD363" s="63" t="s">
        <v>117</v>
      </c>
      <c r="AE363" s="63">
        <v>155552</v>
      </c>
      <c r="AF363" s="63">
        <v>6.4287179999999999</v>
      </c>
      <c r="AG363" s="63" t="s">
        <v>185</v>
      </c>
      <c r="AH363" s="63">
        <v>1000000</v>
      </c>
      <c r="AI363" s="63" t="s">
        <v>167</v>
      </c>
      <c r="AJ363" s="63" t="s">
        <v>117</v>
      </c>
      <c r="AK363" s="63">
        <v>155798.01</v>
      </c>
      <c r="AL363" s="63">
        <v>6.4185670000000004</v>
      </c>
      <c r="AM363" s="63" t="s">
        <v>185</v>
      </c>
      <c r="AN363" s="63">
        <v>1000000</v>
      </c>
      <c r="AO363" s="63" t="s">
        <v>168</v>
      </c>
      <c r="AP363" s="63" t="s">
        <v>620</v>
      </c>
      <c r="AQ363" s="63" t="s">
        <v>656</v>
      </c>
      <c r="AR363" s="63" t="s">
        <v>169</v>
      </c>
      <c r="AS363" s="63" t="s">
        <v>169</v>
      </c>
      <c r="AT363" s="4" t="s">
        <v>657</v>
      </c>
      <c r="AU363" s="4" t="s">
        <v>658</v>
      </c>
      <c r="AV363" s="4" t="s">
        <v>659</v>
      </c>
    </row>
    <row r="364" spans="1:48" ht="20.100000000000001" customHeight="1">
      <c r="A364" s="10"/>
      <c r="B364" s="863"/>
      <c r="C364" s="257">
        <f t="shared" si="58"/>
        <v>29</v>
      </c>
      <c r="D364" s="726" t="str">
        <f t="shared" si="59"/>
        <v>기간</v>
      </c>
      <c r="E364" s="318" t="str">
        <f t="shared" si="60"/>
        <v>HSBC</v>
      </c>
      <c r="F364" s="323" t="str">
        <f t="shared" si="61"/>
        <v>매도</v>
      </c>
      <c r="G364" s="325" t="str">
        <f t="shared" si="62"/>
        <v>USD</v>
      </c>
      <c r="H364" s="621">
        <f t="shared" si="63"/>
        <v>-1.28880379</v>
      </c>
      <c r="I364" s="325" t="str">
        <f t="shared" si="64"/>
        <v>CHF</v>
      </c>
      <c r="J364" s="622">
        <f t="shared" si="65"/>
        <v>1</v>
      </c>
      <c r="K364" s="324" t="s">
        <v>621</v>
      </c>
      <c r="L364" s="324" t="s">
        <v>622</v>
      </c>
      <c r="M364" s="322">
        <f t="shared" si="66"/>
        <v>11</v>
      </c>
      <c r="N364" s="63">
        <f t="shared" si="67"/>
        <v>11</v>
      </c>
      <c r="O364" s="63" t="s">
        <v>119</v>
      </c>
      <c r="P364" s="63" t="s">
        <v>623</v>
      </c>
      <c r="Q364" s="63" t="s">
        <v>660</v>
      </c>
      <c r="R364" s="63" t="s">
        <v>661</v>
      </c>
      <c r="S364" s="63" t="s">
        <v>188</v>
      </c>
      <c r="T364" s="4" t="s">
        <v>375</v>
      </c>
      <c r="U364" s="63" t="s">
        <v>162</v>
      </c>
      <c r="V364" s="63" t="s">
        <v>163</v>
      </c>
      <c r="W364" s="63" t="s">
        <v>620</v>
      </c>
      <c r="Y364" s="63" t="s">
        <v>621</v>
      </c>
      <c r="Z364" s="63" t="s">
        <v>622</v>
      </c>
      <c r="AA364" s="63" t="s">
        <v>173</v>
      </c>
      <c r="AB364" s="63" t="s">
        <v>565</v>
      </c>
      <c r="AC364" s="63" t="s">
        <v>566</v>
      </c>
      <c r="AD364" s="63" t="s">
        <v>117</v>
      </c>
      <c r="AE364" s="63">
        <v>1284745.1299999999</v>
      </c>
      <c r="AF364" s="63">
        <v>0.77836499999999997</v>
      </c>
      <c r="AG364" s="63" t="s">
        <v>189</v>
      </c>
      <c r="AH364" s="63">
        <v>1000000</v>
      </c>
      <c r="AI364" s="63" t="s">
        <v>167</v>
      </c>
      <c r="AJ364" s="63" t="s">
        <v>117</v>
      </c>
      <c r="AK364" s="63">
        <v>1288803.79</v>
      </c>
      <c r="AL364" s="63">
        <v>0.77591299999999996</v>
      </c>
      <c r="AM364" s="63" t="s">
        <v>189</v>
      </c>
      <c r="AN364" s="63">
        <v>1000000</v>
      </c>
      <c r="AO364" s="63" t="s">
        <v>168</v>
      </c>
      <c r="AP364" s="63" t="s">
        <v>620</v>
      </c>
      <c r="AQ364" s="63" t="s">
        <v>662</v>
      </c>
      <c r="AR364" s="63" t="s">
        <v>169</v>
      </c>
      <c r="AS364" s="63" t="s">
        <v>169</v>
      </c>
      <c r="AT364" s="4" t="s">
        <v>663</v>
      </c>
      <c r="AU364" s="4" t="s">
        <v>664</v>
      </c>
      <c r="AV364" s="4" t="s">
        <v>665</v>
      </c>
    </row>
    <row r="365" spans="1:48" ht="20.100000000000001" customHeight="1">
      <c r="A365" s="10"/>
      <c r="B365" s="863"/>
      <c r="C365" s="257">
        <f t="shared" si="58"/>
        <v>29</v>
      </c>
      <c r="D365" s="726" t="str">
        <f t="shared" si="59"/>
        <v>기간</v>
      </c>
      <c r="E365" s="318" t="str">
        <f t="shared" si="60"/>
        <v>HSBC</v>
      </c>
      <c r="F365" s="323" t="str">
        <f t="shared" si="61"/>
        <v>매도</v>
      </c>
      <c r="G365" s="325" t="str">
        <f t="shared" si="62"/>
        <v>USD</v>
      </c>
      <c r="H365" s="621">
        <f t="shared" si="63"/>
        <v>-1.4752658000000001</v>
      </c>
      <c r="I365" s="325" t="str">
        <f t="shared" si="64"/>
        <v>CAD</v>
      </c>
      <c r="J365" s="622">
        <f t="shared" si="65"/>
        <v>2</v>
      </c>
      <c r="K365" s="324" t="s">
        <v>621</v>
      </c>
      <c r="L365" s="324" t="s">
        <v>622</v>
      </c>
      <c r="M365" s="322">
        <f t="shared" si="66"/>
        <v>11</v>
      </c>
      <c r="N365" s="63">
        <f t="shared" si="67"/>
        <v>11</v>
      </c>
      <c r="O365" s="63" t="s">
        <v>119</v>
      </c>
      <c r="P365" s="63" t="s">
        <v>623</v>
      </c>
      <c r="Q365" s="63" t="s">
        <v>666</v>
      </c>
      <c r="R365" s="63" t="s">
        <v>667</v>
      </c>
      <c r="S365" s="63" t="s">
        <v>178</v>
      </c>
      <c r="T365" s="4" t="s">
        <v>375</v>
      </c>
      <c r="U365" s="63" t="s">
        <v>162</v>
      </c>
      <c r="V365" s="63" t="s">
        <v>163</v>
      </c>
      <c r="W365" s="63" t="s">
        <v>620</v>
      </c>
      <c r="Y365" s="63" t="s">
        <v>621</v>
      </c>
      <c r="Z365" s="63" t="s">
        <v>622</v>
      </c>
      <c r="AA365" s="63" t="s">
        <v>173</v>
      </c>
      <c r="AB365" s="63" t="s">
        <v>565</v>
      </c>
      <c r="AC365" s="63" t="s">
        <v>165</v>
      </c>
      <c r="AD365" s="63" t="s">
        <v>117</v>
      </c>
      <c r="AE365" s="63">
        <v>1473437.6</v>
      </c>
      <c r="AF365" s="63">
        <v>1.35737</v>
      </c>
      <c r="AG365" s="63" t="s">
        <v>179</v>
      </c>
      <c r="AH365" s="63">
        <v>2000000</v>
      </c>
      <c r="AI365" s="63" t="s">
        <v>167</v>
      </c>
      <c r="AJ365" s="63" t="s">
        <v>117</v>
      </c>
      <c r="AK365" s="63">
        <v>1475265.8</v>
      </c>
      <c r="AL365" s="63">
        <v>1.355688</v>
      </c>
      <c r="AM365" s="63" t="s">
        <v>179</v>
      </c>
      <c r="AN365" s="63">
        <v>2000000</v>
      </c>
      <c r="AO365" s="63" t="s">
        <v>168</v>
      </c>
      <c r="AP365" s="63" t="s">
        <v>620</v>
      </c>
      <c r="AQ365" s="63" t="s">
        <v>668</v>
      </c>
      <c r="AR365" s="63" t="s">
        <v>169</v>
      </c>
      <c r="AS365" s="63" t="s">
        <v>169</v>
      </c>
      <c r="AT365" s="4" t="s">
        <v>669</v>
      </c>
      <c r="AU365" s="4" t="s">
        <v>670</v>
      </c>
      <c r="AV365" s="4" t="s">
        <v>671</v>
      </c>
    </row>
    <row r="366" spans="1:48" ht="20.100000000000001" customHeight="1">
      <c r="A366" s="10"/>
      <c r="B366" s="863"/>
      <c r="C366" s="257">
        <f t="shared" si="58"/>
        <v>29</v>
      </c>
      <c r="D366" s="726" t="str">
        <f t="shared" si="59"/>
        <v>기간</v>
      </c>
      <c r="E366" s="318" t="str">
        <f t="shared" si="60"/>
        <v>HSBC</v>
      </c>
      <c r="F366" s="319" t="str">
        <f t="shared" si="61"/>
        <v>매입</v>
      </c>
      <c r="G366" s="325" t="str">
        <f t="shared" si="62"/>
        <v>NZD</v>
      </c>
      <c r="H366" s="622">
        <f t="shared" si="63"/>
        <v>2</v>
      </c>
      <c r="I366" s="325" t="str">
        <f t="shared" si="64"/>
        <v>USD</v>
      </c>
      <c r="J366" s="621">
        <f t="shared" si="65"/>
        <v>-1.1867228000000001</v>
      </c>
      <c r="K366" s="321" t="s">
        <v>621</v>
      </c>
      <c r="L366" s="321" t="s">
        <v>622</v>
      </c>
      <c r="M366" s="322">
        <f t="shared" si="66"/>
        <v>11</v>
      </c>
      <c r="N366" s="63">
        <f t="shared" si="67"/>
        <v>11</v>
      </c>
      <c r="O366" s="63" t="s">
        <v>119</v>
      </c>
      <c r="P366" s="63" t="s">
        <v>623</v>
      </c>
      <c r="Q366" s="63" t="s">
        <v>672</v>
      </c>
      <c r="R366" s="63" t="s">
        <v>673</v>
      </c>
      <c r="S366" s="63" t="s">
        <v>170</v>
      </c>
      <c r="T366" s="4" t="s">
        <v>375</v>
      </c>
      <c r="U366" s="63" t="s">
        <v>162</v>
      </c>
      <c r="V366" s="63" t="s">
        <v>163</v>
      </c>
      <c r="W366" s="63" t="s">
        <v>620</v>
      </c>
      <c r="Y366" s="63" t="s">
        <v>621</v>
      </c>
      <c r="Z366" s="63" t="s">
        <v>622</v>
      </c>
      <c r="AA366" s="63" t="s">
        <v>164</v>
      </c>
      <c r="AB366" s="63" t="s">
        <v>565</v>
      </c>
      <c r="AC366" s="63" t="s">
        <v>566</v>
      </c>
      <c r="AD366" s="63" t="s">
        <v>171</v>
      </c>
      <c r="AE366" s="63">
        <v>2000000</v>
      </c>
      <c r="AF366" s="63">
        <v>0.59272800000000003</v>
      </c>
      <c r="AG366" s="63" t="s">
        <v>117</v>
      </c>
      <c r="AH366" s="63">
        <v>1185455.2</v>
      </c>
      <c r="AI366" s="63" t="s">
        <v>167</v>
      </c>
      <c r="AJ366" s="63" t="s">
        <v>171</v>
      </c>
      <c r="AK366" s="63">
        <v>2000000</v>
      </c>
      <c r="AL366" s="63">
        <v>0.59336100000000003</v>
      </c>
      <c r="AM366" s="63" t="s">
        <v>117</v>
      </c>
      <c r="AN366" s="63">
        <v>1186722.8</v>
      </c>
      <c r="AO366" s="63" t="s">
        <v>168</v>
      </c>
      <c r="AP366" s="63" t="s">
        <v>620</v>
      </c>
      <c r="AQ366" s="63" t="s">
        <v>674</v>
      </c>
      <c r="AR366" s="63" t="s">
        <v>169</v>
      </c>
      <c r="AS366" s="63" t="s">
        <v>169</v>
      </c>
      <c r="AT366" s="4" t="s">
        <v>675</v>
      </c>
      <c r="AU366" s="4" t="s">
        <v>676</v>
      </c>
      <c r="AV366" s="4" t="s">
        <v>677</v>
      </c>
    </row>
    <row r="367" spans="1:48" ht="20.100000000000001" customHeight="1">
      <c r="A367" s="10"/>
      <c r="B367" s="863"/>
      <c r="C367" s="257">
        <f t="shared" si="58"/>
        <v>29</v>
      </c>
      <c r="D367" s="726" t="str">
        <f t="shared" si="59"/>
        <v>기간</v>
      </c>
      <c r="E367" s="326" t="str">
        <f t="shared" si="60"/>
        <v>HSBC</v>
      </c>
      <c r="F367" s="320" t="str">
        <f t="shared" si="61"/>
        <v>매입</v>
      </c>
      <c r="G367" s="325" t="str">
        <f t="shared" si="62"/>
        <v>GBP</v>
      </c>
      <c r="H367" s="622">
        <f t="shared" si="63"/>
        <v>2</v>
      </c>
      <c r="I367" s="325" t="str">
        <f t="shared" si="64"/>
        <v>USD</v>
      </c>
      <c r="J367" s="621">
        <f t="shared" si="65"/>
        <v>-2.6885492000000002</v>
      </c>
      <c r="K367" s="321" t="s">
        <v>621</v>
      </c>
      <c r="L367" s="321" t="s">
        <v>622</v>
      </c>
      <c r="M367" s="322">
        <f t="shared" si="66"/>
        <v>11</v>
      </c>
      <c r="N367" s="63">
        <f t="shared" si="67"/>
        <v>11</v>
      </c>
      <c r="O367" s="63" t="s">
        <v>119</v>
      </c>
      <c r="P367" s="63" t="s">
        <v>623</v>
      </c>
      <c r="Q367" s="63" t="s">
        <v>678</v>
      </c>
      <c r="R367" s="63" t="s">
        <v>679</v>
      </c>
      <c r="S367" s="63" t="s">
        <v>161</v>
      </c>
      <c r="T367" s="4" t="s">
        <v>375</v>
      </c>
      <c r="U367" s="63" t="s">
        <v>162</v>
      </c>
      <c r="V367" s="63" t="s">
        <v>163</v>
      </c>
      <c r="W367" s="63" t="s">
        <v>620</v>
      </c>
      <c r="Y367" s="63" t="s">
        <v>621</v>
      </c>
      <c r="Z367" s="63" t="s">
        <v>622</v>
      </c>
      <c r="AA367" s="63" t="s">
        <v>164</v>
      </c>
      <c r="AB367" s="63" t="s">
        <v>565</v>
      </c>
      <c r="AC367" s="63" t="s">
        <v>566</v>
      </c>
      <c r="AD367" s="63" t="s">
        <v>166</v>
      </c>
      <c r="AE367" s="63">
        <v>2000000</v>
      </c>
      <c r="AF367" s="63">
        <v>1.3443020000000001</v>
      </c>
      <c r="AG367" s="63" t="s">
        <v>117</v>
      </c>
      <c r="AH367" s="63">
        <v>2688603.2</v>
      </c>
      <c r="AI367" s="63" t="s">
        <v>167</v>
      </c>
      <c r="AJ367" s="63" t="s">
        <v>166</v>
      </c>
      <c r="AK367" s="63">
        <v>2000000</v>
      </c>
      <c r="AL367" s="63">
        <v>1.3442750000000001</v>
      </c>
      <c r="AM367" s="63" t="s">
        <v>117</v>
      </c>
      <c r="AN367" s="63">
        <v>2688549.2</v>
      </c>
      <c r="AO367" s="63" t="s">
        <v>168</v>
      </c>
      <c r="AP367" s="63" t="s">
        <v>620</v>
      </c>
      <c r="AQ367" s="63" t="s">
        <v>680</v>
      </c>
      <c r="AR367" s="63" t="s">
        <v>169</v>
      </c>
      <c r="AS367" s="63" t="s">
        <v>169</v>
      </c>
      <c r="AT367" s="4" t="s">
        <v>681</v>
      </c>
      <c r="AU367" s="4" t="s">
        <v>682</v>
      </c>
      <c r="AV367" s="4" t="s">
        <v>683</v>
      </c>
    </row>
    <row r="368" spans="1:48" ht="20.100000000000001" customHeight="1">
      <c r="A368" s="10"/>
      <c r="B368" s="863"/>
      <c r="C368" s="257">
        <f t="shared" si="58"/>
        <v>29</v>
      </c>
      <c r="D368" s="726" t="str">
        <f t="shared" si="59"/>
        <v>기간</v>
      </c>
      <c r="E368" s="318" t="str">
        <f t="shared" si="60"/>
        <v>HSBC</v>
      </c>
      <c r="F368" s="319" t="str">
        <f t="shared" si="61"/>
        <v>매도</v>
      </c>
      <c r="G368" s="325" t="str">
        <f t="shared" si="62"/>
        <v>USD</v>
      </c>
      <c r="H368" s="621">
        <f t="shared" si="63"/>
        <v>-0.72982035999999995</v>
      </c>
      <c r="I368" s="325" t="str">
        <f t="shared" si="64"/>
        <v>CNY</v>
      </c>
      <c r="J368" s="621">
        <f t="shared" si="65"/>
        <v>5</v>
      </c>
      <c r="K368" s="324" t="s">
        <v>621</v>
      </c>
      <c r="L368" s="321" t="s">
        <v>622</v>
      </c>
      <c r="M368" s="322">
        <f t="shared" si="66"/>
        <v>11</v>
      </c>
      <c r="N368" s="63">
        <f t="shared" si="67"/>
        <v>11</v>
      </c>
      <c r="O368" s="63" t="s">
        <v>119</v>
      </c>
      <c r="P368" s="63" t="s">
        <v>623</v>
      </c>
      <c r="Q368" s="63" t="s">
        <v>684</v>
      </c>
      <c r="R368" s="63" t="s">
        <v>685</v>
      </c>
      <c r="S368" s="63" t="s">
        <v>172</v>
      </c>
      <c r="T368" s="4" t="s">
        <v>375</v>
      </c>
      <c r="U368" s="63" t="s">
        <v>162</v>
      </c>
      <c r="V368" s="63" t="s">
        <v>163</v>
      </c>
      <c r="W368" s="63" t="s">
        <v>620</v>
      </c>
      <c r="Y368" s="63" t="s">
        <v>621</v>
      </c>
      <c r="Z368" s="63" t="s">
        <v>622</v>
      </c>
      <c r="AA368" s="63" t="s">
        <v>173</v>
      </c>
      <c r="AB368" s="63" t="s">
        <v>174</v>
      </c>
      <c r="AC368" s="63" t="s">
        <v>566</v>
      </c>
      <c r="AD368" s="63" t="s">
        <v>117</v>
      </c>
      <c r="AE368" s="63">
        <v>728492.57</v>
      </c>
      <c r="AF368" s="63">
        <v>6.8634880000000003</v>
      </c>
      <c r="AG368" s="63" t="s">
        <v>175</v>
      </c>
      <c r="AH368" s="63">
        <v>5000000</v>
      </c>
      <c r="AI368" s="63" t="s">
        <v>167</v>
      </c>
      <c r="AJ368" s="63" t="s">
        <v>117</v>
      </c>
      <c r="AK368" s="63">
        <v>729820.36</v>
      </c>
      <c r="AL368" s="63">
        <v>6.8510010000000001</v>
      </c>
      <c r="AM368" s="63" t="s">
        <v>175</v>
      </c>
      <c r="AN368" s="63">
        <v>5000000</v>
      </c>
      <c r="AO368" s="63" t="s">
        <v>168</v>
      </c>
      <c r="AP368" s="63" t="s">
        <v>620</v>
      </c>
      <c r="AQ368" s="63" t="s">
        <v>686</v>
      </c>
      <c r="AR368" s="63" t="s">
        <v>169</v>
      </c>
      <c r="AS368" s="63" t="s">
        <v>169</v>
      </c>
      <c r="AT368" s="4" t="s">
        <v>687</v>
      </c>
      <c r="AU368" s="4" t="s">
        <v>688</v>
      </c>
      <c r="AV368" s="4" t="s">
        <v>689</v>
      </c>
    </row>
    <row r="369" spans="1:45" ht="20.100000000000001" customHeight="1">
      <c r="A369" s="1"/>
      <c r="B369" s="287"/>
      <c r="C369" s="269"/>
      <c r="D369" s="270"/>
      <c r="E369" s="327"/>
      <c r="F369" s="328"/>
      <c r="G369" s="328"/>
      <c r="H369" s="329"/>
      <c r="I369" s="328"/>
      <c r="J369" s="329"/>
      <c r="K369" s="330"/>
      <c r="L369" s="330"/>
      <c r="M369" s="331"/>
      <c r="N369" s="137"/>
      <c r="O369" s="332"/>
      <c r="P369" s="333"/>
      <c r="Q369" s="334"/>
      <c r="R369" s="334"/>
      <c r="S369" s="334"/>
      <c r="U369" s="334"/>
      <c r="V369" s="334"/>
      <c r="W369" s="335"/>
      <c r="Y369" s="335"/>
      <c r="Z369" s="335"/>
      <c r="AA369" s="334"/>
      <c r="AB369" s="334"/>
      <c r="AC369" s="334"/>
      <c r="AD369" s="334"/>
      <c r="AE369" s="334"/>
      <c r="AF369" s="334"/>
      <c r="AG369" s="334"/>
      <c r="AH369" s="334"/>
      <c r="AI369" s="334"/>
      <c r="AJ369" s="334"/>
      <c r="AK369" s="334"/>
      <c r="AL369" s="334"/>
      <c r="AM369" s="334"/>
      <c r="AN369" s="334"/>
      <c r="AO369" s="334"/>
      <c r="AP369" s="335"/>
      <c r="AQ369" s="336"/>
      <c r="AS369" s="334"/>
    </row>
    <row r="370" spans="1:45" ht="20.100000000000001" customHeight="1">
      <c r="A370" s="1"/>
      <c r="B370" s="729" t="s">
        <v>192</v>
      </c>
      <c r="C370" s="729"/>
      <c r="D370" s="729"/>
      <c r="E370" s="327"/>
      <c r="F370" s="328"/>
      <c r="G370" s="328"/>
      <c r="H370" s="329"/>
      <c r="I370" s="328"/>
      <c r="J370" s="329"/>
      <c r="K370" s="330"/>
      <c r="L370" s="330"/>
      <c r="M370" s="331"/>
      <c r="N370" s="137"/>
      <c r="P370" s="53"/>
      <c r="W370" s="55"/>
      <c r="Y370" s="55"/>
      <c r="Z370" s="55"/>
      <c r="AN370" s="53"/>
      <c r="AP370" s="55"/>
      <c r="AQ370" s="56"/>
    </row>
    <row r="371" spans="1:45" ht="20.100000000000001" customHeight="1">
      <c r="A371" s="1"/>
      <c r="B371" s="170" t="s">
        <v>89</v>
      </c>
      <c r="C371" s="891" t="s">
        <v>87</v>
      </c>
      <c r="D371" s="892"/>
      <c r="E371" s="759" t="s">
        <v>153</v>
      </c>
      <c r="F371" s="170" t="s">
        <v>154</v>
      </c>
      <c r="G371" s="170" t="s">
        <v>155</v>
      </c>
      <c r="H371" s="170" t="s">
        <v>156</v>
      </c>
      <c r="I371" s="170" t="s">
        <v>157</v>
      </c>
      <c r="J371" s="170" t="s">
        <v>158</v>
      </c>
      <c r="K371" s="170" t="s">
        <v>159</v>
      </c>
      <c r="L371" s="170" t="s">
        <v>160</v>
      </c>
      <c r="M371" s="170" t="s">
        <v>13</v>
      </c>
      <c r="N371" s="794" t="str">
        <f ca="1">"USD"  &amp;" "&amp; ROUND(SUMIF($G$372:$H$382,"USD",$H$372:$H$382)+SUMIF($I$372:$J$382,"USD",$J$372:$J$382),2) *-1</f>
        <v>USD 0</v>
      </c>
      <c r="O371" s="52"/>
      <c r="P371" s="53"/>
      <c r="W371" s="55"/>
      <c r="Y371" s="55"/>
      <c r="Z371" s="55"/>
      <c r="AP371" s="55"/>
      <c r="AQ371" s="56"/>
    </row>
    <row r="372" spans="1:45" ht="20.100000000000001" customHeight="1">
      <c r="A372" s="1"/>
      <c r="B372" s="944">
        <f>SUMIF(I372:I382,"USD",J372:J382)+SUMIF(G372:G382,"USD",H372:H382)</f>
        <v>0</v>
      </c>
      <c r="C372" s="337" t="str">
        <f t="shared" ref="C372:C377" si="70">IFERROR(L372-K372,"")</f>
        <v/>
      </c>
      <c r="D372" s="730" t="str">
        <f t="shared" ref="D372:D377" si="71">IFERROR(IF(C372&lt;4,"O/N","기간"),"")</f>
        <v>기간</v>
      </c>
      <c r="E372" s="338" t="str">
        <f t="shared" ref="E372:E382" si="72">LEFT(V372,4)</f>
        <v/>
      </c>
      <c r="F372" s="325">
        <f t="shared" ref="F372:F382" si="73">AA372</f>
        <v>0</v>
      </c>
      <c r="G372" s="325" t="str">
        <f t="shared" ref="G372:G382" si="74">MID($S372,9,3)</f>
        <v/>
      </c>
      <c r="H372" s="622">
        <f t="shared" ref="H372:H382" si="75">IF(F372="매입",AK372/1000000,-(AK372/1000000))</f>
        <v>0</v>
      </c>
      <c r="I372" s="325" t="str">
        <f t="shared" ref="I372:I382" si="76">MID($S372,13,3)</f>
        <v/>
      </c>
      <c r="J372" s="622">
        <f t="shared" ref="J372:J382" si="77">IF(F372="매입",-(AN372/1000000),AN372/1000000)</f>
        <v>0</v>
      </c>
      <c r="K372" s="324" t="str">
        <f t="shared" ref="K372:K382" si="78">IF(Y372="","",Y372)</f>
        <v/>
      </c>
      <c r="L372" s="324" t="str">
        <f t="shared" ref="L372:L382" si="79">IF(Z372="","",Z372)</f>
        <v/>
      </c>
      <c r="M372" s="322">
        <f t="shared" ref="M372:M382" si="80">N372</f>
        <v>0</v>
      </c>
      <c r="N372" s="63"/>
      <c r="O372" s="63"/>
      <c r="P372" s="63"/>
      <c r="Q372" s="63"/>
      <c r="R372" s="63"/>
      <c r="S372" s="63"/>
      <c r="U372" s="63"/>
      <c r="V372" s="63"/>
      <c r="W372" s="63"/>
      <c r="Y372" s="63"/>
      <c r="Z372" s="63"/>
      <c r="AA372" s="63"/>
      <c r="AB372" s="63"/>
      <c r="AC372" s="63"/>
      <c r="AD372" s="63"/>
      <c r="AE372" s="63"/>
      <c r="AF372" s="63"/>
      <c r="AG372" s="63"/>
      <c r="AH372" s="63"/>
      <c r="AI372" s="63"/>
      <c r="AJ372" s="63"/>
      <c r="AK372" s="63"/>
      <c r="AL372" s="63"/>
      <c r="AM372" s="63"/>
      <c r="AN372" s="63"/>
      <c r="AO372" s="63"/>
      <c r="AP372" s="63"/>
      <c r="AQ372" s="63"/>
      <c r="AR372" s="63"/>
      <c r="AS372" s="63"/>
    </row>
    <row r="373" spans="1:45" ht="20.100000000000001" customHeight="1">
      <c r="A373" s="157"/>
      <c r="B373" s="944"/>
      <c r="C373" s="337" t="str">
        <f t="shared" si="70"/>
        <v/>
      </c>
      <c r="D373" s="730" t="str">
        <f t="shared" si="71"/>
        <v>기간</v>
      </c>
      <c r="E373" s="338" t="str">
        <f t="shared" si="72"/>
        <v/>
      </c>
      <c r="F373" s="325">
        <f t="shared" si="73"/>
        <v>0</v>
      </c>
      <c r="G373" s="325" t="str">
        <f t="shared" si="74"/>
        <v/>
      </c>
      <c r="H373" s="622">
        <f t="shared" si="75"/>
        <v>0</v>
      </c>
      <c r="I373" s="325" t="str">
        <f t="shared" si="76"/>
        <v/>
      </c>
      <c r="J373" s="622">
        <f t="shared" si="77"/>
        <v>0</v>
      </c>
      <c r="K373" s="324" t="str">
        <f t="shared" si="78"/>
        <v/>
      </c>
      <c r="L373" s="324" t="str">
        <f t="shared" si="79"/>
        <v/>
      </c>
      <c r="M373" s="322">
        <f t="shared" si="80"/>
        <v>0</v>
      </c>
      <c r="N373" s="63"/>
      <c r="O373" s="63"/>
      <c r="P373" s="63"/>
      <c r="Q373" s="63"/>
      <c r="R373" s="63"/>
      <c r="S373" s="63"/>
      <c r="U373" s="63"/>
      <c r="V373" s="63"/>
      <c r="W373" s="63"/>
      <c r="Y373" s="63"/>
      <c r="Z373" s="63"/>
      <c r="AA373" s="63"/>
      <c r="AB373" s="63"/>
      <c r="AC373" s="63"/>
      <c r="AD373" s="63"/>
      <c r="AE373" s="63"/>
      <c r="AF373" s="63"/>
      <c r="AG373" s="63"/>
      <c r="AH373" s="63"/>
      <c r="AI373" s="63"/>
      <c r="AJ373" s="63"/>
      <c r="AK373" s="63"/>
      <c r="AL373" s="63"/>
      <c r="AM373" s="63"/>
      <c r="AN373" s="63"/>
      <c r="AO373" s="63"/>
      <c r="AP373" s="63"/>
      <c r="AQ373" s="63"/>
      <c r="AR373" s="63"/>
      <c r="AS373" s="63"/>
    </row>
    <row r="374" spans="1:45" ht="20.100000000000001" customHeight="1">
      <c r="A374" s="157"/>
      <c r="B374" s="944"/>
      <c r="C374" s="337" t="str">
        <f t="shared" si="70"/>
        <v/>
      </c>
      <c r="D374" s="730" t="str">
        <f t="shared" si="71"/>
        <v>기간</v>
      </c>
      <c r="E374" s="338" t="str">
        <f t="shared" si="72"/>
        <v/>
      </c>
      <c r="F374" s="325">
        <f t="shared" si="73"/>
        <v>0</v>
      </c>
      <c r="G374" s="325" t="str">
        <f t="shared" si="74"/>
        <v/>
      </c>
      <c r="H374" s="622">
        <f t="shared" si="75"/>
        <v>0</v>
      </c>
      <c r="I374" s="325" t="str">
        <f t="shared" si="76"/>
        <v/>
      </c>
      <c r="J374" s="622">
        <f t="shared" si="77"/>
        <v>0</v>
      </c>
      <c r="K374" s="324" t="str">
        <f t="shared" si="78"/>
        <v/>
      </c>
      <c r="L374" s="324" t="str">
        <f t="shared" si="79"/>
        <v/>
      </c>
      <c r="M374" s="322">
        <f t="shared" si="80"/>
        <v>0</v>
      </c>
      <c r="N374" s="63"/>
      <c r="O374" s="63"/>
      <c r="P374" s="63"/>
      <c r="Q374" s="63"/>
      <c r="R374" s="63"/>
      <c r="S374" s="63"/>
      <c r="U374" s="63"/>
      <c r="V374" s="63"/>
      <c r="W374" s="63"/>
      <c r="Y374" s="63"/>
      <c r="Z374" s="63"/>
      <c r="AA374" s="63"/>
      <c r="AB374" s="63"/>
      <c r="AC374" s="63"/>
      <c r="AD374" s="63"/>
      <c r="AE374" s="63"/>
      <c r="AF374" s="63"/>
      <c r="AG374" s="63"/>
      <c r="AH374" s="63"/>
      <c r="AI374" s="63"/>
      <c r="AJ374" s="63"/>
      <c r="AK374" s="63"/>
      <c r="AL374" s="63"/>
      <c r="AM374" s="63"/>
      <c r="AN374" s="63"/>
      <c r="AO374" s="63"/>
      <c r="AP374" s="63"/>
      <c r="AQ374" s="63"/>
      <c r="AR374" s="63"/>
      <c r="AS374" s="63"/>
    </row>
    <row r="375" spans="1:45" ht="20.100000000000001" customHeight="1">
      <c r="A375" s="157"/>
      <c r="B375" s="944"/>
      <c r="C375" s="337" t="str">
        <f t="shared" si="70"/>
        <v/>
      </c>
      <c r="D375" s="730" t="str">
        <f t="shared" si="71"/>
        <v>기간</v>
      </c>
      <c r="E375" s="338" t="str">
        <f t="shared" si="72"/>
        <v/>
      </c>
      <c r="F375" s="325">
        <f t="shared" si="73"/>
        <v>0</v>
      </c>
      <c r="G375" s="325" t="str">
        <f t="shared" si="74"/>
        <v/>
      </c>
      <c r="H375" s="622">
        <f t="shared" si="75"/>
        <v>0</v>
      </c>
      <c r="I375" s="325" t="str">
        <f t="shared" si="76"/>
        <v/>
      </c>
      <c r="J375" s="622">
        <f t="shared" si="77"/>
        <v>0</v>
      </c>
      <c r="K375" s="324" t="str">
        <f t="shared" si="78"/>
        <v/>
      </c>
      <c r="L375" s="324" t="str">
        <f t="shared" si="79"/>
        <v/>
      </c>
      <c r="M375" s="322">
        <f t="shared" si="80"/>
        <v>0</v>
      </c>
      <c r="N375" s="63"/>
      <c r="O375" s="63"/>
      <c r="P375" s="63"/>
      <c r="Q375" s="63"/>
      <c r="R375" s="63"/>
      <c r="S375" s="63"/>
      <c r="U375" s="63"/>
      <c r="V375" s="63"/>
      <c r="W375" s="63"/>
      <c r="Y375" s="63"/>
      <c r="Z375" s="63"/>
      <c r="AA375" s="63"/>
      <c r="AB375" s="63"/>
      <c r="AC375" s="63"/>
      <c r="AD375" s="63"/>
      <c r="AE375" s="63"/>
      <c r="AF375" s="63"/>
      <c r="AG375" s="63"/>
      <c r="AH375" s="63"/>
      <c r="AI375" s="63"/>
      <c r="AJ375" s="63"/>
      <c r="AK375" s="63"/>
      <c r="AL375" s="63"/>
      <c r="AM375" s="63"/>
      <c r="AN375" s="63"/>
      <c r="AO375" s="63"/>
      <c r="AP375" s="63"/>
      <c r="AQ375" s="63"/>
      <c r="AR375" s="63"/>
      <c r="AS375" s="63"/>
    </row>
    <row r="376" spans="1:45" ht="20.100000000000001" customHeight="1">
      <c r="A376" s="157"/>
      <c r="B376" s="944"/>
      <c r="C376" s="337" t="str">
        <f t="shared" si="70"/>
        <v/>
      </c>
      <c r="D376" s="730" t="str">
        <f t="shared" si="71"/>
        <v>기간</v>
      </c>
      <c r="E376" s="338" t="str">
        <f t="shared" si="72"/>
        <v/>
      </c>
      <c r="F376" s="325">
        <f t="shared" si="73"/>
        <v>0</v>
      </c>
      <c r="G376" s="325" t="str">
        <f t="shared" si="74"/>
        <v/>
      </c>
      <c r="H376" s="622">
        <f t="shared" si="75"/>
        <v>0</v>
      </c>
      <c r="I376" s="325" t="str">
        <f t="shared" si="76"/>
        <v/>
      </c>
      <c r="J376" s="622">
        <f t="shared" si="77"/>
        <v>0</v>
      </c>
      <c r="K376" s="324" t="str">
        <f t="shared" si="78"/>
        <v/>
      </c>
      <c r="L376" s="324" t="str">
        <f t="shared" si="79"/>
        <v/>
      </c>
      <c r="M376" s="322">
        <f t="shared" si="80"/>
        <v>0</v>
      </c>
      <c r="N376" s="63"/>
      <c r="O376" s="63"/>
      <c r="P376" s="63"/>
      <c r="Q376" s="63"/>
      <c r="R376" s="63"/>
      <c r="S376" s="63"/>
      <c r="U376" s="63"/>
      <c r="V376" s="63"/>
      <c r="W376" s="63"/>
      <c r="Y376" s="63"/>
      <c r="Z376" s="63"/>
      <c r="AA376" s="63"/>
      <c r="AB376" s="63"/>
      <c r="AC376" s="63"/>
      <c r="AD376" s="63"/>
      <c r="AE376" s="63"/>
      <c r="AF376" s="63"/>
      <c r="AG376" s="63"/>
      <c r="AH376" s="63"/>
      <c r="AI376" s="63"/>
      <c r="AJ376" s="63"/>
      <c r="AK376" s="63"/>
      <c r="AL376" s="63"/>
      <c r="AM376" s="63"/>
      <c r="AN376" s="63"/>
      <c r="AO376" s="63"/>
      <c r="AP376" s="63"/>
      <c r="AQ376" s="63"/>
      <c r="AR376" s="63"/>
      <c r="AS376" s="63"/>
    </row>
    <row r="377" spans="1:45" ht="20.100000000000001" customHeight="1">
      <c r="A377" s="157"/>
      <c r="B377" s="944"/>
      <c r="C377" s="337" t="str">
        <f t="shared" si="70"/>
        <v/>
      </c>
      <c r="D377" s="730" t="str">
        <f t="shared" si="71"/>
        <v>기간</v>
      </c>
      <c r="E377" s="338" t="str">
        <f t="shared" si="72"/>
        <v/>
      </c>
      <c r="F377" s="325">
        <f t="shared" si="73"/>
        <v>0</v>
      </c>
      <c r="G377" s="325" t="str">
        <f t="shared" si="74"/>
        <v/>
      </c>
      <c r="H377" s="622">
        <f t="shared" si="75"/>
        <v>0</v>
      </c>
      <c r="I377" s="325" t="str">
        <f t="shared" si="76"/>
        <v/>
      </c>
      <c r="J377" s="622">
        <f t="shared" si="77"/>
        <v>0</v>
      </c>
      <c r="K377" s="324" t="str">
        <f t="shared" si="78"/>
        <v/>
      </c>
      <c r="L377" s="324" t="str">
        <f t="shared" si="79"/>
        <v/>
      </c>
      <c r="M377" s="322">
        <f t="shared" si="80"/>
        <v>0</v>
      </c>
      <c r="N377" s="63"/>
      <c r="O377" s="63"/>
      <c r="P377" s="63"/>
      <c r="Q377" s="63"/>
      <c r="R377" s="63"/>
      <c r="S377" s="63"/>
      <c r="U377" s="63"/>
      <c r="V377" s="63"/>
      <c r="W377" s="63"/>
      <c r="Y377" s="63"/>
      <c r="Z377" s="63"/>
      <c r="AA377" s="63"/>
      <c r="AB377" s="63"/>
      <c r="AC377" s="63"/>
      <c r="AD377" s="63"/>
      <c r="AE377" s="63"/>
      <c r="AF377" s="63"/>
      <c r="AG377" s="63"/>
      <c r="AH377" s="63"/>
      <c r="AI377" s="63"/>
      <c r="AJ377" s="63"/>
      <c r="AK377" s="63"/>
      <c r="AL377" s="63"/>
      <c r="AM377" s="63"/>
      <c r="AN377" s="63"/>
      <c r="AO377" s="63"/>
      <c r="AP377" s="63"/>
      <c r="AQ377" s="63"/>
      <c r="AR377" s="63"/>
      <c r="AS377" s="63"/>
    </row>
    <row r="378" spans="1:45" ht="20.100000000000001" customHeight="1">
      <c r="A378" s="157"/>
      <c r="B378" s="944"/>
      <c r="C378" s="337" t="str">
        <f t="shared" ref="C378:C381" si="81">IFERROR(L378-K378,"")</f>
        <v/>
      </c>
      <c r="D378" s="758" t="str">
        <f t="shared" ref="D378:D381" si="82">IFERROR(IF(C378&lt;4,"O/N","기간"),"")</f>
        <v>기간</v>
      </c>
      <c r="E378" s="338" t="str">
        <f t="shared" si="72"/>
        <v/>
      </c>
      <c r="F378" s="325">
        <f t="shared" si="73"/>
        <v>0</v>
      </c>
      <c r="G378" s="325" t="str">
        <f t="shared" si="74"/>
        <v/>
      </c>
      <c r="H378" s="622">
        <f t="shared" si="75"/>
        <v>0</v>
      </c>
      <c r="I378" s="325" t="str">
        <f t="shared" si="76"/>
        <v/>
      </c>
      <c r="J378" s="622">
        <f t="shared" si="77"/>
        <v>0</v>
      </c>
      <c r="K378" s="324" t="str">
        <f t="shared" si="78"/>
        <v/>
      </c>
      <c r="L378" s="324" t="str">
        <f t="shared" si="79"/>
        <v/>
      </c>
      <c r="M378" s="322">
        <f t="shared" si="80"/>
        <v>0</v>
      </c>
      <c r="N378" s="63"/>
      <c r="O378" s="63"/>
      <c r="P378" s="63"/>
      <c r="Q378" s="63"/>
      <c r="R378" s="63"/>
      <c r="S378" s="63"/>
      <c r="U378" s="63"/>
      <c r="V378" s="63"/>
      <c r="W378" s="63"/>
      <c r="Y378" s="63"/>
      <c r="Z378" s="63"/>
      <c r="AA378" s="63"/>
      <c r="AB378" s="63"/>
      <c r="AC378" s="63"/>
      <c r="AD378" s="63"/>
      <c r="AE378" s="63"/>
      <c r="AF378" s="63"/>
      <c r="AG378" s="63"/>
      <c r="AH378" s="63"/>
      <c r="AI378" s="63"/>
      <c r="AJ378" s="63"/>
      <c r="AK378" s="63"/>
      <c r="AL378" s="63"/>
      <c r="AM378" s="63"/>
      <c r="AN378" s="63"/>
      <c r="AO378" s="63"/>
      <c r="AP378" s="63"/>
      <c r="AQ378" s="63"/>
      <c r="AR378" s="63"/>
      <c r="AS378" s="63"/>
    </row>
    <row r="379" spans="1:45" ht="20.100000000000001" customHeight="1">
      <c r="A379" s="157"/>
      <c r="B379" s="944"/>
      <c r="C379" s="337" t="str">
        <f t="shared" si="81"/>
        <v/>
      </c>
      <c r="D379" s="758" t="str">
        <f t="shared" si="82"/>
        <v>기간</v>
      </c>
      <c r="E379" s="338" t="str">
        <f t="shared" si="72"/>
        <v/>
      </c>
      <c r="F379" s="325">
        <f t="shared" si="73"/>
        <v>0</v>
      </c>
      <c r="G379" s="325" t="str">
        <f t="shared" si="74"/>
        <v/>
      </c>
      <c r="H379" s="622">
        <f t="shared" si="75"/>
        <v>0</v>
      </c>
      <c r="I379" s="325" t="str">
        <f t="shared" si="76"/>
        <v/>
      </c>
      <c r="J379" s="622">
        <f t="shared" si="77"/>
        <v>0</v>
      </c>
      <c r="K379" s="324" t="str">
        <f t="shared" si="78"/>
        <v/>
      </c>
      <c r="L379" s="324" t="str">
        <f t="shared" si="79"/>
        <v/>
      </c>
      <c r="M379" s="322">
        <f t="shared" si="80"/>
        <v>0</v>
      </c>
      <c r="N379" s="63"/>
      <c r="O379" s="63"/>
      <c r="P379" s="63"/>
      <c r="Q379" s="63"/>
      <c r="R379" s="63"/>
      <c r="S379" s="63"/>
      <c r="U379" s="63"/>
      <c r="V379" s="63"/>
      <c r="W379" s="63"/>
      <c r="Y379" s="63"/>
      <c r="Z379" s="63"/>
      <c r="AA379" s="63"/>
      <c r="AB379" s="63"/>
      <c r="AC379" s="63"/>
      <c r="AD379" s="63"/>
      <c r="AE379" s="63"/>
      <c r="AF379" s="63"/>
      <c r="AG379" s="63"/>
      <c r="AH379" s="63"/>
      <c r="AI379" s="63"/>
      <c r="AJ379" s="63"/>
      <c r="AK379" s="63"/>
      <c r="AL379" s="63"/>
      <c r="AM379" s="63"/>
      <c r="AN379" s="63"/>
      <c r="AO379" s="63"/>
      <c r="AP379" s="63"/>
      <c r="AQ379" s="63"/>
      <c r="AR379" s="63"/>
      <c r="AS379" s="63"/>
    </row>
    <row r="380" spans="1:45" ht="20.100000000000001" customHeight="1">
      <c r="A380" s="157"/>
      <c r="B380" s="944"/>
      <c r="C380" s="337" t="str">
        <f t="shared" si="81"/>
        <v/>
      </c>
      <c r="D380" s="758" t="str">
        <f t="shared" si="82"/>
        <v>기간</v>
      </c>
      <c r="E380" s="338" t="str">
        <f t="shared" si="72"/>
        <v/>
      </c>
      <c r="F380" s="325">
        <f t="shared" si="73"/>
        <v>0</v>
      </c>
      <c r="G380" s="325" t="str">
        <f t="shared" si="74"/>
        <v/>
      </c>
      <c r="H380" s="622">
        <f t="shared" si="75"/>
        <v>0</v>
      </c>
      <c r="I380" s="325" t="str">
        <f t="shared" si="76"/>
        <v/>
      </c>
      <c r="J380" s="622">
        <f t="shared" si="77"/>
        <v>0</v>
      </c>
      <c r="K380" s="324" t="str">
        <f t="shared" si="78"/>
        <v/>
      </c>
      <c r="L380" s="324" t="str">
        <f t="shared" si="79"/>
        <v/>
      </c>
      <c r="M380" s="322">
        <f t="shared" si="80"/>
        <v>0</v>
      </c>
      <c r="N380" s="63"/>
      <c r="O380" s="63"/>
      <c r="P380" s="63"/>
      <c r="Q380" s="63"/>
      <c r="R380" s="63"/>
      <c r="S380" s="63"/>
      <c r="U380" s="63"/>
      <c r="V380" s="63"/>
      <c r="W380" s="63"/>
      <c r="Y380" s="63"/>
      <c r="Z380" s="63"/>
      <c r="AA380" s="63"/>
      <c r="AB380" s="63"/>
      <c r="AC380" s="63"/>
      <c r="AD380" s="63"/>
      <c r="AE380" s="63"/>
      <c r="AF380" s="63"/>
      <c r="AG380" s="63"/>
      <c r="AH380" s="63"/>
      <c r="AI380" s="63"/>
      <c r="AJ380" s="63"/>
      <c r="AK380" s="63"/>
      <c r="AL380" s="63"/>
      <c r="AM380" s="63"/>
      <c r="AN380" s="63"/>
      <c r="AO380" s="63"/>
      <c r="AP380" s="63"/>
      <c r="AQ380" s="63"/>
      <c r="AR380" s="63"/>
      <c r="AS380" s="63"/>
    </row>
    <row r="381" spans="1:45" ht="20.100000000000001" customHeight="1">
      <c r="A381" s="157"/>
      <c r="B381" s="944"/>
      <c r="C381" s="337" t="str">
        <f t="shared" si="81"/>
        <v/>
      </c>
      <c r="D381" s="758" t="str">
        <f t="shared" si="82"/>
        <v>기간</v>
      </c>
      <c r="E381" s="338" t="str">
        <f t="shared" si="72"/>
        <v/>
      </c>
      <c r="F381" s="325">
        <f t="shared" si="73"/>
        <v>0</v>
      </c>
      <c r="G381" s="325" t="str">
        <f t="shared" si="74"/>
        <v/>
      </c>
      <c r="H381" s="622">
        <f t="shared" si="75"/>
        <v>0</v>
      </c>
      <c r="I381" s="325" t="str">
        <f t="shared" si="76"/>
        <v/>
      </c>
      <c r="J381" s="622">
        <f t="shared" si="77"/>
        <v>0</v>
      </c>
      <c r="K381" s="324" t="str">
        <f t="shared" si="78"/>
        <v/>
      </c>
      <c r="L381" s="324" t="str">
        <f t="shared" si="79"/>
        <v/>
      </c>
      <c r="M381" s="322">
        <f t="shared" si="80"/>
        <v>0</v>
      </c>
      <c r="N381" s="63"/>
      <c r="O381" s="63"/>
      <c r="P381" s="63"/>
      <c r="Q381" s="63"/>
      <c r="R381" s="63"/>
      <c r="S381" s="63"/>
      <c r="U381" s="63"/>
      <c r="V381" s="63"/>
      <c r="W381" s="63"/>
      <c r="Y381" s="63"/>
      <c r="Z381" s="63"/>
      <c r="AA381" s="63"/>
      <c r="AB381" s="63"/>
      <c r="AC381" s="63"/>
      <c r="AD381" s="63"/>
      <c r="AE381" s="63"/>
      <c r="AF381" s="63"/>
      <c r="AG381" s="63"/>
      <c r="AH381" s="63"/>
      <c r="AI381" s="63"/>
      <c r="AJ381" s="63"/>
      <c r="AK381" s="63"/>
      <c r="AL381" s="63"/>
      <c r="AM381" s="63"/>
      <c r="AN381" s="63"/>
      <c r="AO381" s="63"/>
      <c r="AP381" s="63"/>
      <c r="AQ381" s="63"/>
      <c r="AR381" s="63"/>
      <c r="AS381" s="63"/>
    </row>
    <row r="382" spans="1:45" ht="20.100000000000001" customHeight="1">
      <c r="A382" s="157"/>
      <c r="B382" s="944"/>
      <c r="C382" s="337" t="str">
        <f t="shared" ref="C382" si="83">IFERROR(L382-K382,"")</f>
        <v/>
      </c>
      <c r="D382" s="770" t="str">
        <f t="shared" ref="D382" si="84">IFERROR(IF(C382&lt;4,"O/N","기간"),"")</f>
        <v>기간</v>
      </c>
      <c r="E382" s="338" t="str">
        <f t="shared" si="72"/>
        <v/>
      </c>
      <c r="F382" s="325">
        <f t="shared" si="73"/>
        <v>0</v>
      </c>
      <c r="G382" s="325" t="str">
        <f t="shared" si="74"/>
        <v/>
      </c>
      <c r="H382" s="622">
        <f t="shared" si="75"/>
        <v>0</v>
      </c>
      <c r="I382" s="325" t="str">
        <f t="shared" si="76"/>
        <v/>
      </c>
      <c r="J382" s="622">
        <f t="shared" si="77"/>
        <v>0</v>
      </c>
      <c r="K382" s="324" t="str">
        <f t="shared" si="78"/>
        <v/>
      </c>
      <c r="L382" s="324" t="str">
        <f t="shared" si="79"/>
        <v/>
      </c>
      <c r="M382" s="322">
        <f t="shared" si="80"/>
        <v>0</v>
      </c>
      <c r="N382" s="63"/>
      <c r="O382" s="63"/>
      <c r="P382" s="63"/>
      <c r="Q382" s="63"/>
      <c r="R382" s="63"/>
      <c r="S382" s="63"/>
      <c r="U382" s="63"/>
      <c r="V382" s="63"/>
      <c r="W382" s="63"/>
      <c r="Y382" s="63"/>
      <c r="Z382" s="63"/>
      <c r="AA382" s="63"/>
      <c r="AB382" s="63"/>
      <c r="AC382" s="63"/>
      <c r="AD382" s="63"/>
      <c r="AE382" s="63"/>
      <c r="AF382" s="63"/>
      <c r="AG382" s="63"/>
      <c r="AH382" s="63"/>
      <c r="AI382" s="63"/>
      <c r="AJ382" s="63"/>
      <c r="AK382" s="63"/>
      <c r="AL382" s="63"/>
      <c r="AM382" s="63"/>
      <c r="AN382" s="63"/>
      <c r="AO382" s="63"/>
      <c r="AP382" s="63"/>
      <c r="AQ382" s="63"/>
      <c r="AR382" s="63"/>
      <c r="AS382" s="63"/>
    </row>
    <row r="383" spans="1:45" ht="20.100000000000001" hidden="1" customHeight="1">
      <c r="A383" s="157"/>
      <c r="B383" s="339"/>
      <c r="C383" s="340"/>
      <c r="D383" s="341"/>
      <c r="E383" s="342"/>
      <c r="F383" s="343"/>
      <c r="G383" s="702"/>
      <c r="H383" s="566"/>
      <c r="I383" s="702"/>
      <c r="J383" s="566"/>
      <c r="K383" s="344"/>
      <c r="L383" s="344"/>
      <c r="M383" s="345"/>
      <c r="N383" s="137"/>
      <c r="O383" s="332"/>
      <c r="P383" s="333"/>
      <c r="Q383" s="334"/>
      <c r="R383" s="334"/>
      <c r="S383" s="334"/>
      <c r="T383" s="334"/>
      <c r="U383" s="334"/>
      <c r="V383" s="335"/>
      <c r="W383" s="335"/>
      <c r="X383" s="335"/>
      <c r="Y383" s="334"/>
      <c r="Z383" s="334"/>
      <c r="AA383" s="334"/>
      <c r="AB383" s="334"/>
      <c r="AC383" s="334"/>
      <c r="AD383" s="334"/>
      <c r="AE383" s="334"/>
      <c r="AF383" s="334"/>
      <c r="AG383" s="334"/>
      <c r="AH383" s="334"/>
      <c r="AI383" s="334"/>
      <c r="AJ383" s="334"/>
      <c r="AK383" s="334"/>
      <c r="AL383" s="334"/>
      <c r="AM383" s="334"/>
      <c r="AN383" s="335"/>
      <c r="AO383" s="336"/>
      <c r="AP383" s="334"/>
      <c r="AQ383" s="334"/>
    </row>
    <row r="384" spans="1:45" ht="20.25" hidden="1" customHeight="1">
      <c r="A384" s="1"/>
      <c r="B384" s="729" t="s">
        <v>193</v>
      </c>
      <c r="C384" s="729"/>
      <c r="D384" s="729"/>
      <c r="E384" s="207"/>
      <c r="F384" s="10"/>
      <c r="G384" s="10"/>
      <c r="H384" s="10"/>
      <c r="I384" s="10"/>
      <c r="J384" s="10"/>
      <c r="K384" s="10"/>
      <c r="L384" s="10"/>
      <c r="M384" s="146" t="s">
        <v>50</v>
      </c>
      <c r="N384" s="137"/>
      <c r="O384" s="346"/>
      <c r="P384" s="53"/>
      <c r="V384" s="55"/>
      <c r="W384" s="55"/>
      <c r="X384" s="55"/>
      <c r="AN384" s="55"/>
      <c r="AO384" s="56"/>
    </row>
    <row r="385" spans="1:51" ht="20.100000000000001" hidden="1" customHeight="1">
      <c r="A385" s="1"/>
      <c r="B385" s="854" t="s">
        <v>26</v>
      </c>
      <c r="C385" s="856"/>
      <c r="D385" s="170" t="s">
        <v>353</v>
      </c>
      <c r="E385" s="170" t="s">
        <v>194</v>
      </c>
      <c r="F385" s="170" t="s">
        <v>195</v>
      </c>
      <c r="G385" s="170" t="s">
        <v>196</v>
      </c>
      <c r="H385" s="170" t="s">
        <v>197</v>
      </c>
      <c r="I385" s="170" t="s">
        <v>198</v>
      </c>
      <c r="J385" s="170" t="s">
        <v>199</v>
      </c>
      <c r="K385" s="170" t="s">
        <v>200</v>
      </c>
      <c r="L385" s="170" t="s">
        <v>201</v>
      </c>
      <c r="M385" s="170" t="s">
        <v>13</v>
      </c>
      <c r="N385" s="137"/>
      <c r="P385" s="53"/>
      <c r="V385" s="55"/>
      <c r="W385" s="55"/>
      <c r="X385" s="55"/>
      <c r="AN385" s="55"/>
      <c r="AO385" s="56"/>
    </row>
    <row r="386" spans="1:51" ht="20.100000000000001" hidden="1" customHeight="1">
      <c r="A386" s="1"/>
      <c r="B386" s="688">
        <v>45869</v>
      </c>
      <c r="C386" s="567"/>
      <c r="D386" s="568">
        <v>0.1</v>
      </c>
      <c r="E386" s="568">
        <v>0.3</v>
      </c>
      <c r="F386" s="568">
        <v>0.45</v>
      </c>
      <c r="G386" s="568">
        <v>0.5</v>
      </c>
      <c r="H386" s="568">
        <v>0.7</v>
      </c>
      <c r="I386" s="568">
        <v>1.07</v>
      </c>
      <c r="J386" s="347">
        <v>1.2</v>
      </c>
      <c r="K386" s="347">
        <v>1.3</v>
      </c>
      <c r="L386" s="347">
        <v>1.7</v>
      </c>
      <c r="M386" s="347"/>
      <c r="N386" s="137"/>
      <c r="P386" s="53"/>
      <c r="V386" s="55"/>
      <c r="W386" s="55"/>
      <c r="X386" s="55"/>
      <c r="AN386" s="55"/>
      <c r="AO386" s="56"/>
    </row>
    <row r="387" spans="1:51" ht="20.100000000000001" hidden="1" customHeight="1">
      <c r="A387" s="1"/>
      <c r="B387" s="688">
        <v>45838</v>
      </c>
      <c r="C387" s="567"/>
      <c r="D387" s="568">
        <v>0.1</v>
      </c>
      <c r="E387" s="568">
        <v>0.3</v>
      </c>
      <c r="F387" s="568">
        <v>0.45</v>
      </c>
      <c r="G387" s="568">
        <v>0.5</v>
      </c>
      <c r="H387" s="568">
        <v>0.7</v>
      </c>
      <c r="I387" s="568">
        <v>1.07</v>
      </c>
      <c r="J387" s="347">
        <v>1.2</v>
      </c>
      <c r="K387" s="347">
        <v>1.3</v>
      </c>
      <c r="L387" s="347">
        <v>1.7</v>
      </c>
      <c r="M387" s="347"/>
      <c r="N387" s="137"/>
      <c r="P387" s="53"/>
      <c r="V387" s="55"/>
      <c r="W387" s="55"/>
      <c r="X387" s="55"/>
      <c r="AN387" s="55"/>
      <c r="AO387" s="56"/>
    </row>
    <row r="388" spans="1:51" ht="20.100000000000001" hidden="1" customHeight="1">
      <c r="A388" s="1"/>
      <c r="B388" s="702"/>
      <c r="C388" s="702"/>
      <c r="D388" s="565"/>
      <c r="E388" s="565"/>
      <c r="F388" s="569"/>
      <c r="G388" s="569"/>
      <c r="H388" s="569"/>
      <c r="I388" s="569"/>
      <c r="J388" s="109"/>
      <c r="K388" s="109"/>
      <c r="L388" s="109"/>
      <c r="M388" s="109"/>
      <c r="P388" s="348"/>
      <c r="Q388" s="349"/>
      <c r="R388" s="349"/>
      <c r="S388" s="349"/>
    </row>
    <row r="389" spans="1:51" ht="20.100000000000001" hidden="1" customHeight="1">
      <c r="A389" s="1"/>
      <c r="B389" s="729" t="s">
        <v>202</v>
      </c>
      <c r="C389" s="729"/>
      <c r="D389" s="729"/>
      <c r="E389" s="207"/>
      <c r="F389" s="10"/>
      <c r="G389" s="10"/>
      <c r="H389" s="10"/>
      <c r="I389" s="10"/>
      <c r="J389" s="10"/>
      <c r="K389" s="10"/>
      <c r="L389" s="10"/>
      <c r="M389" s="146" t="s">
        <v>203</v>
      </c>
      <c r="P389" s="350"/>
      <c r="Q389" s="351"/>
      <c r="R389" s="349"/>
      <c r="S389" s="349"/>
    </row>
    <row r="390" spans="1:51" ht="20.100000000000001" hidden="1" customHeight="1">
      <c r="A390" s="1"/>
      <c r="B390" s="854" t="s">
        <v>26</v>
      </c>
      <c r="C390" s="856"/>
      <c r="D390" s="541">
        <v>45596</v>
      </c>
      <c r="E390" s="541">
        <v>45626</v>
      </c>
      <c r="F390" s="541">
        <v>45657</v>
      </c>
      <c r="G390" s="541">
        <v>45716</v>
      </c>
      <c r="H390" s="541">
        <v>45747</v>
      </c>
      <c r="I390" s="541">
        <v>45777</v>
      </c>
      <c r="J390" s="541">
        <v>45808</v>
      </c>
      <c r="K390" s="541">
        <v>45838</v>
      </c>
      <c r="L390" s="541">
        <v>45869</v>
      </c>
      <c r="M390" s="718" t="s">
        <v>13</v>
      </c>
      <c r="N390" s="2"/>
      <c r="O390" s="2"/>
      <c r="P390" s="2"/>
      <c r="Q390" s="2"/>
      <c r="R390" s="349"/>
      <c r="S390" s="349"/>
    </row>
    <row r="391" spans="1:51" ht="20.100000000000001" hidden="1" customHeight="1">
      <c r="A391" s="1"/>
      <c r="B391" s="352" t="s">
        <v>204</v>
      </c>
      <c r="C391" s="353"/>
      <c r="D391" s="542">
        <v>400</v>
      </c>
      <c r="E391" s="542">
        <v>405.70299999999997</v>
      </c>
      <c r="F391" s="542">
        <v>113.15900000000001</v>
      </c>
      <c r="G391" s="542">
        <v>320.07799999999997</v>
      </c>
      <c r="H391" s="542">
        <v>244.15</v>
      </c>
      <c r="I391" s="542">
        <v>297.18</v>
      </c>
      <c r="J391" s="542">
        <v>297</v>
      </c>
      <c r="K391" s="542">
        <v>301.89999999999998</v>
      </c>
      <c r="L391" s="542">
        <v>168</v>
      </c>
      <c r="M391" s="893"/>
      <c r="N391" s="2"/>
      <c r="O391" s="2"/>
      <c r="P391" s="2"/>
      <c r="Q391" s="2"/>
      <c r="R391" s="349"/>
      <c r="S391" s="349"/>
    </row>
    <row r="392" spans="1:51" ht="20.100000000000001" hidden="1" customHeight="1">
      <c r="A392" s="1"/>
      <c r="B392" s="352" t="s">
        <v>205</v>
      </c>
      <c r="C392" s="353"/>
      <c r="D392" s="542">
        <v>6</v>
      </c>
      <c r="E392" s="542">
        <v>222.435</v>
      </c>
      <c r="F392" s="542">
        <v>56.837000000000003</v>
      </c>
      <c r="G392" s="542">
        <v>12.243</v>
      </c>
      <c r="H392" s="542">
        <v>157.55500000000001</v>
      </c>
      <c r="I392" s="542">
        <v>84.158000000000001</v>
      </c>
      <c r="J392" s="542">
        <v>96.317999999999998</v>
      </c>
      <c r="K392" s="542">
        <v>80.872</v>
      </c>
      <c r="L392" s="542">
        <v>44</v>
      </c>
      <c r="M392" s="894"/>
      <c r="N392" s="2"/>
      <c r="O392" s="2"/>
      <c r="P392" s="2"/>
      <c r="Q392" s="2"/>
      <c r="R392" s="349"/>
      <c r="S392" s="349"/>
    </row>
    <row r="393" spans="1:51" ht="20.100000000000001" hidden="1" customHeight="1">
      <c r="A393" s="1"/>
      <c r="B393" s="702"/>
      <c r="C393" s="702"/>
      <c r="D393" s="565"/>
      <c r="E393" s="565"/>
      <c r="F393" s="569"/>
      <c r="G393" s="569"/>
      <c r="H393" s="569"/>
      <c r="I393" s="569"/>
      <c r="J393" s="109"/>
      <c r="K393" s="109"/>
      <c r="L393" s="109"/>
      <c r="M393" s="109"/>
      <c r="P393" s="348"/>
      <c r="Q393" s="349"/>
      <c r="R393" s="349"/>
      <c r="S393" s="349"/>
      <c r="Y393" s="54"/>
      <c r="Z393" s="53"/>
      <c r="AF393" s="55"/>
      <c r="AG393" s="55"/>
      <c r="AH393" s="55"/>
    </row>
    <row r="394" spans="1:51" s="19" customFormat="1" ht="20.100000000000001" hidden="1" customHeight="1">
      <c r="A394" s="1"/>
      <c r="B394" s="729" t="s">
        <v>206</v>
      </c>
      <c r="C394" s="729"/>
      <c r="D394" s="729"/>
      <c r="E394" s="548"/>
      <c r="F394" s="548"/>
      <c r="G394" s="548"/>
      <c r="H394" s="548"/>
      <c r="I394" s="10"/>
      <c r="J394" s="11"/>
      <c r="K394" s="11"/>
      <c r="L394" s="10"/>
      <c r="M394" s="146" t="s">
        <v>207</v>
      </c>
      <c r="N394" s="41"/>
      <c r="O394" s="3"/>
      <c r="AQ394" s="4"/>
      <c r="AR394" s="4"/>
      <c r="AS394" s="4"/>
      <c r="AT394" s="4"/>
      <c r="AU394" s="4"/>
      <c r="AV394" s="4"/>
      <c r="AW394" s="4"/>
      <c r="AX394" s="55"/>
      <c r="AY394" s="56"/>
    </row>
    <row r="395" spans="1:51" s="19" customFormat="1" ht="20.100000000000001" hidden="1" customHeight="1">
      <c r="A395" s="1"/>
      <c r="B395" s="854" t="s">
        <v>9</v>
      </c>
      <c r="C395" s="855"/>
      <c r="D395" s="855"/>
      <c r="E395" s="855"/>
      <c r="F395" s="856"/>
      <c r="G395" s="170" t="s">
        <v>208</v>
      </c>
      <c r="H395" s="354" t="s">
        <v>209</v>
      </c>
      <c r="I395" s="354" t="s">
        <v>210</v>
      </c>
      <c r="J395" s="570">
        <v>45777</v>
      </c>
      <c r="K395" s="543">
        <v>45808</v>
      </c>
      <c r="L395" s="571" t="s">
        <v>211</v>
      </c>
      <c r="M395" s="572" t="s">
        <v>13</v>
      </c>
      <c r="N395" s="41"/>
      <c r="O395" s="3"/>
    </row>
    <row r="396" spans="1:51" s="19" customFormat="1" ht="20.100000000000001" hidden="1" customHeight="1">
      <c r="A396" s="1"/>
      <c r="B396" s="619" t="s">
        <v>366</v>
      </c>
      <c r="C396" s="387"/>
      <c r="D396" s="504"/>
      <c r="E396" s="504"/>
      <c r="F396" s="737"/>
      <c r="G396" s="573">
        <v>0.25</v>
      </c>
      <c r="H396" s="355">
        <v>0.3</v>
      </c>
      <c r="I396" s="356" t="s">
        <v>212</v>
      </c>
      <c r="J396" s="357">
        <v>0.61200313440771126</v>
      </c>
      <c r="K396" s="31">
        <v>0.72132100162194934</v>
      </c>
      <c r="L396" s="29">
        <f>K396-J396</f>
        <v>0.10931786721423808</v>
      </c>
      <c r="M396" s="358"/>
      <c r="N396" s="41"/>
      <c r="O396" s="3"/>
    </row>
    <row r="397" spans="1:51" s="19" customFormat="1" ht="20.100000000000001" hidden="1" customHeight="1">
      <c r="A397" s="1"/>
      <c r="B397" s="619" t="s">
        <v>367</v>
      </c>
      <c r="C397" s="387"/>
      <c r="D397" s="504"/>
      <c r="E397" s="504"/>
      <c r="F397" s="737"/>
      <c r="G397" s="356" t="s">
        <v>213</v>
      </c>
      <c r="H397" s="356" t="s">
        <v>20</v>
      </c>
      <c r="I397" s="356" t="s">
        <v>214</v>
      </c>
      <c r="J397" s="357">
        <v>0.79675230179094847</v>
      </c>
      <c r="K397" s="31">
        <v>0.95870612952356371</v>
      </c>
      <c r="L397" s="29">
        <f>K397-J397</f>
        <v>0.16195382773261524</v>
      </c>
      <c r="M397" s="359"/>
      <c r="N397" s="41"/>
      <c r="O397" s="3"/>
    </row>
    <row r="398" spans="1:51" s="19" customFormat="1" ht="20.100000000000001" hidden="1" customHeight="1">
      <c r="A398" s="1"/>
      <c r="B398" s="619" t="s">
        <v>368</v>
      </c>
      <c r="C398" s="387"/>
      <c r="D398" s="504"/>
      <c r="E398" s="504"/>
      <c r="F398" s="737"/>
      <c r="G398" s="356" t="s">
        <v>213</v>
      </c>
      <c r="H398" s="356" t="s">
        <v>213</v>
      </c>
      <c r="I398" s="356" t="s">
        <v>213</v>
      </c>
      <c r="J398" s="360">
        <v>8.8161740051944437E-2</v>
      </c>
      <c r="K398" s="31">
        <v>7.4297503742758578E-2</v>
      </c>
      <c r="L398" s="34">
        <f>K398-J398</f>
        <v>-1.3864236309185859E-2</v>
      </c>
      <c r="M398" s="358"/>
      <c r="N398" s="41"/>
      <c r="O398" s="3"/>
    </row>
    <row r="399" spans="1:51" s="19" customFormat="1" ht="20.100000000000001" hidden="1" customHeight="1">
      <c r="A399" s="1"/>
      <c r="B399" s="619" t="s">
        <v>369</v>
      </c>
      <c r="C399" s="387"/>
      <c r="D399" s="504"/>
      <c r="E399" s="504"/>
      <c r="F399" s="737"/>
      <c r="G399" s="356" t="s">
        <v>215</v>
      </c>
      <c r="H399" s="356" t="s">
        <v>213</v>
      </c>
      <c r="I399" s="356" t="s">
        <v>216</v>
      </c>
      <c r="J399" s="360">
        <v>0</v>
      </c>
      <c r="K399" s="31">
        <v>0</v>
      </c>
      <c r="L399" s="34">
        <f>K399-J399</f>
        <v>0</v>
      </c>
      <c r="M399" s="358"/>
      <c r="N399" s="41"/>
      <c r="O399" s="3"/>
    </row>
    <row r="400" spans="1:51" s="19" customFormat="1" ht="27" customHeight="1">
      <c r="A400" s="1"/>
      <c r="B400" s="574"/>
      <c r="C400" s="574"/>
      <c r="D400" s="574"/>
      <c r="E400" s="574"/>
      <c r="F400" s="574"/>
      <c r="G400" s="361"/>
      <c r="H400" s="361"/>
      <c r="I400" s="361"/>
      <c r="J400" s="362"/>
      <c r="K400" s="363"/>
      <c r="L400" s="364"/>
      <c r="M400" s="365"/>
      <c r="N400" s="41"/>
      <c r="O400" s="3"/>
    </row>
    <row r="401" spans="1:17" s="19" customFormat="1" ht="20.100000000000001" customHeight="1">
      <c r="A401" s="1"/>
      <c r="B401" s="110" t="s">
        <v>364</v>
      </c>
      <c r="C401" s="574"/>
      <c r="D401" s="574"/>
      <c r="E401" s="574"/>
      <c r="F401" s="574"/>
      <c r="G401" s="361"/>
      <c r="H401" s="361"/>
      <c r="I401" s="361"/>
      <c r="J401" s="362"/>
      <c r="K401" s="363"/>
      <c r="L401" s="364"/>
      <c r="M401" s="365"/>
      <c r="N401" s="41"/>
      <c r="O401" s="3"/>
    </row>
    <row r="402" spans="1:17" s="19" customFormat="1" ht="20.100000000000001" customHeight="1">
      <c r="A402" s="1"/>
      <c r="B402" s="729" t="s">
        <v>217</v>
      </c>
      <c r="C402" s="729"/>
      <c r="D402" s="729"/>
      <c r="E402" s="105" t="s">
        <v>218</v>
      </c>
      <c r="F402" s="574"/>
      <c r="G402" s="361"/>
      <c r="H402" s="361"/>
      <c r="I402" s="361"/>
      <c r="J402" s="362"/>
      <c r="K402" s="363"/>
      <c r="L402" s="364"/>
      <c r="M402" s="365"/>
      <c r="N402" s="41"/>
      <c r="O402" s="3"/>
    </row>
    <row r="403" spans="1:17" s="19" customFormat="1" ht="20.100000000000001" customHeight="1">
      <c r="A403" s="1"/>
      <c r="B403" s="718" t="s">
        <v>219</v>
      </c>
      <c r="C403" s="701"/>
      <c r="D403" s="701"/>
      <c r="E403" s="855" t="s">
        <v>220</v>
      </c>
      <c r="F403" s="856"/>
      <c r="G403" s="713" t="s">
        <v>89</v>
      </c>
      <c r="H403" s="713" t="s">
        <v>3</v>
      </c>
      <c r="I403" s="713" t="s">
        <v>91</v>
      </c>
      <c r="J403" s="713" t="s">
        <v>221</v>
      </c>
      <c r="K403" s="713" t="s">
        <v>222</v>
      </c>
      <c r="L403" s="575" t="s">
        <v>13</v>
      </c>
      <c r="M403" s="575" t="s">
        <v>13</v>
      </c>
      <c r="N403" s="41"/>
      <c r="O403" s="3"/>
    </row>
    <row r="404" spans="1:17" s="19" customFormat="1" ht="20.100000000000001" customHeight="1">
      <c r="A404" s="1"/>
      <c r="B404" s="366" t="s">
        <v>223</v>
      </c>
      <c r="C404" s="367"/>
      <c r="D404" s="367"/>
      <c r="E404" s="875" t="s">
        <v>224</v>
      </c>
      <c r="F404" s="876"/>
      <c r="G404" s="576">
        <v>31.641565</v>
      </c>
      <c r="H404" s="576">
        <v>31.64156436</v>
      </c>
      <c r="I404" s="368">
        <v>41106</v>
      </c>
      <c r="J404" s="369"/>
      <c r="K404" s="370" t="s">
        <v>16</v>
      </c>
      <c r="L404" s="577" t="s">
        <v>357</v>
      </c>
      <c r="M404" s="371"/>
      <c r="N404" s="120"/>
    </row>
    <row r="405" spans="1:17" s="19" customFormat="1" ht="20.100000000000001" customHeight="1" thickBot="1">
      <c r="A405" s="1"/>
      <c r="B405" s="372"/>
      <c r="C405" s="373"/>
      <c r="D405" s="373"/>
      <c r="E405" s="877" t="s">
        <v>225</v>
      </c>
      <c r="F405" s="878"/>
      <c r="G405" s="578">
        <v>-29.11165776</v>
      </c>
      <c r="H405" s="578">
        <v>-29.11165776</v>
      </c>
      <c r="I405" s="374"/>
      <c r="J405" s="375">
        <v>43642</v>
      </c>
      <c r="K405" s="376" t="s">
        <v>16</v>
      </c>
      <c r="L405" s="579" t="s">
        <v>226</v>
      </c>
      <c r="M405" s="377"/>
      <c r="N405" s="120"/>
    </row>
    <row r="406" spans="1:17" s="19" customFormat="1" ht="20.100000000000001" customHeight="1">
      <c r="A406" s="1"/>
      <c r="B406" s="378" t="s">
        <v>227</v>
      </c>
      <c r="C406" s="379"/>
      <c r="D406" s="379"/>
      <c r="E406" s="879" t="s">
        <v>228</v>
      </c>
      <c r="F406" s="880"/>
      <c r="G406" s="580">
        <f>H406</f>
        <v>2.5299066000000003</v>
      </c>
      <c r="H406" s="581">
        <f>H404+H405</f>
        <v>2.5299066000000003</v>
      </c>
      <c r="I406" s="381"/>
      <c r="J406" s="382"/>
      <c r="K406" s="383"/>
      <c r="L406" s="582"/>
      <c r="M406" s="384" t="s">
        <v>229</v>
      </c>
      <c r="N406" s="121">
        <f>K119</f>
        <v>0</v>
      </c>
      <c r="O406" s="63" t="b">
        <f>N406=H410</f>
        <v>0</v>
      </c>
      <c r="P406" s="385"/>
      <c r="Q406" s="158"/>
    </row>
    <row r="407" spans="1:17" s="19" customFormat="1" ht="20.100000000000001" customHeight="1">
      <c r="A407" s="1"/>
      <c r="B407" s="386" t="s">
        <v>223</v>
      </c>
      <c r="C407" s="387"/>
      <c r="D407" s="387"/>
      <c r="E407" s="843" t="s">
        <v>230</v>
      </c>
      <c r="F407" s="844"/>
      <c r="G407" s="583">
        <v>32.491267970000003</v>
      </c>
      <c r="H407" s="584">
        <v>32.491267980000003</v>
      </c>
      <c r="I407" s="389">
        <v>41815</v>
      </c>
      <c r="J407" s="585"/>
      <c r="K407" s="390"/>
      <c r="L407" s="586" t="s">
        <v>358</v>
      </c>
      <c r="M407" s="391"/>
      <c r="N407" s="41"/>
      <c r="O407" s="3"/>
      <c r="P407" s="385"/>
      <c r="Q407" s="311"/>
    </row>
    <row r="408" spans="1:17" s="19" customFormat="1" ht="20.100000000000001" customHeight="1">
      <c r="A408" s="1"/>
      <c r="B408" s="386" t="s">
        <v>223</v>
      </c>
      <c r="C408" s="387"/>
      <c r="D408" s="387"/>
      <c r="E408" s="843" t="s">
        <v>230</v>
      </c>
      <c r="F408" s="844"/>
      <c r="G408" s="587" t="s">
        <v>231</v>
      </c>
      <c r="H408" s="588">
        <f>100*$P$4</f>
        <v>14.45</v>
      </c>
      <c r="I408" s="389">
        <v>42300</v>
      </c>
      <c r="J408" s="392"/>
      <c r="K408" s="393"/>
      <c r="L408" s="586" t="s">
        <v>359</v>
      </c>
      <c r="M408" s="391" t="s">
        <v>232</v>
      </c>
      <c r="N408" s="41"/>
      <c r="O408" s="3"/>
      <c r="P408" s="394"/>
      <c r="Q408" s="311"/>
    </row>
    <row r="409" spans="1:17" s="19" customFormat="1" ht="20.100000000000001" customHeight="1" thickBot="1">
      <c r="A409" s="1"/>
      <c r="B409" s="395" t="s">
        <v>223</v>
      </c>
      <c r="C409" s="396"/>
      <c r="D409" s="396"/>
      <c r="E409" s="873" t="s">
        <v>230</v>
      </c>
      <c r="F409" s="874"/>
      <c r="G409" s="589" t="s">
        <v>144</v>
      </c>
      <c r="H409" s="590">
        <f>200*$P$4</f>
        <v>28.9</v>
      </c>
      <c r="I409" s="398">
        <v>43641</v>
      </c>
      <c r="J409" s="399"/>
      <c r="K409" s="400"/>
      <c r="L409" s="591" t="s">
        <v>360</v>
      </c>
      <c r="M409" s="401" t="s">
        <v>233</v>
      </c>
      <c r="N409" s="41"/>
      <c r="O409" s="3"/>
      <c r="P409" s="158"/>
      <c r="Q409" s="158"/>
    </row>
    <row r="410" spans="1:17" s="19" customFormat="1" ht="20.100000000000001" customHeight="1">
      <c r="A410" s="1"/>
      <c r="B410" s="402" t="s">
        <v>234</v>
      </c>
      <c r="C410" s="379"/>
      <c r="D410" s="379"/>
      <c r="E410" s="719"/>
      <c r="F410" s="720"/>
      <c r="G410" s="592"/>
      <c r="H410" s="403">
        <f>SUM(H406:H409)</f>
        <v>78.371174580000002</v>
      </c>
      <c r="I410" s="404"/>
      <c r="J410" s="405"/>
      <c r="K410" s="406"/>
      <c r="L410" s="407"/>
      <c r="M410" s="408"/>
      <c r="N410" s="41"/>
      <c r="O410" s="3"/>
      <c r="P410" s="158"/>
      <c r="Q410" s="158"/>
    </row>
    <row r="411" spans="1:17" s="19" customFormat="1" ht="20.100000000000001" customHeight="1">
      <c r="A411" s="1"/>
      <c r="B411" s="574"/>
      <c r="C411" s="574"/>
      <c r="D411" s="574"/>
      <c r="E411" s="574"/>
      <c r="F411" s="574"/>
      <c r="G411" s="361"/>
      <c r="H411" s="361"/>
      <c r="I411" s="361"/>
      <c r="J411" s="362"/>
      <c r="K411" s="363"/>
      <c r="L411" s="364"/>
      <c r="M411" s="365"/>
      <c r="N411" s="41"/>
      <c r="O411" s="3"/>
    </row>
    <row r="412" spans="1:17" s="19" customFormat="1" ht="20.100000000000001" customHeight="1">
      <c r="A412" s="1"/>
      <c r="B412" s="729" t="s">
        <v>235</v>
      </c>
      <c r="C412" s="729"/>
      <c r="D412" s="729"/>
      <c r="E412" s="574"/>
      <c r="F412" s="574"/>
      <c r="G412" s="361"/>
      <c r="H412" s="361"/>
      <c r="I412" s="361"/>
      <c r="J412" s="362"/>
      <c r="K412" s="363"/>
      <c r="L412" s="364"/>
      <c r="M412" s="365"/>
      <c r="N412" s="41" t="s">
        <v>236</v>
      </c>
      <c r="O412" s="3"/>
    </row>
    <row r="413" spans="1:17" s="19" customFormat="1" ht="20.100000000000001" customHeight="1">
      <c r="A413" s="1"/>
      <c r="B413" s="718" t="s">
        <v>219</v>
      </c>
      <c r="C413" s="701"/>
      <c r="D413" s="701"/>
      <c r="E413" s="855" t="s">
        <v>220</v>
      </c>
      <c r="F413" s="856"/>
      <c r="G413" s="713" t="s">
        <v>89</v>
      </c>
      <c r="H413" s="713" t="s">
        <v>90</v>
      </c>
      <c r="I413" s="713" t="s">
        <v>91</v>
      </c>
      <c r="J413" s="713" t="s">
        <v>92</v>
      </c>
      <c r="K413" s="713" t="s">
        <v>222</v>
      </c>
      <c r="L413" s="575" t="s">
        <v>13</v>
      </c>
      <c r="M413" s="575" t="s">
        <v>13</v>
      </c>
      <c r="N413" s="41"/>
      <c r="O413" s="3"/>
    </row>
    <row r="414" spans="1:17" s="19" customFormat="1" ht="20.100000000000001" customHeight="1">
      <c r="A414" s="1"/>
      <c r="B414" s="352" t="s">
        <v>237</v>
      </c>
      <c r="C414" s="387"/>
      <c r="D414" s="387"/>
      <c r="E414" s="843"/>
      <c r="F414" s="844"/>
      <c r="G414" s="593">
        <v>10</v>
      </c>
      <c r="H414" s="593">
        <v>10</v>
      </c>
      <c r="I414" s="389">
        <v>42850</v>
      </c>
      <c r="J414" s="941">
        <v>46137</v>
      </c>
      <c r="K414" s="919" t="s">
        <v>238</v>
      </c>
      <c r="L414" s="586" t="s">
        <v>239</v>
      </c>
      <c r="M414" s="913" t="s">
        <v>240</v>
      </c>
      <c r="N414" s="41"/>
      <c r="O414" s="3"/>
    </row>
    <row r="415" spans="1:17" s="19" customFormat="1" ht="20.100000000000001" customHeight="1">
      <c r="A415" s="505"/>
      <c r="B415" s="506" t="s">
        <v>574</v>
      </c>
      <c r="C415" s="507"/>
      <c r="D415" s="507"/>
      <c r="E415" s="508"/>
      <c r="F415" s="509"/>
      <c r="G415" s="593">
        <v>5</v>
      </c>
      <c r="H415" s="593">
        <v>5</v>
      </c>
      <c r="I415" s="389">
        <v>42880</v>
      </c>
      <c r="J415" s="942"/>
      <c r="K415" s="920"/>
      <c r="L415" s="586" t="s">
        <v>241</v>
      </c>
      <c r="M415" s="914"/>
      <c r="N415" s="41"/>
    </row>
    <row r="416" spans="1:17" s="19" customFormat="1" ht="20.100000000000001" customHeight="1">
      <c r="A416" s="1"/>
      <c r="B416" s="352"/>
      <c r="C416" s="387"/>
      <c r="D416" s="387"/>
      <c r="E416" s="843"/>
      <c r="F416" s="844"/>
      <c r="G416" s="593">
        <v>5</v>
      </c>
      <c r="H416" s="593">
        <v>5</v>
      </c>
      <c r="I416" s="389">
        <v>42919</v>
      </c>
      <c r="J416" s="942"/>
      <c r="K416" s="920"/>
      <c r="L416" s="586" t="s">
        <v>242</v>
      </c>
      <c r="M416" s="914"/>
      <c r="N416" s="41"/>
    </row>
    <row r="417" spans="1:14" s="19" customFormat="1" ht="20.100000000000001" customHeight="1">
      <c r="A417" s="1"/>
      <c r="B417" s="352"/>
      <c r="C417" s="387"/>
      <c r="D417" s="387"/>
      <c r="E417" s="843"/>
      <c r="F417" s="844"/>
      <c r="G417" s="593">
        <v>5</v>
      </c>
      <c r="H417" s="593">
        <v>5</v>
      </c>
      <c r="I417" s="389">
        <v>42956</v>
      </c>
      <c r="J417" s="942"/>
      <c r="K417" s="920"/>
      <c r="L417" s="586" t="s">
        <v>361</v>
      </c>
      <c r="M417" s="914"/>
      <c r="N417" s="41"/>
    </row>
    <row r="418" spans="1:14" s="19" customFormat="1" ht="20.100000000000001" customHeight="1">
      <c r="A418" s="1"/>
      <c r="B418" s="352"/>
      <c r="C418" s="387"/>
      <c r="D418" s="387"/>
      <c r="E418" s="843"/>
      <c r="F418" s="844"/>
      <c r="G418" s="593">
        <v>3</v>
      </c>
      <c r="H418" s="593">
        <v>3</v>
      </c>
      <c r="I418" s="389">
        <v>43360</v>
      </c>
      <c r="J418" s="942"/>
      <c r="K418" s="920"/>
      <c r="L418" s="594" t="s">
        <v>362</v>
      </c>
      <c r="M418" s="914"/>
      <c r="N418" s="41"/>
    </row>
    <row r="419" spans="1:14" s="19" customFormat="1" ht="20.100000000000001" customHeight="1">
      <c r="A419" s="1"/>
      <c r="B419" s="352"/>
      <c r="C419" s="387"/>
      <c r="D419" s="387"/>
      <c r="E419" s="699"/>
      <c r="F419" s="700"/>
      <c r="G419" s="593">
        <v>3</v>
      </c>
      <c r="H419" s="593">
        <v>3</v>
      </c>
      <c r="I419" s="389">
        <v>43395</v>
      </c>
      <c r="J419" s="942"/>
      <c r="K419" s="920"/>
      <c r="L419" s="594" t="s">
        <v>243</v>
      </c>
      <c r="M419" s="914"/>
      <c r="N419" s="41"/>
    </row>
    <row r="420" spans="1:14" s="19" customFormat="1" ht="20.100000000000001" customHeight="1">
      <c r="A420" s="1"/>
      <c r="B420" s="352"/>
      <c r="C420" s="387"/>
      <c r="D420" s="387"/>
      <c r="E420" s="699"/>
      <c r="F420" s="700"/>
      <c r="G420" s="593">
        <v>2</v>
      </c>
      <c r="H420" s="593">
        <v>2</v>
      </c>
      <c r="I420" s="389">
        <v>43472</v>
      </c>
      <c r="J420" s="942"/>
      <c r="K420" s="920"/>
      <c r="L420" s="594" t="s">
        <v>244</v>
      </c>
      <c r="M420" s="914"/>
      <c r="N420" s="41"/>
    </row>
    <row r="421" spans="1:14" s="19" customFormat="1" ht="20.100000000000001" customHeight="1">
      <c r="A421" s="1"/>
      <c r="B421" s="352"/>
      <c r="C421" s="387"/>
      <c r="D421" s="387"/>
      <c r="E421" s="699"/>
      <c r="F421" s="700"/>
      <c r="G421" s="593">
        <v>1</v>
      </c>
      <c r="H421" s="593">
        <v>1</v>
      </c>
      <c r="I421" s="389">
        <v>43563</v>
      </c>
      <c r="J421" s="942"/>
      <c r="K421" s="920"/>
      <c r="L421" s="594" t="s">
        <v>245</v>
      </c>
      <c r="M421" s="914"/>
      <c r="N421" s="41"/>
    </row>
    <row r="422" spans="1:14" s="19" customFormat="1" ht="20.100000000000001" customHeight="1">
      <c r="A422" s="1"/>
      <c r="B422" s="352"/>
      <c r="C422" s="387"/>
      <c r="D422" s="387"/>
      <c r="E422" s="699"/>
      <c r="F422" s="700"/>
      <c r="G422" s="593">
        <v>1</v>
      </c>
      <c r="H422" s="593">
        <v>1</v>
      </c>
      <c r="I422" s="389">
        <v>43676</v>
      </c>
      <c r="J422" s="942"/>
      <c r="K422" s="920"/>
      <c r="L422" s="594" t="s">
        <v>246</v>
      </c>
      <c r="M422" s="914"/>
      <c r="N422" s="41"/>
    </row>
    <row r="423" spans="1:14" s="19" customFormat="1" ht="20.100000000000001" customHeight="1">
      <c r="A423" s="1"/>
      <c r="B423" s="352"/>
      <c r="C423" s="387"/>
      <c r="D423" s="387"/>
      <c r="E423" s="699"/>
      <c r="F423" s="700"/>
      <c r="G423" s="593">
        <v>1</v>
      </c>
      <c r="H423" s="593">
        <v>1</v>
      </c>
      <c r="I423" s="389">
        <v>43713</v>
      </c>
      <c r="J423" s="942"/>
      <c r="K423" s="920"/>
      <c r="L423" s="594" t="s">
        <v>247</v>
      </c>
      <c r="M423" s="914"/>
      <c r="N423" s="41"/>
    </row>
    <row r="424" spans="1:14" s="19" customFormat="1" ht="20.100000000000001" customHeight="1">
      <c r="A424" s="1"/>
      <c r="B424" s="352"/>
      <c r="C424" s="387"/>
      <c r="D424" s="387"/>
      <c r="E424" s="699"/>
      <c r="F424" s="700"/>
      <c r="G424" s="593">
        <v>1</v>
      </c>
      <c r="H424" s="593">
        <v>1</v>
      </c>
      <c r="I424" s="389">
        <v>43774</v>
      </c>
      <c r="J424" s="942"/>
      <c r="K424" s="920"/>
      <c r="L424" s="594" t="s">
        <v>248</v>
      </c>
      <c r="M424" s="914"/>
      <c r="N424" s="41"/>
    </row>
    <row r="425" spans="1:14" s="19" customFormat="1" ht="20.100000000000001" customHeight="1">
      <c r="A425" s="1"/>
      <c r="B425" s="352"/>
      <c r="C425" s="387"/>
      <c r="D425" s="387"/>
      <c r="E425" s="699"/>
      <c r="F425" s="700"/>
      <c r="G425" s="593">
        <v>1</v>
      </c>
      <c r="H425" s="593">
        <v>1</v>
      </c>
      <c r="I425" s="389">
        <v>43794</v>
      </c>
      <c r="J425" s="942"/>
      <c r="K425" s="920"/>
      <c r="L425" s="594" t="s">
        <v>249</v>
      </c>
      <c r="M425" s="914"/>
      <c r="N425" s="41"/>
    </row>
    <row r="426" spans="1:14" s="19" customFormat="1" ht="20.100000000000001" customHeight="1">
      <c r="A426" s="1"/>
      <c r="B426" s="352"/>
      <c r="C426" s="387"/>
      <c r="D426" s="387"/>
      <c r="E426" s="699"/>
      <c r="F426" s="700"/>
      <c r="G426" s="593">
        <v>1</v>
      </c>
      <c r="H426" s="593">
        <v>1</v>
      </c>
      <c r="I426" s="389">
        <v>43815</v>
      </c>
      <c r="J426" s="942"/>
      <c r="K426" s="920"/>
      <c r="L426" s="594" t="s">
        <v>250</v>
      </c>
      <c r="M426" s="914"/>
      <c r="N426" s="41"/>
    </row>
    <row r="427" spans="1:14" s="19" customFormat="1" ht="20.100000000000001" customHeight="1">
      <c r="A427" s="1"/>
      <c r="B427" s="352"/>
      <c r="C427" s="387"/>
      <c r="D427" s="387"/>
      <c r="E427" s="699"/>
      <c r="F427" s="700"/>
      <c r="G427" s="593">
        <v>1</v>
      </c>
      <c r="H427" s="593">
        <v>1</v>
      </c>
      <c r="I427" s="389">
        <v>43838</v>
      </c>
      <c r="J427" s="943"/>
      <c r="K427" s="921"/>
      <c r="L427" s="594" t="s">
        <v>251</v>
      </c>
      <c r="M427" s="915"/>
      <c r="N427" s="41"/>
    </row>
    <row r="428" spans="1:14" s="19" customFormat="1" ht="20.100000000000001" customHeight="1">
      <c r="A428" s="1"/>
      <c r="B428" s="409" t="s">
        <v>252</v>
      </c>
      <c r="C428" s="387"/>
      <c r="D428" s="387"/>
      <c r="E428" s="699"/>
      <c r="F428" s="700"/>
      <c r="G428" s="410">
        <v>-1.5</v>
      </c>
      <c r="H428" s="410">
        <f t="shared" ref="H428:H433" si="85">G428</f>
        <v>-1.5</v>
      </c>
      <c r="I428" s="389">
        <v>45317</v>
      </c>
      <c r="J428" s="717"/>
      <c r="K428" s="715"/>
      <c r="L428" s="594"/>
      <c r="M428" s="714"/>
      <c r="N428" s="41"/>
    </row>
    <row r="429" spans="1:14" s="19" customFormat="1" ht="20.100000000000001" customHeight="1">
      <c r="A429" s="1"/>
      <c r="B429" s="409" t="s">
        <v>252</v>
      </c>
      <c r="C429" s="387"/>
      <c r="D429" s="387"/>
      <c r="E429" s="699"/>
      <c r="F429" s="700"/>
      <c r="G429" s="410">
        <v>-3.5</v>
      </c>
      <c r="H429" s="410">
        <f t="shared" si="85"/>
        <v>-3.5</v>
      </c>
      <c r="I429" s="389">
        <v>45356</v>
      </c>
      <c r="J429" s="717"/>
      <c r="K429" s="715"/>
      <c r="L429" s="594"/>
      <c r="M429" s="714"/>
      <c r="N429" s="41"/>
    </row>
    <row r="430" spans="1:14" s="19" customFormat="1" ht="20.100000000000001" customHeight="1">
      <c r="A430" s="1"/>
      <c r="B430" s="409" t="s">
        <v>252</v>
      </c>
      <c r="C430" s="387"/>
      <c r="D430" s="387"/>
      <c r="E430" s="699"/>
      <c r="F430" s="700"/>
      <c r="G430" s="410">
        <v>-1.5</v>
      </c>
      <c r="H430" s="410">
        <f t="shared" si="85"/>
        <v>-1.5</v>
      </c>
      <c r="I430" s="389">
        <v>45412</v>
      </c>
      <c r="J430" s="595"/>
      <c r="K430" s="390"/>
      <c r="L430" s="594"/>
      <c r="M430" s="411"/>
      <c r="N430" s="41"/>
    </row>
    <row r="431" spans="1:14" s="19" customFormat="1" ht="20.100000000000001" customHeight="1">
      <c r="A431" s="1"/>
      <c r="B431" s="409" t="s">
        <v>252</v>
      </c>
      <c r="C431" s="387"/>
      <c r="D431" s="387"/>
      <c r="E431" s="755"/>
      <c r="F431" s="756"/>
      <c r="G431" s="410">
        <v>-3.5</v>
      </c>
      <c r="H431" s="410">
        <f t="shared" si="85"/>
        <v>-3.5</v>
      </c>
      <c r="I431" s="389">
        <v>45547</v>
      </c>
      <c r="J431" s="595"/>
      <c r="K431" s="390"/>
      <c r="L431" s="594"/>
      <c r="M431" s="411"/>
      <c r="N431" s="41"/>
    </row>
    <row r="432" spans="1:14" s="19" customFormat="1" ht="20.100000000000001" customHeight="1">
      <c r="A432" s="1"/>
      <c r="B432" s="409" t="s">
        <v>252</v>
      </c>
      <c r="C432" s="387"/>
      <c r="D432" s="387"/>
      <c r="E432" s="755"/>
      <c r="F432" s="756"/>
      <c r="G432" s="410">
        <v>-1</v>
      </c>
      <c r="H432" s="410">
        <f t="shared" si="85"/>
        <v>-1</v>
      </c>
      <c r="I432" s="389">
        <v>45565</v>
      </c>
      <c r="J432" s="595"/>
      <c r="K432" s="390"/>
      <c r="L432" s="594"/>
      <c r="M432" s="411"/>
      <c r="N432" s="41"/>
    </row>
    <row r="433" spans="1:15" s="19" customFormat="1" ht="20.100000000000001" customHeight="1">
      <c r="A433" s="1"/>
      <c r="B433" s="409" t="s">
        <v>252</v>
      </c>
      <c r="C433" s="387"/>
      <c r="D433" s="387"/>
      <c r="E433" s="699"/>
      <c r="F433" s="700"/>
      <c r="G433" s="410">
        <v>-4</v>
      </c>
      <c r="H433" s="410">
        <f t="shared" si="85"/>
        <v>-4</v>
      </c>
      <c r="I433" s="389">
        <v>45617</v>
      </c>
      <c r="J433" s="595"/>
      <c r="K433" s="390"/>
      <c r="L433" s="594"/>
      <c r="M433" s="411"/>
      <c r="N433" s="41"/>
    </row>
    <row r="434" spans="1:15" s="19" customFormat="1" ht="20.100000000000001" customHeight="1">
      <c r="A434" s="1"/>
      <c r="B434" s="409" t="s">
        <v>252</v>
      </c>
      <c r="C434" s="387"/>
      <c r="D434" s="387"/>
      <c r="E434" s="801"/>
      <c r="F434" s="802"/>
      <c r="G434" s="410">
        <v>-1</v>
      </c>
      <c r="H434" s="410">
        <f t="shared" ref="H434:H440" si="86">G434</f>
        <v>-1</v>
      </c>
      <c r="I434" s="389">
        <v>45834</v>
      </c>
      <c r="J434" s="595"/>
      <c r="K434" s="390"/>
      <c r="L434" s="594"/>
      <c r="M434" s="411"/>
      <c r="N434" s="41"/>
    </row>
    <row r="435" spans="1:15" s="19" customFormat="1" ht="20.100000000000001" customHeight="1">
      <c r="A435" s="1"/>
      <c r="B435" s="409" t="s">
        <v>252</v>
      </c>
      <c r="C435" s="387"/>
      <c r="D435" s="387"/>
      <c r="E435" s="801"/>
      <c r="F435" s="802"/>
      <c r="G435" s="410">
        <v>-1</v>
      </c>
      <c r="H435" s="410">
        <f t="shared" si="86"/>
        <v>-1</v>
      </c>
      <c r="I435" s="389">
        <v>45917</v>
      </c>
      <c r="J435" s="595"/>
      <c r="K435" s="390"/>
      <c r="L435" s="594"/>
      <c r="M435" s="411"/>
      <c r="N435" s="41"/>
    </row>
    <row r="436" spans="1:15" s="19" customFormat="1" ht="20.100000000000001" customHeight="1">
      <c r="A436" s="1"/>
      <c r="B436" s="409" t="s">
        <v>252</v>
      </c>
      <c r="C436" s="387"/>
      <c r="D436" s="387"/>
      <c r="E436" s="801"/>
      <c r="F436" s="802"/>
      <c r="G436" s="410">
        <v>-1</v>
      </c>
      <c r="H436" s="410">
        <f t="shared" si="86"/>
        <v>-1</v>
      </c>
      <c r="I436" s="389">
        <v>45944</v>
      </c>
      <c r="J436" s="595"/>
      <c r="K436" s="390"/>
      <c r="L436" s="594"/>
      <c r="M436" s="411"/>
      <c r="N436" s="41"/>
    </row>
    <row r="437" spans="1:15" s="19" customFormat="1" ht="20.100000000000001" customHeight="1">
      <c r="A437" s="1"/>
      <c r="B437" s="409" t="s">
        <v>252</v>
      </c>
      <c r="C437" s="387"/>
      <c r="D437" s="387"/>
      <c r="E437" s="801"/>
      <c r="F437" s="802"/>
      <c r="G437" s="410">
        <v>-2</v>
      </c>
      <c r="H437" s="410">
        <f t="shared" si="86"/>
        <v>-2</v>
      </c>
      <c r="I437" s="389">
        <v>45981</v>
      </c>
      <c r="J437" s="595"/>
      <c r="K437" s="390"/>
      <c r="L437" s="594"/>
      <c r="M437" s="411"/>
      <c r="N437" s="41"/>
    </row>
    <row r="438" spans="1:15" s="19" customFormat="1" ht="20.100000000000001" customHeight="1">
      <c r="A438" s="1"/>
      <c r="B438" s="409" t="s">
        <v>252</v>
      </c>
      <c r="C438" s="387"/>
      <c r="D438" s="387"/>
      <c r="E438" s="807"/>
      <c r="F438" s="808"/>
      <c r="G438" s="410">
        <v>-1</v>
      </c>
      <c r="H438" s="410">
        <f t="shared" si="86"/>
        <v>-1</v>
      </c>
      <c r="I438" s="389">
        <v>46000</v>
      </c>
      <c r="J438" s="595"/>
      <c r="K438" s="390"/>
      <c r="L438" s="594"/>
      <c r="M438" s="411"/>
      <c r="N438" s="41"/>
    </row>
    <row r="439" spans="1:15" s="19" customFormat="1" ht="20.100000000000001" customHeight="1">
      <c r="A439" s="1"/>
      <c r="B439" s="409" t="s">
        <v>252</v>
      </c>
      <c r="C439" s="387"/>
      <c r="D439" s="387"/>
      <c r="E439" s="807"/>
      <c r="F439" s="808"/>
      <c r="G439" s="410">
        <v>-1</v>
      </c>
      <c r="H439" s="410">
        <f t="shared" si="86"/>
        <v>-1</v>
      </c>
      <c r="I439" s="389">
        <v>46007</v>
      </c>
      <c r="J439" s="595"/>
      <c r="K439" s="390"/>
      <c r="L439" s="594"/>
      <c r="M439" s="411"/>
      <c r="N439" s="41"/>
    </row>
    <row r="440" spans="1:15" s="19" customFormat="1" ht="20.100000000000001" customHeight="1">
      <c r="A440" s="1"/>
      <c r="B440" s="409" t="s">
        <v>252</v>
      </c>
      <c r="C440" s="387"/>
      <c r="D440" s="387"/>
      <c r="E440" s="807"/>
      <c r="F440" s="808"/>
      <c r="G440" s="410">
        <v>-1</v>
      </c>
      <c r="H440" s="410">
        <f t="shared" si="86"/>
        <v>-1</v>
      </c>
      <c r="I440" s="389">
        <v>46030</v>
      </c>
      <c r="J440" s="595"/>
      <c r="K440" s="390"/>
      <c r="L440" s="594"/>
      <c r="M440" s="411"/>
      <c r="N440" s="41"/>
    </row>
    <row r="441" spans="1:15" s="19" customFormat="1" ht="20.100000000000001" customHeight="1">
      <c r="A441" s="1"/>
      <c r="B441" s="708" t="s">
        <v>234</v>
      </c>
      <c r="C441" s="699"/>
      <c r="D441" s="699"/>
      <c r="E441" s="699"/>
      <c r="F441" s="700"/>
      <c r="G441" s="583"/>
      <c r="H441" s="412">
        <f>SUM(H414:H440)</f>
        <v>17</v>
      </c>
      <c r="I441" s="413"/>
      <c r="J441" s="414"/>
      <c r="K441" s="390"/>
      <c r="L441" s="415"/>
      <c r="M441" s="411"/>
      <c r="N441" s="41"/>
      <c r="O441" s="3"/>
    </row>
    <row r="442" spans="1:15" s="19" customFormat="1" ht="20.100000000000001" customHeight="1">
      <c r="A442" s="1"/>
      <c r="B442" s="702"/>
      <c r="C442" s="702"/>
      <c r="D442" s="702"/>
      <c r="E442" s="702"/>
      <c r="F442" s="702"/>
      <c r="G442" s="596"/>
      <c r="H442" s="416"/>
      <c r="I442" s="417"/>
      <c r="J442" s="418"/>
      <c r="K442" s="419"/>
      <c r="L442" s="420"/>
      <c r="M442" s="421"/>
      <c r="N442" s="41"/>
      <c r="O442" s="3"/>
    </row>
    <row r="443" spans="1:15" s="19" customFormat="1" ht="20.100000000000001" customHeight="1">
      <c r="A443" s="1"/>
      <c r="B443" s="729" t="s">
        <v>253</v>
      </c>
      <c r="C443" s="729"/>
      <c r="D443" s="729"/>
      <c r="E443" s="702"/>
      <c r="F443" s="702"/>
      <c r="G443" s="596"/>
      <c r="H443" s="416"/>
      <c r="I443" s="417"/>
      <c r="J443" s="418"/>
      <c r="K443" s="419"/>
      <c r="L443" s="420"/>
      <c r="M443" s="421"/>
      <c r="N443" s="41" t="s">
        <v>254</v>
      </c>
      <c r="O443" s="3"/>
    </row>
    <row r="444" spans="1:15" s="19" customFormat="1" ht="20.100000000000001" customHeight="1">
      <c r="A444" s="1"/>
      <c r="B444" s="718" t="s">
        <v>219</v>
      </c>
      <c r="C444" s="701"/>
      <c r="D444" s="701"/>
      <c r="E444" s="855" t="s">
        <v>220</v>
      </c>
      <c r="F444" s="856"/>
      <c r="G444" s="713" t="s">
        <v>89</v>
      </c>
      <c r="H444" s="713" t="s">
        <v>90</v>
      </c>
      <c r="I444" s="713" t="s">
        <v>91</v>
      </c>
      <c r="J444" s="713" t="s">
        <v>92</v>
      </c>
      <c r="K444" s="713" t="s">
        <v>222</v>
      </c>
      <c r="L444" s="575" t="s">
        <v>13</v>
      </c>
      <c r="M444" s="575" t="s">
        <v>13</v>
      </c>
      <c r="N444" s="41"/>
      <c r="O444" s="3"/>
    </row>
    <row r="445" spans="1:15" s="19" customFormat="1" ht="20.100000000000001" customHeight="1">
      <c r="A445" s="1"/>
      <c r="B445" s="352" t="s">
        <v>237</v>
      </c>
      <c r="C445" s="387"/>
      <c r="D445" s="387"/>
      <c r="E445" s="843"/>
      <c r="F445" s="844"/>
      <c r="G445" s="593">
        <v>1</v>
      </c>
      <c r="H445" s="593">
        <f t="shared" ref="H445:H460" si="87">G445</f>
        <v>1</v>
      </c>
      <c r="I445" s="389">
        <v>44095</v>
      </c>
      <c r="J445" s="916"/>
      <c r="K445" s="919" t="s">
        <v>255</v>
      </c>
      <c r="L445" s="586" t="s">
        <v>256</v>
      </c>
      <c r="M445" s="913" t="s">
        <v>257</v>
      </c>
      <c r="N445" s="41"/>
      <c r="O445" s="3"/>
    </row>
    <row r="446" spans="1:15" s="19" customFormat="1" ht="20.100000000000001" customHeight="1">
      <c r="A446" s="1"/>
      <c r="B446" s="352" t="s">
        <v>355</v>
      </c>
      <c r="C446" s="387"/>
      <c r="D446" s="387"/>
      <c r="E446" s="491"/>
      <c r="F446" s="510"/>
      <c r="G446" s="593">
        <v>1</v>
      </c>
      <c r="H446" s="593">
        <f t="shared" si="87"/>
        <v>1</v>
      </c>
      <c r="I446" s="389">
        <v>44123</v>
      </c>
      <c r="J446" s="917"/>
      <c r="K446" s="920"/>
      <c r="L446" s="586" t="s">
        <v>258</v>
      </c>
      <c r="M446" s="914"/>
      <c r="N446" s="41"/>
      <c r="O446" s="3"/>
    </row>
    <row r="447" spans="1:15" s="19" customFormat="1" ht="20.100000000000001" customHeight="1">
      <c r="A447" s="1"/>
      <c r="B447" s="352"/>
      <c r="C447" s="387"/>
      <c r="D447" s="387"/>
      <c r="E447" s="843"/>
      <c r="F447" s="844"/>
      <c r="G447" s="593">
        <v>1</v>
      </c>
      <c r="H447" s="593">
        <f t="shared" si="87"/>
        <v>1</v>
      </c>
      <c r="I447" s="389">
        <v>44151</v>
      </c>
      <c r="J447" s="917"/>
      <c r="K447" s="920"/>
      <c r="L447" s="586" t="s">
        <v>259</v>
      </c>
      <c r="M447" s="914"/>
      <c r="N447" s="41"/>
      <c r="O447" s="3"/>
    </row>
    <row r="448" spans="1:15" s="19" customFormat="1" ht="20.100000000000001" customHeight="1">
      <c r="A448" s="1"/>
      <c r="B448" s="352"/>
      <c r="C448" s="387"/>
      <c r="D448" s="387"/>
      <c r="E448" s="843"/>
      <c r="F448" s="844"/>
      <c r="G448" s="593">
        <v>1</v>
      </c>
      <c r="H448" s="593">
        <f t="shared" si="87"/>
        <v>1</v>
      </c>
      <c r="I448" s="389">
        <v>44173</v>
      </c>
      <c r="J448" s="917"/>
      <c r="K448" s="920"/>
      <c r="L448" s="586" t="s">
        <v>260</v>
      </c>
      <c r="M448" s="914"/>
      <c r="N448" s="41"/>
      <c r="O448" s="3"/>
    </row>
    <row r="449" spans="1:15" s="19" customFormat="1" ht="20.100000000000001" customHeight="1">
      <c r="A449" s="1"/>
      <c r="B449" s="352"/>
      <c r="C449" s="387"/>
      <c r="D449" s="387"/>
      <c r="E449" s="843"/>
      <c r="F449" s="844"/>
      <c r="G449" s="593">
        <v>2</v>
      </c>
      <c r="H449" s="593">
        <f t="shared" si="87"/>
        <v>2</v>
      </c>
      <c r="I449" s="389">
        <v>44186</v>
      </c>
      <c r="J449" s="917"/>
      <c r="K449" s="920"/>
      <c r="L449" s="594" t="s">
        <v>261</v>
      </c>
      <c r="M449" s="914"/>
      <c r="N449" s="41"/>
      <c r="O449" s="3"/>
    </row>
    <row r="450" spans="1:15" s="19" customFormat="1" ht="20.100000000000001" customHeight="1">
      <c r="A450" s="1"/>
      <c r="B450" s="352"/>
      <c r="C450" s="387"/>
      <c r="D450" s="387"/>
      <c r="E450" s="699"/>
      <c r="F450" s="700"/>
      <c r="G450" s="593">
        <v>1</v>
      </c>
      <c r="H450" s="593">
        <f t="shared" si="87"/>
        <v>1</v>
      </c>
      <c r="I450" s="389">
        <v>44228</v>
      </c>
      <c r="J450" s="917"/>
      <c r="K450" s="920"/>
      <c r="L450" s="594" t="s">
        <v>262</v>
      </c>
      <c r="M450" s="914"/>
      <c r="N450" s="41"/>
      <c r="O450" s="3"/>
    </row>
    <row r="451" spans="1:15" s="19" customFormat="1" ht="20.100000000000001" customHeight="1">
      <c r="A451" s="1"/>
      <c r="B451" s="352"/>
      <c r="C451" s="387"/>
      <c r="D451" s="387"/>
      <c r="E451" s="699"/>
      <c r="F451" s="700"/>
      <c r="G451" s="593">
        <v>1</v>
      </c>
      <c r="H451" s="593">
        <f t="shared" si="87"/>
        <v>1</v>
      </c>
      <c r="I451" s="413">
        <v>44257</v>
      </c>
      <c r="J451" s="917"/>
      <c r="K451" s="920"/>
      <c r="L451" s="594" t="s">
        <v>263</v>
      </c>
      <c r="M451" s="914"/>
      <c r="N451" s="41"/>
      <c r="O451" s="3"/>
    </row>
    <row r="452" spans="1:15" s="19" customFormat="1" ht="20.100000000000001" customHeight="1">
      <c r="A452" s="1"/>
      <c r="B452" s="352"/>
      <c r="C452" s="387"/>
      <c r="D452" s="387"/>
      <c r="E452" s="699"/>
      <c r="F452" s="700"/>
      <c r="G452" s="593">
        <v>1</v>
      </c>
      <c r="H452" s="593">
        <f t="shared" si="87"/>
        <v>1</v>
      </c>
      <c r="I452" s="413">
        <v>44291</v>
      </c>
      <c r="J452" s="917"/>
      <c r="K452" s="920"/>
      <c r="L452" s="594" t="s">
        <v>264</v>
      </c>
      <c r="M452" s="914"/>
      <c r="N452" s="41"/>
      <c r="O452" s="3"/>
    </row>
    <row r="453" spans="1:15" s="19" customFormat="1" ht="20.100000000000001" customHeight="1">
      <c r="A453" s="1"/>
      <c r="B453" s="352"/>
      <c r="C453" s="387"/>
      <c r="D453" s="387"/>
      <c r="E453" s="699"/>
      <c r="F453" s="700"/>
      <c r="G453" s="593">
        <v>1</v>
      </c>
      <c r="H453" s="593">
        <f t="shared" si="87"/>
        <v>1</v>
      </c>
      <c r="I453" s="413">
        <v>44340</v>
      </c>
      <c r="J453" s="917"/>
      <c r="K453" s="920"/>
      <c r="L453" s="594" t="s">
        <v>265</v>
      </c>
      <c r="M453" s="914"/>
      <c r="N453" s="41"/>
      <c r="O453" s="3"/>
    </row>
    <row r="454" spans="1:15" s="19" customFormat="1" ht="20.100000000000001" customHeight="1">
      <c r="A454" s="1"/>
      <c r="B454" s="352"/>
      <c r="C454" s="387"/>
      <c r="D454" s="387"/>
      <c r="E454" s="699"/>
      <c r="F454" s="700"/>
      <c r="G454" s="593">
        <v>1</v>
      </c>
      <c r="H454" s="593">
        <f t="shared" si="87"/>
        <v>1</v>
      </c>
      <c r="I454" s="413">
        <v>44362</v>
      </c>
      <c r="J454" s="917"/>
      <c r="K454" s="920"/>
      <c r="L454" s="594" t="s">
        <v>266</v>
      </c>
      <c r="M454" s="914"/>
      <c r="N454" s="41"/>
      <c r="O454" s="3"/>
    </row>
    <row r="455" spans="1:15" s="19" customFormat="1" ht="20.100000000000001" customHeight="1">
      <c r="A455" s="1"/>
      <c r="B455" s="352"/>
      <c r="C455" s="387"/>
      <c r="D455" s="387"/>
      <c r="E455" s="699"/>
      <c r="F455" s="700"/>
      <c r="G455" s="593">
        <v>1</v>
      </c>
      <c r="H455" s="593">
        <f t="shared" si="87"/>
        <v>1</v>
      </c>
      <c r="I455" s="413">
        <v>44389</v>
      </c>
      <c r="J455" s="917"/>
      <c r="K455" s="920"/>
      <c r="L455" s="594" t="s">
        <v>267</v>
      </c>
      <c r="M455" s="914"/>
      <c r="N455" s="41"/>
      <c r="O455" s="3"/>
    </row>
    <row r="456" spans="1:15" s="19" customFormat="1" ht="20.100000000000001" customHeight="1">
      <c r="A456" s="1"/>
      <c r="B456" s="352"/>
      <c r="C456" s="387"/>
      <c r="D456" s="387"/>
      <c r="E456" s="699"/>
      <c r="F456" s="700"/>
      <c r="G456" s="593">
        <v>2</v>
      </c>
      <c r="H456" s="593">
        <f t="shared" si="87"/>
        <v>2</v>
      </c>
      <c r="I456" s="413">
        <v>44404</v>
      </c>
      <c r="J456" s="917"/>
      <c r="K456" s="920"/>
      <c r="L456" s="594" t="s">
        <v>268</v>
      </c>
      <c r="M456" s="914"/>
      <c r="N456" s="41"/>
      <c r="O456" s="3"/>
    </row>
    <row r="457" spans="1:15" s="19" customFormat="1" ht="20.100000000000001" customHeight="1">
      <c r="A457" s="1"/>
      <c r="B457" s="352"/>
      <c r="C457" s="387"/>
      <c r="D457" s="387"/>
      <c r="E457" s="699"/>
      <c r="F457" s="700"/>
      <c r="G457" s="593">
        <v>2</v>
      </c>
      <c r="H457" s="593">
        <f t="shared" si="87"/>
        <v>2</v>
      </c>
      <c r="I457" s="413">
        <v>44434</v>
      </c>
      <c r="J457" s="918"/>
      <c r="K457" s="921"/>
      <c r="L457" s="594" t="s">
        <v>269</v>
      </c>
      <c r="M457" s="915"/>
      <c r="N457" s="41"/>
      <c r="O457" s="3"/>
    </row>
    <row r="458" spans="1:15" s="19" customFormat="1" ht="20.100000000000001" customHeight="1">
      <c r="A458" s="1"/>
      <c r="B458" s="409" t="s">
        <v>252</v>
      </c>
      <c r="C458" s="387"/>
      <c r="D458" s="387"/>
      <c r="E458" s="699"/>
      <c r="F458" s="700"/>
      <c r="G458" s="410">
        <v>-1</v>
      </c>
      <c r="H458" s="410">
        <f t="shared" si="87"/>
        <v>-1</v>
      </c>
      <c r="I458" s="413">
        <v>45322</v>
      </c>
      <c r="J458" s="414"/>
      <c r="K458" s="390"/>
      <c r="L458" s="594"/>
      <c r="M458" s="411"/>
      <c r="N458" s="41"/>
      <c r="O458" s="3"/>
    </row>
    <row r="459" spans="1:15" s="19" customFormat="1" ht="20.100000000000001" customHeight="1">
      <c r="A459" s="1"/>
      <c r="B459" s="409" t="s">
        <v>252</v>
      </c>
      <c r="C459" s="387"/>
      <c r="D459" s="387"/>
      <c r="E459" s="699"/>
      <c r="F459" s="700"/>
      <c r="G459" s="410">
        <v>-2</v>
      </c>
      <c r="H459" s="410">
        <f t="shared" si="87"/>
        <v>-2</v>
      </c>
      <c r="I459" s="413">
        <v>45382</v>
      </c>
      <c r="J459" s="414"/>
      <c r="K459" s="390"/>
      <c r="L459" s="594"/>
      <c r="M459" s="411"/>
      <c r="N459" s="41"/>
      <c r="O459" s="3"/>
    </row>
    <row r="460" spans="1:15" s="19" customFormat="1" ht="20.100000000000001" customHeight="1">
      <c r="A460" s="1"/>
      <c r="B460" s="409" t="s">
        <v>252</v>
      </c>
      <c r="C460" s="387"/>
      <c r="D460" s="387"/>
      <c r="E460" s="699"/>
      <c r="F460" s="700"/>
      <c r="G460" s="410">
        <v>-13</v>
      </c>
      <c r="H460" s="410">
        <f t="shared" si="87"/>
        <v>-13</v>
      </c>
      <c r="I460" s="413">
        <v>45504</v>
      </c>
      <c r="J460" s="414"/>
      <c r="K460" s="390"/>
      <c r="L460" s="594"/>
      <c r="M460" s="411"/>
      <c r="N460" s="41"/>
      <c r="O460" s="3"/>
    </row>
    <row r="461" spans="1:15" s="19" customFormat="1" ht="20.100000000000001" customHeight="1">
      <c r="A461" s="1"/>
      <c r="B461" s="708" t="s">
        <v>234</v>
      </c>
      <c r="C461" s="699"/>
      <c r="D461" s="699"/>
      <c r="E461" s="699"/>
      <c r="F461" s="700"/>
      <c r="G461" s="583"/>
      <c r="H461" s="412">
        <f>SUM(H445:H460)</f>
        <v>0</v>
      </c>
      <c r="I461" s="413"/>
      <c r="J461" s="414"/>
      <c r="K461" s="390"/>
      <c r="L461" s="594"/>
      <c r="M461" s="411"/>
      <c r="O461" s="3"/>
    </row>
    <row r="462" spans="1:15" s="19" customFormat="1" ht="20.100000000000001" customHeight="1" thickBot="1">
      <c r="A462" s="1"/>
      <c r="B462" s="574"/>
      <c r="C462" s="574"/>
      <c r="D462" s="574"/>
      <c r="E462" s="105"/>
      <c r="F462" s="574"/>
      <c r="G462" s="361"/>
      <c r="H462" s="361"/>
      <c r="I462" s="361"/>
      <c r="J462" s="362"/>
      <c r="K462" s="363"/>
      <c r="L462" s="364"/>
      <c r="M462" s="365"/>
      <c r="N462" s="41"/>
      <c r="O462" s="3"/>
    </row>
    <row r="463" spans="1:15" s="19" customFormat="1" ht="20.100000000000001" customHeight="1" thickBot="1">
      <c r="A463" s="1"/>
      <c r="B463" s="729" t="s">
        <v>270</v>
      </c>
      <c r="C463" s="729"/>
      <c r="D463" s="729"/>
      <c r="E463" s="811"/>
      <c r="F463" s="812" t="s">
        <v>596</v>
      </c>
      <c r="G463" s="813">
        <v>5.7393710000000002</v>
      </c>
      <c r="H463" s="902">
        <f>$G$463*1000000/$O$2*0.1</f>
        <v>380.56965718453688</v>
      </c>
      <c r="I463" s="902"/>
      <c r="J463" s="903">
        <f>$G$463*1000000/$O$2*0.2</f>
        <v>761.13931436907376</v>
      </c>
      <c r="K463" s="904"/>
      <c r="L463" s="364"/>
      <c r="M463" s="365"/>
      <c r="N463" s="41"/>
      <c r="O463" s="3"/>
    </row>
    <row r="464" spans="1:15" s="19" customFormat="1" ht="20.100000000000001" customHeight="1">
      <c r="A464" s="1"/>
      <c r="B464" s="718" t="s">
        <v>219</v>
      </c>
      <c r="C464" s="701"/>
      <c r="D464" s="701"/>
      <c r="E464" s="905" t="s">
        <v>220</v>
      </c>
      <c r="F464" s="906"/>
      <c r="G464" s="810" t="s">
        <v>89</v>
      </c>
      <c r="H464" s="810" t="s">
        <v>90</v>
      </c>
      <c r="I464" s="810" t="s">
        <v>91</v>
      </c>
      <c r="J464" s="810" t="s">
        <v>92</v>
      </c>
      <c r="K464" s="810" t="s">
        <v>222</v>
      </c>
      <c r="L464" s="575" t="s">
        <v>13</v>
      </c>
      <c r="M464" s="575" t="s">
        <v>13</v>
      </c>
      <c r="N464" s="41"/>
      <c r="O464" s="3"/>
    </row>
    <row r="465" spans="1:15" s="19" customFormat="1" ht="20.100000000000001" customHeight="1">
      <c r="A465" s="1"/>
      <c r="B465" s="352" t="s">
        <v>271</v>
      </c>
      <c r="C465" s="387"/>
      <c r="D465" s="387"/>
      <c r="E465" s="843" t="s">
        <v>272</v>
      </c>
      <c r="F465" s="844"/>
      <c r="G465" s="583">
        <v>3.1749999999999998</v>
      </c>
      <c r="H465" s="583">
        <v>3.1749999999999998</v>
      </c>
      <c r="I465" s="389">
        <v>42942</v>
      </c>
      <c r="J465" s="392"/>
      <c r="K465" s="390"/>
      <c r="L465" s="907" t="s">
        <v>273</v>
      </c>
      <c r="M465" s="411" t="s">
        <v>274</v>
      </c>
      <c r="N465" s="422"/>
      <c r="O465" s="3"/>
    </row>
    <row r="466" spans="1:15" s="19" customFormat="1" ht="20.100000000000001" customHeight="1">
      <c r="A466" s="1"/>
      <c r="B466" s="352" t="s">
        <v>275</v>
      </c>
      <c r="C466" s="387"/>
      <c r="D466" s="387"/>
      <c r="E466" s="843" t="s">
        <v>276</v>
      </c>
      <c r="F466" s="844"/>
      <c r="G466" s="583">
        <v>3.1749999999999998</v>
      </c>
      <c r="H466" s="583">
        <v>3.1749999999999998</v>
      </c>
      <c r="I466" s="389">
        <v>43034</v>
      </c>
      <c r="J466" s="392"/>
      <c r="K466" s="390"/>
      <c r="L466" s="908"/>
      <c r="M466" s="411" t="s">
        <v>277</v>
      </c>
      <c r="N466" s="41"/>
      <c r="O466" s="3"/>
    </row>
    <row r="467" spans="1:15" s="19" customFormat="1" ht="20.100000000000001" customHeight="1">
      <c r="A467" s="1"/>
      <c r="B467" s="352" t="s">
        <v>275</v>
      </c>
      <c r="C467" s="387"/>
      <c r="D467" s="387"/>
      <c r="E467" s="843" t="s">
        <v>278</v>
      </c>
      <c r="F467" s="844"/>
      <c r="G467" s="583">
        <v>57.15</v>
      </c>
      <c r="H467" s="583">
        <v>57.15</v>
      </c>
      <c r="I467" s="389">
        <v>43105</v>
      </c>
      <c r="J467" s="392"/>
      <c r="K467" s="423"/>
      <c r="L467" s="909"/>
      <c r="M467" s="411" t="s">
        <v>279</v>
      </c>
      <c r="N467" s="41"/>
      <c r="O467" s="3"/>
    </row>
    <row r="468" spans="1:15" s="19" customFormat="1" ht="30" customHeight="1" thickBot="1">
      <c r="A468" s="1"/>
      <c r="B468" s="352" t="s">
        <v>275</v>
      </c>
      <c r="C468" s="387"/>
      <c r="D468" s="387"/>
      <c r="E468" s="846" t="s">
        <v>280</v>
      </c>
      <c r="F468" s="940"/>
      <c r="G468" s="597">
        <f>55</f>
        <v>55</v>
      </c>
      <c r="H468" s="424">
        <f>G468</f>
        <v>55</v>
      </c>
      <c r="I468" s="425">
        <v>43266</v>
      </c>
      <c r="J468" s="426"/>
      <c r="K468" s="427"/>
      <c r="L468" s="428">
        <v>769112775037</v>
      </c>
      <c r="M468" s="429" t="s">
        <v>549</v>
      </c>
      <c r="N468" s="41" t="s">
        <v>579</v>
      </c>
      <c r="O468" s="3"/>
    </row>
    <row r="469" spans="1:15" s="19" customFormat="1" ht="20.100000000000001" customHeight="1">
      <c r="A469" s="1"/>
      <c r="B469" s="845" t="s">
        <v>281</v>
      </c>
      <c r="C469" s="846"/>
      <c r="D469" s="847"/>
      <c r="E469" s="888" t="s">
        <v>282</v>
      </c>
      <c r="F469" s="430" t="s">
        <v>283</v>
      </c>
      <c r="G469" s="870">
        <v>75</v>
      </c>
      <c r="H469" s="580">
        <v>40</v>
      </c>
      <c r="I469" s="381">
        <v>43238</v>
      </c>
      <c r="J469" s="598">
        <v>44333</v>
      </c>
      <c r="K469" s="910">
        <v>4.9200000000000001E-2</v>
      </c>
      <c r="L469" s="582" t="s">
        <v>284</v>
      </c>
      <c r="M469" s="431" t="s">
        <v>285</v>
      </c>
      <c r="N469" s="41">
        <f t="shared" ref="N469:N480" si="88">J469-I469</f>
        <v>1095</v>
      </c>
      <c r="O469" s="3">
        <f>SUM(H469:H480)</f>
        <v>75</v>
      </c>
    </row>
    <row r="470" spans="1:15" s="19" customFormat="1" ht="20.100000000000001" customHeight="1">
      <c r="A470" s="1"/>
      <c r="B470" s="848"/>
      <c r="C470" s="849"/>
      <c r="D470" s="850"/>
      <c r="E470" s="889"/>
      <c r="F470" s="432" t="s">
        <v>286</v>
      </c>
      <c r="G470" s="871"/>
      <c r="H470" s="583">
        <v>1</v>
      </c>
      <c r="I470" s="389">
        <v>43335</v>
      </c>
      <c r="J470" s="585">
        <v>44333</v>
      </c>
      <c r="K470" s="911"/>
      <c r="L470" s="433">
        <v>769113067187</v>
      </c>
      <c r="M470" s="434"/>
      <c r="N470" s="41">
        <f t="shared" si="88"/>
        <v>998</v>
      </c>
      <c r="O470" s="3"/>
    </row>
    <row r="471" spans="1:15" s="19" customFormat="1" ht="20.100000000000001" customHeight="1">
      <c r="A471" s="1"/>
      <c r="B471" s="848"/>
      <c r="C471" s="849"/>
      <c r="D471" s="850"/>
      <c r="E471" s="889"/>
      <c r="F471" s="432" t="s">
        <v>287</v>
      </c>
      <c r="G471" s="871"/>
      <c r="H471" s="583">
        <v>1</v>
      </c>
      <c r="I471" s="389">
        <v>43341</v>
      </c>
      <c r="J471" s="585">
        <v>44333</v>
      </c>
      <c r="K471" s="911"/>
      <c r="L471" s="433">
        <v>769113089236</v>
      </c>
      <c r="M471" s="434"/>
      <c r="N471" s="41">
        <f t="shared" si="88"/>
        <v>992</v>
      </c>
      <c r="O471" s="3"/>
    </row>
    <row r="472" spans="1:15" s="19" customFormat="1" ht="20.100000000000001" customHeight="1">
      <c r="A472" s="1"/>
      <c r="B472" s="848"/>
      <c r="C472" s="849"/>
      <c r="D472" s="850"/>
      <c r="E472" s="889"/>
      <c r="F472" s="432" t="s">
        <v>288</v>
      </c>
      <c r="G472" s="871"/>
      <c r="H472" s="583">
        <v>1</v>
      </c>
      <c r="I472" s="389">
        <v>43441</v>
      </c>
      <c r="J472" s="585">
        <v>44333</v>
      </c>
      <c r="K472" s="911"/>
      <c r="L472" s="433">
        <v>769113541451</v>
      </c>
      <c r="M472" s="435" t="s">
        <v>289</v>
      </c>
      <c r="N472" s="41">
        <f t="shared" si="88"/>
        <v>892</v>
      </c>
      <c r="O472" s="3"/>
    </row>
    <row r="473" spans="1:15" s="19" customFormat="1" ht="20.100000000000001" customHeight="1">
      <c r="A473" s="1"/>
      <c r="B473" s="848"/>
      <c r="C473" s="849"/>
      <c r="D473" s="850"/>
      <c r="E473" s="889"/>
      <c r="F473" s="432" t="s">
        <v>290</v>
      </c>
      <c r="G473" s="871"/>
      <c r="H473" s="583">
        <v>1</v>
      </c>
      <c r="I473" s="389">
        <v>43453</v>
      </c>
      <c r="J473" s="585">
        <v>44333</v>
      </c>
      <c r="K473" s="911"/>
      <c r="L473" s="433">
        <v>769113596390</v>
      </c>
      <c r="M473" s="435" t="s">
        <v>291</v>
      </c>
      <c r="N473" s="41">
        <f t="shared" si="88"/>
        <v>880</v>
      </c>
      <c r="O473" s="3"/>
    </row>
    <row r="474" spans="1:15" s="19" customFormat="1" ht="20.100000000000001" customHeight="1">
      <c r="A474" s="1"/>
      <c r="B474" s="848"/>
      <c r="C474" s="849"/>
      <c r="D474" s="850"/>
      <c r="E474" s="889"/>
      <c r="F474" s="432" t="s">
        <v>292</v>
      </c>
      <c r="G474" s="871"/>
      <c r="H474" s="583">
        <v>1</v>
      </c>
      <c r="I474" s="389">
        <v>43469</v>
      </c>
      <c r="J474" s="585">
        <v>44333</v>
      </c>
      <c r="K474" s="911"/>
      <c r="L474" s="433">
        <v>769113679150</v>
      </c>
      <c r="M474" s="435" t="s">
        <v>293</v>
      </c>
      <c r="N474" s="41">
        <f t="shared" si="88"/>
        <v>864</v>
      </c>
      <c r="O474" s="3"/>
    </row>
    <row r="475" spans="1:15" s="19" customFormat="1" ht="20.100000000000001" customHeight="1">
      <c r="A475" s="1"/>
      <c r="B475" s="848"/>
      <c r="C475" s="849"/>
      <c r="D475" s="850"/>
      <c r="E475" s="889"/>
      <c r="F475" s="432" t="s">
        <v>294</v>
      </c>
      <c r="G475" s="871"/>
      <c r="H475" s="583">
        <v>5</v>
      </c>
      <c r="I475" s="389">
        <v>43482</v>
      </c>
      <c r="J475" s="585">
        <v>44333</v>
      </c>
      <c r="K475" s="911"/>
      <c r="L475" s="433">
        <v>769113735262</v>
      </c>
      <c r="M475" s="436" t="s">
        <v>295</v>
      </c>
      <c r="N475" s="41">
        <f t="shared" si="88"/>
        <v>851</v>
      </c>
    </row>
    <row r="476" spans="1:15" s="19" customFormat="1" ht="20.100000000000001" customHeight="1">
      <c r="A476" s="1"/>
      <c r="B476" s="848"/>
      <c r="C476" s="849"/>
      <c r="D476" s="850"/>
      <c r="E476" s="889"/>
      <c r="F476" s="432" t="s">
        <v>296</v>
      </c>
      <c r="G476" s="871"/>
      <c r="H476" s="583">
        <v>5</v>
      </c>
      <c r="I476" s="389">
        <v>43496</v>
      </c>
      <c r="J476" s="585">
        <v>44333</v>
      </c>
      <c r="K476" s="911"/>
      <c r="L476" s="433">
        <v>769113816088</v>
      </c>
      <c r="M476" s="437"/>
      <c r="N476" s="41">
        <f t="shared" si="88"/>
        <v>837</v>
      </c>
      <c r="O476" s="3"/>
    </row>
    <row r="477" spans="1:15" s="19" customFormat="1" ht="20.100000000000001" customHeight="1">
      <c r="A477" s="1"/>
      <c r="B477" s="848"/>
      <c r="C477" s="849"/>
      <c r="D477" s="850"/>
      <c r="E477" s="889"/>
      <c r="F477" s="432" t="s">
        <v>297</v>
      </c>
      <c r="G477" s="871"/>
      <c r="H477" s="583">
        <v>5</v>
      </c>
      <c r="I477" s="389">
        <v>43521</v>
      </c>
      <c r="J477" s="585">
        <v>44333</v>
      </c>
      <c r="K477" s="911"/>
      <c r="L477" s="433">
        <v>769113909642</v>
      </c>
      <c r="M477" s="437"/>
      <c r="N477" s="41">
        <f t="shared" si="88"/>
        <v>812</v>
      </c>
      <c r="O477" s="3"/>
    </row>
    <row r="478" spans="1:15" s="19" customFormat="1" ht="20.100000000000001" customHeight="1">
      <c r="A478" s="1"/>
      <c r="B478" s="848"/>
      <c r="C478" s="849"/>
      <c r="D478" s="850"/>
      <c r="E478" s="889"/>
      <c r="F478" s="432" t="s">
        <v>298</v>
      </c>
      <c r="G478" s="871"/>
      <c r="H478" s="583">
        <v>2</v>
      </c>
      <c r="I478" s="389">
        <v>43538</v>
      </c>
      <c r="J478" s="585">
        <v>44333</v>
      </c>
      <c r="K478" s="911"/>
      <c r="L478" s="433">
        <v>769113996301</v>
      </c>
      <c r="M478" s="437"/>
      <c r="N478" s="41">
        <f t="shared" si="88"/>
        <v>795</v>
      </c>
      <c r="O478" s="3"/>
    </row>
    <row r="479" spans="1:15" s="19" customFormat="1" ht="20.100000000000001" customHeight="1">
      <c r="A479" s="1"/>
      <c r="B479" s="848"/>
      <c r="C479" s="849"/>
      <c r="D479" s="850"/>
      <c r="E479" s="889"/>
      <c r="F479" s="438" t="s">
        <v>299</v>
      </c>
      <c r="G479" s="871"/>
      <c r="H479" s="583">
        <v>5</v>
      </c>
      <c r="I479" s="389">
        <v>43550</v>
      </c>
      <c r="J479" s="585">
        <v>44333</v>
      </c>
      <c r="K479" s="911"/>
      <c r="L479" s="433">
        <v>769114041689</v>
      </c>
      <c r="M479" s="437"/>
      <c r="N479" s="41">
        <f t="shared" si="88"/>
        <v>783</v>
      </c>
      <c r="O479" s="3"/>
    </row>
    <row r="480" spans="1:15" s="19" customFormat="1" ht="30" customHeight="1" thickBot="1">
      <c r="A480" s="1"/>
      <c r="B480" s="848"/>
      <c r="C480" s="849"/>
      <c r="D480" s="850"/>
      <c r="E480" s="890"/>
      <c r="F480" s="439" t="s">
        <v>300</v>
      </c>
      <c r="G480" s="872"/>
      <c r="H480" s="599">
        <v>8</v>
      </c>
      <c r="I480" s="398">
        <v>43564</v>
      </c>
      <c r="J480" s="600">
        <v>44333</v>
      </c>
      <c r="K480" s="912"/>
      <c r="L480" s="440">
        <v>769114111424</v>
      </c>
      <c r="M480" s="441"/>
      <c r="N480" s="41">
        <f t="shared" si="88"/>
        <v>769</v>
      </c>
      <c r="O480" s="3"/>
    </row>
    <row r="481" spans="1:15" s="19" customFormat="1" ht="30" customHeight="1" thickBot="1">
      <c r="A481" s="1"/>
      <c r="B481" s="848"/>
      <c r="C481" s="849"/>
      <c r="D481" s="850"/>
      <c r="E481" s="705" t="s">
        <v>301</v>
      </c>
      <c r="F481" s="438"/>
      <c r="G481" s="710">
        <v>75</v>
      </c>
      <c r="H481" s="601">
        <v>75</v>
      </c>
      <c r="I481" s="442">
        <v>44333</v>
      </c>
      <c r="J481" s="602">
        <v>44698</v>
      </c>
      <c r="K481" s="707">
        <v>3.6299999999999999E-2</v>
      </c>
      <c r="L481" s="443"/>
      <c r="M481" s="444" t="s">
        <v>379</v>
      </c>
      <c r="N481" s="41"/>
      <c r="O481" s="3"/>
    </row>
    <row r="482" spans="1:15" s="19" customFormat="1" ht="30" customHeight="1" thickBot="1">
      <c r="A482" s="1"/>
      <c r="B482" s="848"/>
      <c r="C482" s="849"/>
      <c r="D482" s="850"/>
      <c r="E482" s="445" t="s">
        <v>301</v>
      </c>
      <c r="F482" s="446"/>
      <c r="G482" s="447">
        <v>75</v>
      </c>
      <c r="H482" s="603">
        <v>75</v>
      </c>
      <c r="I482" s="448">
        <v>44698</v>
      </c>
      <c r="J482" s="604">
        <v>45063</v>
      </c>
      <c r="K482" s="449">
        <v>2.87E-2</v>
      </c>
      <c r="L482" s="450"/>
      <c r="M482" s="451" t="s">
        <v>378</v>
      </c>
      <c r="N482" s="41">
        <f t="shared" ref="N482:N496" si="89">J482-I482</f>
        <v>365</v>
      </c>
      <c r="O482" s="3"/>
    </row>
    <row r="483" spans="1:15" s="19" customFormat="1" ht="30" customHeight="1" thickBot="1">
      <c r="A483" s="1"/>
      <c r="B483" s="848"/>
      <c r="C483" s="849"/>
      <c r="D483" s="850"/>
      <c r="E483" s="445" t="s">
        <v>301</v>
      </c>
      <c r="F483" s="446"/>
      <c r="G483" s="447">
        <v>75</v>
      </c>
      <c r="H483" s="603">
        <v>75</v>
      </c>
      <c r="I483" s="448">
        <v>45063</v>
      </c>
      <c r="J483" s="604">
        <v>45428</v>
      </c>
      <c r="K483" s="449">
        <v>5.6800000000000003E-2</v>
      </c>
      <c r="L483" s="450"/>
      <c r="M483" s="451" t="s">
        <v>377</v>
      </c>
      <c r="N483" s="41">
        <f t="shared" si="89"/>
        <v>365</v>
      </c>
      <c r="O483" s="3"/>
    </row>
    <row r="484" spans="1:15" s="19" customFormat="1" ht="30" customHeight="1" thickBot="1">
      <c r="A484" s="1"/>
      <c r="B484" s="848"/>
      <c r="C484" s="849"/>
      <c r="D484" s="850"/>
      <c r="E484" s="764" t="s">
        <v>374</v>
      </c>
      <c r="F484" s="624"/>
      <c r="G484" s="765">
        <v>75</v>
      </c>
      <c r="H484" s="613">
        <v>75</v>
      </c>
      <c r="I484" s="453">
        <v>45428</v>
      </c>
      <c r="J484" s="605">
        <v>45793</v>
      </c>
      <c r="K484" s="766">
        <v>5.9799999999999999E-2</v>
      </c>
      <c r="L484" s="454"/>
      <c r="M484" s="451" t="s">
        <v>376</v>
      </c>
      <c r="N484" s="41"/>
      <c r="O484" s="3"/>
    </row>
    <row r="485" spans="1:15" s="19" customFormat="1" ht="30" customHeight="1" thickBot="1">
      <c r="A485" s="1"/>
      <c r="B485" s="851"/>
      <c r="C485" s="852"/>
      <c r="D485" s="853"/>
      <c r="E485" s="481" t="s">
        <v>301</v>
      </c>
      <c r="F485" s="624"/>
      <c r="G485" s="709">
        <v>75</v>
      </c>
      <c r="H485" s="613">
        <v>75</v>
      </c>
      <c r="I485" s="453">
        <v>45793</v>
      </c>
      <c r="J485" s="605">
        <v>46157</v>
      </c>
      <c r="K485" s="706">
        <v>5.0700000000000002E-2</v>
      </c>
      <c r="L485" s="454"/>
      <c r="M485" s="451" t="s">
        <v>517</v>
      </c>
      <c r="N485" s="41">
        <f t="shared" si="89"/>
        <v>364</v>
      </c>
      <c r="O485" s="3"/>
    </row>
    <row r="486" spans="1:15" s="19" customFormat="1" ht="20.100000000000001" customHeight="1">
      <c r="A486" s="1"/>
      <c r="B486" s="845" t="s">
        <v>302</v>
      </c>
      <c r="C486" s="846"/>
      <c r="D486" s="847"/>
      <c r="E486" s="888" t="s">
        <v>303</v>
      </c>
      <c r="F486" s="452" t="s">
        <v>304</v>
      </c>
      <c r="G486" s="922">
        <v>50</v>
      </c>
      <c r="H486" s="580">
        <v>5</v>
      </c>
      <c r="I486" s="453">
        <v>43763</v>
      </c>
      <c r="J486" s="605">
        <v>44127</v>
      </c>
      <c r="K486" s="910">
        <v>4.4400000000000002E-2</v>
      </c>
      <c r="L486" s="454">
        <v>769116025678</v>
      </c>
      <c r="M486" s="455" t="s">
        <v>305</v>
      </c>
      <c r="N486" s="41">
        <f t="shared" si="89"/>
        <v>364</v>
      </c>
      <c r="O486" s="3">
        <f>SUM(H486:H495)</f>
        <v>50</v>
      </c>
    </row>
    <row r="487" spans="1:15" s="19" customFormat="1" ht="20.100000000000001" customHeight="1">
      <c r="A487" s="1"/>
      <c r="B487" s="848"/>
      <c r="C487" s="849"/>
      <c r="D487" s="850"/>
      <c r="E487" s="889"/>
      <c r="F487" s="456" t="s">
        <v>286</v>
      </c>
      <c r="G487" s="923"/>
      <c r="H487" s="583">
        <v>5</v>
      </c>
      <c r="I487" s="389">
        <v>43783</v>
      </c>
      <c r="J487" s="585">
        <v>44127</v>
      </c>
      <c r="K487" s="911"/>
      <c r="L487" s="433">
        <v>769116124836</v>
      </c>
      <c r="M487" s="437"/>
      <c r="N487" s="41">
        <f t="shared" si="89"/>
        <v>344</v>
      </c>
      <c r="O487" s="3"/>
    </row>
    <row r="488" spans="1:15" s="19" customFormat="1" ht="20.100000000000001" customHeight="1">
      <c r="A488" s="1"/>
      <c r="B488" s="848"/>
      <c r="C488" s="849"/>
      <c r="D488" s="850"/>
      <c r="E488" s="889"/>
      <c r="F488" s="456" t="s">
        <v>306</v>
      </c>
      <c r="G488" s="923"/>
      <c r="H488" s="583">
        <v>5</v>
      </c>
      <c r="I488" s="389">
        <v>43801</v>
      </c>
      <c r="J488" s="585">
        <v>44127</v>
      </c>
      <c r="K488" s="911"/>
      <c r="L488" s="433">
        <v>769116208113</v>
      </c>
      <c r="M488" s="437"/>
      <c r="N488" s="41">
        <f t="shared" si="89"/>
        <v>326</v>
      </c>
      <c r="O488" s="3"/>
    </row>
    <row r="489" spans="1:15" s="19" customFormat="1" ht="20.100000000000001" customHeight="1">
      <c r="A489" s="1"/>
      <c r="B489" s="848"/>
      <c r="C489" s="849"/>
      <c r="D489" s="850"/>
      <c r="E489" s="889"/>
      <c r="F489" s="456" t="s">
        <v>288</v>
      </c>
      <c r="G489" s="923"/>
      <c r="H489" s="583">
        <v>5</v>
      </c>
      <c r="I489" s="389">
        <v>43818</v>
      </c>
      <c r="J489" s="585">
        <v>44127</v>
      </c>
      <c r="K489" s="911"/>
      <c r="L489" s="433">
        <v>769116295438</v>
      </c>
      <c r="M489" s="437"/>
      <c r="N489" s="41">
        <f t="shared" si="89"/>
        <v>309</v>
      </c>
      <c r="O489" s="3"/>
    </row>
    <row r="490" spans="1:15" s="19" customFormat="1" ht="20.100000000000001" customHeight="1">
      <c r="A490" s="1"/>
      <c r="B490" s="848"/>
      <c r="C490" s="849"/>
      <c r="D490" s="850"/>
      <c r="E490" s="889"/>
      <c r="F490" s="456" t="s">
        <v>290</v>
      </c>
      <c r="G490" s="923"/>
      <c r="H490" s="457">
        <v>5</v>
      </c>
      <c r="I490" s="389">
        <v>43851</v>
      </c>
      <c r="J490" s="392">
        <v>44127</v>
      </c>
      <c r="K490" s="911"/>
      <c r="L490" s="433">
        <v>769116470702</v>
      </c>
      <c r="M490" s="437"/>
      <c r="N490" s="41">
        <f t="shared" si="89"/>
        <v>276</v>
      </c>
      <c r="O490" s="3"/>
    </row>
    <row r="491" spans="1:15" s="19" customFormat="1" ht="20.100000000000001" customHeight="1">
      <c r="A491" s="1"/>
      <c r="B491" s="848"/>
      <c r="C491" s="849"/>
      <c r="D491" s="850"/>
      <c r="E491" s="889"/>
      <c r="F491" s="458" t="s">
        <v>292</v>
      </c>
      <c r="G491" s="923"/>
      <c r="H491" s="457">
        <v>5</v>
      </c>
      <c r="I491" s="389">
        <v>43860</v>
      </c>
      <c r="J491" s="392">
        <v>44127</v>
      </c>
      <c r="K491" s="911"/>
      <c r="L491" s="433">
        <v>769116500247</v>
      </c>
      <c r="M491" s="437"/>
      <c r="N491" s="41">
        <f t="shared" si="89"/>
        <v>267</v>
      </c>
      <c r="O491" s="3"/>
    </row>
    <row r="492" spans="1:15" s="19" customFormat="1" ht="20.100000000000001" customHeight="1">
      <c r="A492" s="1"/>
      <c r="B492" s="848"/>
      <c r="C492" s="849"/>
      <c r="D492" s="850"/>
      <c r="E492" s="889"/>
      <c r="F492" s="458" t="s">
        <v>307</v>
      </c>
      <c r="G492" s="923"/>
      <c r="H492" s="457">
        <v>5</v>
      </c>
      <c r="I492" s="389">
        <v>43886</v>
      </c>
      <c r="J492" s="392">
        <v>44127</v>
      </c>
      <c r="K492" s="911"/>
      <c r="L492" s="433">
        <v>769116606000</v>
      </c>
      <c r="M492" s="437"/>
      <c r="N492" s="41">
        <f t="shared" si="89"/>
        <v>241</v>
      </c>
      <c r="O492" s="3"/>
    </row>
    <row r="493" spans="1:15" s="19" customFormat="1" ht="20.100000000000001" customHeight="1">
      <c r="A493" s="1"/>
      <c r="B493" s="848"/>
      <c r="C493" s="849"/>
      <c r="D493" s="850"/>
      <c r="E493" s="889"/>
      <c r="F493" s="458" t="s">
        <v>296</v>
      </c>
      <c r="G493" s="923"/>
      <c r="H493" s="457">
        <v>5</v>
      </c>
      <c r="I493" s="389">
        <v>43902</v>
      </c>
      <c r="J493" s="392">
        <v>44127</v>
      </c>
      <c r="K493" s="911"/>
      <c r="L493" s="433">
        <v>769116685645</v>
      </c>
      <c r="M493" s="437"/>
      <c r="N493" s="41">
        <f t="shared" si="89"/>
        <v>225</v>
      </c>
      <c r="O493" s="3"/>
    </row>
    <row r="494" spans="1:15" s="19" customFormat="1" ht="20.100000000000001" customHeight="1">
      <c r="A494" s="1"/>
      <c r="B494" s="848"/>
      <c r="C494" s="849"/>
      <c r="D494" s="850"/>
      <c r="E494" s="889"/>
      <c r="F494" s="458" t="s">
        <v>308</v>
      </c>
      <c r="G494" s="923"/>
      <c r="H494" s="457">
        <v>5</v>
      </c>
      <c r="I494" s="389">
        <v>43927</v>
      </c>
      <c r="J494" s="392">
        <v>44127</v>
      </c>
      <c r="K494" s="911"/>
      <c r="L494" s="433">
        <v>769116796467</v>
      </c>
      <c r="M494" s="459"/>
      <c r="N494" s="41">
        <f t="shared" si="89"/>
        <v>200</v>
      </c>
      <c r="O494" s="3"/>
    </row>
    <row r="495" spans="1:15" s="19" customFormat="1" ht="30" customHeight="1" thickBot="1">
      <c r="A495" s="1"/>
      <c r="B495" s="848"/>
      <c r="C495" s="849"/>
      <c r="D495" s="850"/>
      <c r="E495" s="890"/>
      <c r="F495" s="460" t="s">
        <v>309</v>
      </c>
      <c r="G495" s="926"/>
      <c r="H495" s="599">
        <v>5</v>
      </c>
      <c r="I495" s="398">
        <v>43955</v>
      </c>
      <c r="J495" s="600">
        <v>44127</v>
      </c>
      <c r="K495" s="912"/>
      <c r="L495" s="461">
        <v>769116906010</v>
      </c>
      <c r="M495" s="462"/>
      <c r="N495" s="41">
        <f t="shared" si="89"/>
        <v>172</v>
      </c>
      <c r="O495" s="3"/>
    </row>
    <row r="496" spans="1:15" s="19" customFormat="1" ht="30" customHeight="1" thickBot="1">
      <c r="A496" s="1"/>
      <c r="B496" s="848"/>
      <c r="C496" s="849"/>
      <c r="D496" s="850"/>
      <c r="E496" s="445" t="s">
        <v>301</v>
      </c>
      <c r="F496" s="463"/>
      <c r="G496" s="464">
        <v>50</v>
      </c>
      <c r="H496" s="606">
        <v>50</v>
      </c>
      <c r="I496" s="448">
        <v>44127</v>
      </c>
      <c r="J496" s="604">
        <v>44491</v>
      </c>
      <c r="K496" s="449">
        <v>3.7499999999999999E-2</v>
      </c>
      <c r="L496" s="450"/>
      <c r="M496" s="465" t="s">
        <v>310</v>
      </c>
      <c r="N496" s="41">
        <f t="shared" si="89"/>
        <v>364</v>
      </c>
      <c r="O496" s="3">
        <f>SUM(H496)</f>
        <v>50</v>
      </c>
    </row>
    <row r="497" spans="1:15" s="19" customFormat="1" ht="30" customHeight="1" thickBot="1">
      <c r="A497" s="1"/>
      <c r="B497" s="848"/>
      <c r="C497" s="849"/>
      <c r="D497" s="850"/>
      <c r="E497" s="445" t="s">
        <v>301</v>
      </c>
      <c r="F497" s="463"/>
      <c r="G497" s="464">
        <v>50</v>
      </c>
      <c r="H497" s="606">
        <v>50</v>
      </c>
      <c r="I497" s="448">
        <v>44491</v>
      </c>
      <c r="J497" s="604">
        <v>44855</v>
      </c>
      <c r="K497" s="449">
        <v>2.3300000000000001E-2</v>
      </c>
      <c r="L497" s="450"/>
      <c r="M497" s="465" t="s">
        <v>311</v>
      </c>
      <c r="N497" s="41"/>
      <c r="O497" s="3"/>
    </row>
    <row r="498" spans="1:15" s="19" customFormat="1" ht="30" customHeight="1" thickBot="1">
      <c r="A498" s="1"/>
      <c r="B498" s="848"/>
      <c r="C498" s="849"/>
      <c r="D498" s="850"/>
      <c r="E498" s="445" t="s">
        <v>301</v>
      </c>
      <c r="F498" s="463"/>
      <c r="G498" s="464">
        <v>50</v>
      </c>
      <c r="H498" s="606">
        <v>50</v>
      </c>
      <c r="I498" s="466">
        <v>44855</v>
      </c>
      <c r="J498" s="604">
        <v>45219</v>
      </c>
      <c r="K498" s="449">
        <v>5.0799999999999998E-2</v>
      </c>
      <c r="L498" s="450"/>
      <c r="M498" s="465" t="s">
        <v>312</v>
      </c>
      <c r="N498" s="41">
        <f>J498-I498</f>
        <v>364</v>
      </c>
      <c r="O498" s="3"/>
    </row>
    <row r="499" spans="1:15" s="19" customFormat="1" ht="30" customHeight="1" thickBot="1">
      <c r="A499" s="1"/>
      <c r="B499" s="848"/>
      <c r="C499" s="849"/>
      <c r="D499" s="850"/>
      <c r="E499" s="445" t="s">
        <v>301</v>
      </c>
      <c r="F499" s="463"/>
      <c r="G499" s="464">
        <v>50</v>
      </c>
      <c r="H499" s="606">
        <v>50</v>
      </c>
      <c r="I499" s="466">
        <v>45219</v>
      </c>
      <c r="J499" s="604">
        <v>45583</v>
      </c>
      <c r="K499" s="449">
        <v>6.0999999999999999E-2</v>
      </c>
      <c r="L499" s="450"/>
      <c r="M499" s="465" t="s">
        <v>313</v>
      </c>
      <c r="N499" s="41"/>
      <c r="O499" s="3"/>
    </row>
    <row r="500" spans="1:15" s="19" customFormat="1" ht="30" customHeight="1" thickBot="1">
      <c r="A500" s="1"/>
      <c r="B500" s="851"/>
      <c r="C500" s="852"/>
      <c r="D500" s="853"/>
      <c r="E500" s="630" t="s">
        <v>382</v>
      </c>
      <c r="F500" s="463"/>
      <c r="G500" s="464">
        <v>0</v>
      </c>
      <c r="H500" s="606">
        <v>0</v>
      </c>
      <c r="I500" s="466">
        <v>45583</v>
      </c>
      <c r="J500" s="604">
        <v>45583</v>
      </c>
      <c r="K500" s="449"/>
      <c r="L500" s="450"/>
      <c r="M500" s="465"/>
      <c r="N500" s="41">
        <f t="shared" ref="N500:N522" si="90">J500-I500</f>
        <v>0</v>
      </c>
      <c r="O500" s="3"/>
    </row>
    <row r="501" spans="1:15" s="19" customFormat="1" ht="20.100000000000001" customHeight="1">
      <c r="A501" s="1"/>
      <c r="B501" s="845" t="s">
        <v>314</v>
      </c>
      <c r="C501" s="846"/>
      <c r="D501" s="847"/>
      <c r="E501" s="888" t="s">
        <v>315</v>
      </c>
      <c r="F501" s="467" t="s">
        <v>304</v>
      </c>
      <c r="G501" s="870">
        <v>50</v>
      </c>
      <c r="H501" s="580">
        <v>10</v>
      </c>
      <c r="I501" s="381">
        <v>43964</v>
      </c>
      <c r="J501" s="598">
        <v>44329</v>
      </c>
      <c r="K501" s="910">
        <v>4.8800000000000003E-2</v>
      </c>
      <c r="L501" s="468">
        <v>769116940725</v>
      </c>
      <c r="M501" s="431" t="s">
        <v>316</v>
      </c>
      <c r="N501" s="41">
        <f t="shared" si="90"/>
        <v>365</v>
      </c>
      <c r="O501" s="3">
        <f>SUM(H501:H507)</f>
        <v>50</v>
      </c>
    </row>
    <row r="502" spans="1:15" s="19" customFormat="1" ht="20.100000000000001" customHeight="1">
      <c r="A502" s="1"/>
      <c r="B502" s="848"/>
      <c r="C502" s="849"/>
      <c r="D502" s="850"/>
      <c r="E502" s="889"/>
      <c r="F502" s="469" t="s">
        <v>317</v>
      </c>
      <c r="G502" s="871"/>
      <c r="H502" s="583">
        <v>5</v>
      </c>
      <c r="I502" s="470">
        <v>43986</v>
      </c>
      <c r="J502" s="607">
        <v>44329</v>
      </c>
      <c r="K502" s="911"/>
      <c r="L502" s="471">
        <v>769117037736</v>
      </c>
      <c r="M502" s="472"/>
      <c r="N502" s="41">
        <f t="shared" si="90"/>
        <v>343</v>
      </c>
      <c r="O502" s="3"/>
    </row>
    <row r="503" spans="1:15" s="19" customFormat="1" ht="20.100000000000001" customHeight="1">
      <c r="A503" s="1"/>
      <c r="B503" s="848"/>
      <c r="C503" s="849"/>
      <c r="D503" s="850"/>
      <c r="E503" s="889"/>
      <c r="F503" s="469" t="s">
        <v>287</v>
      </c>
      <c r="G503" s="871"/>
      <c r="H503" s="583">
        <v>10</v>
      </c>
      <c r="I503" s="470">
        <v>43993</v>
      </c>
      <c r="J503" s="607">
        <v>44329</v>
      </c>
      <c r="K503" s="911"/>
      <c r="L503" s="471">
        <v>769117074266</v>
      </c>
      <c r="M503" s="472"/>
      <c r="N503" s="41">
        <f t="shared" si="90"/>
        <v>336</v>
      </c>
      <c r="O503" s="3"/>
    </row>
    <row r="504" spans="1:15" s="19" customFormat="1" ht="20.100000000000001" customHeight="1">
      <c r="A504" s="1"/>
      <c r="B504" s="848"/>
      <c r="C504" s="849"/>
      <c r="D504" s="850"/>
      <c r="E504" s="889"/>
      <c r="F504" s="469" t="s">
        <v>318</v>
      </c>
      <c r="G504" s="871"/>
      <c r="H504" s="592">
        <v>2</v>
      </c>
      <c r="I504" s="470">
        <v>44084</v>
      </c>
      <c r="J504" s="607">
        <v>44329</v>
      </c>
      <c r="K504" s="911"/>
      <c r="L504" s="471">
        <v>769117449023</v>
      </c>
      <c r="M504" s="472"/>
      <c r="N504" s="41">
        <f t="shared" si="90"/>
        <v>245</v>
      </c>
      <c r="O504" s="3"/>
    </row>
    <row r="505" spans="1:15" s="19" customFormat="1" ht="20.100000000000001" customHeight="1">
      <c r="A505" s="1"/>
      <c r="B505" s="848"/>
      <c r="C505" s="849"/>
      <c r="D505" s="850"/>
      <c r="E505" s="889"/>
      <c r="F505" s="469" t="s">
        <v>319</v>
      </c>
      <c r="G505" s="871"/>
      <c r="H505" s="592">
        <v>8</v>
      </c>
      <c r="I505" s="470">
        <v>44148</v>
      </c>
      <c r="J505" s="607">
        <v>44329</v>
      </c>
      <c r="K505" s="911"/>
      <c r="L505" s="471">
        <v>769117725100</v>
      </c>
      <c r="M505" s="472"/>
      <c r="N505" s="41">
        <f t="shared" si="90"/>
        <v>181</v>
      </c>
      <c r="O505" s="3"/>
    </row>
    <row r="506" spans="1:15" s="19" customFormat="1" ht="20.100000000000001" customHeight="1">
      <c r="A506" s="1"/>
      <c r="B506" s="848"/>
      <c r="C506" s="849"/>
      <c r="D506" s="850"/>
      <c r="E506" s="889"/>
      <c r="F506" s="469" t="s">
        <v>320</v>
      </c>
      <c r="G506" s="871"/>
      <c r="H506" s="473">
        <v>2</v>
      </c>
      <c r="I506" s="404">
        <v>44215</v>
      </c>
      <c r="J506" s="717">
        <v>44329</v>
      </c>
      <c r="K506" s="911"/>
      <c r="L506" s="471">
        <v>769118021174</v>
      </c>
      <c r="M506" s="472"/>
      <c r="N506" s="41">
        <f t="shared" si="90"/>
        <v>114</v>
      </c>
      <c r="O506" s="3"/>
    </row>
    <row r="507" spans="1:15" s="19" customFormat="1" ht="30" customHeight="1" thickBot="1">
      <c r="A507" s="1"/>
      <c r="B507" s="848"/>
      <c r="C507" s="849"/>
      <c r="D507" s="850"/>
      <c r="E507" s="889"/>
      <c r="F507" s="474" t="s">
        <v>307</v>
      </c>
      <c r="G507" s="871"/>
      <c r="H507" s="597">
        <v>13</v>
      </c>
      <c r="I507" s="475">
        <v>44236</v>
      </c>
      <c r="J507" s="716">
        <v>44329</v>
      </c>
      <c r="K507" s="911"/>
      <c r="L507" s="476">
        <v>769118120387</v>
      </c>
      <c r="M507" s="477"/>
      <c r="N507" s="41">
        <f t="shared" si="90"/>
        <v>93</v>
      </c>
      <c r="O507" s="3"/>
    </row>
    <row r="508" spans="1:15" s="19" customFormat="1" ht="30" customHeight="1" thickBot="1">
      <c r="A508" s="1"/>
      <c r="B508" s="848"/>
      <c r="C508" s="849"/>
      <c r="D508" s="850"/>
      <c r="E508" s="445" t="s">
        <v>301</v>
      </c>
      <c r="F508" s="478"/>
      <c r="G508" s="447">
        <v>50</v>
      </c>
      <c r="H508" s="603">
        <v>50</v>
      </c>
      <c r="I508" s="479">
        <v>44329</v>
      </c>
      <c r="J508" s="608">
        <v>44694</v>
      </c>
      <c r="K508" s="449">
        <v>3.6299999999999999E-2</v>
      </c>
      <c r="L508" s="450"/>
      <c r="M508" s="465" t="s">
        <v>321</v>
      </c>
      <c r="N508" s="41">
        <f t="shared" si="90"/>
        <v>365</v>
      </c>
      <c r="O508" s="3"/>
    </row>
    <row r="509" spans="1:15" s="19" customFormat="1" ht="30" customHeight="1" thickBot="1">
      <c r="A509" s="1"/>
      <c r="B509" s="848"/>
      <c r="C509" s="849"/>
      <c r="D509" s="850"/>
      <c r="E509" s="445" t="s">
        <v>301</v>
      </c>
      <c r="F509" s="478"/>
      <c r="G509" s="447">
        <v>50</v>
      </c>
      <c r="H509" s="603">
        <v>50</v>
      </c>
      <c r="I509" s="479">
        <v>44694</v>
      </c>
      <c r="J509" s="608">
        <v>45058</v>
      </c>
      <c r="K509" s="449">
        <v>2.87E-2</v>
      </c>
      <c r="L509" s="450"/>
      <c r="M509" s="465" t="s">
        <v>322</v>
      </c>
      <c r="N509" s="41">
        <f t="shared" si="90"/>
        <v>364</v>
      </c>
      <c r="O509" s="3"/>
    </row>
    <row r="510" spans="1:15" s="19" customFormat="1" ht="30" customHeight="1" thickBot="1">
      <c r="A510" s="1"/>
      <c r="B510" s="848"/>
      <c r="C510" s="849"/>
      <c r="D510" s="850"/>
      <c r="E510" s="445" t="s">
        <v>301</v>
      </c>
      <c r="F510" s="478"/>
      <c r="G510" s="447">
        <v>50</v>
      </c>
      <c r="H510" s="603">
        <v>50</v>
      </c>
      <c r="I510" s="479">
        <v>45058</v>
      </c>
      <c r="J510" s="608">
        <v>45422</v>
      </c>
      <c r="K510" s="449">
        <v>5.6800000000000003E-2</v>
      </c>
      <c r="L510" s="450"/>
      <c r="M510" s="451" t="s">
        <v>323</v>
      </c>
      <c r="N510" s="41">
        <f t="shared" si="90"/>
        <v>364</v>
      </c>
      <c r="O510" s="3"/>
    </row>
    <row r="511" spans="1:15" s="19" customFormat="1" ht="30" customHeight="1" thickBot="1">
      <c r="A511" s="1"/>
      <c r="B511" s="848"/>
      <c r="C511" s="849"/>
      <c r="D511" s="850"/>
      <c r="E511" s="445" t="s">
        <v>301</v>
      </c>
      <c r="F511" s="478"/>
      <c r="G511" s="447">
        <v>50</v>
      </c>
      <c r="H511" s="603">
        <v>50</v>
      </c>
      <c r="I511" s="479">
        <v>45422</v>
      </c>
      <c r="J511" s="608">
        <v>45786</v>
      </c>
      <c r="K511" s="449">
        <v>5.9799999999999999E-2</v>
      </c>
      <c r="L511" s="450"/>
      <c r="M511" s="451" t="s">
        <v>380</v>
      </c>
      <c r="N511" s="41"/>
      <c r="O511" s="3"/>
    </row>
    <row r="512" spans="1:15" s="19" customFormat="1" ht="30" customHeight="1" thickBot="1">
      <c r="A512" s="1"/>
      <c r="B512" s="851"/>
      <c r="C512" s="852"/>
      <c r="D512" s="853"/>
      <c r="E512" s="481" t="s">
        <v>301</v>
      </c>
      <c r="F512" s="478"/>
      <c r="G512" s="447">
        <v>50</v>
      </c>
      <c r="H512" s="603">
        <v>50</v>
      </c>
      <c r="I512" s="479">
        <v>45786</v>
      </c>
      <c r="J512" s="608">
        <v>46150</v>
      </c>
      <c r="K512" s="449">
        <v>5.0700000000000002E-2</v>
      </c>
      <c r="L512" s="450"/>
      <c r="M512" s="451" t="s">
        <v>518</v>
      </c>
      <c r="N512" s="41">
        <f t="shared" si="90"/>
        <v>364</v>
      </c>
      <c r="O512" s="3"/>
    </row>
    <row r="513" spans="1:51" s="19" customFormat="1" ht="20.100000000000001" customHeight="1">
      <c r="A513" s="1"/>
      <c r="B513" s="845" t="s">
        <v>324</v>
      </c>
      <c r="C513" s="846"/>
      <c r="D513" s="847"/>
      <c r="E513" s="888" t="s">
        <v>325</v>
      </c>
      <c r="F513" s="625"/>
      <c r="G513" s="922">
        <v>50</v>
      </c>
      <c r="H513" s="626">
        <v>1</v>
      </c>
      <c r="I513" s="627">
        <v>44298</v>
      </c>
      <c r="J513" s="493">
        <v>44663</v>
      </c>
      <c r="K513" s="910">
        <v>3.4500000000000003E-2</v>
      </c>
      <c r="L513" s="468">
        <v>769118365115</v>
      </c>
      <c r="M513" s="628" t="s">
        <v>326</v>
      </c>
      <c r="N513" s="41">
        <f t="shared" si="90"/>
        <v>365</v>
      </c>
      <c r="O513" s="3">
        <f>SUM(H513:H521)</f>
        <v>50</v>
      </c>
    </row>
    <row r="514" spans="1:51" s="19" customFormat="1" ht="20.100000000000001" customHeight="1">
      <c r="A514" s="1"/>
      <c r="B514" s="848"/>
      <c r="C514" s="849"/>
      <c r="D514" s="850"/>
      <c r="E514" s="889"/>
      <c r="F514" s="737"/>
      <c r="G514" s="923"/>
      <c r="H514" s="473">
        <v>2</v>
      </c>
      <c r="I514" s="413">
        <v>44425</v>
      </c>
      <c r="J514" s="414">
        <v>44663</v>
      </c>
      <c r="K514" s="911"/>
      <c r="L514" s="471">
        <v>769118872397</v>
      </c>
      <c r="M514" s="629"/>
      <c r="N514" s="41">
        <f t="shared" si="90"/>
        <v>238</v>
      </c>
      <c r="O514" s="3"/>
    </row>
    <row r="515" spans="1:51" s="19" customFormat="1" ht="20.100000000000001" customHeight="1">
      <c r="A515" s="1"/>
      <c r="B515" s="848"/>
      <c r="C515" s="849"/>
      <c r="D515" s="850"/>
      <c r="E515" s="889"/>
      <c r="F515" s="737"/>
      <c r="G515" s="923"/>
      <c r="H515" s="473">
        <v>5</v>
      </c>
      <c r="I515" s="413">
        <v>44490</v>
      </c>
      <c r="J515" s="414">
        <v>44663</v>
      </c>
      <c r="K515" s="911"/>
      <c r="L515" s="471">
        <v>769119122832</v>
      </c>
      <c r="M515" s="629"/>
      <c r="N515" s="41">
        <f t="shared" si="90"/>
        <v>173</v>
      </c>
      <c r="O515" s="3"/>
    </row>
    <row r="516" spans="1:51" s="19" customFormat="1" ht="20.100000000000001" customHeight="1">
      <c r="A516" s="1"/>
      <c r="B516" s="848"/>
      <c r="C516" s="849"/>
      <c r="D516" s="850"/>
      <c r="E516" s="889"/>
      <c r="F516" s="737"/>
      <c r="G516" s="923"/>
      <c r="H516" s="473">
        <v>6</v>
      </c>
      <c r="I516" s="413">
        <v>44501</v>
      </c>
      <c r="J516" s="414">
        <v>44663</v>
      </c>
      <c r="K516" s="911"/>
      <c r="L516" s="471">
        <v>769119175348</v>
      </c>
      <c r="M516" s="629"/>
      <c r="N516" s="41">
        <f t="shared" si="90"/>
        <v>162</v>
      </c>
      <c r="O516" s="3"/>
    </row>
    <row r="517" spans="1:51" s="19" customFormat="1" ht="20.100000000000001" customHeight="1">
      <c r="A517" s="1"/>
      <c r="B517" s="848"/>
      <c r="C517" s="849"/>
      <c r="D517" s="850"/>
      <c r="E517" s="889"/>
      <c r="F517" s="737"/>
      <c r="G517" s="923"/>
      <c r="H517" s="473">
        <v>25</v>
      </c>
      <c r="I517" s="413">
        <v>44532</v>
      </c>
      <c r="J517" s="414">
        <v>44663</v>
      </c>
      <c r="K517" s="911"/>
      <c r="L517" s="471">
        <v>769119306214</v>
      </c>
      <c r="M517" s="629"/>
      <c r="N517" s="41">
        <f t="shared" si="90"/>
        <v>131</v>
      </c>
      <c r="O517" s="3"/>
    </row>
    <row r="518" spans="1:51" s="19" customFormat="1" ht="20.100000000000001" customHeight="1">
      <c r="A518" s="1"/>
      <c r="B518" s="848"/>
      <c r="C518" s="849"/>
      <c r="D518" s="850"/>
      <c r="E518" s="889"/>
      <c r="F518" s="737"/>
      <c r="G518" s="923"/>
      <c r="H518" s="473">
        <v>4</v>
      </c>
      <c r="I518" s="413">
        <v>44550</v>
      </c>
      <c r="J518" s="414">
        <v>44663</v>
      </c>
      <c r="K518" s="911"/>
      <c r="L518" s="471">
        <v>769119378214</v>
      </c>
      <c r="M518" s="629"/>
      <c r="N518" s="41">
        <f t="shared" si="90"/>
        <v>113</v>
      </c>
      <c r="O518" s="3"/>
    </row>
    <row r="519" spans="1:51" s="19" customFormat="1" ht="20.100000000000001" customHeight="1">
      <c r="A519" s="1"/>
      <c r="B519" s="848"/>
      <c r="C519" s="849"/>
      <c r="D519" s="850"/>
      <c r="E519" s="889"/>
      <c r="F519" s="737"/>
      <c r="G519" s="923"/>
      <c r="H519" s="473">
        <v>7</v>
      </c>
      <c r="I519" s="413">
        <v>44571</v>
      </c>
      <c r="J519" s="414">
        <v>44663</v>
      </c>
      <c r="K519" s="925"/>
      <c r="L519" s="471">
        <v>769119468237</v>
      </c>
      <c r="M519" s="629"/>
      <c r="N519" s="41">
        <f t="shared" si="90"/>
        <v>92</v>
      </c>
      <c r="O519" s="3"/>
    </row>
    <row r="520" spans="1:51" s="19" customFormat="1" ht="20.100000000000001" customHeight="1">
      <c r="A520" s="1"/>
      <c r="B520" s="848"/>
      <c r="C520" s="849"/>
      <c r="D520" s="850"/>
      <c r="E520" s="889"/>
      <c r="F520" s="737"/>
      <c r="G520" s="923"/>
      <c r="H520" s="473"/>
      <c r="I520" s="413"/>
      <c r="J520" s="414"/>
      <c r="K520" s="480"/>
      <c r="L520" s="471"/>
      <c r="M520" s="629"/>
      <c r="N520" s="41">
        <f t="shared" si="90"/>
        <v>0</v>
      </c>
      <c r="O520" s="3"/>
    </row>
    <row r="521" spans="1:51" s="19" customFormat="1" ht="30" customHeight="1" thickBot="1">
      <c r="A521" s="1"/>
      <c r="B521" s="848"/>
      <c r="C521" s="849"/>
      <c r="D521" s="850"/>
      <c r="E521" s="890"/>
      <c r="F521" s="737"/>
      <c r="G521" s="924"/>
      <c r="H521" s="473"/>
      <c r="I521" s="404"/>
      <c r="J521" s="405"/>
      <c r="K521" s="31"/>
      <c r="L521" s="471"/>
      <c r="M521" s="629"/>
      <c r="N521" s="41">
        <f t="shared" si="90"/>
        <v>0</v>
      </c>
      <c r="O521" s="3"/>
    </row>
    <row r="522" spans="1:51" s="19" customFormat="1" ht="30" customHeight="1" thickBot="1">
      <c r="A522" s="1"/>
      <c r="B522" s="848"/>
      <c r="C522" s="849"/>
      <c r="D522" s="850"/>
      <c r="E522" s="445" t="s">
        <v>301</v>
      </c>
      <c r="F522" s="478"/>
      <c r="G522" s="447">
        <v>50</v>
      </c>
      <c r="H522" s="603">
        <v>50</v>
      </c>
      <c r="I522" s="479">
        <v>44663</v>
      </c>
      <c r="J522" s="608">
        <v>45028</v>
      </c>
      <c r="K522" s="449">
        <v>2.3099999999999999E-2</v>
      </c>
      <c r="L522" s="450"/>
      <c r="M522" s="465" t="s">
        <v>327</v>
      </c>
      <c r="N522" s="41">
        <f t="shared" si="90"/>
        <v>365</v>
      </c>
      <c r="O522" s="3"/>
    </row>
    <row r="523" spans="1:51" s="19" customFormat="1" ht="30" customHeight="1" thickBot="1">
      <c r="A523" s="1"/>
      <c r="B523" s="848"/>
      <c r="C523" s="849"/>
      <c r="D523" s="850"/>
      <c r="E523" s="445" t="s">
        <v>301</v>
      </c>
      <c r="F523" s="478"/>
      <c r="G523" s="447">
        <v>50</v>
      </c>
      <c r="H523" s="603">
        <v>50</v>
      </c>
      <c r="I523" s="479">
        <v>45028</v>
      </c>
      <c r="J523" s="608">
        <v>45393</v>
      </c>
      <c r="K523" s="449">
        <v>5.5500000000000001E-2</v>
      </c>
      <c r="L523" s="450"/>
      <c r="M523" s="465" t="s">
        <v>328</v>
      </c>
      <c r="N523" s="41"/>
      <c r="O523" s="3"/>
    </row>
    <row r="524" spans="1:51" s="19" customFormat="1" ht="30" customHeight="1" thickBot="1">
      <c r="A524" s="1"/>
      <c r="B524" s="848"/>
      <c r="C524" s="849"/>
      <c r="D524" s="850"/>
      <c r="E524" s="481" t="s">
        <v>301</v>
      </c>
      <c r="F524" s="482"/>
      <c r="G524" s="447">
        <v>50</v>
      </c>
      <c r="H524" s="603">
        <v>50</v>
      </c>
      <c r="I524" s="479">
        <v>45393</v>
      </c>
      <c r="J524" s="608">
        <v>45758</v>
      </c>
      <c r="K524" s="449">
        <v>5.9700000000000003E-2</v>
      </c>
      <c r="L524" s="450"/>
      <c r="M524" s="451" t="s">
        <v>486</v>
      </c>
      <c r="N524" s="41"/>
      <c r="O524" s="3"/>
    </row>
    <row r="525" spans="1:51" s="19" customFormat="1" ht="25.5" customHeight="1" thickBot="1">
      <c r="A525" s="1"/>
      <c r="B525" s="851"/>
      <c r="C525" s="852"/>
      <c r="D525" s="853"/>
      <c r="E525" s="481" t="s">
        <v>301</v>
      </c>
      <c r="F525" s="482"/>
      <c r="G525" s="447">
        <v>50</v>
      </c>
      <c r="H525" s="603">
        <v>50</v>
      </c>
      <c r="I525" s="479">
        <v>45758</v>
      </c>
      <c r="J525" s="608">
        <v>46122</v>
      </c>
      <c r="K525" s="449">
        <v>5.11E-2</v>
      </c>
      <c r="L525" s="450"/>
      <c r="M525" s="451" t="s">
        <v>519</v>
      </c>
      <c r="N525" s="41"/>
      <c r="O525" s="3"/>
    </row>
    <row r="526" spans="1:51" s="19" customFormat="1" ht="20.100000000000001" customHeight="1">
      <c r="A526" s="1"/>
      <c r="B526" s="842" t="s">
        <v>329</v>
      </c>
      <c r="C526" s="843"/>
      <c r="D526" s="844"/>
      <c r="E526" s="483"/>
      <c r="F526" s="484" t="s">
        <v>330</v>
      </c>
      <c r="G526" s="485">
        <f>SUM(G525,G512,G500,G485)</f>
        <v>175</v>
      </c>
      <c r="H526" s="485">
        <f>SUM(H525,H512,H500,H485)</f>
        <v>175</v>
      </c>
      <c r="I526" s="27"/>
      <c r="J526" s="486"/>
      <c r="K526" s="32"/>
      <c r="L526" s="487"/>
      <c r="M526" s="488"/>
      <c r="N526" s="41"/>
      <c r="O526" s="3"/>
    </row>
    <row r="527" spans="1:51" s="19" customFormat="1" ht="20.100000000000001" customHeight="1">
      <c r="A527" s="1"/>
      <c r="B527" s="574"/>
      <c r="C527" s="574"/>
      <c r="D527" s="574"/>
      <c r="E527" s="609"/>
      <c r="F527" s="574"/>
      <c r="G527" s="361"/>
      <c r="H527" s="361"/>
      <c r="I527" s="361"/>
      <c r="J527" s="362"/>
      <c r="K527" s="363"/>
      <c r="L527" s="364"/>
      <c r="M527" s="365"/>
      <c r="N527" s="41"/>
      <c r="O527" s="3"/>
    </row>
    <row r="528" spans="1:51" s="19" customFormat="1" ht="20.100000000000001" customHeight="1">
      <c r="A528" s="1"/>
      <c r="B528" s="729" t="s">
        <v>331</v>
      </c>
      <c r="C528" s="729"/>
      <c r="D528" s="729"/>
      <c r="E528" s="105" t="s">
        <v>332</v>
      </c>
      <c r="F528" s="574"/>
      <c r="G528" s="361"/>
      <c r="H528" s="361"/>
      <c r="I528" s="361"/>
      <c r="J528" s="362"/>
      <c r="K528" s="363"/>
      <c r="L528" s="364"/>
      <c r="M528" s="365"/>
      <c r="N528" s="489"/>
      <c r="O528" s="3"/>
      <c r="AQ528" s="4"/>
      <c r="AR528" s="4"/>
      <c r="AS528" s="4"/>
      <c r="AT528" s="4"/>
      <c r="AU528" s="4"/>
      <c r="AV528" s="4"/>
      <c r="AW528" s="4"/>
      <c r="AX528" s="4"/>
      <c r="AY528" s="4"/>
    </row>
    <row r="529" spans="1:51" s="19" customFormat="1" ht="20.100000000000001" customHeight="1">
      <c r="A529" s="1"/>
      <c r="B529" s="718" t="s">
        <v>219</v>
      </c>
      <c r="C529" s="701"/>
      <c r="D529" s="701"/>
      <c r="E529" s="855" t="s">
        <v>220</v>
      </c>
      <c r="F529" s="856"/>
      <c r="G529" s="713" t="s">
        <v>89</v>
      </c>
      <c r="H529" s="713" t="s">
        <v>90</v>
      </c>
      <c r="I529" s="713" t="s">
        <v>91</v>
      </c>
      <c r="J529" s="713" t="s">
        <v>92</v>
      </c>
      <c r="K529" s="713" t="s">
        <v>222</v>
      </c>
      <c r="L529" s="575" t="s">
        <v>13</v>
      </c>
      <c r="M529" s="575" t="s">
        <v>13</v>
      </c>
      <c r="N529" s="41" t="s">
        <v>333</v>
      </c>
      <c r="O529" s="3"/>
    </row>
    <row r="530" spans="1:51" s="19" customFormat="1" ht="20.100000000000001" customHeight="1">
      <c r="A530" s="1"/>
      <c r="B530" s="708" t="s">
        <v>271</v>
      </c>
      <c r="C530" s="699"/>
      <c r="D530" s="699"/>
      <c r="E530" s="843" t="s">
        <v>280</v>
      </c>
      <c r="F530" s="844"/>
      <c r="G530" s="583">
        <v>5</v>
      </c>
      <c r="H530" s="583">
        <v>5</v>
      </c>
      <c r="I530" s="389">
        <v>43544</v>
      </c>
      <c r="J530" s="490"/>
      <c r="K530" s="573"/>
      <c r="L530" s="610">
        <v>769114019996</v>
      </c>
      <c r="M530" s="411" t="s">
        <v>280</v>
      </c>
      <c r="N530" s="41" t="s">
        <v>334</v>
      </c>
      <c r="O530" s="3"/>
    </row>
    <row r="531" spans="1:51" s="19" customFormat="1" ht="20.100000000000001" customHeight="1">
      <c r="A531" s="1"/>
      <c r="B531" s="708" t="s">
        <v>271</v>
      </c>
      <c r="C531" s="699"/>
      <c r="D531" s="699"/>
      <c r="E531" s="843" t="s">
        <v>280</v>
      </c>
      <c r="F531" s="844"/>
      <c r="G531" s="583">
        <v>5</v>
      </c>
      <c r="H531" s="583">
        <v>5</v>
      </c>
      <c r="I531" s="389">
        <v>44111</v>
      </c>
      <c r="J531" s="490"/>
      <c r="K531" s="10"/>
      <c r="L531" s="610">
        <v>769117569399</v>
      </c>
      <c r="M531" s="411" t="s">
        <v>280</v>
      </c>
      <c r="N531" s="41" t="s">
        <v>335</v>
      </c>
      <c r="O531" s="3"/>
    </row>
    <row r="532" spans="1:51" s="19" customFormat="1" ht="20.100000000000001" customHeight="1">
      <c r="A532" s="1"/>
      <c r="B532" s="708" t="s">
        <v>271</v>
      </c>
      <c r="C532" s="699"/>
      <c r="D532" s="699"/>
      <c r="E532" s="843" t="s">
        <v>280</v>
      </c>
      <c r="F532" s="844"/>
      <c r="G532" s="583">
        <v>5</v>
      </c>
      <c r="H532" s="583">
        <v>5</v>
      </c>
      <c r="I532" s="413">
        <v>44831</v>
      </c>
      <c r="J532" s="490"/>
      <c r="K532" s="423"/>
      <c r="L532" s="610">
        <v>769120460778</v>
      </c>
      <c r="M532" s="411" t="s">
        <v>280</v>
      </c>
      <c r="N532" s="41" t="s">
        <v>336</v>
      </c>
      <c r="O532" s="3"/>
    </row>
    <row r="533" spans="1:51" s="19" customFormat="1" ht="20.100000000000001" customHeight="1">
      <c r="A533" s="1"/>
      <c r="B533" s="708" t="s">
        <v>271</v>
      </c>
      <c r="C533" s="699"/>
      <c r="D533" s="699"/>
      <c r="E533" s="843" t="s">
        <v>280</v>
      </c>
      <c r="F533" s="844"/>
      <c r="G533" s="583">
        <v>5</v>
      </c>
      <c r="H533" s="583">
        <v>5</v>
      </c>
      <c r="I533" s="413">
        <v>45056</v>
      </c>
      <c r="J533" s="490"/>
      <c r="K533" s="390"/>
      <c r="L533" s="610">
        <v>769121369945</v>
      </c>
      <c r="M533" s="411" t="s">
        <v>280</v>
      </c>
      <c r="N533" s="41" t="s">
        <v>337</v>
      </c>
      <c r="O533" s="3"/>
    </row>
    <row r="534" spans="1:51" s="19" customFormat="1" ht="20.100000000000001" customHeight="1">
      <c r="A534" s="1"/>
      <c r="B534" s="708" t="s">
        <v>271</v>
      </c>
      <c r="C534" s="699"/>
      <c r="D534" s="699"/>
      <c r="E534" s="843" t="s">
        <v>280</v>
      </c>
      <c r="F534" s="844"/>
      <c r="G534" s="583">
        <v>8</v>
      </c>
      <c r="H534" s="583">
        <v>5</v>
      </c>
      <c r="I534" s="413">
        <v>45349</v>
      </c>
      <c r="J534" s="490"/>
      <c r="K534" s="390"/>
      <c r="L534" s="610">
        <v>769122488927</v>
      </c>
      <c r="M534" s="411" t="s">
        <v>280</v>
      </c>
      <c r="N534" s="41" t="s">
        <v>338</v>
      </c>
      <c r="O534" s="3"/>
    </row>
    <row r="535" spans="1:51" s="19" customFormat="1" ht="20.100000000000001" customHeight="1">
      <c r="A535" s="1"/>
      <c r="B535" s="708" t="s">
        <v>271</v>
      </c>
      <c r="C535" s="699"/>
      <c r="D535" s="699"/>
      <c r="E535" s="843" t="s">
        <v>280</v>
      </c>
      <c r="F535" s="844"/>
      <c r="G535" s="583">
        <v>2</v>
      </c>
      <c r="H535" s="583">
        <v>5</v>
      </c>
      <c r="I535" s="413">
        <v>45349</v>
      </c>
      <c r="J535" s="414"/>
      <c r="K535" s="390"/>
      <c r="L535" s="611">
        <v>769122489371</v>
      </c>
      <c r="M535" s="411" t="s">
        <v>280</v>
      </c>
      <c r="N535" s="41" t="s">
        <v>339</v>
      </c>
      <c r="O535" s="3"/>
    </row>
    <row r="536" spans="1:51" s="19" customFormat="1" ht="20.100000000000001" customHeight="1">
      <c r="A536" s="1"/>
      <c r="B536" s="708" t="s">
        <v>234</v>
      </c>
      <c r="C536" s="699"/>
      <c r="D536" s="699"/>
      <c r="E536" s="699"/>
      <c r="F536" s="700"/>
      <c r="G536" s="583"/>
      <c r="H536" s="412">
        <f>SUM(H530:H535)</f>
        <v>30</v>
      </c>
      <c r="I536" s="413"/>
      <c r="J536" s="414"/>
      <c r="K536" s="390"/>
      <c r="L536" s="415"/>
      <c r="M536" s="411"/>
      <c r="N536" s="41"/>
      <c r="O536" s="3"/>
    </row>
    <row r="537" spans="1:51" ht="20.100000000000001" customHeight="1">
      <c r="A537" s="1"/>
      <c r="B537" s="10"/>
      <c r="C537" s="10"/>
      <c r="D537" s="10"/>
      <c r="E537" s="10"/>
      <c r="F537" s="10"/>
      <c r="G537" s="10"/>
      <c r="H537" s="10"/>
      <c r="I537" s="10"/>
      <c r="J537" s="10"/>
      <c r="K537" s="10"/>
      <c r="L537" s="10"/>
      <c r="M537" s="10"/>
      <c r="O537" s="121"/>
      <c r="AQ537" s="19"/>
      <c r="AR537" s="19"/>
      <c r="AS537" s="19"/>
      <c r="AT537" s="19"/>
      <c r="AU537" s="19"/>
      <c r="AV537" s="19"/>
      <c r="AW537" s="19"/>
      <c r="AX537" s="19"/>
      <c r="AY537" s="19"/>
    </row>
    <row r="538" spans="1:51" ht="20.100000000000001" customHeight="1">
      <c r="A538" s="1"/>
      <c r="B538" s="729" t="s">
        <v>340</v>
      </c>
      <c r="C538" s="729"/>
      <c r="D538" s="729"/>
      <c r="E538" s="105"/>
      <c r="F538" s="574"/>
      <c r="G538" s="361"/>
      <c r="H538" s="361"/>
      <c r="I538" s="361"/>
      <c r="J538" s="362"/>
      <c r="K538" s="363"/>
      <c r="L538" s="364"/>
      <c r="M538" s="365"/>
      <c r="O538" s="121"/>
    </row>
    <row r="539" spans="1:51" ht="20.100000000000001" customHeight="1">
      <c r="A539" s="1"/>
      <c r="B539" s="718" t="s">
        <v>219</v>
      </c>
      <c r="C539" s="701"/>
      <c r="D539" s="701"/>
      <c r="E539" s="855" t="s">
        <v>220</v>
      </c>
      <c r="F539" s="856"/>
      <c r="G539" s="713" t="s">
        <v>89</v>
      </c>
      <c r="H539" s="713" t="s">
        <v>90</v>
      </c>
      <c r="I539" s="713" t="s">
        <v>91</v>
      </c>
      <c r="J539" s="713" t="s">
        <v>92</v>
      </c>
      <c r="K539" s="713" t="s">
        <v>222</v>
      </c>
      <c r="L539" s="575" t="s">
        <v>13</v>
      </c>
      <c r="M539" s="575" t="s">
        <v>13</v>
      </c>
      <c r="N539" s="41" t="s">
        <v>341</v>
      </c>
      <c r="O539" s="121"/>
    </row>
    <row r="540" spans="1:51" ht="20.100000000000001" customHeight="1">
      <c r="A540" s="10"/>
      <c r="B540" s="708" t="s">
        <v>342</v>
      </c>
      <c r="C540" s="699"/>
      <c r="D540" s="699"/>
      <c r="E540" s="843" t="s">
        <v>280</v>
      </c>
      <c r="F540" s="844"/>
      <c r="G540" s="583">
        <v>35</v>
      </c>
      <c r="H540" s="583">
        <v>35</v>
      </c>
      <c r="I540" s="389">
        <v>44020</v>
      </c>
      <c r="J540" s="490"/>
      <c r="K540" s="573"/>
      <c r="L540" s="610" t="s">
        <v>343</v>
      </c>
      <c r="M540" s="411" t="s">
        <v>280</v>
      </c>
      <c r="N540" s="41" t="s">
        <v>344</v>
      </c>
      <c r="O540" s="121"/>
    </row>
    <row r="541" spans="1:51" ht="20.100000000000001" customHeight="1">
      <c r="A541" s="10"/>
      <c r="B541" s="708"/>
      <c r="C541" s="699"/>
      <c r="D541" s="699"/>
      <c r="E541" s="843" t="s">
        <v>225</v>
      </c>
      <c r="F541" s="844"/>
      <c r="G541" s="583">
        <v>35</v>
      </c>
      <c r="H541" s="583">
        <v>-35</v>
      </c>
      <c r="I541" s="389">
        <v>44054</v>
      </c>
      <c r="J541" s="490"/>
      <c r="K541" s="573"/>
      <c r="L541" s="610"/>
      <c r="M541" s="411"/>
      <c r="O541" s="121"/>
    </row>
    <row r="542" spans="1:51" ht="20.100000000000001" customHeight="1">
      <c r="A542" s="10"/>
      <c r="B542" s="842" t="s">
        <v>345</v>
      </c>
      <c r="C542" s="843"/>
      <c r="D542" s="491"/>
      <c r="E542" s="843" t="s">
        <v>346</v>
      </c>
      <c r="F542" s="844"/>
      <c r="G542" s="583">
        <v>35</v>
      </c>
      <c r="H542" s="583">
        <v>35</v>
      </c>
      <c r="I542" s="389">
        <v>44054</v>
      </c>
      <c r="J542" s="414"/>
      <c r="K542" s="390"/>
      <c r="L542" s="594"/>
      <c r="M542" s="411" t="s">
        <v>347</v>
      </c>
      <c r="N542" s="41" t="s">
        <v>348</v>
      </c>
      <c r="O542" s="121"/>
    </row>
    <row r="543" spans="1:51" ht="20.100000000000001" customHeight="1">
      <c r="A543" s="10"/>
      <c r="B543" s="708" t="s">
        <v>234</v>
      </c>
      <c r="C543" s="699"/>
      <c r="D543" s="699"/>
      <c r="E543" s="699"/>
      <c r="F543" s="700"/>
      <c r="G543" s="583"/>
      <c r="H543" s="412">
        <f>SUM(H540:H542)</f>
        <v>35</v>
      </c>
      <c r="I543" s="389"/>
      <c r="J543" s="414"/>
      <c r="K543" s="390"/>
      <c r="L543" s="415"/>
      <c r="M543" s="411"/>
      <c r="O543" s="121"/>
    </row>
    <row r="544" spans="1:51" ht="20.100000000000001" customHeight="1">
      <c r="A544" s="10"/>
      <c r="B544" s="10"/>
      <c r="C544" s="10"/>
      <c r="D544" s="10"/>
      <c r="E544" s="10"/>
      <c r="F544" s="10"/>
      <c r="G544" s="10"/>
      <c r="H544" s="10"/>
      <c r="I544" s="10"/>
      <c r="J544" s="10"/>
      <c r="K544" s="10"/>
      <c r="L544" s="10"/>
      <c r="M544" s="10"/>
      <c r="O544" s="121"/>
    </row>
    <row r="545" spans="1:15" ht="20.100000000000001" customHeight="1">
      <c r="A545" s="10"/>
      <c r="B545" s="729" t="s">
        <v>349</v>
      </c>
      <c r="C545" s="729"/>
      <c r="D545" s="729"/>
      <c r="E545" s="10"/>
      <c r="F545" s="10"/>
      <c r="G545" s="10"/>
      <c r="H545" s="10"/>
      <c r="I545" s="10"/>
      <c r="J545" s="10"/>
      <c r="K545" s="10"/>
      <c r="L545" s="10"/>
      <c r="M545" s="146" t="s">
        <v>350</v>
      </c>
      <c r="O545" s="121"/>
    </row>
    <row r="546" spans="1:15" ht="20.100000000000001" customHeight="1" thickBot="1">
      <c r="A546" s="10"/>
      <c r="B546" s="492"/>
      <c r="C546" s="859" t="s">
        <v>87</v>
      </c>
      <c r="D546" s="859"/>
      <c r="E546" s="859" t="s">
        <v>88</v>
      </c>
      <c r="F546" s="859"/>
      <c r="G546" s="713" t="s">
        <v>89</v>
      </c>
      <c r="H546" s="713" t="s">
        <v>90</v>
      </c>
      <c r="I546" s="713" t="s">
        <v>91</v>
      </c>
      <c r="J546" s="713" t="s">
        <v>92</v>
      </c>
      <c r="K546" s="713" t="s">
        <v>93</v>
      </c>
      <c r="L546" s="713" t="s">
        <v>94</v>
      </c>
      <c r="M546" s="713" t="s">
        <v>95</v>
      </c>
      <c r="N546" s="41">
        <v>4079</v>
      </c>
      <c r="O546" s="121"/>
    </row>
    <row r="547" spans="1:15" ht="20.100000000000001" customHeight="1" thickBot="1">
      <c r="A547" s="10"/>
      <c r="B547" s="703"/>
      <c r="C547" s="852"/>
      <c r="D547" s="852"/>
      <c r="E547" s="937" t="s">
        <v>465</v>
      </c>
      <c r="F547" s="938"/>
      <c r="G547" s="612">
        <f>SUM(G548:G553)</f>
        <v>0</v>
      </c>
      <c r="H547" s="613">
        <f t="shared" ref="H547:H555" si="91">G547</f>
        <v>0</v>
      </c>
      <c r="I547" s="453"/>
      <c r="J547" s="493"/>
      <c r="K547" s="494"/>
      <c r="L547" s="614"/>
      <c r="M547" s="495" t="s">
        <v>471</v>
      </c>
      <c r="O547" s="121"/>
    </row>
    <row r="548" spans="1:15" ht="20.100000000000001" customHeight="1">
      <c r="A548" s="10"/>
      <c r="B548" s="708"/>
      <c r="C548" s="843"/>
      <c r="D548" s="939"/>
      <c r="E548" s="886"/>
      <c r="F548" s="887"/>
      <c r="G548" s="580">
        <v>10</v>
      </c>
      <c r="H548" s="380">
        <f t="shared" si="91"/>
        <v>10</v>
      </c>
      <c r="I548" s="381">
        <v>44529</v>
      </c>
      <c r="J548" s="381">
        <v>44529</v>
      </c>
      <c r="K548" s="381"/>
      <c r="L548" s="381"/>
      <c r="M548" s="544" t="s">
        <v>466</v>
      </c>
      <c r="O548" s="121"/>
    </row>
    <row r="549" spans="1:15" ht="20.100000000000001" customHeight="1">
      <c r="A549" s="10"/>
      <c r="B549" s="708"/>
      <c r="C549" s="699"/>
      <c r="D549" s="699"/>
      <c r="E549" s="885"/>
      <c r="F549" s="865"/>
      <c r="G549" s="583">
        <v>10</v>
      </c>
      <c r="H549" s="388">
        <f t="shared" si="91"/>
        <v>10</v>
      </c>
      <c r="I549" s="389">
        <v>44559</v>
      </c>
      <c r="J549" s="389">
        <v>45289</v>
      </c>
      <c r="K549" s="389"/>
      <c r="L549" s="389"/>
      <c r="M549" s="545" t="s">
        <v>467</v>
      </c>
      <c r="O549" s="121"/>
    </row>
    <row r="550" spans="1:15" ht="20.100000000000001" customHeight="1">
      <c r="A550" s="10"/>
      <c r="B550" s="708"/>
      <c r="C550" s="699"/>
      <c r="D550" s="699"/>
      <c r="E550" s="885"/>
      <c r="F550" s="865"/>
      <c r="G550" s="583">
        <v>10</v>
      </c>
      <c r="H550" s="388">
        <f t="shared" si="91"/>
        <v>10</v>
      </c>
      <c r="I550" s="389">
        <v>44589</v>
      </c>
      <c r="J550" s="389">
        <v>45319</v>
      </c>
      <c r="K550" s="389"/>
      <c r="L550" s="389"/>
      <c r="M550" s="545" t="s">
        <v>468</v>
      </c>
      <c r="O550" s="121"/>
    </row>
    <row r="551" spans="1:15" ht="20.100000000000001" customHeight="1">
      <c r="A551" s="10"/>
      <c r="B551" s="708"/>
      <c r="C551" s="699"/>
      <c r="D551" s="699"/>
      <c r="E551" s="885"/>
      <c r="F551" s="865"/>
      <c r="G551" s="583">
        <v>10</v>
      </c>
      <c r="H551" s="388">
        <f t="shared" si="91"/>
        <v>10</v>
      </c>
      <c r="I551" s="389">
        <v>44620</v>
      </c>
      <c r="J551" s="389">
        <v>45350</v>
      </c>
      <c r="K551" s="389"/>
      <c r="L551" s="389"/>
      <c r="M551" s="546" t="s">
        <v>469</v>
      </c>
      <c r="O551" s="121"/>
    </row>
    <row r="552" spans="1:15" ht="20.100000000000001" customHeight="1">
      <c r="A552" s="10"/>
      <c r="B552" s="708"/>
      <c r="C552" s="699"/>
      <c r="D552" s="699"/>
      <c r="E552" s="671"/>
      <c r="F552" s="672"/>
      <c r="G552" s="583">
        <v>10</v>
      </c>
      <c r="H552" s="388">
        <f t="shared" si="91"/>
        <v>10</v>
      </c>
      <c r="I552" s="389">
        <v>44649</v>
      </c>
      <c r="J552" s="389">
        <v>45380</v>
      </c>
      <c r="K552" s="389"/>
      <c r="L552" s="389"/>
      <c r="M552" s="545" t="s">
        <v>470</v>
      </c>
      <c r="O552" s="121"/>
    </row>
    <row r="553" spans="1:15" ht="20.100000000000001" customHeight="1" thickBot="1">
      <c r="A553" s="10"/>
      <c r="B553" s="708"/>
      <c r="C553" s="699"/>
      <c r="D553" s="699"/>
      <c r="E553" s="883" t="s">
        <v>472</v>
      </c>
      <c r="F553" s="884"/>
      <c r="G553" s="599">
        <v>-50</v>
      </c>
      <c r="H553" s="397">
        <f t="shared" si="91"/>
        <v>-50</v>
      </c>
      <c r="I553" s="398">
        <v>45302</v>
      </c>
      <c r="J553" s="398"/>
      <c r="K553" s="398"/>
      <c r="L553" s="398"/>
      <c r="M553" s="547"/>
      <c r="O553" s="121"/>
    </row>
    <row r="554" spans="1:15" ht="20.100000000000001" customHeight="1" thickBot="1">
      <c r="A554" s="10"/>
      <c r="B554" s="708"/>
      <c r="C554" s="699"/>
      <c r="D554" s="699"/>
      <c r="E554" s="881" t="s">
        <v>464</v>
      </c>
      <c r="F554" s="882"/>
      <c r="G554" s="615">
        <v>50</v>
      </c>
      <c r="H554" s="616">
        <f t="shared" si="91"/>
        <v>50</v>
      </c>
      <c r="I554" s="496">
        <v>45302</v>
      </c>
      <c r="J554" s="497">
        <v>45673</v>
      </c>
      <c r="K554" s="498"/>
      <c r="L554" s="617"/>
      <c r="M554" s="462" t="s">
        <v>473</v>
      </c>
      <c r="O554" s="121"/>
    </row>
    <row r="555" spans="1:15" ht="20.100000000000001" customHeight="1" thickBot="1">
      <c r="A555" s="10"/>
      <c r="B555" s="708"/>
      <c r="C555" s="699"/>
      <c r="D555" s="699"/>
      <c r="E555" s="927" t="s">
        <v>382</v>
      </c>
      <c r="F555" s="928"/>
      <c r="G555" s="676">
        <v>-50</v>
      </c>
      <c r="H555" s="677">
        <f t="shared" si="91"/>
        <v>-50</v>
      </c>
      <c r="I555" s="678"/>
      <c r="J555" s="679">
        <v>45674</v>
      </c>
      <c r="K555" s="680"/>
      <c r="L555" s="681"/>
      <c r="M555" s="682"/>
      <c r="O555" s="121"/>
    </row>
    <row r="556" spans="1:15" ht="20.100000000000001" customHeight="1">
      <c r="A556" s="10"/>
      <c r="B556" s="703" t="s">
        <v>234</v>
      </c>
      <c r="C556" s="704"/>
      <c r="D556" s="704"/>
      <c r="E556" s="704"/>
      <c r="F556" s="499"/>
      <c r="G556" s="592"/>
      <c r="H556" s="403">
        <f>SUM(H547,H554:H555)</f>
        <v>0</v>
      </c>
      <c r="I556" s="404"/>
      <c r="J556" s="405"/>
      <c r="K556" s="406"/>
      <c r="L556" s="618"/>
      <c r="M556" s="408"/>
      <c r="O556" s="121"/>
    </row>
    <row r="557" spans="1:15" ht="20.100000000000001" customHeight="1">
      <c r="A557" s="10"/>
      <c r="B557" s="804"/>
      <c r="C557" s="804"/>
      <c r="D557" s="804"/>
      <c r="E557" s="804"/>
      <c r="F557" s="804"/>
      <c r="G557" s="596"/>
      <c r="H557" s="805"/>
      <c r="I557" s="417"/>
      <c r="J557" s="418"/>
      <c r="K557" s="419"/>
      <c r="L557" s="806"/>
      <c r="M557" s="421"/>
      <c r="O557" s="121"/>
    </row>
    <row r="558" spans="1:15" ht="20.100000000000001" customHeight="1">
      <c r="A558" s="10"/>
      <c r="B558" s="804"/>
      <c r="C558" s="804"/>
      <c r="D558" s="804"/>
      <c r="E558" s="804"/>
      <c r="F558" s="804"/>
      <c r="G558" s="596"/>
      <c r="H558" s="805"/>
      <c r="I558" s="417"/>
      <c r="J558" s="418"/>
      <c r="K558" s="419"/>
      <c r="L558" s="806"/>
      <c r="M558" s="421"/>
      <c r="O558" s="121"/>
    </row>
    <row r="559" spans="1:15" ht="20.100000000000001" customHeight="1">
      <c r="A559" s="10"/>
      <c r="B559" s="804"/>
      <c r="C559" s="804"/>
      <c r="D559" s="804"/>
      <c r="E559" s="804"/>
      <c r="F559" s="804"/>
      <c r="G559" s="596"/>
      <c r="H559" s="805"/>
      <c r="I559" s="417"/>
      <c r="J559" s="418"/>
      <c r="K559" s="419"/>
      <c r="L559" s="806"/>
      <c r="M559" s="421"/>
      <c r="O559" s="121"/>
    </row>
    <row r="560" spans="1:15" ht="20.100000000000001" customHeight="1">
      <c r="A560" s="10"/>
      <c r="B560" s="10"/>
      <c r="C560" s="10"/>
      <c r="D560" s="10"/>
      <c r="E560" s="10"/>
      <c r="F560" s="10"/>
      <c r="G560" s="10"/>
      <c r="H560" s="10"/>
      <c r="I560" s="10"/>
      <c r="J560" s="10"/>
      <c r="K560" s="10"/>
      <c r="L560" s="10"/>
      <c r="M560" s="10"/>
      <c r="O560" s="121"/>
    </row>
    <row r="561" spans="1:15" ht="20.100000000000001" customHeight="1">
      <c r="A561" s="4"/>
      <c r="O561" s="121"/>
    </row>
    <row r="562" spans="1:15" ht="20.100000000000001" customHeight="1">
      <c r="A562" s="4"/>
      <c r="O562" s="121"/>
    </row>
    <row r="563" spans="1:15" ht="20.100000000000001" customHeight="1">
      <c r="A563" s="4"/>
      <c r="O563" s="121"/>
    </row>
    <row r="564" spans="1:15" ht="20.100000000000001" customHeight="1">
      <c r="A564" s="4"/>
      <c r="O564" s="121"/>
    </row>
    <row r="565" spans="1:15" ht="20.100000000000001" customHeight="1">
      <c r="A565" s="4"/>
      <c r="O565" s="121"/>
    </row>
    <row r="566" spans="1:15" ht="20.100000000000001" customHeight="1">
      <c r="A566" s="4"/>
      <c r="O566" s="121"/>
    </row>
    <row r="567" spans="1:15" ht="20.100000000000001" customHeight="1">
      <c r="A567" s="4"/>
      <c r="O567" s="121"/>
    </row>
    <row r="568" spans="1:15" ht="20.100000000000001" customHeight="1">
      <c r="A568" s="4"/>
      <c r="O568" s="121"/>
    </row>
    <row r="569" spans="1:15" ht="20.100000000000001" customHeight="1">
      <c r="A569" s="4"/>
      <c r="O569" s="121"/>
    </row>
    <row r="570" spans="1:15" ht="20.100000000000001" customHeight="1">
      <c r="A570" s="4"/>
      <c r="O570" s="121"/>
    </row>
    <row r="571" spans="1:15" ht="20.100000000000001" customHeight="1">
      <c r="A571" s="4"/>
      <c r="O571" s="121"/>
    </row>
    <row r="572" spans="1:15" ht="20.100000000000001" customHeight="1">
      <c r="A572" s="4"/>
      <c r="O572" s="121"/>
    </row>
    <row r="573" spans="1:15" ht="20.100000000000001" customHeight="1">
      <c r="A573" s="4"/>
      <c r="O573" s="121"/>
    </row>
    <row r="574" spans="1:15" ht="20.100000000000001" customHeight="1">
      <c r="A574" s="4"/>
      <c r="O574" s="121"/>
    </row>
    <row r="575" spans="1:15" ht="20.100000000000001" customHeight="1">
      <c r="A575" s="4"/>
      <c r="O575" s="121"/>
    </row>
    <row r="576" spans="1:15" ht="20.100000000000001" customHeight="1">
      <c r="A576" s="4"/>
      <c r="O576" s="121"/>
    </row>
    <row r="577" spans="1:15" ht="20.100000000000001" customHeight="1">
      <c r="A577" s="4"/>
      <c r="O577" s="121"/>
    </row>
    <row r="578" spans="1:15" ht="20.100000000000001" customHeight="1">
      <c r="A578" s="4"/>
      <c r="O578" s="121"/>
    </row>
    <row r="579" spans="1:15" ht="20.100000000000001" customHeight="1">
      <c r="A579" s="4"/>
      <c r="O579" s="121"/>
    </row>
    <row r="580" spans="1:15" ht="20.100000000000001" customHeight="1">
      <c r="A580" s="4"/>
      <c r="O580" s="121"/>
    </row>
    <row r="581" spans="1:15" ht="20.100000000000001" customHeight="1">
      <c r="A581" s="4"/>
      <c r="O581" s="121"/>
    </row>
    <row r="582" spans="1:15" ht="20.100000000000001" customHeight="1">
      <c r="A582" s="4"/>
      <c r="O582" s="121"/>
    </row>
    <row r="583" spans="1:15" ht="20.100000000000001" customHeight="1">
      <c r="A583" s="4"/>
      <c r="O583" s="121"/>
    </row>
    <row r="584" spans="1:15" ht="20.100000000000001" customHeight="1">
      <c r="A584" s="4"/>
      <c r="O584" s="121"/>
    </row>
    <row r="585" spans="1:15" ht="20.100000000000001" customHeight="1">
      <c r="A585" s="4"/>
      <c r="O585" s="121"/>
    </row>
    <row r="586" spans="1:15" ht="20.100000000000001" customHeight="1">
      <c r="A586" s="4"/>
      <c r="O586" s="121"/>
    </row>
    <row r="587" spans="1:15" ht="20.100000000000001" customHeight="1">
      <c r="A587" s="4"/>
      <c r="O587" s="121"/>
    </row>
    <row r="588" spans="1:15" ht="20.100000000000001" customHeight="1">
      <c r="A588" s="4"/>
      <c r="O588" s="121"/>
    </row>
    <row r="589" spans="1:15" ht="20.100000000000001" customHeight="1">
      <c r="A589" s="4"/>
      <c r="O589" s="121"/>
    </row>
    <row r="590" spans="1:15" ht="20.100000000000001" customHeight="1">
      <c r="A590" s="4"/>
      <c r="O590" s="121"/>
    </row>
    <row r="591" spans="1:15" ht="20.100000000000001" customHeight="1">
      <c r="A591" s="4"/>
      <c r="O591" s="121"/>
    </row>
    <row r="592" spans="1:15" ht="20.100000000000001" customHeight="1">
      <c r="A592" s="4"/>
      <c r="O592" s="121"/>
    </row>
    <row r="593" spans="1:15" ht="20.100000000000001" customHeight="1">
      <c r="A593" s="4"/>
      <c r="O593" s="121"/>
    </row>
    <row r="594" spans="1:15" ht="20.100000000000001" customHeight="1">
      <c r="A594" s="4"/>
      <c r="O594" s="121"/>
    </row>
    <row r="595" spans="1:15" ht="20.100000000000001" customHeight="1">
      <c r="A595" s="4"/>
      <c r="O595" s="121"/>
    </row>
    <row r="596" spans="1:15" ht="20.100000000000001" customHeight="1">
      <c r="A596" s="4"/>
      <c r="O596" s="121"/>
    </row>
    <row r="597" spans="1:15" ht="20.100000000000001" customHeight="1">
      <c r="A597" s="4"/>
      <c r="O597" s="121"/>
    </row>
    <row r="598" spans="1:15" ht="20.100000000000001" customHeight="1">
      <c r="A598" s="4"/>
      <c r="O598" s="121"/>
    </row>
    <row r="599" spans="1:15" ht="20.100000000000001" customHeight="1">
      <c r="A599" s="4"/>
      <c r="O599" s="121"/>
    </row>
    <row r="600" spans="1:15" ht="20.100000000000001" customHeight="1">
      <c r="A600" s="4"/>
      <c r="O600" s="121"/>
    </row>
    <row r="601" spans="1:15" ht="20.100000000000001" customHeight="1">
      <c r="A601" s="4"/>
      <c r="O601" s="121"/>
    </row>
    <row r="602" spans="1:15" ht="20.100000000000001" customHeight="1">
      <c r="A602" s="4"/>
      <c r="O602" s="121"/>
    </row>
    <row r="603" spans="1:15" ht="20.100000000000001" customHeight="1">
      <c r="A603" s="4"/>
      <c r="O603" s="121"/>
    </row>
    <row r="604" spans="1:15" ht="20.100000000000001" customHeight="1">
      <c r="A604" s="4"/>
      <c r="O604" s="121"/>
    </row>
    <row r="605" spans="1:15" ht="20.100000000000001" customHeight="1">
      <c r="A605" s="4"/>
      <c r="O605" s="121"/>
    </row>
    <row r="606" spans="1:15" ht="20.100000000000001" customHeight="1">
      <c r="A606" s="4"/>
      <c r="O606" s="121"/>
    </row>
    <row r="607" spans="1:15" ht="20.100000000000001" customHeight="1">
      <c r="A607" s="4"/>
      <c r="O607" s="121"/>
    </row>
    <row r="608" spans="1:15" ht="20.100000000000001" customHeight="1">
      <c r="A608" s="4"/>
      <c r="O608" s="121"/>
    </row>
    <row r="609" spans="1:15" ht="20.100000000000001" customHeight="1">
      <c r="A609" s="4"/>
      <c r="O609" s="121"/>
    </row>
    <row r="610" spans="1:15" ht="20.100000000000001" customHeight="1">
      <c r="A610" s="4"/>
      <c r="O610" s="121"/>
    </row>
    <row r="611" spans="1:15" ht="20.100000000000001" customHeight="1">
      <c r="A611" s="4"/>
      <c r="O611" s="121"/>
    </row>
    <row r="612" spans="1:15" ht="20.100000000000001" customHeight="1">
      <c r="A612" s="4"/>
      <c r="O612" s="121"/>
    </row>
    <row r="613" spans="1:15" ht="20.100000000000001" customHeight="1">
      <c r="A613" s="4"/>
      <c r="O613" s="121"/>
    </row>
    <row r="614" spans="1:15" ht="20.100000000000001" customHeight="1">
      <c r="A614" s="4"/>
      <c r="O614" s="121"/>
    </row>
    <row r="615" spans="1:15" ht="20.100000000000001" customHeight="1">
      <c r="A615" s="4"/>
      <c r="O615" s="121"/>
    </row>
    <row r="616" spans="1:15" ht="20.100000000000001" customHeight="1">
      <c r="A616" s="4"/>
      <c r="O616" s="121"/>
    </row>
    <row r="617" spans="1:15" ht="20.100000000000001" customHeight="1">
      <c r="A617" s="4"/>
      <c r="O617" s="121"/>
    </row>
    <row r="618" spans="1:15" ht="20.100000000000001" customHeight="1">
      <c r="A618" s="4"/>
      <c r="O618" s="121"/>
    </row>
    <row r="619" spans="1:15" ht="20.100000000000001" customHeight="1">
      <c r="A619" s="4"/>
      <c r="O619" s="121"/>
    </row>
    <row r="620" spans="1:15" ht="20.100000000000001" customHeight="1">
      <c r="A620" s="4"/>
      <c r="O620" s="121"/>
    </row>
    <row r="621" spans="1:15" ht="20.100000000000001" customHeight="1">
      <c r="A621" s="4"/>
      <c r="O621" s="121"/>
    </row>
    <row r="622" spans="1:15" ht="20.100000000000001" customHeight="1">
      <c r="A622" s="4"/>
      <c r="O622" s="121"/>
    </row>
    <row r="623" spans="1:15" ht="20.100000000000001" customHeight="1">
      <c r="A623" s="4"/>
      <c r="O623" s="121"/>
    </row>
    <row r="624" spans="1:15" ht="20.100000000000001" customHeight="1">
      <c r="A624" s="4"/>
      <c r="O624" s="121"/>
    </row>
    <row r="625" spans="1:15" ht="20.100000000000001" customHeight="1">
      <c r="A625" s="4"/>
      <c r="O625" s="121"/>
    </row>
    <row r="626" spans="1:15" ht="20.100000000000001" customHeight="1">
      <c r="A626" s="4"/>
      <c r="O626" s="121"/>
    </row>
    <row r="627" spans="1:15" ht="20.100000000000001" customHeight="1">
      <c r="A627" s="4"/>
      <c r="O627" s="121"/>
    </row>
    <row r="628" spans="1:15" ht="20.100000000000001" customHeight="1">
      <c r="A628" s="4"/>
      <c r="O628" s="121"/>
    </row>
    <row r="629" spans="1:15" ht="20.100000000000001" customHeight="1">
      <c r="A629" s="4"/>
      <c r="O629" s="121"/>
    </row>
    <row r="630" spans="1:15" ht="20.100000000000001" customHeight="1">
      <c r="A630" s="4"/>
      <c r="O630" s="121"/>
    </row>
    <row r="631" spans="1:15" ht="20.100000000000001" customHeight="1">
      <c r="A631" s="4"/>
      <c r="O631" s="121"/>
    </row>
    <row r="632" spans="1:15" ht="20.100000000000001" customHeight="1">
      <c r="A632" s="4"/>
      <c r="O632" s="121"/>
    </row>
    <row r="633" spans="1:15" ht="20.100000000000001" customHeight="1">
      <c r="A633" s="4"/>
      <c r="O633" s="121"/>
    </row>
    <row r="634" spans="1:15" ht="20.100000000000001" customHeight="1">
      <c r="A634" s="4"/>
      <c r="O634" s="121"/>
    </row>
    <row r="635" spans="1:15" ht="20.100000000000001" customHeight="1">
      <c r="A635" s="4"/>
      <c r="O635" s="121"/>
    </row>
    <row r="636" spans="1:15" ht="20.100000000000001" customHeight="1">
      <c r="A636" s="4"/>
      <c r="O636" s="121"/>
    </row>
    <row r="637" spans="1:15" ht="20.100000000000001" customHeight="1">
      <c r="A637" s="4"/>
      <c r="O637" s="121"/>
    </row>
    <row r="638" spans="1:15" ht="20.100000000000001" customHeight="1">
      <c r="A638" s="4"/>
      <c r="O638" s="121"/>
    </row>
    <row r="639" spans="1:15" ht="20.100000000000001" customHeight="1">
      <c r="A639" s="4"/>
      <c r="O639" s="121"/>
    </row>
    <row r="640" spans="1:15" ht="20.100000000000001" customHeight="1">
      <c r="A640" s="4"/>
      <c r="O640" s="121"/>
    </row>
    <row r="641" spans="1:15" ht="20.100000000000001" customHeight="1">
      <c r="A641" s="4"/>
      <c r="O641" s="121"/>
    </row>
    <row r="642" spans="1:15" ht="20.100000000000001" customHeight="1">
      <c r="A642" s="4"/>
      <c r="O642" s="121"/>
    </row>
    <row r="643" spans="1:15" ht="20.100000000000001" customHeight="1">
      <c r="A643" s="4"/>
      <c r="O643" s="121"/>
    </row>
    <row r="644" spans="1:15" ht="20.100000000000001" customHeight="1">
      <c r="A644" s="4"/>
      <c r="O644" s="121"/>
    </row>
    <row r="645" spans="1:15" ht="20.100000000000001" customHeight="1">
      <c r="A645" s="4"/>
      <c r="O645" s="121"/>
    </row>
    <row r="646" spans="1:15" ht="20.100000000000001" customHeight="1">
      <c r="A646" s="4"/>
      <c r="O646" s="121"/>
    </row>
    <row r="647" spans="1:15" ht="20.100000000000001" customHeight="1">
      <c r="A647" s="4"/>
      <c r="O647" s="121"/>
    </row>
    <row r="648" spans="1:15" ht="20.100000000000001" customHeight="1">
      <c r="A648" s="4"/>
      <c r="O648" s="121"/>
    </row>
    <row r="649" spans="1:15" ht="20.100000000000001" customHeight="1">
      <c r="A649" s="4"/>
      <c r="O649" s="121"/>
    </row>
    <row r="650" spans="1:15" ht="20.100000000000001" customHeight="1">
      <c r="A650" s="4"/>
      <c r="O650" s="121"/>
    </row>
    <row r="651" spans="1:15" ht="20.100000000000001" customHeight="1">
      <c r="A651" s="4"/>
      <c r="O651" s="121"/>
    </row>
    <row r="652" spans="1:15" ht="20.100000000000001" customHeight="1">
      <c r="A652" s="4"/>
      <c r="O652" s="121"/>
    </row>
    <row r="653" spans="1:15" ht="20.100000000000001" customHeight="1">
      <c r="A653" s="4"/>
      <c r="O653" s="121"/>
    </row>
    <row r="654" spans="1:15" ht="20.100000000000001" customHeight="1">
      <c r="A654" s="4"/>
      <c r="O654" s="121"/>
    </row>
    <row r="655" spans="1:15" ht="20.100000000000001" customHeight="1">
      <c r="A655" s="4"/>
      <c r="O655" s="121"/>
    </row>
    <row r="656" spans="1:15" ht="20.100000000000001" customHeight="1">
      <c r="A656" s="4"/>
      <c r="O656" s="121"/>
    </row>
    <row r="657" spans="1:15" ht="20.100000000000001" customHeight="1">
      <c r="A657" s="4"/>
      <c r="O657" s="121"/>
    </row>
    <row r="658" spans="1:15" ht="20.100000000000001" customHeight="1">
      <c r="A658" s="4"/>
      <c r="O658" s="121"/>
    </row>
    <row r="659" spans="1:15" ht="20.100000000000001" customHeight="1">
      <c r="A659" s="4"/>
      <c r="O659" s="121"/>
    </row>
    <row r="660" spans="1:15" ht="20.100000000000001" customHeight="1">
      <c r="A660" s="4"/>
      <c r="O660" s="121"/>
    </row>
    <row r="661" spans="1:15" ht="20.100000000000001" customHeight="1">
      <c r="A661" s="4"/>
      <c r="O661" s="121"/>
    </row>
    <row r="662" spans="1:15" ht="20.100000000000001" customHeight="1">
      <c r="A662" s="4"/>
      <c r="O662" s="121"/>
    </row>
    <row r="663" spans="1:15" ht="20.100000000000001" customHeight="1">
      <c r="A663" s="4"/>
      <c r="O663" s="121"/>
    </row>
    <row r="664" spans="1:15" ht="20.100000000000001" customHeight="1">
      <c r="A664" s="4"/>
      <c r="O664" s="121"/>
    </row>
    <row r="665" spans="1:15" ht="20.100000000000001" customHeight="1">
      <c r="A665" s="4"/>
      <c r="O665" s="121"/>
    </row>
    <row r="666" spans="1:15" ht="20.100000000000001" customHeight="1">
      <c r="A666" s="4"/>
      <c r="O666" s="121"/>
    </row>
    <row r="667" spans="1:15" ht="20.100000000000001" customHeight="1">
      <c r="A667" s="4"/>
      <c r="O667" s="121"/>
    </row>
    <row r="668" spans="1:15" ht="20.100000000000001" customHeight="1">
      <c r="A668" s="4"/>
      <c r="O668" s="121"/>
    </row>
    <row r="669" spans="1:15" ht="20.100000000000001" customHeight="1">
      <c r="A669" s="4"/>
      <c r="O669" s="121"/>
    </row>
    <row r="670" spans="1:15" ht="20.100000000000001" customHeight="1">
      <c r="A670" s="4"/>
      <c r="O670" s="121"/>
    </row>
    <row r="671" spans="1:15" ht="20.100000000000001" customHeight="1">
      <c r="A671" s="4"/>
      <c r="O671" s="121"/>
    </row>
    <row r="672" spans="1:15" ht="20.100000000000001" customHeight="1">
      <c r="A672" s="4"/>
      <c r="O672" s="121"/>
    </row>
    <row r="673" spans="1:15" ht="20.100000000000001" customHeight="1">
      <c r="A673" s="4"/>
      <c r="O673" s="121"/>
    </row>
    <row r="674" spans="1:15" ht="20.100000000000001" customHeight="1">
      <c r="A674" s="4"/>
      <c r="O674" s="121"/>
    </row>
    <row r="675" spans="1:15" ht="20.100000000000001" customHeight="1">
      <c r="A675" s="4"/>
      <c r="O675" s="121"/>
    </row>
    <row r="676" spans="1:15" ht="20.100000000000001" customHeight="1">
      <c r="A676" s="4"/>
      <c r="O676" s="121"/>
    </row>
    <row r="677" spans="1:15" ht="20.100000000000001" customHeight="1">
      <c r="A677" s="4"/>
      <c r="O677" s="121"/>
    </row>
    <row r="678" spans="1:15" ht="20.100000000000001" customHeight="1">
      <c r="A678" s="4"/>
      <c r="O678" s="121"/>
    </row>
    <row r="679" spans="1:15" ht="20.100000000000001" customHeight="1">
      <c r="A679" s="4"/>
      <c r="O679" s="121"/>
    </row>
    <row r="680" spans="1:15" ht="20.100000000000001" customHeight="1">
      <c r="A680" s="4"/>
      <c r="O680" s="121"/>
    </row>
    <row r="681" spans="1:15" ht="20.100000000000001" customHeight="1">
      <c r="A681" s="4"/>
      <c r="O681" s="121"/>
    </row>
    <row r="682" spans="1:15" ht="20.100000000000001" customHeight="1">
      <c r="A682" s="4"/>
      <c r="O682" s="121"/>
    </row>
    <row r="683" spans="1:15" ht="20.100000000000001" customHeight="1">
      <c r="A683" s="4"/>
      <c r="O683" s="121"/>
    </row>
    <row r="684" spans="1:15" ht="20.100000000000001" customHeight="1">
      <c r="A684" s="4"/>
      <c r="O684" s="121"/>
    </row>
    <row r="685" spans="1:15" ht="20.100000000000001" customHeight="1">
      <c r="A685" s="4"/>
      <c r="O685" s="121"/>
    </row>
    <row r="686" spans="1:15" ht="20.100000000000001" customHeight="1">
      <c r="A686" s="4"/>
      <c r="O686" s="121"/>
    </row>
    <row r="687" spans="1:15" ht="20.100000000000001" customHeight="1">
      <c r="A687" s="4"/>
      <c r="O687" s="121"/>
    </row>
    <row r="688" spans="1:15" ht="20.100000000000001" customHeight="1">
      <c r="A688" s="4"/>
      <c r="O688" s="121"/>
    </row>
    <row r="689" spans="1:15" ht="20.100000000000001" customHeight="1">
      <c r="A689" s="4"/>
      <c r="O689" s="121"/>
    </row>
    <row r="690" spans="1:15" ht="20.100000000000001" customHeight="1">
      <c r="A690" s="4"/>
      <c r="O690" s="121"/>
    </row>
    <row r="691" spans="1:15" ht="20.100000000000001" customHeight="1">
      <c r="A691" s="4"/>
      <c r="O691" s="121"/>
    </row>
    <row r="692" spans="1:15" ht="20.100000000000001" customHeight="1">
      <c r="A692" s="4"/>
      <c r="O692" s="121"/>
    </row>
    <row r="693" spans="1:15" ht="20.100000000000001" customHeight="1">
      <c r="A693" s="4"/>
      <c r="O693" s="121"/>
    </row>
    <row r="694" spans="1:15" ht="20.100000000000001" customHeight="1">
      <c r="A694" s="4"/>
      <c r="O694" s="121"/>
    </row>
    <row r="695" spans="1:15" ht="20.100000000000001" customHeight="1">
      <c r="A695" s="4"/>
      <c r="O695" s="121"/>
    </row>
    <row r="696" spans="1:15" ht="20.100000000000001" customHeight="1">
      <c r="A696" s="4"/>
      <c r="O696" s="121"/>
    </row>
    <row r="697" spans="1:15" ht="20.100000000000001" customHeight="1">
      <c r="A697" s="4"/>
      <c r="O697" s="121"/>
    </row>
    <row r="698" spans="1:15" ht="20.100000000000001" customHeight="1">
      <c r="A698" s="4"/>
      <c r="O698" s="121"/>
    </row>
    <row r="699" spans="1:15" ht="20.100000000000001" customHeight="1">
      <c r="A699" s="4"/>
      <c r="O699" s="121"/>
    </row>
    <row r="700" spans="1:15" ht="20.100000000000001" customHeight="1">
      <c r="A700" s="4"/>
      <c r="O700" s="121"/>
    </row>
    <row r="701" spans="1:15" ht="20.100000000000001" customHeight="1">
      <c r="A701" s="4"/>
      <c r="O701" s="121"/>
    </row>
    <row r="702" spans="1:15" ht="20.100000000000001" customHeight="1">
      <c r="A702" s="4"/>
      <c r="O702" s="121"/>
    </row>
    <row r="703" spans="1:15" ht="20.100000000000001" customHeight="1">
      <c r="A703" s="4"/>
      <c r="O703" s="121"/>
    </row>
    <row r="704" spans="1:15" ht="20.100000000000001" customHeight="1">
      <c r="A704" s="4"/>
      <c r="O704" s="121"/>
    </row>
    <row r="705" spans="1:15" ht="20.100000000000001" customHeight="1">
      <c r="A705" s="4"/>
      <c r="O705" s="121"/>
    </row>
    <row r="706" spans="1:15" ht="20.100000000000001" customHeight="1">
      <c r="A706" s="4"/>
      <c r="O706" s="121"/>
    </row>
    <row r="707" spans="1:15" ht="20.100000000000001" customHeight="1">
      <c r="A707" s="4"/>
      <c r="O707" s="121"/>
    </row>
    <row r="708" spans="1:15" ht="20.100000000000001" customHeight="1">
      <c r="A708" s="4"/>
      <c r="O708" s="121"/>
    </row>
    <row r="709" spans="1:15" ht="20.100000000000001" customHeight="1">
      <c r="A709" s="4"/>
      <c r="O709" s="121"/>
    </row>
    <row r="710" spans="1:15" ht="20.100000000000001" customHeight="1">
      <c r="A710" s="4"/>
      <c r="O710" s="121"/>
    </row>
    <row r="711" spans="1:15" ht="20.100000000000001" customHeight="1">
      <c r="A711" s="4"/>
      <c r="O711" s="121"/>
    </row>
    <row r="712" spans="1:15" ht="20.100000000000001" customHeight="1">
      <c r="A712" s="4"/>
      <c r="O712" s="121"/>
    </row>
    <row r="713" spans="1:15" ht="20.100000000000001" customHeight="1">
      <c r="A713" s="4"/>
      <c r="O713" s="121"/>
    </row>
    <row r="714" spans="1:15" ht="20.100000000000001" customHeight="1">
      <c r="A714" s="4"/>
      <c r="O714" s="121"/>
    </row>
    <row r="715" spans="1:15" ht="20.100000000000001" customHeight="1">
      <c r="A715" s="4"/>
      <c r="O715" s="121"/>
    </row>
    <row r="716" spans="1:15" ht="20.100000000000001" customHeight="1">
      <c r="A716" s="4"/>
      <c r="O716" s="121"/>
    </row>
    <row r="717" spans="1:15" ht="20.100000000000001" customHeight="1">
      <c r="A717" s="4"/>
      <c r="O717" s="121"/>
    </row>
    <row r="718" spans="1:15" ht="20.100000000000001" customHeight="1">
      <c r="A718" s="4"/>
      <c r="O718" s="121"/>
    </row>
    <row r="719" spans="1:15" ht="20.100000000000001" customHeight="1">
      <c r="A719" s="4"/>
      <c r="O719" s="121"/>
    </row>
    <row r="720" spans="1:15" ht="20.100000000000001" customHeight="1">
      <c r="A720" s="4"/>
      <c r="O720" s="121"/>
    </row>
    <row r="721" spans="1:15" ht="20.100000000000001" customHeight="1">
      <c r="A721" s="4"/>
      <c r="O721" s="121"/>
    </row>
    <row r="728" spans="1:15" ht="20.100000000000001" customHeight="1">
      <c r="A728" s="4"/>
      <c r="B728" s="195"/>
    </row>
    <row r="729" spans="1:15" ht="20.100000000000001" customHeight="1">
      <c r="A729" s="4"/>
      <c r="B729" s="195"/>
    </row>
    <row r="730" spans="1:15" ht="20.100000000000001" customHeight="1">
      <c r="A730" s="4"/>
      <c r="B730" s="195"/>
    </row>
    <row r="731" spans="1:15" ht="20.100000000000001" customHeight="1">
      <c r="A731" s="4"/>
      <c r="B731" s="195"/>
    </row>
    <row r="733" spans="1:15" ht="20.100000000000001" customHeight="1">
      <c r="A733" s="4"/>
      <c r="B733" s="195"/>
    </row>
    <row r="734" spans="1:15" ht="20.100000000000001" customHeight="1">
      <c r="A734" s="4"/>
      <c r="B734" s="195"/>
    </row>
    <row r="735" spans="1:15" ht="20.100000000000001" customHeight="1">
      <c r="A735" s="4"/>
      <c r="B735" s="195"/>
    </row>
    <row r="736" spans="1:15" ht="20.100000000000001" customHeight="1">
      <c r="A736" s="4"/>
      <c r="B736" s="195"/>
    </row>
    <row r="737" spans="2:2" s="4" customFormat="1" ht="20.100000000000001" customHeight="1">
      <c r="B737" s="195"/>
    </row>
    <row r="739" spans="2:2" s="4" customFormat="1" ht="20.100000000000001" customHeight="1">
      <c r="B739" s="195"/>
    </row>
    <row r="740" spans="2:2" s="4" customFormat="1" ht="20.100000000000001" customHeight="1">
      <c r="B740" s="195"/>
    </row>
    <row r="741" spans="2:2" s="4" customFormat="1" ht="20.100000000000001" customHeight="1">
      <c r="B741" s="195"/>
    </row>
    <row r="742" spans="2:2" s="4" customFormat="1" ht="20.100000000000001" customHeight="1">
      <c r="B742" s="195"/>
    </row>
    <row r="743" spans="2:2" s="4" customFormat="1" ht="20.100000000000001" customHeight="1">
      <c r="B743" s="195"/>
    </row>
  </sheetData>
  <sortState xmlns:xlrd2="http://schemas.microsoft.com/office/spreadsheetml/2017/richdata2" ref="E287:X317">
    <sortCondition ref="J287:J317"/>
  </sortState>
  <mergeCells count="383">
    <mergeCell ref="C273:D273"/>
    <mergeCell ref="B287:B321"/>
    <mergeCell ref="D45:F45"/>
    <mergeCell ref="D46:F46"/>
    <mergeCell ref="D47:F47"/>
    <mergeCell ref="C48:C49"/>
    <mergeCell ref="D48:F48"/>
    <mergeCell ref="D49:F49"/>
    <mergeCell ref="B61:F61"/>
    <mergeCell ref="B62:F62"/>
    <mergeCell ref="C52:F52"/>
    <mergeCell ref="C53:F53"/>
    <mergeCell ref="C54:F54"/>
    <mergeCell ref="C55:F55"/>
    <mergeCell ref="B56:F56"/>
    <mergeCell ref="B57:F57"/>
    <mergeCell ref="B52:B55"/>
    <mergeCell ref="B58:F58"/>
    <mergeCell ref="B59:F59"/>
    <mergeCell ref="B60:F60"/>
    <mergeCell ref="E79:F79"/>
    <mergeCell ref="C80:F80"/>
    <mergeCell ref="C81:F81"/>
    <mergeCell ref="B63:F63"/>
    <mergeCell ref="B9:F9"/>
    <mergeCell ref="B1:M2"/>
    <mergeCell ref="B3:M3"/>
    <mergeCell ref="B6:F6"/>
    <mergeCell ref="B7:F7"/>
    <mergeCell ref="B8:F8"/>
    <mergeCell ref="B44:B51"/>
    <mergeCell ref="C50:C51"/>
    <mergeCell ref="C45:C47"/>
    <mergeCell ref="B34:F34"/>
    <mergeCell ref="B35:B39"/>
    <mergeCell ref="C36:F36"/>
    <mergeCell ref="C37:F37"/>
    <mergeCell ref="C39:F39"/>
    <mergeCell ref="B10:F10"/>
    <mergeCell ref="B12:E12"/>
    <mergeCell ref="B13:C13"/>
    <mergeCell ref="B14:C14"/>
    <mergeCell ref="B15:C15"/>
    <mergeCell ref="B32:F32"/>
    <mergeCell ref="B43:F43"/>
    <mergeCell ref="D50:F50"/>
    <mergeCell ref="D51:F51"/>
    <mergeCell ref="B33:F33"/>
    <mergeCell ref="B64:F64"/>
    <mergeCell ref="B90:F90"/>
    <mergeCell ref="B91:F91"/>
    <mergeCell ref="B92:F92"/>
    <mergeCell ref="B95:F95"/>
    <mergeCell ref="B96:F96"/>
    <mergeCell ref="B100:F100"/>
    <mergeCell ref="B93:F93"/>
    <mergeCell ref="B83:F83"/>
    <mergeCell ref="B85:F85"/>
    <mergeCell ref="B86:F86"/>
    <mergeCell ref="B87:F87"/>
    <mergeCell ref="B88:F88"/>
    <mergeCell ref="B89:F89"/>
    <mergeCell ref="B66:F66"/>
    <mergeCell ref="B67:F67"/>
    <mergeCell ref="B68:B73"/>
    <mergeCell ref="B65:F65"/>
    <mergeCell ref="C72:D73"/>
    <mergeCell ref="B74:B81"/>
    <mergeCell ref="C75:D79"/>
    <mergeCell ref="E75:F75"/>
    <mergeCell ref="E77:F77"/>
    <mergeCell ref="E78:F78"/>
    <mergeCell ref="B109:F109"/>
    <mergeCell ref="B110:F110"/>
    <mergeCell ref="B111:F111"/>
    <mergeCell ref="B112:F112"/>
    <mergeCell ref="B113:F113"/>
    <mergeCell ref="B114:B116"/>
    <mergeCell ref="C115:F115"/>
    <mergeCell ref="C116:F116"/>
    <mergeCell ref="B101:F101"/>
    <mergeCell ref="B102:B104"/>
    <mergeCell ref="C103:F103"/>
    <mergeCell ref="C104:F104"/>
    <mergeCell ref="B105:F105"/>
    <mergeCell ref="B108:F108"/>
    <mergeCell ref="B125:B127"/>
    <mergeCell ref="C126:F126"/>
    <mergeCell ref="C127:F127"/>
    <mergeCell ref="B128:F128"/>
    <mergeCell ref="B131:F131"/>
    <mergeCell ref="B132:F132"/>
    <mergeCell ref="B117:F117"/>
    <mergeCell ref="B118:F118"/>
    <mergeCell ref="B119:F119"/>
    <mergeCell ref="B120:F120"/>
    <mergeCell ref="B123:F123"/>
    <mergeCell ref="B124:F124"/>
    <mergeCell ref="B146:D146"/>
    <mergeCell ref="C147:D147"/>
    <mergeCell ref="E147:F147"/>
    <mergeCell ref="B140:F140"/>
    <mergeCell ref="B141:F141"/>
    <mergeCell ref="B142:F142"/>
    <mergeCell ref="B143:F143"/>
    <mergeCell ref="B145:I145"/>
    <mergeCell ref="B133:F133"/>
    <mergeCell ref="B134:F134"/>
    <mergeCell ref="B135:F135"/>
    <mergeCell ref="B136:F136"/>
    <mergeCell ref="B137:B139"/>
    <mergeCell ref="C138:F138"/>
    <mergeCell ref="C139:F139"/>
    <mergeCell ref="C158:D158"/>
    <mergeCell ref="C159:D159"/>
    <mergeCell ref="C160:D160"/>
    <mergeCell ref="C161:D161"/>
    <mergeCell ref="C162:D162"/>
    <mergeCell ref="C163:D163"/>
    <mergeCell ref="B148:B162"/>
    <mergeCell ref="C148:D148"/>
    <mergeCell ref="C149:D149"/>
    <mergeCell ref="C150:D150"/>
    <mergeCell ref="C152:D152"/>
    <mergeCell ref="C153:D153"/>
    <mergeCell ref="C154:D154"/>
    <mergeCell ref="C155:D155"/>
    <mergeCell ref="C156:D156"/>
    <mergeCell ref="C157:D157"/>
    <mergeCell ref="C151:D151"/>
    <mergeCell ref="C189:D189"/>
    <mergeCell ref="C190:D190"/>
    <mergeCell ref="C191:D191"/>
    <mergeCell ref="E163:F163"/>
    <mergeCell ref="B164:B172"/>
    <mergeCell ref="C164:D164"/>
    <mergeCell ref="C165:D165"/>
    <mergeCell ref="C166:D166"/>
    <mergeCell ref="C167:D167"/>
    <mergeCell ref="C168:D168"/>
    <mergeCell ref="C169:D169"/>
    <mergeCell ref="C170:D170"/>
    <mergeCell ref="C171:D171"/>
    <mergeCell ref="C172:D172"/>
    <mergeCell ref="C188:D188"/>
    <mergeCell ref="C182:D182"/>
    <mergeCell ref="C183:D183"/>
    <mergeCell ref="C184:D184"/>
    <mergeCell ref="C187:D187"/>
    <mergeCell ref="C186:D186"/>
    <mergeCell ref="C185:D185"/>
    <mergeCell ref="B202:B204"/>
    <mergeCell ref="C202:D202"/>
    <mergeCell ref="C203:D203"/>
    <mergeCell ref="C204:D204"/>
    <mergeCell ref="M197:M199"/>
    <mergeCell ref="C173:D173"/>
    <mergeCell ref="E173:F173"/>
    <mergeCell ref="C174:D174"/>
    <mergeCell ref="C175:D175"/>
    <mergeCell ref="C176:D176"/>
    <mergeCell ref="C177:D177"/>
    <mergeCell ref="C178:D178"/>
    <mergeCell ref="C179:D179"/>
    <mergeCell ref="C192:D192"/>
    <mergeCell ref="C193:D193"/>
    <mergeCell ref="B195:D195"/>
    <mergeCell ref="B174:B193"/>
    <mergeCell ref="C180:D180"/>
    <mergeCell ref="C181:D181"/>
    <mergeCell ref="C196:D196"/>
    <mergeCell ref="E196:F196"/>
    <mergeCell ref="C197:D197"/>
    <mergeCell ref="C198:D198"/>
    <mergeCell ref="C199:D199"/>
    <mergeCell ref="C200:D200"/>
    <mergeCell ref="B197:B200"/>
    <mergeCell ref="B210:D210"/>
    <mergeCell ref="C214:D214"/>
    <mergeCell ref="E214:F214"/>
    <mergeCell ref="B215:B220"/>
    <mergeCell ref="C215:D215"/>
    <mergeCell ref="C216:D216"/>
    <mergeCell ref="C217:D217"/>
    <mergeCell ref="C218:D218"/>
    <mergeCell ref="C220:D220"/>
    <mergeCell ref="C211:D211"/>
    <mergeCell ref="E211:F211"/>
    <mergeCell ref="B212:B213"/>
    <mergeCell ref="C212:D212"/>
    <mergeCell ref="C213:D213"/>
    <mergeCell ref="C205:D205"/>
    <mergeCell ref="E205:F205"/>
    <mergeCell ref="B206:B208"/>
    <mergeCell ref="C206:D206"/>
    <mergeCell ref="C207:D207"/>
    <mergeCell ref="C208:D208"/>
    <mergeCell ref="C201:D201"/>
    <mergeCell ref="E201:F201"/>
    <mergeCell ref="E226:F226"/>
    <mergeCell ref="B227:B237"/>
    <mergeCell ref="C227:D227"/>
    <mergeCell ref="C228:D228"/>
    <mergeCell ref="C229:D229"/>
    <mergeCell ref="C230:D230"/>
    <mergeCell ref="C233:D233"/>
    <mergeCell ref="C221:D221"/>
    <mergeCell ref="E221:F221"/>
    <mergeCell ref="C235:D235"/>
    <mergeCell ref="B239:B251"/>
    <mergeCell ref="C239:D239"/>
    <mergeCell ref="C240:D240"/>
    <mergeCell ref="C244:D244"/>
    <mergeCell ref="C241:D241"/>
    <mergeCell ref="C242:D242"/>
    <mergeCell ref="C223:D223"/>
    <mergeCell ref="B225:D225"/>
    <mergeCell ref="C226:D226"/>
    <mergeCell ref="C245:D245"/>
    <mergeCell ref="C246:D246"/>
    <mergeCell ref="B222:B223"/>
    <mergeCell ref="C222:D222"/>
    <mergeCell ref="C237:D237"/>
    <mergeCell ref="C238:D238"/>
    <mergeCell ref="C243:D243"/>
    <mergeCell ref="C247:D247"/>
    <mergeCell ref="C248:D248"/>
    <mergeCell ref="C249:D249"/>
    <mergeCell ref="C250:D250"/>
    <mergeCell ref="C231:D231"/>
    <mergeCell ref="C232:D232"/>
    <mergeCell ref="C236:D236"/>
    <mergeCell ref="C234:D234"/>
    <mergeCell ref="E238:F238"/>
    <mergeCell ref="C258:D258"/>
    <mergeCell ref="C259:D259"/>
    <mergeCell ref="C260:D260"/>
    <mergeCell ref="C261:D261"/>
    <mergeCell ref="C270:D270"/>
    <mergeCell ref="C251:D251"/>
    <mergeCell ref="C252:D252"/>
    <mergeCell ref="E252:F252"/>
    <mergeCell ref="C253:D253"/>
    <mergeCell ref="C257:D257"/>
    <mergeCell ref="C255:D255"/>
    <mergeCell ref="C256:D256"/>
    <mergeCell ref="C262:D262"/>
    <mergeCell ref="C263:D263"/>
    <mergeCell ref="C264:D264"/>
    <mergeCell ref="C265:D265"/>
    <mergeCell ref="C266:D266"/>
    <mergeCell ref="C267:D267"/>
    <mergeCell ref="C268:D268"/>
    <mergeCell ref="C269:D269"/>
    <mergeCell ref="J414:J427"/>
    <mergeCell ref="K414:K427"/>
    <mergeCell ref="B385:C385"/>
    <mergeCell ref="B390:C390"/>
    <mergeCell ref="C357:D357"/>
    <mergeCell ref="B358:B368"/>
    <mergeCell ref="C371:D371"/>
    <mergeCell ref="B372:B382"/>
    <mergeCell ref="B349:B350"/>
    <mergeCell ref="C351:D351"/>
    <mergeCell ref="E351:F351"/>
    <mergeCell ref="E555:F555"/>
    <mergeCell ref="C38:F38"/>
    <mergeCell ref="C41:F41"/>
    <mergeCell ref="C42:F42"/>
    <mergeCell ref="C74:F74"/>
    <mergeCell ref="B82:F82"/>
    <mergeCell ref="B94:F94"/>
    <mergeCell ref="C547:D547"/>
    <mergeCell ref="E547:F547"/>
    <mergeCell ref="C548:D548"/>
    <mergeCell ref="B542:C542"/>
    <mergeCell ref="E542:F542"/>
    <mergeCell ref="C546:D546"/>
    <mergeCell ref="E546:F546"/>
    <mergeCell ref="E530:F530"/>
    <mergeCell ref="E531:F531"/>
    <mergeCell ref="E532:F532"/>
    <mergeCell ref="E539:F539"/>
    <mergeCell ref="E540:F540"/>
    <mergeCell ref="E541:F541"/>
    <mergeCell ref="E466:F466"/>
    <mergeCell ref="E467:F467"/>
    <mergeCell ref="E468:F468"/>
    <mergeCell ref="E465:F465"/>
    <mergeCell ref="G513:G521"/>
    <mergeCell ref="K513:K519"/>
    <mergeCell ref="E533:F533"/>
    <mergeCell ref="E486:E495"/>
    <mergeCell ref="G486:G495"/>
    <mergeCell ref="K486:K495"/>
    <mergeCell ref="K501:K507"/>
    <mergeCell ref="E501:E507"/>
    <mergeCell ref="G501:G507"/>
    <mergeCell ref="M391:M392"/>
    <mergeCell ref="B40:B42"/>
    <mergeCell ref="C35:F35"/>
    <mergeCell ref="C40:F40"/>
    <mergeCell ref="C44:F44"/>
    <mergeCell ref="C68:F68"/>
    <mergeCell ref="E534:F534"/>
    <mergeCell ref="H463:I463"/>
    <mergeCell ref="J463:K463"/>
    <mergeCell ref="E464:F464"/>
    <mergeCell ref="L465:L467"/>
    <mergeCell ref="E469:E480"/>
    <mergeCell ref="K469:K480"/>
    <mergeCell ref="M414:M427"/>
    <mergeCell ref="E416:F416"/>
    <mergeCell ref="E417:F417"/>
    <mergeCell ref="E418:F418"/>
    <mergeCell ref="E444:F444"/>
    <mergeCell ref="E445:F445"/>
    <mergeCell ref="J445:J457"/>
    <mergeCell ref="K445:K457"/>
    <mergeCell ref="M445:M457"/>
    <mergeCell ref="E282:F282"/>
    <mergeCell ref="C283:D283"/>
    <mergeCell ref="E554:F554"/>
    <mergeCell ref="B469:D485"/>
    <mergeCell ref="B486:D500"/>
    <mergeCell ref="B332:B333"/>
    <mergeCell ref="E553:F553"/>
    <mergeCell ref="E551:F551"/>
    <mergeCell ref="E548:F548"/>
    <mergeCell ref="E549:F549"/>
    <mergeCell ref="E550:F550"/>
    <mergeCell ref="E535:F535"/>
    <mergeCell ref="E529:F529"/>
    <mergeCell ref="B513:D525"/>
    <mergeCell ref="E513:E521"/>
    <mergeCell ref="E447:F447"/>
    <mergeCell ref="E448:F448"/>
    <mergeCell ref="E449:F449"/>
    <mergeCell ref="E414:F414"/>
    <mergeCell ref="C345:D345"/>
    <mergeCell ref="E345:F345"/>
    <mergeCell ref="B346:B347"/>
    <mergeCell ref="C348:D348"/>
    <mergeCell ref="E348:F348"/>
    <mergeCell ref="C337:D337"/>
    <mergeCell ref="E337:F337"/>
    <mergeCell ref="C282:D282"/>
    <mergeCell ref="C276:D276"/>
    <mergeCell ref="G469:G480"/>
    <mergeCell ref="E408:F408"/>
    <mergeCell ref="E409:F409"/>
    <mergeCell ref="E413:F413"/>
    <mergeCell ref="E403:F403"/>
    <mergeCell ref="E404:F404"/>
    <mergeCell ref="E405:F405"/>
    <mergeCell ref="E406:F406"/>
    <mergeCell ref="E407:F407"/>
    <mergeCell ref="C278:D278"/>
    <mergeCell ref="C277:D277"/>
    <mergeCell ref="B526:D526"/>
    <mergeCell ref="B501:D512"/>
    <mergeCell ref="B395:F395"/>
    <mergeCell ref="C219:D219"/>
    <mergeCell ref="E331:F331"/>
    <mergeCell ref="B327:B328"/>
    <mergeCell ref="B285:D285"/>
    <mergeCell ref="B338:B342"/>
    <mergeCell ref="C338:D338"/>
    <mergeCell ref="C339:D339"/>
    <mergeCell ref="C340:D340"/>
    <mergeCell ref="C341:D341"/>
    <mergeCell ref="C342:D342"/>
    <mergeCell ref="B323:B325"/>
    <mergeCell ref="C326:D326"/>
    <mergeCell ref="C331:D331"/>
    <mergeCell ref="C322:D322"/>
    <mergeCell ref="C274:D274"/>
    <mergeCell ref="C275:D275"/>
    <mergeCell ref="C279:D279"/>
    <mergeCell ref="B253:B279"/>
    <mergeCell ref="C271:D271"/>
    <mergeCell ref="C254:D254"/>
    <mergeCell ref="C272:D272"/>
  </mergeCells>
  <phoneticPr fontId="20" type="noConversion"/>
  <conditionalFormatting sqref="G8 I8">
    <cfRule type="cellIs" dxfId="10269" priority="26397" operator="equal">
      <formula>"input"</formula>
    </cfRule>
  </conditionalFormatting>
  <conditionalFormatting sqref="K67">
    <cfRule type="expression" dxfId="10268" priority="26398">
      <formula>#REF!&gt;0</formula>
    </cfRule>
  </conditionalFormatting>
  <conditionalFormatting sqref="M341 M202:M204 M157:M162 M194 M148:M155 M167:M172">
    <cfRule type="cellIs" dxfId="10267" priority="26395" operator="equal">
      <formula>"value일 미도래"</formula>
    </cfRule>
  </conditionalFormatting>
  <conditionalFormatting sqref="L24:L27 L16:L21">
    <cfRule type="expression" dxfId="10266" priority="26389">
      <formula>"&gt;=5000"</formula>
    </cfRule>
  </conditionalFormatting>
  <conditionalFormatting sqref="D323 D328 D325">
    <cfRule type="containsText" dxfId="10265" priority="26387" operator="containsText" text="장기">
      <formula>NOT(ISERROR(SEARCH("장기",D323)))</formula>
    </cfRule>
    <cfRule type="containsText" dxfId="10264" priority="26388" stopIfTrue="1" operator="containsText" text="단기">
      <formula>NOT(ISERROR(SEARCH("단기",D323)))</formula>
    </cfRule>
  </conditionalFormatting>
  <conditionalFormatting sqref="M340">
    <cfRule type="cellIs" dxfId="10263" priority="26386" operator="equal">
      <formula>"value일 미도래"</formula>
    </cfRule>
  </conditionalFormatting>
  <conditionalFormatting sqref="M342">
    <cfRule type="cellIs" dxfId="10262" priority="26385" operator="equal">
      <formula>"value일 미도래"</formula>
    </cfRule>
  </conditionalFormatting>
  <conditionalFormatting sqref="G16:G21 G24:G27">
    <cfRule type="expression" dxfId="10261" priority="26384">
      <formula>"&gt;=5000"</formula>
    </cfRule>
  </conditionalFormatting>
  <conditionalFormatting sqref="M206:M208">
    <cfRule type="cellIs" dxfId="10260" priority="26383" operator="equal">
      <formula>"value일 미도래"</formula>
    </cfRule>
  </conditionalFormatting>
  <conditionalFormatting sqref="M208">
    <cfRule type="cellIs" dxfId="10259" priority="26382" operator="equal">
      <formula>"value일 미도래"</formula>
    </cfRule>
  </conditionalFormatting>
  <conditionalFormatting sqref="K24:K27 K16:K21">
    <cfRule type="expression" dxfId="10258" priority="26380">
      <formula>"&gt;=5000"</formula>
    </cfRule>
  </conditionalFormatting>
  <conditionalFormatting sqref="K33">
    <cfRule type="expression" dxfId="10257" priority="26379">
      <formula>#REF!&gt;0</formula>
    </cfRule>
  </conditionalFormatting>
  <conditionalFormatting sqref="M148:M149">
    <cfRule type="cellIs" dxfId="10256" priority="26378" operator="equal">
      <formula>"value일 미도래"</formula>
    </cfRule>
  </conditionalFormatting>
  <conditionalFormatting sqref="E16:E21 E24:E27">
    <cfRule type="expression" dxfId="10255" priority="26374">
      <formula>"&gt;=5000"</formula>
    </cfRule>
  </conditionalFormatting>
  <conditionalFormatting sqref="D327">
    <cfRule type="containsText" dxfId="10254" priority="26369" operator="containsText" text="장기">
      <formula>NOT(ISERROR(SEARCH("장기",D327)))</formula>
    </cfRule>
    <cfRule type="containsText" dxfId="10253" priority="26370" stopIfTrue="1" operator="containsText" text="단기">
      <formula>NOT(ISERROR(SEARCH("단기",D327)))</formula>
    </cfRule>
  </conditionalFormatting>
  <conditionalFormatting sqref="M160:M162">
    <cfRule type="cellIs" dxfId="10252" priority="26368" operator="equal">
      <formula>"value일 미도래"</formula>
    </cfRule>
  </conditionalFormatting>
  <conditionalFormatting sqref="H4">
    <cfRule type="containsText" dxfId="10251" priority="26367" operator="containsText" text="날짜수정">
      <formula>NOT(ISERROR(SEARCH("날짜수정",H4)))</formula>
    </cfRule>
  </conditionalFormatting>
  <conditionalFormatting sqref="I4">
    <cfRule type="containsText" dxfId="10250" priority="26366" operator="containsText" text="잔액오류">
      <formula>NOT(ISERROR(SEARCH("잔액오류",I4)))</formula>
    </cfRule>
  </conditionalFormatting>
  <conditionalFormatting sqref="M339">
    <cfRule type="cellIs" dxfId="10249" priority="26363" operator="equal">
      <formula>"value일 미도래"</formula>
    </cfRule>
  </conditionalFormatting>
  <conditionalFormatting sqref="M338">
    <cfRule type="cellIs" dxfId="10248" priority="26362" operator="equal">
      <formula>"value일 미도래"</formula>
    </cfRule>
  </conditionalFormatting>
  <conditionalFormatting sqref="M149:M150">
    <cfRule type="cellIs" dxfId="10247" priority="26361" operator="equal">
      <formula>"value일 미도래"</formula>
    </cfRule>
  </conditionalFormatting>
  <conditionalFormatting sqref="M149:M150">
    <cfRule type="cellIs" dxfId="10246" priority="26360" operator="equal">
      <formula>"value일 미도래"</formula>
    </cfRule>
  </conditionalFormatting>
  <conditionalFormatting sqref="D324">
    <cfRule type="containsText" dxfId="10245" priority="26358" operator="containsText" text="장기">
      <formula>NOT(ISERROR(SEARCH("장기",D324)))</formula>
    </cfRule>
    <cfRule type="containsText" dxfId="10244" priority="26359" stopIfTrue="1" operator="containsText" text="단기">
      <formula>NOT(ISERROR(SEARCH("단기",D324)))</formula>
    </cfRule>
  </conditionalFormatting>
  <conditionalFormatting sqref="G9:I9">
    <cfRule type="cellIs" dxfId="10243" priority="26351" operator="equal">
      <formula>"input"</formula>
    </cfRule>
  </conditionalFormatting>
  <conditionalFormatting sqref="G10:I10">
    <cfRule type="cellIs" dxfId="10242" priority="26350" operator="equal">
      <formula>"input"</formula>
    </cfRule>
  </conditionalFormatting>
  <conditionalFormatting sqref="M148">
    <cfRule type="cellIs" dxfId="10241" priority="26348" operator="equal">
      <formula>"value일 미도래"</formula>
    </cfRule>
  </conditionalFormatting>
  <conditionalFormatting sqref="M151:M152">
    <cfRule type="cellIs" dxfId="10240" priority="26347" operator="equal">
      <formula>"value일 미도래"</formula>
    </cfRule>
  </conditionalFormatting>
  <conditionalFormatting sqref="M151:M152">
    <cfRule type="cellIs" dxfId="10239" priority="26346" operator="equal">
      <formula>"value일 미도래"</formula>
    </cfRule>
  </conditionalFormatting>
  <conditionalFormatting sqref="M148:M149">
    <cfRule type="cellIs" dxfId="10238" priority="26345" operator="equal">
      <formula>"value일 미도래"</formula>
    </cfRule>
  </conditionalFormatting>
  <conditionalFormatting sqref="M148:M149">
    <cfRule type="cellIs" dxfId="10237" priority="26344" operator="equal">
      <formula>"value일 미도래"</formula>
    </cfRule>
  </conditionalFormatting>
  <conditionalFormatting sqref="M283">
    <cfRule type="cellIs" dxfId="10236" priority="26336" operator="equal">
      <formula>"value일 미도래"</formula>
    </cfRule>
  </conditionalFormatting>
  <conditionalFormatting sqref="M237">
    <cfRule type="cellIs" dxfId="10235" priority="26325" operator="equal">
      <formula>"value일 미도래"</formula>
    </cfRule>
  </conditionalFormatting>
  <conditionalFormatting sqref="M156">
    <cfRule type="cellIs" dxfId="10234" priority="26305" operator="equal">
      <formula>"value일 미도래"</formula>
    </cfRule>
  </conditionalFormatting>
  <conditionalFormatting sqref="M156">
    <cfRule type="cellIs" dxfId="10233" priority="26304" operator="equal">
      <formula>"value일 미도래"</formula>
    </cfRule>
  </conditionalFormatting>
  <conditionalFormatting sqref="M156">
    <cfRule type="cellIs" dxfId="10232" priority="26303" operator="equal">
      <formula>"value일 미도래"</formula>
    </cfRule>
  </conditionalFormatting>
  <conditionalFormatting sqref="M156">
    <cfRule type="cellIs" dxfId="10231" priority="26302" operator="equal">
      <formula>"value일 미도래"</formula>
    </cfRule>
  </conditionalFormatting>
  <conditionalFormatting sqref="M233:M235">
    <cfRule type="cellIs" dxfId="10230" priority="26063" operator="equal">
      <formula>"value일 미도래"</formula>
    </cfRule>
  </conditionalFormatting>
  <conditionalFormatting sqref="M232 M229:M230">
    <cfRule type="cellIs" dxfId="10229" priority="26062" operator="equal">
      <formula>"value일 미도래"</formula>
    </cfRule>
  </conditionalFormatting>
  <conditionalFormatting sqref="H24:H27 H16:H21">
    <cfRule type="expression" dxfId="10228" priority="26061">
      <formula>"&gt;=5000"</formula>
    </cfRule>
  </conditionalFormatting>
  <conditionalFormatting sqref="I24:I27 I16:I21">
    <cfRule type="expression" dxfId="10227" priority="26060">
      <formula>"&gt;=5000"</formula>
    </cfRule>
  </conditionalFormatting>
  <conditionalFormatting sqref="M236">
    <cfRule type="cellIs" dxfId="10226" priority="26015" operator="equal">
      <formula>"value일 미도래"</formula>
    </cfRule>
  </conditionalFormatting>
  <conditionalFormatting sqref="M154">
    <cfRule type="cellIs" dxfId="10225" priority="26006" operator="equal">
      <formula>"value일 미도래"</formula>
    </cfRule>
  </conditionalFormatting>
  <conditionalFormatting sqref="M154">
    <cfRule type="cellIs" dxfId="10224" priority="26005" operator="equal">
      <formula>"value일 미도래"</formula>
    </cfRule>
  </conditionalFormatting>
  <conditionalFormatting sqref="M154">
    <cfRule type="cellIs" dxfId="10223" priority="26004" operator="equal">
      <formula>"value일 미도래"</formula>
    </cfRule>
  </conditionalFormatting>
  <conditionalFormatting sqref="M148">
    <cfRule type="cellIs" dxfId="10222" priority="26002" operator="equal">
      <formula>"value일 미도래"</formula>
    </cfRule>
  </conditionalFormatting>
  <conditionalFormatting sqref="M148">
    <cfRule type="cellIs" dxfId="10221" priority="26001" operator="equal">
      <formula>"value일 미도래"</formula>
    </cfRule>
  </conditionalFormatting>
  <conditionalFormatting sqref="M148:M149">
    <cfRule type="cellIs" dxfId="10220" priority="26000" operator="equal">
      <formula>"value일 미도래"</formula>
    </cfRule>
  </conditionalFormatting>
  <conditionalFormatting sqref="M148:M149">
    <cfRule type="cellIs" dxfId="10219" priority="25999" operator="equal">
      <formula>"value일 미도래"</formula>
    </cfRule>
  </conditionalFormatting>
  <conditionalFormatting sqref="M149:M150">
    <cfRule type="cellIs" dxfId="10218" priority="25998" operator="equal">
      <formula>"value일 미도래"</formula>
    </cfRule>
  </conditionalFormatting>
  <conditionalFormatting sqref="M149:M150">
    <cfRule type="cellIs" dxfId="10217" priority="25997" operator="equal">
      <formula>"value일 미도래"</formula>
    </cfRule>
  </conditionalFormatting>
  <conditionalFormatting sqref="M149:M150">
    <cfRule type="cellIs" dxfId="10216" priority="25996" operator="equal">
      <formula>"value일 미도래"</formula>
    </cfRule>
  </conditionalFormatting>
  <conditionalFormatting sqref="M151:M152">
    <cfRule type="cellIs" dxfId="10215" priority="25995" operator="equal">
      <formula>"value일 미도래"</formula>
    </cfRule>
  </conditionalFormatting>
  <conditionalFormatting sqref="M151:M152">
    <cfRule type="cellIs" dxfId="10214" priority="25994" operator="equal">
      <formula>"value일 미도래"</formula>
    </cfRule>
  </conditionalFormatting>
  <conditionalFormatting sqref="M151:M152">
    <cfRule type="cellIs" dxfId="10213" priority="25993" operator="equal">
      <formula>"value일 미도래"</formula>
    </cfRule>
  </conditionalFormatting>
  <conditionalFormatting sqref="M164:M167">
    <cfRule type="cellIs" dxfId="10212" priority="25968" operator="equal">
      <formula>"value일 미도래"</formula>
    </cfRule>
  </conditionalFormatting>
  <conditionalFormatting sqref="M166:M167">
    <cfRule type="cellIs" dxfId="10211" priority="25966" operator="equal">
      <formula>"value일 미도래"</formula>
    </cfRule>
  </conditionalFormatting>
  <conditionalFormatting sqref="M164:M166">
    <cfRule type="cellIs" dxfId="10210" priority="25957" operator="equal">
      <formula>"value일 미도래"</formula>
    </cfRule>
  </conditionalFormatting>
  <conditionalFormatting sqref="M148">
    <cfRule type="cellIs" dxfId="10209" priority="25950" operator="equal">
      <formula>"value일 미도래"</formula>
    </cfRule>
  </conditionalFormatting>
  <conditionalFormatting sqref="M148:M149">
    <cfRule type="cellIs" dxfId="10208" priority="25949" operator="equal">
      <formula>"value일 미도래"</formula>
    </cfRule>
  </conditionalFormatting>
  <conditionalFormatting sqref="M148:M149">
    <cfRule type="cellIs" dxfId="10207" priority="25948" operator="equal">
      <formula>"value일 미도래"</formula>
    </cfRule>
  </conditionalFormatting>
  <conditionalFormatting sqref="M149:M150">
    <cfRule type="cellIs" dxfId="10206" priority="25947" operator="equal">
      <formula>"value일 미도래"</formula>
    </cfRule>
  </conditionalFormatting>
  <conditionalFormatting sqref="M149:M150">
    <cfRule type="cellIs" dxfId="10205" priority="25946" operator="equal">
      <formula>"value일 미도래"</formula>
    </cfRule>
  </conditionalFormatting>
  <conditionalFormatting sqref="M148">
    <cfRule type="cellIs" dxfId="10204" priority="25945" operator="equal">
      <formula>"value일 미도래"</formula>
    </cfRule>
  </conditionalFormatting>
  <conditionalFormatting sqref="M148">
    <cfRule type="cellIs" dxfId="10203" priority="25944" operator="equal">
      <formula>"value일 미도래"</formula>
    </cfRule>
  </conditionalFormatting>
  <conditionalFormatting sqref="M151:M152">
    <cfRule type="cellIs" dxfId="10202" priority="25943" operator="equal">
      <formula>"value일 미도래"</formula>
    </cfRule>
  </conditionalFormatting>
  <conditionalFormatting sqref="M151:M152">
    <cfRule type="cellIs" dxfId="10201" priority="25942" operator="equal">
      <formula>"value일 미도래"</formula>
    </cfRule>
  </conditionalFormatting>
  <conditionalFormatting sqref="M151:M152">
    <cfRule type="cellIs" dxfId="10200" priority="25941" operator="equal">
      <formula>"value일 미도래"</formula>
    </cfRule>
  </conditionalFormatting>
  <conditionalFormatting sqref="M148">
    <cfRule type="cellIs" dxfId="10199" priority="25940" operator="equal">
      <formula>"value일 미도래"</formula>
    </cfRule>
  </conditionalFormatting>
  <conditionalFormatting sqref="M148">
    <cfRule type="cellIs" dxfId="10198" priority="25939" operator="equal">
      <formula>"value일 미도래"</formula>
    </cfRule>
  </conditionalFormatting>
  <conditionalFormatting sqref="M148:M149">
    <cfRule type="cellIs" dxfId="10197" priority="25938" operator="equal">
      <formula>"value일 미도래"</formula>
    </cfRule>
  </conditionalFormatting>
  <conditionalFormatting sqref="M148:M149">
    <cfRule type="cellIs" dxfId="10196" priority="25937" operator="equal">
      <formula>"value일 미도래"</formula>
    </cfRule>
  </conditionalFormatting>
  <conditionalFormatting sqref="M148:M149">
    <cfRule type="cellIs" dxfId="10195" priority="25936" operator="equal">
      <formula>"value일 미도래"</formula>
    </cfRule>
  </conditionalFormatting>
  <conditionalFormatting sqref="M149:M150">
    <cfRule type="cellIs" dxfId="10194" priority="25935" operator="equal">
      <formula>"value일 미도래"</formula>
    </cfRule>
  </conditionalFormatting>
  <conditionalFormatting sqref="M149:M150">
    <cfRule type="cellIs" dxfId="10193" priority="25934" operator="equal">
      <formula>"value일 미도래"</formula>
    </cfRule>
  </conditionalFormatting>
  <conditionalFormatting sqref="M149:M150">
    <cfRule type="cellIs" dxfId="10192" priority="25933" operator="equal">
      <formula>"value일 미도래"</formula>
    </cfRule>
  </conditionalFormatting>
  <conditionalFormatting sqref="M148">
    <cfRule type="cellIs" dxfId="10191" priority="25908" operator="equal">
      <formula>"value일 미도래"</formula>
    </cfRule>
  </conditionalFormatting>
  <conditionalFormatting sqref="M148">
    <cfRule type="cellIs" dxfId="10190" priority="25907" operator="equal">
      <formula>"value일 미도래"</formula>
    </cfRule>
  </conditionalFormatting>
  <conditionalFormatting sqref="M148:M149">
    <cfRule type="cellIs" dxfId="10189" priority="25906" operator="equal">
      <formula>"value일 미도래"</formula>
    </cfRule>
  </conditionalFormatting>
  <conditionalFormatting sqref="M148:M149">
    <cfRule type="cellIs" dxfId="10188" priority="25905" operator="equal">
      <formula>"value일 미도래"</formula>
    </cfRule>
  </conditionalFormatting>
  <conditionalFormatting sqref="M149:M150">
    <cfRule type="cellIs" dxfId="10187" priority="25904" operator="equal">
      <formula>"value일 미도래"</formula>
    </cfRule>
  </conditionalFormatting>
  <conditionalFormatting sqref="M149:M150">
    <cfRule type="cellIs" dxfId="10186" priority="25903" operator="equal">
      <formula>"value일 미도래"</formula>
    </cfRule>
  </conditionalFormatting>
  <conditionalFormatting sqref="M149:M150">
    <cfRule type="cellIs" dxfId="10185" priority="25902" operator="equal">
      <formula>"value일 미도래"</formula>
    </cfRule>
  </conditionalFormatting>
  <conditionalFormatting sqref="M151:M152">
    <cfRule type="cellIs" dxfId="10184" priority="25901" operator="equal">
      <formula>"value일 미도래"</formula>
    </cfRule>
  </conditionalFormatting>
  <conditionalFormatting sqref="M151:M152">
    <cfRule type="cellIs" dxfId="10183" priority="25900" operator="equal">
      <formula>"value일 미도래"</formula>
    </cfRule>
  </conditionalFormatting>
  <conditionalFormatting sqref="M151:M152">
    <cfRule type="cellIs" dxfId="10182" priority="25899" operator="equal">
      <formula>"value일 미도래"</formula>
    </cfRule>
  </conditionalFormatting>
  <conditionalFormatting sqref="M148">
    <cfRule type="cellIs" dxfId="10181" priority="25898" operator="equal">
      <formula>"value일 미도래"</formula>
    </cfRule>
  </conditionalFormatting>
  <conditionalFormatting sqref="M148">
    <cfRule type="cellIs" dxfId="10180" priority="25897" operator="equal">
      <formula>"value일 미도래"</formula>
    </cfRule>
  </conditionalFormatting>
  <conditionalFormatting sqref="M148">
    <cfRule type="cellIs" dxfId="10179" priority="25896" operator="equal">
      <formula>"value일 미도래"</formula>
    </cfRule>
  </conditionalFormatting>
  <conditionalFormatting sqref="M148:M149">
    <cfRule type="cellIs" dxfId="10178" priority="25895" operator="equal">
      <formula>"value일 미도래"</formula>
    </cfRule>
  </conditionalFormatting>
  <conditionalFormatting sqref="M148:M149">
    <cfRule type="cellIs" dxfId="10177" priority="25894" operator="equal">
      <formula>"value일 미도래"</formula>
    </cfRule>
  </conditionalFormatting>
  <conditionalFormatting sqref="M148:M149">
    <cfRule type="cellIs" dxfId="10176" priority="25893" operator="equal">
      <formula>"value일 미도래"</formula>
    </cfRule>
  </conditionalFormatting>
  <conditionalFormatting sqref="M148">
    <cfRule type="cellIs" dxfId="10175" priority="25892" operator="equal">
      <formula>"value일 미도래"</formula>
    </cfRule>
  </conditionalFormatting>
  <conditionalFormatting sqref="M148">
    <cfRule type="cellIs" dxfId="10174" priority="25891" operator="equal">
      <formula>"value일 미도래"</formula>
    </cfRule>
  </conditionalFormatting>
  <conditionalFormatting sqref="M148:M149">
    <cfRule type="cellIs" dxfId="10173" priority="25890" operator="equal">
      <formula>"value일 미도래"</formula>
    </cfRule>
  </conditionalFormatting>
  <conditionalFormatting sqref="M148:M149">
    <cfRule type="cellIs" dxfId="10172" priority="25889" operator="equal">
      <formula>"value일 미도래"</formula>
    </cfRule>
  </conditionalFormatting>
  <conditionalFormatting sqref="M148:M149">
    <cfRule type="cellIs" dxfId="10171" priority="25888" operator="equal">
      <formula>"value일 미도래"</formula>
    </cfRule>
  </conditionalFormatting>
  <conditionalFormatting sqref="M148">
    <cfRule type="cellIs" dxfId="10170" priority="25887" operator="equal">
      <formula>"value일 미도래"</formula>
    </cfRule>
  </conditionalFormatting>
  <conditionalFormatting sqref="M148">
    <cfRule type="cellIs" dxfId="10169" priority="25886" operator="equal">
      <formula>"value일 미도래"</formula>
    </cfRule>
  </conditionalFormatting>
  <conditionalFormatting sqref="M148">
    <cfRule type="cellIs" dxfId="10168" priority="25885" operator="equal">
      <formula>"value일 미도래"</formula>
    </cfRule>
  </conditionalFormatting>
  <conditionalFormatting sqref="M164:M165">
    <cfRule type="cellIs" dxfId="10167" priority="25863" operator="equal">
      <formula>"value일 미도래"</formula>
    </cfRule>
  </conditionalFormatting>
  <conditionalFormatting sqref="M164:M165">
    <cfRule type="cellIs" dxfId="10166" priority="25862" operator="equal">
      <formula>"value일 미도래"</formula>
    </cfRule>
  </conditionalFormatting>
  <conditionalFormatting sqref="M148">
    <cfRule type="cellIs" dxfId="10165" priority="25811" operator="equal">
      <formula>"value일 미도래"</formula>
    </cfRule>
  </conditionalFormatting>
  <conditionalFormatting sqref="M148:M149">
    <cfRule type="cellIs" dxfId="10164" priority="25810" operator="equal">
      <formula>"value일 미도래"</formula>
    </cfRule>
  </conditionalFormatting>
  <conditionalFormatting sqref="M148:M149">
    <cfRule type="cellIs" dxfId="10163" priority="25809" operator="equal">
      <formula>"value일 미도래"</formula>
    </cfRule>
  </conditionalFormatting>
  <conditionalFormatting sqref="M149:M150">
    <cfRule type="cellIs" dxfId="10162" priority="25808" operator="equal">
      <formula>"value일 미도래"</formula>
    </cfRule>
  </conditionalFormatting>
  <conditionalFormatting sqref="M149:M150">
    <cfRule type="cellIs" dxfId="10161" priority="25807" operator="equal">
      <formula>"value일 미도래"</formula>
    </cfRule>
  </conditionalFormatting>
  <conditionalFormatting sqref="M148">
    <cfRule type="cellIs" dxfId="10160" priority="25806" operator="equal">
      <formula>"value일 미도래"</formula>
    </cfRule>
  </conditionalFormatting>
  <conditionalFormatting sqref="M148">
    <cfRule type="cellIs" dxfId="10159" priority="25805" operator="equal">
      <formula>"value일 미도래"</formula>
    </cfRule>
  </conditionalFormatting>
  <conditionalFormatting sqref="M151:M152">
    <cfRule type="cellIs" dxfId="10158" priority="25804" operator="equal">
      <formula>"value일 미도래"</formula>
    </cfRule>
  </conditionalFormatting>
  <conditionalFormatting sqref="M151:M152">
    <cfRule type="cellIs" dxfId="10157" priority="25803" operator="equal">
      <formula>"value일 미도래"</formula>
    </cfRule>
  </conditionalFormatting>
  <conditionalFormatting sqref="M151:M152">
    <cfRule type="cellIs" dxfId="10156" priority="25802" operator="equal">
      <formula>"value일 미도래"</formula>
    </cfRule>
  </conditionalFormatting>
  <conditionalFormatting sqref="M148">
    <cfRule type="cellIs" dxfId="10155" priority="25798" operator="equal">
      <formula>"value일 미도래"</formula>
    </cfRule>
  </conditionalFormatting>
  <conditionalFormatting sqref="M148">
    <cfRule type="cellIs" dxfId="10154" priority="25797" operator="equal">
      <formula>"value일 미도래"</formula>
    </cfRule>
  </conditionalFormatting>
  <conditionalFormatting sqref="M148:M149">
    <cfRule type="cellIs" dxfId="10153" priority="25796" operator="equal">
      <formula>"value일 미도래"</formula>
    </cfRule>
  </conditionalFormatting>
  <conditionalFormatting sqref="M148:M149">
    <cfRule type="cellIs" dxfId="10152" priority="25795" operator="equal">
      <formula>"value일 미도래"</formula>
    </cfRule>
  </conditionalFormatting>
  <conditionalFormatting sqref="M148:M149">
    <cfRule type="cellIs" dxfId="10151" priority="25794" operator="equal">
      <formula>"value일 미도래"</formula>
    </cfRule>
  </conditionalFormatting>
  <conditionalFormatting sqref="M149:M150">
    <cfRule type="cellIs" dxfId="10150" priority="25793" operator="equal">
      <formula>"value일 미도래"</formula>
    </cfRule>
  </conditionalFormatting>
  <conditionalFormatting sqref="M149:M150">
    <cfRule type="cellIs" dxfId="10149" priority="25792" operator="equal">
      <formula>"value일 미도래"</formula>
    </cfRule>
  </conditionalFormatting>
  <conditionalFormatting sqref="M149:M150">
    <cfRule type="cellIs" dxfId="10148" priority="25791" operator="equal">
      <formula>"value일 미도래"</formula>
    </cfRule>
  </conditionalFormatting>
  <conditionalFormatting sqref="M148">
    <cfRule type="cellIs" dxfId="10147" priority="25790" operator="equal">
      <formula>"value일 미도래"</formula>
    </cfRule>
  </conditionalFormatting>
  <conditionalFormatting sqref="M148">
    <cfRule type="cellIs" dxfId="10146" priority="25789" operator="equal">
      <formula>"value일 미도래"</formula>
    </cfRule>
  </conditionalFormatting>
  <conditionalFormatting sqref="M148:M149">
    <cfRule type="cellIs" dxfId="10145" priority="25788" operator="equal">
      <formula>"value일 미도래"</formula>
    </cfRule>
  </conditionalFormatting>
  <conditionalFormatting sqref="M148:M149">
    <cfRule type="cellIs" dxfId="10144" priority="25787" operator="equal">
      <formula>"value일 미도래"</formula>
    </cfRule>
  </conditionalFormatting>
  <conditionalFormatting sqref="M149:M150">
    <cfRule type="cellIs" dxfId="10143" priority="25786" operator="equal">
      <formula>"value일 미도래"</formula>
    </cfRule>
  </conditionalFormatting>
  <conditionalFormatting sqref="M149:M150">
    <cfRule type="cellIs" dxfId="10142" priority="25785" operator="equal">
      <formula>"value일 미도래"</formula>
    </cfRule>
  </conditionalFormatting>
  <conditionalFormatting sqref="M149:M150">
    <cfRule type="cellIs" dxfId="10141" priority="25784" operator="equal">
      <formula>"value일 미도래"</formula>
    </cfRule>
  </conditionalFormatting>
  <conditionalFormatting sqref="M148">
    <cfRule type="cellIs" dxfId="10140" priority="25783" operator="equal">
      <formula>"value일 미도래"</formula>
    </cfRule>
  </conditionalFormatting>
  <conditionalFormatting sqref="M148">
    <cfRule type="cellIs" dxfId="10139" priority="25782" operator="equal">
      <formula>"value일 미도래"</formula>
    </cfRule>
  </conditionalFormatting>
  <conditionalFormatting sqref="M148">
    <cfRule type="cellIs" dxfId="10138" priority="25781" operator="equal">
      <formula>"value일 미도래"</formula>
    </cfRule>
  </conditionalFormatting>
  <conditionalFormatting sqref="M148:M149">
    <cfRule type="cellIs" dxfId="10137" priority="25780" operator="equal">
      <formula>"value일 미도래"</formula>
    </cfRule>
  </conditionalFormatting>
  <conditionalFormatting sqref="M148:M149">
    <cfRule type="cellIs" dxfId="10136" priority="25779" operator="equal">
      <formula>"value일 미도래"</formula>
    </cfRule>
  </conditionalFormatting>
  <conditionalFormatting sqref="M148:M149">
    <cfRule type="cellIs" dxfId="10135" priority="25778" operator="equal">
      <formula>"value일 미도래"</formula>
    </cfRule>
  </conditionalFormatting>
  <conditionalFormatting sqref="M148">
    <cfRule type="cellIs" dxfId="10134" priority="25777" operator="equal">
      <formula>"value일 미도래"</formula>
    </cfRule>
  </conditionalFormatting>
  <conditionalFormatting sqref="M148">
    <cfRule type="cellIs" dxfId="10133" priority="25776" operator="equal">
      <formula>"value일 미도래"</formula>
    </cfRule>
  </conditionalFormatting>
  <conditionalFormatting sqref="M148:M149">
    <cfRule type="cellIs" dxfId="10132" priority="25775" operator="equal">
      <formula>"value일 미도래"</formula>
    </cfRule>
  </conditionalFormatting>
  <conditionalFormatting sqref="M148:M149">
    <cfRule type="cellIs" dxfId="10131" priority="25774" operator="equal">
      <formula>"value일 미도래"</formula>
    </cfRule>
  </conditionalFormatting>
  <conditionalFormatting sqref="M148:M149">
    <cfRule type="cellIs" dxfId="10130" priority="25773" operator="equal">
      <formula>"value일 미도래"</formula>
    </cfRule>
  </conditionalFormatting>
  <conditionalFormatting sqref="M149:M150">
    <cfRule type="cellIs" dxfId="10129" priority="25772" operator="equal">
      <formula>"value일 미도래"</formula>
    </cfRule>
  </conditionalFormatting>
  <conditionalFormatting sqref="M149:M150">
    <cfRule type="cellIs" dxfId="10128" priority="25771" operator="equal">
      <formula>"value일 미도래"</formula>
    </cfRule>
  </conditionalFormatting>
  <conditionalFormatting sqref="M149:M150">
    <cfRule type="cellIs" dxfId="10127" priority="25770" operator="equal">
      <formula>"value일 미도래"</formula>
    </cfRule>
  </conditionalFormatting>
  <conditionalFormatting sqref="M148">
    <cfRule type="cellIs" dxfId="10126" priority="25769" operator="equal">
      <formula>"value일 미도래"</formula>
    </cfRule>
  </conditionalFormatting>
  <conditionalFormatting sqref="M148">
    <cfRule type="cellIs" dxfId="10125" priority="25768" operator="equal">
      <formula>"value일 미도래"</formula>
    </cfRule>
  </conditionalFormatting>
  <conditionalFormatting sqref="M148">
    <cfRule type="cellIs" dxfId="10124" priority="25767" operator="equal">
      <formula>"value일 미도래"</formula>
    </cfRule>
  </conditionalFormatting>
  <conditionalFormatting sqref="M148">
    <cfRule type="cellIs" dxfId="10123" priority="25766" operator="equal">
      <formula>"value일 미도래"</formula>
    </cfRule>
  </conditionalFormatting>
  <conditionalFormatting sqref="M148">
    <cfRule type="cellIs" dxfId="10122" priority="25765" operator="equal">
      <formula>"value일 미도래"</formula>
    </cfRule>
  </conditionalFormatting>
  <conditionalFormatting sqref="M148">
    <cfRule type="cellIs" dxfId="10121" priority="25764" operator="equal">
      <formula>"value일 미도래"</formula>
    </cfRule>
  </conditionalFormatting>
  <conditionalFormatting sqref="M148">
    <cfRule type="cellIs" dxfId="10120" priority="25723" operator="equal">
      <formula>"value일 미도래"</formula>
    </cfRule>
  </conditionalFormatting>
  <conditionalFormatting sqref="M148:M149">
    <cfRule type="cellIs" dxfId="10119" priority="25722" operator="equal">
      <formula>"value일 미도래"</formula>
    </cfRule>
  </conditionalFormatting>
  <conditionalFormatting sqref="M148:M149">
    <cfRule type="cellIs" dxfId="10118" priority="25721" operator="equal">
      <formula>"value일 미도래"</formula>
    </cfRule>
  </conditionalFormatting>
  <conditionalFormatting sqref="M149:M150">
    <cfRule type="cellIs" dxfId="10117" priority="25720" operator="equal">
      <formula>"value일 미도래"</formula>
    </cfRule>
  </conditionalFormatting>
  <conditionalFormatting sqref="M149:M150">
    <cfRule type="cellIs" dxfId="10116" priority="25719" operator="equal">
      <formula>"value일 미도래"</formula>
    </cfRule>
  </conditionalFormatting>
  <conditionalFormatting sqref="M148">
    <cfRule type="cellIs" dxfId="10115" priority="25718" operator="equal">
      <formula>"value일 미도래"</formula>
    </cfRule>
  </conditionalFormatting>
  <conditionalFormatting sqref="M148">
    <cfRule type="cellIs" dxfId="10114" priority="25717" operator="equal">
      <formula>"value일 미도래"</formula>
    </cfRule>
  </conditionalFormatting>
  <conditionalFormatting sqref="M151:M152">
    <cfRule type="cellIs" dxfId="10113" priority="25716" operator="equal">
      <formula>"value일 미도래"</formula>
    </cfRule>
  </conditionalFormatting>
  <conditionalFormatting sqref="M151:M152">
    <cfRule type="cellIs" dxfId="10112" priority="25715" operator="equal">
      <formula>"value일 미도래"</formula>
    </cfRule>
  </conditionalFormatting>
  <conditionalFormatting sqref="M151:M152">
    <cfRule type="cellIs" dxfId="10111" priority="25714" operator="equal">
      <formula>"value일 미도래"</formula>
    </cfRule>
  </conditionalFormatting>
  <conditionalFormatting sqref="M148">
    <cfRule type="cellIs" dxfId="10110" priority="25710" operator="equal">
      <formula>"value일 미도래"</formula>
    </cfRule>
  </conditionalFormatting>
  <conditionalFormatting sqref="M148">
    <cfRule type="cellIs" dxfId="10109" priority="25709" operator="equal">
      <formula>"value일 미도래"</formula>
    </cfRule>
  </conditionalFormatting>
  <conditionalFormatting sqref="M148:M149">
    <cfRule type="cellIs" dxfId="10108" priority="25708" operator="equal">
      <formula>"value일 미도래"</formula>
    </cfRule>
  </conditionalFormatting>
  <conditionalFormatting sqref="M148:M149">
    <cfRule type="cellIs" dxfId="10107" priority="25707" operator="equal">
      <formula>"value일 미도래"</formula>
    </cfRule>
  </conditionalFormatting>
  <conditionalFormatting sqref="M148:M149">
    <cfRule type="cellIs" dxfId="10106" priority="25706" operator="equal">
      <formula>"value일 미도래"</formula>
    </cfRule>
  </conditionalFormatting>
  <conditionalFormatting sqref="M149:M150">
    <cfRule type="cellIs" dxfId="10105" priority="25705" operator="equal">
      <formula>"value일 미도래"</formula>
    </cfRule>
  </conditionalFormatting>
  <conditionalFormatting sqref="M149:M150">
    <cfRule type="cellIs" dxfId="10104" priority="25704" operator="equal">
      <formula>"value일 미도래"</formula>
    </cfRule>
  </conditionalFormatting>
  <conditionalFormatting sqref="M149:M150">
    <cfRule type="cellIs" dxfId="10103" priority="25703" operator="equal">
      <formula>"value일 미도래"</formula>
    </cfRule>
  </conditionalFormatting>
  <conditionalFormatting sqref="M148">
    <cfRule type="cellIs" dxfId="10102" priority="25702" operator="equal">
      <formula>"value일 미도래"</formula>
    </cfRule>
  </conditionalFormatting>
  <conditionalFormatting sqref="M148">
    <cfRule type="cellIs" dxfId="10101" priority="25701" operator="equal">
      <formula>"value일 미도래"</formula>
    </cfRule>
  </conditionalFormatting>
  <conditionalFormatting sqref="M148:M149">
    <cfRule type="cellIs" dxfId="10100" priority="25700" operator="equal">
      <formula>"value일 미도래"</formula>
    </cfRule>
  </conditionalFormatting>
  <conditionalFormatting sqref="M148:M149">
    <cfRule type="cellIs" dxfId="10099" priority="25699" operator="equal">
      <formula>"value일 미도래"</formula>
    </cfRule>
  </conditionalFormatting>
  <conditionalFormatting sqref="M149:M150">
    <cfRule type="cellIs" dxfId="10098" priority="25698" operator="equal">
      <formula>"value일 미도래"</formula>
    </cfRule>
  </conditionalFormatting>
  <conditionalFormatting sqref="M149:M150">
    <cfRule type="cellIs" dxfId="10097" priority="25697" operator="equal">
      <formula>"value일 미도래"</formula>
    </cfRule>
  </conditionalFormatting>
  <conditionalFormatting sqref="M149:M150">
    <cfRule type="cellIs" dxfId="10096" priority="25696" operator="equal">
      <formula>"value일 미도래"</formula>
    </cfRule>
  </conditionalFormatting>
  <conditionalFormatting sqref="M148">
    <cfRule type="cellIs" dxfId="10095" priority="25695" operator="equal">
      <formula>"value일 미도래"</formula>
    </cfRule>
  </conditionalFormatting>
  <conditionalFormatting sqref="M148">
    <cfRule type="cellIs" dxfId="10094" priority="25694" operator="equal">
      <formula>"value일 미도래"</formula>
    </cfRule>
  </conditionalFormatting>
  <conditionalFormatting sqref="M148">
    <cfRule type="cellIs" dxfId="10093" priority="25693" operator="equal">
      <formula>"value일 미도래"</formula>
    </cfRule>
  </conditionalFormatting>
  <conditionalFormatting sqref="M148:M149">
    <cfRule type="cellIs" dxfId="10092" priority="25692" operator="equal">
      <formula>"value일 미도래"</formula>
    </cfRule>
  </conditionalFormatting>
  <conditionalFormatting sqref="M148:M149">
    <cfRule type="cellIs" dxfId="10091" priority="25691" operator="equal">
      <formula>"value일 미도래"</formula>
    </cfRule>
  </conditionalFormatting>
  <conditionalFormatting sqref="M148:M149">
    <cfRule type="cellIs" dxfId="10090" priority="25690" operator="equal">
      <formula>"value일 미도래"</formula>
    </cfRule>
  </conditionalFormatting>
  <conditionalFormatting sqref="M148">
    <cfRule type="cellIs" dxfId="10089" priority="25689" operator="equal">
      <formula>"value일 미도래"</formula>
    </cfRule>
  </conditionalFormatting>
  <conditionalFormatting sqref="M148">
    <cfRule type="cellIs" dxfId="10088" priority="25688" operator="equal">
      <formula>"value일 미도래"</formula>
    </cfRule>
  </conditionalFormatting>
  <conditionalFormatting sqref="M148:M149">
    <cfRule type="cellIs" dxfId="10087" priority="25687" operator="equal">
      <formula>"value일 미도래"</formula>
    </cfRule>
  </conditionalFormatting>
  <conditionalFormatting sqref="M148:M149">
    <cfRule type="cellIs" dxfId="10086" priority="25686" operator="equal">
      <formula>"value일 미도래"</formula>
    </cfRule>
  </conditionalFormatting>
  <conditionalFormatting sqref="M148:M149">
    <cfRule type="cellIs" dxfId="10085" priority="25685" operator="equal">
      <formula>"value일 미도래"</formula>
    </cfRule>
  </conditionalFormatting>
  <conditionalFormatting sqref="M149:M150">
    <cfRule type="cellIs" dxfId="10084" priority="25684" operator="equal">
      <formula>"value일 미도래"</formula>
    </cfRule>
  </conditionalFormatting>
  <conditionalFormatting sqref="M149:M150">
    <cfRule type="cellIs" dxfId="10083" priority="25683" operator="equal">
      <formula>"value일 미도래"</formula>
    </cfRule>
  </conditionalFormatting>
  <conditionalFormatting sqref="M149:M150">
    <cfRule type="cellIs" dxfId="10082" priority="25682" operator="equal">
      <formula>"value일 미도래"</formula>
    </cfRule>
  </conditionalFormatting>
  <conditionalFormatting sqref="M148">
    <cfRule type="cellIs" dxfId="10081" priority="25681" operator="equal">
      <formula>"value일 미도래"</formula>
    </cfRule>
  </conditionalFormatting>
  <conditionalFormatting sqref="M148">
    <cfRule type="cellIs" dxfId="10080" priority="25680" operator="equal">
      <formula>"value일 미도래"</formula>
    </cfRule>
  </conditionalFormatting>
  <conditionalFormatting sqref="M148">
    <cfRule type="cellIs" dxfId="10079" priority="25679" operator="equal">
      <formula>"value일 미도래"</formula>
    </cfRule>
  </conditionalFormatting>
  <conditionalFormatting sqref="M148">
    <cfRule type="cellIs" dxfId="10078" priority="25678" operator="equal">
      <formula>"value일 미도래"</formula>
    </cfRule>
  </conditionalFormatting>
  <conditionalFormatting sqref="M148">
    <cfRule type="cellIs" dxfId="10077" priority="25677" operator="equal">
      <formula>"value일 미도래"</formula>
    </cfRule>
  </conditionalFormatting>
  <conditionalFormatting sqref="M148">
    <cfRule type="cellIs" dxfId="10076" priority="25676" operator="equal">
      <formula>"value일 미도래"</formula>
    </cfRule>
  </conditionalFormatting>
  <conditionalFormatting sqref="M148">
    <cfRule type="cellIs" dxfId="10075" priority="25673" operator="equal">
      <formula>"value일 미도래"</formula>
    </cfRule>
  </conditionalFormatting>
  <conditionalFormatting sqref="M148">
    <cfRule type="cellIs" dxfId="10074" priority="25672" operator="equal">
      <formula>"value일 미도래"</formula>
    </cfRule>
  </conditionalFormatting>
  <conditionalFormatting sqref="M148:M149">
    <cfRule type="cellIs" dxfId="10073" priority="25671" operator="equal">
      <formula>"value일 미도래"</formula>
    </cfRule>
  </conditionalFormatting>
  <conditionalFormatting sqref="M148:M149">
    <cfRule type="cellIs" dxfId="10072" priority="25670" operator="equal">
      <formula>"value일 미도래"</formula>
    </cfRule>
  </conditionalFormatting>
  <conditionalFormatting sqref="M149:M150">
    <cfRule type="cellIs" dxfId="10071" priority="25669" operator="equal">
      <formula>"value일 미도래"</formula>
    </cfRule>
  </conditionalFormatting>
  <conditionalFormatting sqref="M149:M150">
    <cfRule type="cellIs" dxfId="10070" priority="25668" operator="equal">
      <formula>"value일 미도래"</formula>
    </cfRule>
  </conditionalFormatting>
  <conditionalFormatting sqref="M149:M150">
    <cfRule type="cellIs" dxfId="10069" priority="25667" operator="equal">
      <formula>"value일 미도래"</formula>
    </cfRule>
  </conditionalFormatting>
  <conditionalFormatting sqref="M151:M152">
    <cfRule type="cellIs" dxfId="10068" priority="25666" operator="equal">
      <formula>"value일 미도래"</formula>
    </cfRule>
  </conditionalFormatting>
  <conditionalFormatting sqref="M151:M152">
    <cfRule type="cellIs" dxfId="10067" priority="25665" operator="equal">
      <formula>"value일 미도래"</formula>
    </cfRule>
  </conditionalFormatting>
  <conditionalFormatting sqref="M151:M152">
    <cfRule type="cellIs" dxfId="10066" priority="25664" operator="equal">
      <formula>"value일 미도래"</formula>
    </cfRule>
  </conditionalFormatting>
  <conditionalFormatting sqref="M148">
    <cfRule type="cellIs" dxfId="10065" priority="25663" operator="equal">
      <formula>"value일 미도래"</formula>
    </cfRule>
  </conditionalFormatting>
  <conditionalFormatting sqref="M148">
    <cfRule type="cellIs" dxfId="10064" priority="25662" operator="equal">
      <formula>"value일 미도래"</formula>
    </cfRule>
  </conditionalFormatting>
  <conditionalFormatting sqref="M148">
    <cfRule type="cellIs" dxfId="10063" priority="25661" operator="equal">
      <formula>"value일 미도래"</formula>
    </cfRule>
  </conditionalFormatting>
  <conditionalFormatting sqref="M148:M149">
    <cfRule type="cellIs" dxfId="10062" priority="25660" operator="equal">
      <formula>"value일 미도래"</formula>
    </cfRule>
  </conditionalFormatting>
  <conditionalFormatting sqref="M148:M149">
    <cfRule type="cellIs" dxfId="10061" priority="25659" operator="equal">
      <formula>"value일 미도래"</formula>
    </cfRule>
  </conditionalFormatting>
  <conditionalFormatting sqref="M148:M149">
    <cfRule type="cellIs" dxfId="10060" priority="25658" operator="equal">
      <formula>"value일 미도래"</formula>
    </cfRule>
  </conditionalFormatting>
  <conditionalFormatting sqref="M148">
    <cfRule type="cellIs" dxfId="10059" priority="25657" operator="equal">
      <formula>"value일 미도래"</formula>
    </cfRule>
  </conditionalFormatting>
  <conditionalFormatting sqref="M148">
    <cfRule type="cellIs" dxfId="10058" priority="25656" operator="equal">
      <formula>"value일 미도래"</formula>
    </cfRule>
  </conditionalFormatting>
  <conditionalFormatting sqref="M148:M149">
    <cfRule type="cellIs" dxfId="10057" priority="25655" operator="equal">
      <formula>"value일 미도래"</formula>
    </cfRule>
  </conditionalFormatting>
  <conditionalFormatting sqref="M148:M149">
    <cfRule type="cellIs" dxfId="10056" priority="25654" operator="equal">
      <formula>"value일 미도래"</formula>
    </cfRule>
  </conditionalFormatting>
  <conditionalFormatting sqref="M148:M149">
    <cfRule type="cellIs" dxfId="10055" priority="25653" operator="equal">
      <formula>"value일 미도래"</formula>
    </cfRule>
  </conditionalFormatting>
  <conditionalFormatting sqref="M148">
    <cfRule type="cellIs" dxfId="10054" priority="25652" operator="equal">
      <formula>"value일 미도래"</formula>
    </cfRule>
  </conditionalFormatting>
  <conditionalFormatting sqref="M148">
    <cfRule type="cellIs" dxfId="10053" priority="25651" operator="equal">
      <formula>"value일 미도래"</formula>
    </cfRule>
  </conditionalFormatting>
  <conditionalFormatting sqref="M148">
    <cfRule type="cellIs" dxfId="10052" priority="25650" operator="equal">
      <formula>"value일 미도래"</formula>
    </cfRule>
  </conditionalFormatting>
  <conditionalFormatting sqref="M148">
    <cfRule type="cellIs" dxfId="10051" priority="25649" operator="equal">
      <formula>"value일 미도래"</formula>
    </cfRule>
  </conditionalFormatting>
  <conditionalFormatting sqref="M148">
    <cfRule type="cellIs" dxfId="10050" priority="25648" operator="equal">
      <formula>"value일 미도래"</formula>
    </cfRule>
  </conditionalFormatting>
  <conditionalFormatting sqref="M148">
    <cfRule type="cellIs" dxfId="10049" priority="25647" operator="equal">
      <formula>"value일 미도래"</formula>
    </cfRule>
  </conditionalFormatting>
  <conditionalFormatting sqref="M148:M149">
    <cfRule type="cellIs" dxfId="10048" priority="25646" operator="equal">
      <formula>"value일 미도래"</formula>
    </cfRule>
  </conditionalFormatting>
  <conditionalFormatting sqref="M148:M149">
    <cfRule type="cellIs" dxfId="10047" priority="25645" operator="equal">
      <formula>"value일 미도래"</formula>
    </cfRule>
  </conditionalFormatting>
  <conditionalFormatting sqref="M148:M149">
    <cfRule type="cellIs" dxfId="10046" priority="25644" operator="equal">
      <formula>"value일 미도래"</formula>
    </cfRule>
  </conditionalFormatting>
  <conditionalFormatting sqref="M150:M151">
    <cfRule type="cellIs" dxfId="10045" priority="25641" operator="equal">
      <formula>"value일 미도래"</formula>
    </cfRule>
  </conditionalFormatting>
  <conditionalFormatting sqref="M150:M151">
    <cfRule type="cellIs" dxfId="10044" priority="25640" operator="equal">
      <formula>"value일 미도래"</formula>
    </cfRule>
  </conditionalFormatting>
  <conditionalFormatting sqref="M150:M151">
    <cfRule type="cellIs" dxfId="10043" priority="25639" operator="equal">
      <formula>"value일 미도래"</formula>
    </cfRule>
  </conditionalFormatting>
  <conditionalFormatting sqref="M150:M151">
    <cfRule type="cellIs" dxfId="10042" priority="25638" operator="equal">
      <formula>"value일 미도래"</formula>
    </cfRule>
  </conditionalFormatting>
  <conditionalFormatting sqref="M150:M151">
    <cfRule type="cellIs" dxfId="10041" priority="25637" operator="equal">
      <formula>"value일 미도래"</formula>
    </cfRule>
  </conditionalFormatting>
  <conditionalFormatting sqref="M150:M151">
    <cfRule type="cellIs" dxfId="10040" priority="25636" operator="equal">
      <formula>"value일 미도래"</formula>
    </cfRule>
  </conditionalFormatting>
  <conditionalFormatting sqref="M150:M151">
    <cfRule type="cellIs" dxfId="10039" priority="25634" operator="equal">
      <formula>"value일 미도래"</formula>
    </cfRule>
  </conditionalFormatting>
  <conditionalFormatting sqref="M150:M151">
    <cfRule type="cellIs" dxfId="10038" priority="25633" operator="equal">
      <formula>"value일 미도래"</formula>
    </cfRule>
  </conditionalFormatting>
  <conditionalFormatting sqref="M150:M151">
    <cfRule type="cellIs" dxfId="10037" priority="25632" operator="equal">
      <formula>"value일 미도래"</formula>
    </cfRule>
  </conditionalFormatting>
  <conditionalFormatting sqref="M150:M151">
    <cfRule type="cellIs" dxfId="10036" priority="25631" operator="equal">
      <formula>"value일 미도래"</formula>
    </cfRule>
  </conditionalFormatting>
  <conditionalFormatting sqref="M150:M151">
    <cfRule type="cellIs" dxfId="10035" priority="25630" operator="equal">
      <formula>"value일 미도래"</formula>
    </cfRule>
  </conditionalFormatting>
  <conditionalFormatting sqref="M150:M151">
    <cfRule type="cellIs" dxfId="10034" priority="25629" operator="equal">
      <formula>"value일 미도래"</formula>
    </cfRule>
  </conditionalFormatting>
  <conditionalFormatting sqref="M150:M151">
    <cfRule type="cellIs" dxfId="10033" priority="25628" operator="equal">
      <formula>"value일 미도래"</formula>
    </cfRule>
  </conditionalFormatting>
  <conditionalFormatting sqref="M150:M151">
    <cfRule type="cellIs" dxfId="10032" priority="25627" operator="equal">
      <formula>"value일 미도래"</formula>
    </cfRule>
  </conditionalFormatting>
  <conditionalFormatting sqref="M150:M151">
    <cfRule type="cellIs" dxfId="10031" priority="25625" operator="equal">
      <formula>"value일 미도래"</formula>
    </cfRule>
  </conditionalFormatting>
  <conditionalFormatting sqref="M150:M151">
    <cfRule type="cellIs" dxfId="10030" priority="25624" operator="equal">
      <formula>"value일 미도래"</formula>
    </cfRule>
  </conditionalFormatting>
  <conditionalFormatting sqref="M150:M151">
    <cfRule type="cellIs" dxfId="10029" priority="25623" operator="equal">
      <formula>"value일 미도래"</formula>
    </cfRule>
  </conditionalFormatting>
  <conditionalFormatting sqref="M150:M151">
    <cfRule type="cellIs" dxfId="10028" priority="25622" operator="equal">
      <formula>"value일 미도래"</formula>
    </cfRule>
  </conditionalFormatting>
  <conditionalFormatting sqref="M150:M151">
    <cfRule type="cellIs" dxfId="10027" priority="25621" operator="equal">
      <formula>"value일 미도래"</formula>
    </cfRule>
  </conditionalFormatting>
  <conditionalFormatting sqref="M150:M151">
    <cfRule type="cellIs" dxfId="10026" priority="25620" operator="equal">
      <formula>"value일 미도래"</formula>
    </cfRule>
  </conditionalFormatting>
  <conditionalFormatting sqref="M150:M151">
    <cfRule type="cellIs" dxfId="10025" priority="25619" operator="equal">
      <formula>"value일 미도래"</formula>
    </cfRule>
  </conditionalFormatting>
  <conditionalFormatting sqref="M150:M151">
    <cfRule type="cellIs" dxfId="10024" priority="25618" operator="equal">
      <formula>"value일 미도래"</formula>
    </cfRule>
  </conditionalFormatting>
  <conditionalFormatting sqref="M150:M151">
    <cfRule type="cellIs" dxfId="10023" priority="25617" operator="equal">
      <formula>"value일 미도래"</formula>
    </cfRule>
  </conditionalFormatting>
  <conditionalFormatting sqref="M150:M151">
    <cfRule type="cellIs" dxfId="10022" priority="25616" operator="equal">
      <formula>"value일 미도래"</formula>
    </cfRule>
  </conditionalFormatting>
  <conditionalFormatting sqref="M150:M151">
    <cfRule type="cellIs" dxfId="10021" priority="25615" operator="equal">
      <formula>"value일 미도래"</formula>
    </cfRule>
  </conditionalFormatting>
  <conditionalFormatting sqref="M150:M151">
    <cfRule type="cellIs" dxfId="10020" priority="25613" operator="equal">
      <formula>"value일 미도래"</formula>
    </cfRule>
  </conditionalFormatting>
  <conditionalFormatting sqref="M150:M151">
    <cfRule type="cellIs" dxfId="10019" priority="25612" operator="equal">
      <formula>"value일 미도래"</formula>
    </cfRule>
  </conditionalFormatting>
  <conditionalFormatting sqref="M150:M151">
    <cfRule type="cellIs" dxfId="10018" priority="25611" operator="equal">
      <formula>"value일 미도래"</formula>
    </cfRule>
  </conditionalFormatting>
  <conditionalFormatting sqref="M150:M151">
    <cfRule type="cellIs" dxfId="10017" priority="25610" operator="equal">
      <formula>"value일 미도래"</formula>
    </cfRule>
  </conditionalFormatting>
  <conditionalFormatting sqref="M150:M151">
    <cfRule type="cellIs" dxfId="10016" priority="25609" operator="equal">
      <formula>"value일 미도래"</formula>
    </cfRule>
  </conditionalFormatting>
  <conditionalFormatting sqref="M150:M151">
    <cfRule type="cellIs" dxfId="10015" priority="25608" operator="equal">
      <formula>"value일 미도래"</formula>
    </cfRule>
  </conditionalFormatting>
  <conditionalFormatting sqref="M150:M151">
    <cfRule type="cellIs" dxfId="10014" priority="25607" operator="equal">
      <formula>"value일 미도래"</formula>
    </cfRule>
  </conditionalFormatting>
  <conditionalFormatting sqref="M150:M151">
    <cfRule type="cellIs" dxfId="10013" priority="25606" operator="equal">
      <formula>"value일 미도래"</formula>
    </cfRule>
  </conditionalFormatting>
  <conditionalFormatting sqref="M150:M151">
    <cfRule type="cellIs" dxfId="10012" priority="25605" operator="equal">
      <formula>"value일 미도래"</formula>
    </cfRule>
  </conditionalFormatting>
  <conditionalFormatting sqref="M150:M151">
    <cfRule type="cellIs" dxfId="10011" priority="25604" operator="equal">
      <formula>"value일 미도래"</formula>
    </cfRule>
  </conditionalFormatting>
  <conditionalFormatting sqref="M150:M151">
    <cfRule type="cellIs" dxfId="10010" priority="25603" operator="equal">
      <formula>"value일 미도래"</formula>
    </cfRule>
  </conditionalFormatting>
  <conditionalFormatting sqref="M150:M151">
    <cfRule type="cellIs" dxfId="10009" priority="25601" operator="equal">
      <formula>"value일 미도래"</formula>
    </cfRule>
  </conditionalFormatting>
  <conditionalFormatting sqref="M150:M151">
    <cfRule type="cellIs" dxfId="10008" priority="25600" operator="equal">
      <formula>"value일 미도래"</formula>
    </cfRule>
  </conditionalFormatting>
  <conditionalFormatting sqref="M150:M151">
    <cfRule type="cellIs" dxfId="10007" priority="25599" operator="equal">
      <formula>"value일 미도래"</formula>
    </cfRule>
  </conditionalFormatting>
  <conditionalFormatting sqref="M148">
    <cfRule type="cellIs" dxfId="10006" priority="25554" operator="equal">
      <formula>"value일 미도래"</formula>
    </cfRule>
  </conditionalFormatting>
  <conditionalFormatting sqref="M148">
    <cfRule type="cellIs" dxfId="10005" priority="25553" operator="equal">
      <formula>"value일 미도래"</formula>
    </cfRule>
  </conditionalFormatting>
  <conditionalFormatting sqref="M149:M150">
    <cfRule type="cellIs" dxfId="10004" priority="25552" operator="equal">
      <formula>"value일 미도래"</formula>
    </cfRule>
  </conditionalFormatting>
  <conditionalFormatting sqref="M149:M150">
    <cfRule type="cellIs" dxfId="10003" priority="25551" operator="equal">
      <formula>"value일 미도래"</formula>
    </cfRule>
  </conditionalFormatting>
  <conditionalFormatting sqref="M154">
    <cfRule type="cellIs" dxfId="10002" priority="25550" operator="equal">
      <formula>"value일 미도래"</formula>
    </cfRule>
  </conditionalFormatting>
  <conditionalFormatting sqref="M154">
    <cfRule type="cellIs" dxfId="10001" priority="25549" operator="equal">
      <formula>"value일 미도래"</formula>
    </cfRule>
  </conditionalFormatting>
  <conditionalFormatting sqref="M154">
    <cfRule type="cellIs" dxfId="10000" priority="25548" operator="equal">
      <formula>"value일 미도래"</formula>
    </cfRule>
  </conditionalFormatting>
  <conditionalFormatting sqref="M154">
    <cfRule type="cellIs" dxfId="9999" priority="25547" operator="equal">
      <formula>"value일 미도래"</formula>
    </cfRule>
  </conditionalFormatting>
  <conditionalFormatting sqref="M150:M151">
    <cfRule type="cellIs" dxfId="9998" priority="25546" operator="equal">
      <formula>"value일 미도래"</formula>
    </cfRule>
  </conditionalFormatting>
  <conditionalFormatting sqref="M150:M151">
    <cfRule type="cellIs" dxfId="9997" priority="25545" operator="equal">
      <formula>"value일 미도래"</formula>
    </cfRule>
  </conditionalFormatting>
  <conditionalFormatting sqref="M150:M151">
    <cfRule type="cellIs" dxfId="9996" priority="25544" operator="equal">
      <formula>"value일 미도래"</formula>
    </cfRule>
  </conditionalFormatting>
  <conditionalFormatting sqref="M151:M152">
    <cfRule type="cellIs" dxfId="9995" priority="25543" operator="equal">
      <formula>"value일 미도래"</formula>
    </cfRule>
  </conditionalFormatting>
  <conditionalFormatting sqref="M151:M152">
    <cfRule type="cellIs" dxfId="9994" priority="25542" operator="equal">
      <formula>"value일 미도래"</formula>
    </cfRule>
  </conditionalFormatting>
  <conditionalFormatting sqref="M151:M152">
    <cfRule type="cellIs" dxfId="9993" priority="25541" operator="equal">
      <formula>"value일 미도래"</formula>
    </cfRule>
  </conditionalFormatting>
  <conditionalFormatting sqref="M148">
    <cfRule type="cellIs" dxfId="9992" priority="25540" operator="equal">
      <formula>"value일 미도래"</formula>
    </cfRule>
  </conditionalFormatting>
  <conditionalFormatting sqref="M148">
    <cfRule type="cellIs" dxfId="9991" priority="25539" operator="equal">
      <formula>"value일 미도래"</formula>
    </cfRule>
  </conditionalFormatting>
  <conditionalFormatting sqref="M148">
    <cfRule type="cellIs" dxfId="9990" priority="25538" operator="equal">
      <formula>"value일 미도래"</formula>
    </cfRule>
  </conditionalFormatting>
  <conditionalFormatting sqref="M149:M150">
    <cfRule type="cellIs" dxfId="9989" priority="25537" operator="equal">
      <formula>"value일 미도래"</formula>
    </cfRule>
  </conditionalFormatting>
  <conditionalFormatting sqref="M149:M150">
    <cfRule type="cellIs" dxfId="9988" priority="25536" operator="equal">
      <formula>"value일 미도래"</formula>
    </cfRule>
  </conditionalFormatting>
  <conditionalFormatting sqref="M149:M150">
    <cfRule type="cellIs" dxfId="9987" priority="25535" operator="equal">
      <formula>"value일 미도래"</formula>
    </cfRule>
  </conditionalFormatting>
  <conditionalFormatting sqref="M148">
    <cfRule type="cellIs" dxfId="9986" priority="25534" operator="equal">
      <formula>"value일 미도래"</formula>
    </cfRule>
  </conditionalFormatting>
  <conditionalFormatting sqref="M148">
    <cfRule type="cellIs" dxfId="9985" priority="25533" operator="equal">
      <formula>"value일 미도래"</formula>
    </cfRule>
  </conditionalFormatting>
  <conditionalFormatting sqref="M149:M150">
    <cfRule type="cellIs" dxfId="9984" priority="25532" operator="equal">
      <formula>"value일 미도래"</formula>
    </cfRule>
  </conditionalFormatting>
  <conditionalFormatting sqref="M149:M150">
    <cfRule type="cellIs" dxfId="9983" priority="25531" operator="equal">
      <formula>"value일 미도래"</formula>
    </cfRule>
  </conditionalFormatting>
  <conditionalFormatting sqref="M149:M150">
    <cfRule type="cellIs" dxfId="9982" priority="25530" operator="equal">
      <formula>"value일 미도래"</formula>
    </cfRule>
  </conditionalFormatting>
  <conditionalFormatting sqref="M148">
    <cfRule type="cellIs" dxfId="9981" priority="25529" operator="equal">
      <formula>"value일 미도래"</formula>
    </cfRule>
  </conditionalFormatting>
  <conditionalFormatting sqref="M148">
    <cfRule type="cellIs" dxfId="9980" priority="25528" operator="equal">
      <formula>"value일 미도래"</formula>
    </cfRule>
  </conditionalFormatting>
  <conditionalFormatting sqref="M148">
    <cfRule type="cellIs" dxfId="9979" priority="25527" operator="equal">
      <formula>"value일 미도래"</formula>
    </cfRule>
  </conditionalFormatting>
  <conditionalFormatting sqref="M148">
    <cfRule type="cellIs" dxfId="9978" priority="25526" operator="equal">
      <formula>"value일 미도래"</formula>
    </cfRule>
  </conditionalFormatting>
  <conditionalFormatting sqref="M148">
    <cfRule type="cellIs" dxfId="9977" priority="25525" operator="equal">
      <formula>"value일 미도래"</formula>
    </cfRule>
  </conditionalFormatting>
  <conditionalFormatting sqref="M148">
    <cfRule type="cellIs" dxfId="9976" priority="25524" operator="equal">
      <formula>"value일 미도래"</formula>
    </cfRule>
  </conditionalFormatting>
  <conditionalFormatting sqref="M149:M150">
    <cfRule type="cellIs" dxfId="9975" priority="25523" operator="equal">
      <formula>"value일 미도래"</formula>
    </cfRule>
  </conditionalFormatting>
  <conditionalFormatting sqref="M149:M150">
    <cfRule type="cellIs" dxfId="9974" priority="25522" operator="equal">
      <formula>"value일 미도래"</formula>
    </cfRule>
  </conditionalFormatting>
  <conditionalFormatting sqref="M149:M150">
    <cfRule type="cellIs" dxfId="9973" priority="25521" operator="equal">
      <formula>"value일 미도래"</formula>
    </cfRule>
  </conditionalFormatting>
  <conditionalFormatting sqref="M148">
    <cfRule type="cellIs" dxfId="9972" priority="25518" operator="equal">
      <formula>"value일 미도래"</formula>
    </cfRule>
  </conditionalFormatting>
  <conditionalFormatting sqref="M148">
    <cfRule type="cellIs" dxfId="9971" priority="25517" operator="equal">
      <formula>"value일 미도래"</formula>
    </cfRule>
  </conditionalFormatting>
  <conditionalFormatting sqref="M149:M150">
    <cfRule type="cellIs" dxfId="9970" priority="25516" operator="equal">
      <formula>"value일 미도래"</formula>
    </cfRule>
  </conditionalFormatting>
  <conditionalFormatting sqref="M149:M150">
    <cfRule type="cellIs" dxfId="9969" priority="25515" operator="equal">
      <formula>"value일 미도래"</formula>
    </cfRule>
  </conditionalFormatting>
  <conditionalFormatting sqref="M149:M150">
    <cfRule type="cellIs" dxfId="9968" priority="25514" operator="equal">
      <formula>"value일 미도래"</formula>
    </cfRule>
  </conditionalFormatting>
  <conditionalFormatting sqref="M150:M151">
    <cfRule type="cellIs" dxfId="9967" priority="25513" operator="equal">
      <formula>"value일 미도래"</formula>
    </cfRule>
  </conditionalFormatting>
  <conditionalFormatting sqref="M150:M151">
    <cfRule type="cellIs" dxfId="9966" priority="25512" operator="equal">
      <formula>"value일 미도래"</formula>
    </cfRule>
  </conditionalFormatting>
  <conditionalFormatting sqref="M150:M151">
    <cfRule type="cellIs" dxfId="9965" priority="25511" operator="equal">
      <formula>"value일 미도래"</formula>
    </cfRule>
  </conditionalFormatting>
  <conditionalFormatting sqref="M148">
    <cfRule type="cellIs" dxfId="9964" priority="25510" operator="equal">
      <formula>"value일 미도래"</formula>
    </cfRule>
  </conditionalFormatting>
  <conditionalFormatting sqref="M148">
    <cfRule type="cellIs" dxfId="9963" priority="25509" operator="equal">
      <formula>"value일 미도래"</formula>
    </cfRule>
  </conditionalFormatting>
  <conditionalFormatting sqref="M148">
    <cfRule type="cellIs" dxfId="9962" priority="25508" operator="equal">
      <formula>"value일 미도래"</formula>
    </cfRule>
  </conditionalFormatting>
  <conditionalFormatting sqref="M148">
    <cfRule type="cellIs" dxfId="9961" priority="25507" operator="equal">
      <formula>"value일 미도래"</formula>
    </cfRule>
  </conditionalFormatting>
  <conditionalFormatting sqref="M148">
    <cfRule type="cellIs" dxfId="9960" priority="25506" operator="equal">
      <formula>"value일 미도래"</formula>
    </cfRule>
  </conditionalFormatting>
  <conditionalFormatting sqref="M148">
    <cfRule type="cellIs" dxfId="9959" priority="25505" operator="equal">
      <formula>"value일 미도래"</formula>
    </cfRule>
  </conditionalFormatting>
  <conditionalFormatting sqref="M148">
    <cfRule type="cellIs" dxfId="9958" priority="25504" operator="equal">
      <formula>"value일 미도래"</formula>
    </cfRule>
  </conditionalFormatting>
  <conditionalFormatting sqref="M148">
    <cfRule type="cellIs" dxfId="9957" priority="25503" operator="equal">
      <formula>"value일 미도래"</formula>
    </cfRule>
  </conditionalFormatting>
  <conditionalFormatting sqref="M148">
    <cfRule type="cellIs" dxfId="9956" priority="25502" operator="equal">
      <formula>"value일 미도래"</formula>
    </cfRule>
  </conditionalFormatting>
  <conditionalFormatting sqref="M148">
    <cfRule type="cellIs" dxfId="9955" priority="25500" operator="equal">
      <formula>"value일 미도래"</formula>
    </cfRule>
  </conditionalFormatting>
  <conditionalFormatting sqref="M148">
    <cfRule type="cellIs" dxfId="9954" priority="25499" operator="equal">
      <formula>"value일 미도래"</formula>
    </cfRule>
  </conditionalFormatting>
  <conditionalFormatting sqref="M149:M150">
    <cfRule type="cellIs" dxfId="9953" priority="25498" operator="equal">
      <formula>"value일 미도래"</formula>
    </cfRule>
  </conditionalFormatting>
  <conditionalFormatting sqref="M149:M150">
    <cfRule type="cellIs" dxfId="9952" priority="25497" operator="equal">
      <formula>"value일 미도래"</formula>
    </cfRule>
  </conditionalFormatting>
  <conditionalFormatting sqref="M149:M150">
    <cfRule type="cellIs" dxfId="9951" priority="25496" operator="equal">
      <formula>"value일 미도래"</formula>
    </cfRule>
  </conditionalFormatting>
  <conditionalFormatting sqref="M150:M151">
    <cfRule type="cellIs" dxfId="9950" priority="25495" operator="equal">
      <formula>"value일 미도래"</formula>
    </cfRule>
  </conditionalFormatting>
  <conditionalFormatting sqref="M150:M151">
    <cfRule type="cellIs" dxfId="9949" priority="25494" operator="equal">
      <formula>"value일 미도래"</formula>
    </cfRule>
  </conditionalFormatting>
  <conditionalFormatting sqref="M150:M151">
    <cfRule type="cellIs" dxfId="9948" priority="25493" operator="equal">
      <formula>"value일 미도래"</formula>
    </cfRule>
  </conditionalFormatting>
  <conditionalFormatting sqref="M148">
    <cfRule type="cellIs" dxfId="9947" priority="25492" operator="equal">
      <formula>"value일 미도래"</formula>
    </cfRule>
  </conditionalFormatting>
  <conditionalFormatting sqref="M148">
    <cfRule type="cellIs" dxfId="9946" priority="25491" operator="equal">
      <formula>"value일 미도래"</formula>
    </cfRule>
  </conditionalFormatting>
  <conditionalFormatting sqref="M148">
    <cfRule type="cellIs" dxfId="9945" priority="25490" operator="equal">
      <formula>"value일 미도래"</formula>
    </cfRule>
  </conditionalFormatting>
  <conditionalFormatting sqref="M148">
    <cfRule type="cellIs" dxfId="9944" priority="25489" operator="equal">
      <formula>"value일 미도래"</formula>
    </cfRule>
  </conditionalFormatting>
  <conditionalFormatting sqref="M148">
    <cfRule type="cellIs" dxfId="9943" priority="25488" operator="equal">
      <formula>"value일 미도래"</formula>
    </cfRule>
  </conditionalFormatting>
  <conditionalFormatting sqref="M148">
    <cfRule type="cellIs" dxfId="9942" priority="25487" operator="equal">
      <formula>"value일 미도래"</formula>
    </cfRule>
  </conditionalFormatting>
  <conditionalFormatting sqref="M148">
    <cfRule type="cellIs" dxfId="9941" priority="25486" operator="equal">
      <formula>"value일 미도래"</formula>
    </cfRule>
  </conditionalFormatting>
  <conditionalFormatting sqref="M148">
    <cfRule type="cellIs" dxfId="9940" priority="25485" operator="equal">
      <formula>"value일 미도래"</formula>
    </cfRule>
  </conditionalFormatting>
  <conditionalFormatting sqref="M148">
    <cfRule type="cellIs" dxfId="9939" priority="25484" operator="equal">
      <formula>"value일 미도래"</formula>
    </cfRule>
  </conditionalFormatting>
  <conditionalFormatting sqref="M148">
    <cfRule type="cellIs" dxfId="9938" priority="25482" operator="equal">
      <formula>"value일 미도래"</formula>
    </cfRule>
  </conditionalFormatting>
  <conditionalFormatting sqref="M148">
    <cfRule type="cellIs" dxfId="9937" priority="25481" operator="equal">
      <formula>"value일 미도래"</formula>
    </cfRule>
  </conditionalFormatting>
  <conditionalFormatting sqref="M148">
    <cfRule type="cellIs" dxfId="9936" priority="25480" operator="equal">
      <formula>"value일 미도래"</formula>
    </cfRule>
  </conditionalFormatting>
  <conditionalFormatting sqref="M149:M150">
    <cfRule type="cellIs" dxfId="9935" priority="25479" operator="equal">
      <formula>"value일 미도래"</formula>
    </cfRule>
  </conditionalFormatting>
  <conditionalFormatting sqref="M149:M150">
    <cfRule type="cellIs" dxfId="9934" priority="25478" operator="equal">
      <formula>"value일 미도래"</formula>
    </cfRule>
  </conditionalFormatting>
  <conditionalFormatting sqref="M149:M150">
    <cfRule type="cellIs" dxfId="9933" priority="25477" operator="equal">
      <formula>"value일 미도래"</formula>
    </cfRule>
  </conditionalFormatting>
  <conditionalFormatting sqref="M148:M149">
    <cfRule type="cellIs" dxfId="9932" priority="25476" operator="equal">
      <formula>"value일 미도래"</formula>
    </cfRule>
  </conditionalFormatting>
  <conditionalFormatting sqref="M148:M149">
    <cfRule type="cellIs" dxfId="9931" priority="25475" operator="equal">
      <formula>"value일 미도래"</formula>
    </cfRule>
  </conditionalFormatting>
  <conditionalFormatting sqref="M148:M149">
    <cfRule type="cellIs" dxfId="9930" priority="25474" operator="equal">
      <formula>"value일 미도래"</formula>
    </cfRule>
  </conditionalFormatting>
  <conditionalFormatting sqref="M148:M149">
    <cfRule type="cellIs" dxfId="9929" priority="25473" operator="equal">
      <formula>"value일 미도래"</formula>
    </cfRule>
  </conditionalFormatting>
  <conditionalFormatting sqref="M148:M149">
    <cfRule type="cellIs" dxfId="9928" priority="25472" operator="equal">
      <formula>"value일 미도래"</formula>
    </cfRule>
  </conditionalFormatting>
  <conditionalFormatting sqref="M148:M149">
    <cfRule type="cellIs" dxfId="9927" priority="25471" operator="equal">
      <formula>"value일 미도래"</formula>
    </cfRule>
  </conditionalFormatting>
  <conditionalFormatting sqref="M148:M149">
    <cfRule type="cellIs" dxfId="9926" priority="25469" operator="equal">
      <formula>"value일 미도래"</formula>
    </cfRule>
  </conditionalFormatting>
  <conditionalFormatting sqref="M148:M149">
    <cfRule type="cellIs" dxfId="9925" priority="25468" operator="equal">
      <formula>"value일 미도래"</formula>
    </cfRule>
  </conditionalFormatting>
  <conditionalFormatting sqref="M148:M149">
    <cfRule type="cellIs" dxfId="9924" priority="25467" operator="equal">
      <formula>"value일 미도래"</formula>
    </cfRule>
  </conditionalFormatting>
  <conditionalFormatting sqref="M148:M149">
    <cfRule type="cellIs" dxfId="9923" priority="25466" operator="equal">
      <formula>"value일 미도래"</formula>
    </cfRule>
  </conditionalFormatting>
  <conditionalFormatting sqref="M148:M149">
    <cfRule type="cellIs" dxfId="9922" priority="25465" operator="equal">
      <formula>"value일 미도래"</formula>
    </cfRule>
  </conditionalFormatting>
  <conditionalFormatting sqref="M148:M149">
    <cfRule type="cellIs" dxfId="9921" priority="25464" operator="equal">
      <formula>"value일 미도래"</formula>
    </cfRule>
  </conditionalFormatting>
  <conditionalFormatting sqref="M148:M149">
    <cfRule type="cellIs" dxfId="9920" priority="25463" operator="equal">
      <formula>"value일 미도래"</formula>
    </cfRule>
  </conditionalFormatting>
  <conditionalFormatting sqref="M148:M149">
    <cfRule type="cellIs" dxfId="9919" priority="25462" operator="equal">
      <formula>"value일 미도래"</formula>
    </cfRule>
  </conditionalFormatting>
  <conditionalFormatting sqref="M148:M149">
    <cfRule type="cellIs" dxfId="9918" priority="25460" operator="equal">
      <formula>"value일 미도래"</formula>
    </cfRule>
  </conditionalFormatting>
  <conditionalFormatting sqref="M148:M149">
    <cfRule type="cellIs" dxfId="9917" priority="25459" operator="equal">
      <formula>"value일 미도래"</formula>
    </cfRule>
  </conditionalFormatting>
  <conditionalFormatting sqref="M148:M149">
    <cfRule type="cellIs" dxfId="9916" priority="25458" operator="equal">
      <formula>"value일 미도래"</formula>
    </cfRule>
  </conditionalFormatting>
  <conditionalFormatting sqref="M148:M149">
    <cfRule type="cellIs" dxfId="9915" priority="25457" operator="equal">
      <formula>"value일 미도래"</formula>
    </cfRule>
  </conditionalFormatting>
  <conditionalFormatting sqref="M148:M149">
    <cfRule type="cellIs" dxfId="9914" priority="25456" operator="equal">
      <formula>"value일 미도래"</formula>
    </cfRule>
  </conditionalFormatting>
  <conditionalFormatting sqref="M148:M149">
    <cfRule type="cellIs" dxfId="9913" priority="25455" operator="equal">
      <formula>"value일 미도래"</formula>
    </cfRule>
  </conditionalFormatting>
  <conditionalFormatting sqref="M148:M149">
    <cfRule type="cellIs" dxfId="9912" priority="25454" operator="equal">
      <formula>"value일 미도래"</formula>
    </cfRule>
  </conditionalFormatting>
  <conditionalFormatting sqref="M148:M149">
    <cfRule type="cellIs" dxfId="9911" priority="25453" operator="equal">
      <formula>"value일 미도래"</formula>
    </cfRule>
  </conditionalFormatting>
  <conditionalFormatting sqref="M148:M149">
    <cfRule type="cellIs" dxfId="9910" priority="25452" operator="equal">
      <formula>"value일 미도래"</formula>
    </cfRule>
  </conditionalFormatting>
  <conditionalFormatting sqref="M148:M149">
    <cfRule type="cellIs" dxfId="9909" priority="25451" operator="equal">
      <formula>"value일 미도래"</formula>
    </cfRule>
  </conditionalFormatting>
  <conditionalFormatting sqref="M148:M149">
    <cfRule type="cellIs" dxfId="9908" priority="25450" operator="equal">
      <formula>"value일 미도래"</formula>
    </cfRule>
  </conditionalFormatting>
  <conditionalFormatting sqref="M148:M149">
    <cfRule type="cellIs" dxfId="9907" priority="25448" operator="equal">
      <formula>"value일 미도래"</formula>
    </cfRule>
  </conditionalFormatting>
  <conditionalFormatting sqref="M148:M149">
    <cfRule type="cellIs" dxfId="9906" priority="25447" operator="equal">
      <formula>"value일 미도래"</formula>
    </cfRule>
  </conditionalFormatting>
  <conditionalFormatting sqref="M148:M149">
    <cfRule type="cellIs" dxfId="9905" priority="25446" operator="equal">
      <formula>"value일 미도래"</formula>
    </cfRule>
  </conditionalFormatting>
  <conditionalFormatting sqref="M148:M149">
    <cfRule type="cellIs" dxfId="9904" priority="25445" operator="equal">
      <formula>"value일 미도래"</formula>
    </cfRule>
  </conditionalFormatting>
  <conditionalFormatting sqref="M148:M149">
    <cfRule type="cellIs" dxfId="9903" priority="25444" operator="equal">
      <formula>"value일 미도래"</formula>
    </cfRule>
  </conditionalFormatting>
  <conditionalFormatting sqref="M148:M149">
    <cfRule type="cellIs" dxfId="9902" priority="25443" operator="equal">
      <formula>"value일 미도래"</formula>
    </cfRule>
  </conditionalFormatting>
  <conditionalFormatting sqref="M148:M149">
    <cfRule type="cellIs" dxfId="9901" priority="25442" operator="equal">
      <formula>"value일 미도래"</formula>
    </cfRule>
  </conditionalFormatting>
  <conditionalFormatting sqref="M148:M149">
    <cfRule type="cellIs" dxfId="9900" priority="25441" operator="equal">
      <formula>"value일 미도래"</formula>
    </cfRule>
  </conditionalFormatting>
  <conditionalFormatting sqref="M148:M149">
    <cfRule type="cellIs" dxfId="9899" priority="25440" operator="equal">
      <formula>"value일 미도래"</formula>
    </cfRule>
  </conditionalFormatting>
  <conditionalFormatting sqref="M148:M149">
    <cfRule type="cellIs" dxfId="9898" priority="25439" operator="equal">
      <formula>"value일 미도래"</formula>
    </cfRule>
  </conditionalFormatting>
  <conditionalFormatting sqref="M148:M149">
    <cfRule type="cellIs" dxfId="9897" priority="25438" operator="equal">
      <formula>"value일 미도래"</formula>
    </cfRule>
  </conditionalFormatting>
  <conditionalFormatting sqref="M148:M149">
    <cfRule type="cellIs" dxfId="9896" priority="25436" operator="equal">
      <formula>"value일 미도래"</formula>
    </cfRule>
  </conditionalFormatting>
  <conditionalFormatting sqref="M148:M149">
    <cfRule type="cellIs" dxfId="9895" priority="25435" operator="equal">
      <formula>"value일 미도래"</formula>
    </cfRule>
  </conditionalFormatting>
  <conditionalFormatting sqref="M148:M149">
    <cfRule type="cellIs" dxfId="9894" priority="25434" operator="equal">
      <formula>"value일 미도래"</formula>
    </cfRule>
  </conditionalFormatting>
  <conditionalFormatting sqref="M148">
    <cfRule type="cellIs" dxfId="9893" priority="25404" operator="equal">
      <formula>"value일 미도래"</formula>
    </cfRule>
  </conditionalFormatting>
  <conditionalFormatting sqref="M148">
    <cfRule type="cellIs" dxfId="9892" priority="25403" operator="equal">
      <formula>"value일 미도래"</formula>
    </cfRule>
  </conditionalFormatting>
  <conditionalFormatting sqref="M149:M150">
    <cfRule type="cellIs" dxfId="9891" priority="25402" operator="equal">
      <formula>"value일 미도래"</formula>
    </cfRule>
  </conditionalFormatting>
  <conditionalFormatting sqref="M149:M150">
    <cfRule type="cellIs" dxfId="9890" priority="25401" operator="equal">
      <formula>"value일 미도래"</formula>
    </cfRule>
  </conditionalFormatting>
  <conditionalFormatting sqref="M150:M151">
    <cfRule type="cellIs" dxfId="9889" priority="25400" operator="equal">
      <formula>"value일 미도래"</formula>
    </cfRule>
  </conditionalFormatting>
  <conditionalFormatting sqref="M150:M151">
    <cfRule type="cellIs" dxfId="9888" priority="25399" operator="equal">
      <formula>"value일 미도래"</formula>
    </cfRule>
  </conditionalFormatting>
  <conditionalFormatting sqref="M150:M151">
    <cfRule type="cellIs" dxfId="9887" priority="25398" operator="equal">
      <formula>"value일 미도래"</formula>
    </cfRule>
  </conditionalFormatting>
  <conditionalFormatting sqref="M151:M152">
    <cfRule type="cellIs" dxfId="9886" priority="25397" operator="equal">
      <formula>"value일 미도래"</formula>
    </cfRule>
  </conditionalFormatting>
  <conditionalFormatting sqref="M151:M152">
    <cfRule type="cellIs" dxfId="9885" priority="25396" operator="equal">
      <formula>"value일 미도래"</formula>
    </cfRule>
  </conditionalFormatting>
  <conditionalFormatting sqref="M151:M152">
    <cfRule type="cellIs" dxfId="9884" priority="25395" operator="equal">
      <formula>"value일 미도래"</formula>
    </cfRule>
  </conditionalFormatting>
  <conditionalFormatting sqref="M148">
    <cfRule type="cellIs" dxfId="9883" priority="25394" operator="equal">
      <formula>"value일 미도래"</formula>
    </cfRule>
  </conditionalFormatting>
  <conditionalFormatting sqref="M148">
    <cfRule type="cellIs" dxfId="9882" priority="25393" operator="equal">
      <formula>"value일 미도래"</formula>
    </cfRule>
  </conditionalFormatting>
  <conditionalFormatting sqref="M148">
    <cfRule type="cellIs" dxfId="9881" priority="25392" operator="equal">
      <formula>"value일 미도래"</formula>
    </cfRule>
  </conditionalFormatting>
  <conditionalFormatting sqref="M149:M150">
    <cfRule type="cellIs" dxfId="9880" priority="25391" operator="equal">
      <formula>"value일 미도래"</formula>
    </cfRule>
  </conditionalFormatting>
  <conditionalFormatting sqref="M149:M150">
    <cfRule type="cellIs" dxfId="9879" priority="25390" operator="equal">
      <formula>"value일 미도래"</formula>
    </cfRule>
  </conditionalFormatting>
  <conditionalFormatting sqref="M149:M150">
    <cfRule type="cellIs" dxfId="9878" priority="25389" operator="equal">
      <formula>"value일 미도래"</formula>
    </cfRule>
  </conditionalFormatting>
  <conditionalFormatting sqref="M148">
    <cfRule type="cellIs" dxfId="9877" priority="25388" operator="equal">
      <formula>"value일 미도래"</formula>
    </cfRule>
  </conditionalFormatting>
  <conditionalFormatting sqref="M148">
    <cfRule type="cellIs" dxfId="9876" priority="25387" operator="equal">
      <formula>"value일 미도래"</formula>
    </cfRule>
  </conditionalFormatting>
  <conditionalFormatting sqref="M149:M150">
    <cfRule type="cellIs" dxfId="9875" priority="25386" operator="equal">
      <formula>"value일 미도래"</formula>
    </cfRule>
  </conditionalFormatting>
  <conditionalFormatting sqref="M149:M150">
    <cfRule type="cellIs" dxfId="9874" priority="25385" operator="equal">
      <formula>"value일 미도래"</formula>
    </cfRule>
  </conditionalFormatting>
  <conditionalFormatting sqref="M149:M150">
    <cfRule type="cellIs" dxfId="9873" priority="25384" operator="equal">
      <formula>"value일 미도래"</formula>
    </cfRule>
  </conditionalFormatting>
  <conditionalFormatting sqref="M148">
    <cfRule type="cellIs" dxfId="9872" priority="25383" operator="equal">
      <formula>"value일 미도래"</formula>
    </cfRule>
  </conditionalFormatting>
  <conditionalFormatting sqref="M148">
    <cfRule type="cellIs" dxfId="9871" priority="25382" operator="equal">
      <formula>"value일 미도래"</formula>
    </cfRule>
  </conditionalFormatting>
  <conditionalFormatting sqref="M148">
    <cfRule type="cellIs" dxfId="9870" priority="25381" operator="equal">
      <formula>"value일 미도래"</formula>
    </cfRule>
  </conditionalFormatting>
  <conditionalFormatting sqref="M148">
    <cfRule type="cellIs" dxfId="9869" priority="25380" operator="equal">
      <formula>"value일 미도래"</formula>
    </cfRule>
  </conditionalFormatting>
  <conditionalFormatting sqref="M148">
    <cfRule type="cellIs" dxfId="9868" priority="25379" operator="equal">
      <formula>"value일 미도래"</formula>
    </cfRule>
  </conditionalFormatting>
  <conditionalFormatting sqref="M148">
    <cfRule type="cellIs" dxfId="9867" priority="25378" operator="equal">
      <formula>"value일 미도래"</formula>
    </cfRule>
  </conditionalFormatting>
  <conditionalFormatting sqref="M149:M150">
    <cfRule type="cellIs" dxfId="9866" priority="25377" operator="equal">
      <formula>"value일 미도래"</formula>
    </cfRule>
  </conditionalFormatting>
  <conditionalFormatting sqref="M149:M150">
    <cfRule type="cellIs" dxfId="9865" priority="25376" operator="equal">
      <formula>"value일 미도래"</formula>
    </cfRule>
  </conditionalFormatting>
  <conditionalFormatting sqref="M149:M150">
    <cfRule type="cellIs" dxfId="9864" priority="25375" operator="equal">
      <formula>"value일 미도래"</formula>
    </cfRule>
  </conditionalFormatting>
  <conditionalFormatting sqref="M148">
    <cfRule type="cellIs" dxfId="9863" priority="25372" operator="equal">
      <formula>"value일 미도래"</formula>
    </cfRule>
  </conditionalFormatting>
  <conditionalFormatting sqref="M148">
    <cfRule type="cellIs" dxfId="9862" priority="25371" operator="equal">
      <formula>"value일 미도래"</formula>
    </cfRule>
  </conditionalFormatting>
  <conditionalFormatting sqref="M149:M150">
    <cfRule type="cellIs" dxfId="9861" priority="25370" operator="equal">
      <formula>"value일 미도래"</formula>
    </cfRule>
  </conditionalFormatting>
  <conditionalFormatting sqref="M149:M150">
    <cfRule type="cellIs" dxfId="9860" priority="25369" operator="equal">
      <formula>"value일 미도래"</formula>
    </cfRule>
  </conditionalFormatting>
  <conditionalFormatting sqref="M149:M150">
    <cfRule type="cellIs" dxfId="9859" priority="25368" operator="equal">
      <formula>"value일 미도래"</formula>
    </cfRule>
  </conditionalFormatting>
  <conditionalFormatting sqref="M150:M151">
    <cfRule type="cellIs" dxfId="9858" priority="25367" operator="equal">
      <formula>"value일 미도래"</formula>
    </cfRule>
  </conditionalFormatting>
  <conditionalFormatting sqref="M150:M151">
    <cfRule type="cellIs" dxfId="9857" priority="25366" operator="equal">
      <formula>"value일 미도래"</formula>
    </cfRule>
  </conditionalFormatting>
  <conditionalFormatting sqref="M150:M151">
    <cfRule type="cellIs" dxfId="9856" priority="25365" operator="equal">
      <formula>"value일 미도래"</formula>
    </cfRule>
  </conditionalFormatting>
  <conditionalFormatting sqref="M148">
    <cfRule type="cellIs" dxfId="9855" priority="25364" operator="equal">
      <formula>"value일 미도래"</formula>
    </cfRule>
  </conditionalFormatting>
  <conditionalFormatting sqref="M148">
    <cfRule type="cellIs" dxfId="9854" priority="25363" operator="equal">
      <formula>"value일 미도래"</formula>
    </cfRule>
  </conditionalFormatting>
  <conditionalFormatting sqref="M148">
    <cfRule type="cellIs" dxfId="9853" priority="25362" operator="equal">
      <formula>"value일 미도래"</formula>
    </cfRule>
  </conditionalFormatting>
  <conditionalFormatting sqref="M148">
    <cfRule type="cellIs" dxfId="9852" priority="25361" operator="equal">
      <formula>"value일 미도래"</formula>
    </cfRule>
  </conditionalFormatting>
  <conditionalFormatting sqref="M148">
    <cfRule type="cellIs" dxfId="9851" priority="25360" operator="equal">
      <formula>"value일 미도래"</formula>
    </cfRule>
  </conditionalFormatting>
  <conditionalFormatting sqref="M148">
    <cfRule type="cellIs" dxfId="9850" priority="25359" operator="equal">
      <formula>"value일 미도래"</formula>
    </cfRule>
  </conditionalFormatting>
  <conditionalFormatting sqref="M148">
    <cfRule type="cellIs" dxfId="9849" priority="25358" operator="equal">
      <formula>"value일 미도래"</formula>
    </cfRule>
  </conditionalFormatting>
  <conditionalFormatting sqref="M148">
    <cfRule type="cellIs" dxfId="9848" priority="25357" operator="equal">
      <formula>"value일 미도래"</formula>
    </cfRule>
  </conditionalFormatting>
  <conditionalFormatting sqref="M148">
    <cfRule type="cellIs" dxfId="9847" priority="25356" operator="equal">
      <formula>"value일 미도래"</formula>
    </cfRule>
  </conditionalFormatting>
  <conditionalFormatting sqref="M148">
    <cfRule type="cellIs" dxfId="9846" priority="25354" operator="equal">
      <formula>"value일 미도래"</formula>
    </cfRule>
  </conditionalFormatting>
  <conditionalFormatting sqref="M148">
    <cfRule type="cellIs" dxfId="9845" priority="25353" operator="equal">
      <formula>"value일 미도래"</formula>
    </cfRule>
  </conditionalFormatting>
  <conditionalFormatting sqref="M149:M150">
    <cfRule type="cellIs" dxfId="9844" priority="25352" operator="equal">
      <formula>"value일 미도래"</formula>
    </cfRule>
  </conditionalFormatting>
  <conditionalFormatting sqref="M149:M150">
    <cfRule type="cellIs" dxfId="9843" priority="25351" operator="equal">
      <formula>"value일 미도래"</formula>
    </cfRule>
  </conditionalFormatting>
  <conditionalFormatting sqref="M149:M150">
    <cfRule type="cellIs" dxfId="9842" priority="25350" operator="equal">
      <formula>"value일 미도래"</formula>
    </cfRule>
  </conditionalFormatting>
  <conditionalFormatting sqref="M150:M151">
    <cfRule type="cellIs" dxfId="9841" priority="25349" operator="equal">
      <formula>"value일 미도래"</formula>
    </cfRule>
  </conditionalFormatting>
  <conditionalFormatting sqref="M150:M151">
    <cfRule type="cellIs" dxfId="9840" priority="25348" operator="equal">
      <formula>"value일 미도래"</formula>
    </cfRule>
  </conditionalFormatting>
  <conditionalFormatting sqref="M150:M151">
    <cfRule type="cellIs" dxfId="9839" priority="25347" operator="equal">
      <formula>"value일 미도래"</formula>
    </cfRule>
  </conditionalFormatting>
  <conditionalFormatting sqref="M148">
    <cfRule type="cellIs" dxfId="9838" priority="25346" operator="equal">
      <formula>"value일 미도래"</formula>
    </cfRule>
  </conditionalFormatting>
  <conditionalFormatting sqref="M148">
    <cfRule type="cellIs" dxfId="9837" priority="25345" operator="equal">
      <formula>"value일 미도래"</formula>
    </cfRule>
  </conditionalFormatting>
  <conditionalFormatting sqref="M148">
    <cfRule type="cellIs" dxfId="9836" priority="25344" operator="equal">
      <formula>"value일 미도래"</formula>
    </cfRule>
  </conditionalFormatting>
  <conditionalFormatting sqref="M148">
    <cfRule type="cellIs" dxfId="9835" priority="25343" operator="equal">
      <formula>"value일 미도래"</formula>
    </cfRule>
  </conditionalFormatting>
  <conditionalFormatting sqref="M148">
    <cfRule type="cellIs" dxfId="9834" priority="25342" operator="equal">
      <formula>"value일 미도래"</formula>
    </cfRule>
  </conditionalFormatting>
  <conditionalFormatting sqref="M148">
    <cfRule type="cellIs" dxfId="9833" priority="25341" operator="equal">
      <formula>"value일 미도래"</formula>
    </cfRule>
  </conditionalFormatting>
  <conditionalFormatting sqref="M148">
    <cfRule type="cellIs" dxfId="9832" priority="25340" operator="equal">
      <formula>"value일 미도래"</formula>
    </cfRule>
  </conditionalFormatting>
  <conditionalFormatting sqref="M148">
    <cfRule type="cellIs" dxfId="9831" priority="25339" operator="equal">
      <formula>"value일 미도래"</formula>
    </cfRule>
  </conditionalFormatting>
  <conditionalFormatting sqref="M148">
    <cfRule type="cellIs" dxfId="9830" priority="25338" operator="equal">
      <formula>"value일 미도래"</formula>
    </cfRule>
  </conditionalFormatting>
  <conditionalFormatting sqref="M148">
    <cfRule type="cellIs" dxfId="9829" priority="25336" operator="equal">
      <formula>"value일 미도래"</formula>
    </cfRule>
  </conditionalFormatting>
  <conditionalFormatting sqref="M148">
    <cfRule type="cellIs" dxfId="9828" priority="25335" operator="equal">
      <formula>"value일 미도래"</formula>
    </cfRule>
  </conditionalFormatting>
  <conditionalFormatting sqref="M148">
    <cfRule type="cellIs" dxfId="9827" priority="25334" operator="equal">
      <formula>"value일 미도래"</formula>
    </cfRule>
  </conditionalFormatting>
  <conditionalFormatting sqref="M149:M150">
    <cfRule type="cellIs" dxfId="9826" priority="25333" operator="equal">
      <formula>"value일 미도래"</formula>
    </cfRule>
  </conditionalFormatting>
  <conditionalFormatting sqref="M149:M150">
    <cfRule type="cellIs" dxfId="9825" priority="25332" operator="equal">
      <formula>"value일 미도래"</formula>
    </cfRule>
  </conditionalFormatting>
  <conditionalFormatting sqref="M149:M150">
    <cfRule type="cellIs" dxfId="9824" priority="25331" operator="equal">
      <formula>"value일 미도래"</formula>
    </cfRule>
  </conditionalFormatting>
  <conditionalFormatting sqref="M148:M149">
    <cfRule type="cellIs" dxfId="9823" priority="25330" operator="equal">
      <formula>"value일 미도래"</formula>
    </cfRule>
  </conditionalFormatting>
  <conditionalFormatting sqref="M148:M149">
    <cfRule type="cellIs" dxfId="9822" priority="25329" operator="equal">
      <formula>"value일 미도래"</formula>
    </cfRule>
  </conditionalFormatting>
  <conditionalFormatting sqref="M148:M149">
    <cfRule type="cellIs" dxfId="9821" priority="25328" operator="equal">
      <formula>"value일 미도래"</formula>
    </cfRule>
  </conditionalFormatting>
  <conditionalFormatting sqref="M148:M149">
    <cfRule type="cellIs" dxfId="9820" priority="25327" operator="equal">
      <formula>"value일 미도래"</formula>
    </cfRule>
  </conditionalFormatting>
  <conditionalFormatting sqref="M148:M149">
    <cfRule type="cellIs" dxfId="9819" priority="25326" operator="equal">
      <formula>"value일 미도래"</formula>
    </cfRule>
  </conditionalFormatting>
  <conditionalFormatting sqref="M148:M149">
    <cfRule type="cellIs" dxfId="9818" priority="25325" operator="equal">
      <formula>"value일 미도래"</formula>
    </cfRule>
  </conditionalFormatting>
  <conditionalFormatting sqref="M148:M149">
    <cfRule type="cellIs" dxfId="9817" priority="25323" operator="equal">
      <formula>"value일 미도래"</formula>
    </cfRule>
  </conditionalFormatting>
  <conditionalFormatting sqref="M148:M149">
    <cfRule type="cellIs" dxfId="9816" priority="25322" operator="equal">
      <formula>"value일 미도래"</formula>
    </cfRule>
  </conditionalFormatting>
  <conditionalFormatting sqref="M148:M149">
    <cfRule type="cellIs" dxfId="9815" priority="25321" operator="equal">
      <formula>"value일 미도래"</formula>
    </cfRule>
  </conditionalFormatting>
  <conditionalFormatting sqref="M148:M149">
    <cfRule type="cellIs" dxfId="9814" priority="25320" operator="equal">
      <formula>"value일 미도래"</formula>
    </cfRule>
  </conditionalFormatting>
  <conditionalFormatting sqref="M148:M149">
    <cfRule type="cellIs" dxfId="9813" priority="25319" operator="equal">
      <formula>"value일 미도래"</formula>
    </cfRule>
  </conditionalFormatting>
  <conditionalFormatting sqref="M148:M149">
    <cfRule type="cellIs" dxfId="9812" priority="25318" operator="equal">
      <formula>"value일 미도래"</formula>
    </cfRule>
  </conditionalFormatting>
  <conditionalFormatting sqref="M148:M149">
    <cfRule type="cellIs" dxfId="9811" priority="25317" operator="equal">
      <formula>"value일 미도래"</formula>
    </cfRule>
  </conditionalFormatting>
  <conditionalFormatting sqref="M148:M149">
    <cfRule type="cellIs" dxfId="9810" priority="25316" operator="equal">
      <formula>"value일 미도래"</formula>
    </cfRule>
  </conditionalFormatting>
  <conditionalFormatting sqref="M148:M149">
    <cfRule type="cellIs" dxfId="9809" priority="25314" operator="equal">
      <formula>"value일 미도래"</formula>
    </cfRule>
  </conditionalFormatting>
  <conditionalFormatting sqref="M148:M149">
    <cfRule type="cellIs" dxfId="9808" priority="25313" operator="equal">
      <formula>"value일 미도래"</formula>
    </cfRule>
  </conditionalFormatting>
  <conditionalFormatting sqref="M148:M149">
    <cfRule type="cellIs" dxfId="9807" priority="25312" operator="equal">
      <formula>"value일 미도래"</formula>
    </cfRule>
  </conditionalFormatting>
  <conditionalFormatting sqref="M148:M149">
    <cfRule type="cellIs" dxfId="9806" priority="25311" operator="equal">
      <formula>"value일 미도래"</formula>
    </cfRule>
  </conditionalFormatting>
  <conditionalFormatting sqref="M148:M149">
    <cfRule type="cellIs" dxfId="9805" priority="25310" operator="equal">
      <formula>"value일 미도래"</formula>
    </cfRule>
  </conditionalFormatting>
  <conditionalFormatting sqref="M148:M149">
    <cfRule type="cellIs" dxfId="9804" priority="25309" operator="equal">
      <formula>"value일 미도래"</formula>
    </cfRule>
  </conditionalFormatting>
  <conditionalFormatting sqref="M148:M149">
    <cfRule type="cellIs" dxfId="9803" priority="25308" operator="equal">
      <formula>"value일 미도래"</formula>
    </cfRule>
  </conditionalFormatting>
  <conditionalFormatting sqref="M148:M149">
    <cfRule type="cellIs" dxfId="9802" priority="25307" operator="equal">
      <formula>"value일 미도래"</formula>
    </cfRule>
  </conditionalFormatting>
  <conditionalFormatting sqref="M148:M149">
    <cfRule type="cellIs" dxfId="9801" priority="25306" operator="equal">
      <formula>"value일 미도래"</formula>
    </cfRule>
  </conditionalFormatting>
  <conditionalFormatting sqref="M148:M149">
    <cfRule type="cellIs" dxfId="9800" priority="25305" operator="equal">
      <formula>"value일 미도래"</formula>
    </cfRule>
  </conditionalFormatting>
  <conditionalFormatting sqref="M148:M149">
    <cfRule type="cellIs" dxfId="9799" priority="25304" operator="equal">
      <formula>"value일 미도래"</formula>
    </cfRule>
  </conditionalFormatting>
  <conditionalFormatting sqref="M148:M149">
    <cfRule type="cellIs" dxfId="9798" priority="25302" operator="equal">
      <formula>"value일 미도래"</formula>
    </cfRule>
  </conditionalFormatting>
  <conditionalFormatting sqref="M148:M149">
    <cfRule type="cellIs" dxfId="9797" priority="25301" operator="equal">
      <formula>"value일 미도래"</formula>
    </cfRule>
  </conditionalFormatting>
  <conditionalFormatting sqref="M148:M149">
    <cfRule type="cellIs" dxfId="9796" priority="25300" operator="equal">
      <formula>"value일 미도래"</formula>
    </cfRule>
  </conditionalFormatting>
  <conditionalFormatting sqref="M148:M149">
    <cfRule type="cellIs" dxfId="9795" priority="25299" operator="equal">
      <formula>"value일 미도래"</formula>
    </cfRule>
  </conditionalFormatting>
  <conditionalFormatting sqref="M148:M149">
    <cfRule type="cellIs" dxfId="9794" priority="25298" operator="equal">
      <formula>"value일 미도래"</formula>
    </cfRule>
  </conditionalFormatting>
  <conditionalFormatting sqref="M148:M149">
    <cfRule type="cellIs" dxfId="9793" priority="25297" operator="equal">
      <formula>"value일 미도래"</formula>
    </cfRule>
  </conditionalFormatting>
  <conditionalFormatting sqref="M148:M149">
    <cfRule type="cellIs" dxfId="9792" priority="25296" operator="equal">
      <formula>"value일 미도래"</formula>
    </cfRule>
  </conditionalFormatting>
  <conditionalFormatting sqref="M148:M149">
    <cfRule type="cellIs" dxfId="9791" priority="25295" operator="equal">
      <formula>"value일 미도래"</formula>
    </cfRule>
  </conditionalFormatting>
  <conditionalFormatting sqref="M148:M149">
    <cfRule type="cellIs" dxfId="9790" priority="25294" operator="equal">
      <formula>"value일 미도래"</formula>
    </cfRule>
  </conditionalFormatting>
  <conditionalFormatting sqref="M148:M149">
    <cfRule type="cellIs" dxfId="9789" priority="25293" operator="equal">
      <formula>"value일 미도래"</formula>
    </cfRule>
  </conditionalFormatting>
  <conditionalFormatting sqref="M148:M149">
    <cfRule type="cellIs" dxfId="9788" priority="25292" operator="equal">
      <formula>"value일 미도래"</formula>
    </cfRule>
  </conditionalFormatting>
  <conditionalFormatting sqref="M148:M149">
    <cfRule type="cellIs" dxfId="9787" priority="25290" operator="equal">
      <formula>"value일 미도래"</formula>
    </cfRule>
  </conditionalFormatting>
  <conditionalFormatting sqref="M148:M149">
    <cfRule type="cellIs" dxfId="9786" priority="25289" operator="equal">
      <formula>"value일 미도래"</formula>
    </cfRule>
  </conditionalFormatting>
  <conditionalFormatting sqref="M148:M149">
    <cfRule type="cellIs" dxfId="9785" priority="25288" operator="equal">
      <formula>"value일 미도래"</formula>
    </cfRule>
  </conditionalFormatting>
  <conditionalFormatting sqref="M148">
    <cfRule type="cellIs" dxfId="9784" priority="25287" operator="equal">
      <formula>"value일 미도래"</formula>
    </cfRule>
  </conditionalFormatting>
  <conditionalFormatting sqref="M148">
    <cfRule type="cellIs" dxfId="9783" priority="25286" operator="equal">
      <formula>"value일 미도래"</formula>
    </cfRule>
  </conditionalFormatting>
  <conditionalFormatting sqref="M151:M152">
    <cfRule type="cellIs" dxfId="9782" priority="25285" operator="equal">
      <formula>"value일 미도래"</formula>
    </cfRule>
  </conditionalFormatting>
  <conditionalFormatting sqref="M151:M152">
    <cfRule type="cellIs" dxfId="9781" priority="25284" operator="equal">
      <formula>"value일 미도래"</formula>
    </cfRule>
  </conditionalFormatting>
  <conditionalFormatting sqref="M151:M152">
    <cfRule type="cellIs" dxfId="9780" priority="25283" operator="equal">
      <formula>"value일 미도래"</formula>
    </cfRule>
  </conditionalFormatting>
  <conditionalFormatting sqref="M151:M152">
    <cfRule type="cellIs" dxfId="9779" priority="25282" operator="equal">
      <formula>"value일 미도래"</formula>
    </cfRule>
  </conditionalFormatting>
  <conditionalFormatting sqref="M148:M149">
    <cfRule type="cellIs" dxfId="9778" priority="25281" operator="equal">
      <formula>"value일 미도래"</formula>
    </cfRule>
  </conditionalFormatting>
  <conditionalFormatting sqref="M148:M149">
    <cfRule type="cellIs" dxfId="9777" priority="25280" operator="equal">
      <formula>"value일 미도래"</formula>
    </cfRule>
  </conditionalFormatting>
  <conditionalFormatting sqref="M148:M149">
    <cfRule type="cellIs" dxfId="9776" priority="25279" operator="equal">
      <formula>"value일 미도래"</formula>
    </cfRule>
  </conditionalFormatting>
  <conditionalFormatting sqref="M149:M150">
    <cfRule type="cellIs" dxfId="9775" priority="25278" operator="equal">
      <formula>"value일 미도래"</formula>
    </cfRule>
  </conditionalFormatting>
  <conditionalFormatting sqref="M149:M150">
    <cfRule type="cellIs" dxfId="9774" priority="25277" operator="equal">
      <formula>"value일 미도래"</formula>
    </cfRule>
  </conditionalFormatting>
  <conditionalFormatting sqref="M149:M150">
    <cfRule type="cellIs" dxfId="9773" priority="25276" operator="equal">
      <formula>"value일 미도래"</formula>
    </cfRule>
  </conditionalFormatting>
  <conditionalFormatting sqref="M148">
    <cfRule type="cellIs" dxfId="9772" priority="25275" operator="equal">
      <formula>"value일 미도래"</formula>
    </cfRule>
  </conditionalFormatting>
  <conditionalFormatting sqref="M148">
    <cfRule type="cellIs" dxfId="9771" priority="25274" operator="equal">
      <formula>"value일 미도래"</formula>
    </cfRule>
  </conditionalFormatting>
  <conditionalFormatting sqref="M148">
    <cfRule type="cellIs" dxfId="9770" priority="25273" operator="equal">
      <formula>"value일 미도래"</formula>
    </cfRule>
  </conditionalFormatting>
  <conditionalFormatting sqref="M148">
    <cfRule type="cellIs" dxfId="9769" priority="25272" operator="equal">
      <formula>"value일 미도래"</formula>
    </cfRule>
  </conditionalFormatting>
  <conditionalFormatting sqref="M148">
    <cfRule type="cellIs" dxfId="9768" priority="25271" operator="equal">
      <formula>"value일 미도래"</formula>
    </cfRule>
  </conditionalFormatting>
  <conditionalFormatting sqref="M148">
    <cfRule type="cellIs" dxfId="9767" priority="25270" operator="equal">
      <formula>"value일 미도래"</formula>
    </cfRule>
  </conditionalFormatting>
  <conditionalFormatting sqref="M148">
    <cfRule type="cellIs" dxfId="9766" priority="25269" operator="equal">
      <formula>"value일 미도래"</formula>
    </cfRule>
  </conditionalFormatting>
  <conditionalFormatting sqref="M148">
    <cfRule type="cellIs" dxfId="9765" priority="25268" operator="equal">
      <formula>"value일 미도래"</formula>
    </cfRule>
  </conditionalFormatting>
  <conditionalFormatting sqref="M148">
    <cfRule type="cellIs" dxfId="9764" priority="25267" operator="equal">
      <formula>"value일 미도래"</formula>
    </cfRule>
  </conditionalFormatting>
  <conditionalFormatting sqref="M148">
    <cfRule type="cellIs" dxfId="9763" priority="25265" operator="equal">
      <formula>"value일 미도래"</formula>
    </cfRule>
  </conditionalFormatting>
  <conditionalFormatting sqref="M148">
    <cfRule type="cellIs" dxfId="9762" priority="25264" operator="equal">
      <formula>"value일 미도래"</formula>
    </cfRule>
  </conditionalFormatting>
  <conditionalFormatting sqref="M148">
    <cfRule type="cellIs" dxfId="9761" priority="25263" operator="equal">
      <formula>"value일 미도래"</formula>
    </cfRule>
  </conditionalFormatting>
  <conditionalFormatting sqref="M148:M149">
    <cfRule type="cellIs" dxfId="9760" priority="25262" operator="equal">
      <formula>"value일 미도래"</formula>
    </cfRule>
  </conditionalFormatting>
  <conditionalFormatting sqref="M148:M149">
    <cfRule type="cellIs" dxfId="9759" priority="25261" operator="equal">
      <formula>"value일 미도래"</formula>
    </cfRule>
  </conditionalFormatting>
  <conditionalFormatting sqref="M148:M149">
    <cfRule type="cellIs" dxfId="9758" priority="25260" operator="equal">
      <formula>"value일 미도래"</formula>
    </cfRule>
  </conditionalFormatting>
  <conditionalFormatting sqref="M148">
    <cfRule type="cellIs" dxfId="9757" priority="25259" operator="equal">
      <formula>"value일 미도래"</formula>
    </cfRule>
  </conditionalFormatting>
  <conditionalFormatting sqref="M148">
    <cfRule type="cellIs" dxfId="9756" priority="25258" operator="equal">
      <formula>"value일 미도래"</formula>
    </cfRule>
  </conditionalFormatting>
  <conditionalFormatting sqref="M148">
    <cfRule type="cellIs" dxfId="9755" priority="25257" operator="equal">
      <formula>"value일 미도래"</formula>
    </cfRule>
  </conditionalFormatting>
  <conditionalFormatting sqref="M148:M149">
    <cfRule type="cellIs" dxfId="9754" priority="25256" operator="equal">
      <formula>"value일 미도래"</formula>
    </cfRule>
  </conditionalFormatting>
  <conditionalFormatting sqref="M148:M149">
    <cfRule type="cellIs" dxfId="9753" priority="25255" operator="equal">
      <formula>"value일 미도래"</formula>
    </cfRule>
  </conditionalFormatting>
  <conditionalFormatting sqref="M148:M149">
    <cfRule type="cellIs" dxfId="9752" priority="25254" operator="equal">
      <formula>"value일 미도래"</formula>
    </cfRule>
  </conditionalFormatting>
  <conditionalFormatting sqref="M148">
    <cfRule type="cellIs" dxfId="9751" priority="25253" operator="equal">
      <formula>"value일 미도래"</formula>
    </cfRule>
  </conditionalFormatting>
  <conditionalFormatting sqref="M148">
    <cfRule type="cellIs" dxfId="9750" priority="25252" operator="equal">
      <formula>"value일 미도래"</formula>
    </cfRule>
  </conditionalFormatting>
  <conditionalFormatting sqref="M148">
    <cfRule type="cellIs" dxfId="9749" priority="25251" operator="equal">
      <formula>"value일 미도래"</formula>
    </cfRule>
  </conditionalFormatting>
  <conditionalFormatting sqref="M152:M153">
    <cfRule type="cellIs" dxfId="9748" priority="25250" operator="equal">
      <formula>"value일 미도래"</formula>
    </cfRule>
  </conditionalFormatting>
  <conditionalFormatting sqref="M152:M153">
    <cfRule type="cellIs" dxfId="9747" priority="25249" operator="equal">
      <formula>"value일 미도래"</formula>
    </cfRule>
  </conditionalFormatting>
  <conditionalFormatting sqref="M152:M153">
    <cfRule type="cellIs" dxfId="9746" priority="25248" operator="equal">
      <formula>"value일 미도래"</formula>
    </cfRule>
  </conditionalFormatting>
  <conditionalFormatting sqref="M152:M153">
    <cfRule type="cellIs" dxfId="9745" priority="25247" operator="equal">
      <formula>"value일 미도래"</formula>
    </cfRule>
  </conditionalFormatting>
  <conditionalFormatting sqref="M152:M153">
    <cfRule type="cellIs" dxfId="9744" priority="25246" operator="equal">
      <formula>"value일 미도래"</formula>
    </cfRule>
  </conditionalFormatting>
  <conditionalFormatting sqref="M152:M153">
    <cfRule type="cellIs" dxfId="9743" priority="25245" operator="equal">
      <formula>"value일 미도래"</formula>
    </cfRule>
  </conditionalFormatting>
  <conditionalFormatting sqref="M152:M153">
    <cfRule type="cellIs" dxfId="9742" priority="25243" operator="equal">
      <formula>"value일 미도래"</formula>
    </cfRule>
  </conditionalFormatting>
  <conditionalFormatting sqref="M152:M153">
    <cfRule type="cellIs" dxfId="9741" priority="25242" operator="equal">
      <formula>"value일 미도래"</formula>
    </cfRule>
  </conditionalFormatting>
  <conditionalFormatting sqref="M152:M153">
    <cfRule type="cellIs" dxfId="9740" priority="25241" operator="equal">
      <formula>"value일 미도래"</formula>
    </cfRule>
  </conditionalFormatting>
  <conditionalFormatting sqref="M152:M153">
    <cfRule type="cellIs" dxfId="9739" priority="25240" operator="equal">
      <formula>"value일 미도래"</formula>
    </cfRule>
  </conditionalFormatting>
  <conditionalFormatting sqref="M152:M153">
    <cfRule type="cellIs" dxfId="9738" priority="25239" operator="equal">
      <formula>"value일 미도래"</formula>
    </cfRule>
  </conditionalFormatting>
  <conditionalFormatting sqref="M152:M153">
    <cfRule type="cellIs" dxfId="9737" priority="25238" operator="equal">
      <formula>"value일 미도래"</formula>
    </cfRule>
  </conditionalFormatting>
  <conditionalFormatting sqref="M152:M153">
    <cfRule type="cellIs" dxfId="9736" priority="25237" operator="equal">
      <formula>"value일 미도래"</formula>
    </cfRule>
  </conditionalFormatting>
  <conditionalFormatting sqref="M152:M153">
    <cfRule type="cellIs" dxfId="9735" priority="25236" operator="equal">
      <formula>"value일 미도래"</formula>
    </cfRule>
  </conditionalFormatting>
  <conditionalFormatting sqref="M152:M153">
    <cfRule type="cellIs" dxfId="9734" priority="25234" operator="equal">
      <formula>"value일 미도래"</formula>
    </cfRule>
  </conditionalFormatting>
  <conditionalFormatting sqref="M152:M153">
    <cfRule type="cellIs" dxfId="9733" priority="25233" operator="equal">
      <formula>"value일 미도래"</formula>
    </cfRule>
  </conditionalFormatting>
  <conditionalFormatting sqref="M152:M153">
    <cfRule type="cellIs" dxfId="9732" priority="25232" operator="equal">
      <formula>"value일 미도래"</formula>
    </cfRule>
  </conditionalFormatting>
  <conditionalFormatting sqref="M152:M153">
    <cfRule type="cellIs" dxfId="9731" priority="25231" operator="equal">
      <formula>"value일 미도래"</formula>
    </cfRule>
  </conditionalFormatting>
  <conditionalFormatting sqref="M152:M153">
    <cfRule type="cellIs" dxfId="9730" priority="25230" operator="equal">
      <formula>"value일 미도래"</formula>
    </cfRule>
  </conditionalFormatting>
  <conditionalFormatting sqref="M152:M153">
    <cfRule type="cellIs" dxfId="9729" priority="25229" operator="equal">
      <formula>"value일 미도래"</formula>
    </cfRule>
  </conditionalFormatting>
  <conditionalFormatting sqref="M152:M153">
    <cfRule type="cellIs" dxfId="9728" priority="25228" operator="equal">
      <formula>"value일 미도래"</formula>
    </cfRule>
  </conditionalFormatting>
  <conditionalFormatting sqref="M152:M153">
    <cfRule type="cellIs" dxfId="9727" priority="25227" operator="equal">
      <formula>"value일 미도래"</formula>
    </cfRule>
  </conditionalFormatting>
  <conditionalFormatting sqref="M152:M153">
    <cfRule type="cellIs" dxfId="9726" priority="25226" operator="equal">
      <formula>"value일 미도래"</formula>
    </cfRule>
  </conditionalFormatting>
  <conditionalFormatting sqref="M152:M153">
    <cfRule type="cellIs" dxfId="9725" priority="25225" operator="equal">
      <formula>"value일 미도래"</formula>
    </cfRule>
  </conditionalFormatting>
  <conditionalFormatting sqref="M152:M153">
    <cfRule type="cellIs" dxfId="9724" priority="25224" operator="equal">
      <formula>"value일 미도래"</formula>
    </cfRule>
  </conditionalFormatting>
  <conditionalFormatting sqref="M152:M153">
    <cfRule type="cellIs" dxfId="9723" priority="25222" operator="equal">
      <formula>"value일 미도래"</formula>
    </cfRule>
  </conditionalFormatting>
  <conditionalFormatting sqref="M152:M153">
    <cfRule type="cellIs" dxfId="9722" priority="25221" operator="equal">
      <formula>"value일 미도래"</formula>
    </cfRule>
  </conditionalFormatting>
  <conditionalFormatting sqref="M152:M153">
    <cfRule type="cellIs" dxfId="9721" priority="25220" operator="equal">
      <formula>"value일 미도래"</formula>
    </cfRule>
  </conditionalFormatting>
  <conditionalFormatting sqref="M152:M153">
    <cfRule type="cellIs" dxfId="9720" priority="25219" operator="equal">
      <formula>"value일 미도래"</formula>
    </cfRule>
  </conditionalFormatting>
  <conditionalFormatting sqref="M152:M153">
    <cfRule type="cellIs" dxfId="9719" priority="25218" operator="equal">
      <formula>"value일 미도래"</formula>
    </cfRule>
  </conditionalFormatting>
  <conditionalFormatting sqref="M152:M153">
    <cfRule type="cellIs" dxfId="9718" priority="25217" operator="equal">
      <formula>"value일 미도래"</formula>
    </cfRule>
  </conditionalFormatting>
  <conditionalFormatting sqref="M152:M153">
    <cfRule type="cellIs" dxfId="9717" priority="25216" operator="equal">
      <formula>"value일 미도래"</formula>
    </cfRule>
  </conditionalFormatting>
  <conditionalFormatting sqref="M152:M153">
    <cfRule type="cellIs" dxfId="9716" priority="25215" operator="equal">
      <formula>"value일 미도래"</formula>
    </cfRule>
  </conditionalFormatting>
  <conditionalFormatting sqref="M152:M153">
    <cfRule type="cellIs" dxfId="9715" priority="25214" operator="equal">
      <formula>"value일 미도래"</formula>
    </cfRule>
  </conditionalFormatting>
  <conditionalFormatting sqref="M152:M153">
    <cfRule type="cellIs" dxfId="9714" priority="25213" operator="equal">
      <formula>"value일 미도래"</formula>
    </cfRule>
  </conditionalFormatting>
  <conditionalFormatting sqref="M152:M153">
    <cfRule type="cellIs" dxfId="9713" priority="25212" operator="equal">
      <formula>"value일 미도래"</formula>
    </cfRule>
  </conditionalFormatting>
  <conditionalFormatting sqref="M152:M153">
    <cfRule type="cellIs" dxfId="9712" priority="25210" operator="equal">
      <formula>"value일 미도래"</formula>
    </cfRule>
  </conditionalFormatting>
  <conditionalFormatting sqref="M152:M153">
    <cfRule type="cellIs" dxfId="9711" priority="25209" operator="equal">
      <formula>"value일 미도래"</formula>
    </cfRule>
  </conditionalFormatting>
  <conditionalFormatting sqref="M152:M153">
    <cfRule type="cellIs" dxfId="9710" priority="25208" operator="equal">
      <formula>"value일 미도래"</formula>
    </cfRule>
  </conditionalFormatting>
  <conditionalFormatting sqref="M152:M153">
    <cfRule type="cellIs" dxfId="9709" priority="25207" operator="equal">
      <formula>"value일 미도래"</formula>
    </cfRule>
  </conditionalFormatting>
  <conditionalFormatting sqref="M152:M153">
    <cfRule type="cellIs" dxfId="9708" priority="25206" operator="equal">
      <formula>"value일 미도래"</formula>
    </cfRule>
  </conditionalFormatting>
  <conditionalFormatting sqref="M152:M153">
    <cfRule type="cellIs" dxfId="9707" priority="25205" operator="equal">
      <formula>"value일 미도래"</formula>
    </cfRule>
  </conditionalFormatting>
  <conditionalFormatting sqref="M152:M153">
    <cfRule type="cellIs" dxfId="9706" priority="25204" operator="equal">
      <formula>"value일 미도래"</formula>
    </cfRule>
  </conditionalFormatting>
  <conditionalFormatting sqref="M152:M153">
    <cfRule type="cellIs" dxfId="9705" priority="25203" operator="equal">
      <formula>"value일 미도래"</formula>
    </cfRule>
  </conditionalFormatting>
  <conditionalFormatting sqref="M152:M153">
    <cfRule type="cellIs" dxfId="9704" priority="25202" operator="equal">
      <formula>"value일 미도래"</formula>
    </cfRule>
  </conditionalFormatting>
  <conditionalFormatting sqref="M152:M153">
    <cfRule type="cellIs" dxfId="9703" priority="25201" operator="equal">
      <formula>"value일 미도래"</formula>
    </cfRule>
  </conditionalFormatting>
  <conditionalFormatting sqref="M152:M153">
    <cfRule type="cellIs" dxfId="9702" priority="25200" operator="equal">
      <formula>"value일 미도래"</formula>
    </cfRule>
  </conditionalFormatting>
  <conditionalFormatting sqref="M152:M153">
    <cfRule type="cellIs" dxfId="9701" priority="25199" operator="equal">
      <formula>"value일 미도래"</formula>
    </cfRule>
  </conditionalFormatting>
  <conditionalFormatting sqref="M152:M153">
    <cfRule type="cellIs" dxfId="9700" priority="25198" operator="equal">
      <formula>"value일 미도래"</formula>
    </cfRule>
  </conditionalFormatting>
  <conditionalFormatting sqref="M152:M153">
    <cfRule type="cellIs" dxfId="9699" priority="25197" operator="equal">
      <formula>"value일 미도래"</formula>
    </cfRule>
  </conditionalFormatting>
  <conditionalFormatting sqref="M152:M153">
    <cfRule type="cellIs" dxfId="9698" priority="25195" operator="equal">
      <formula>"value일 미도래"</formula>
    </cfRule>
  </conditionalFormatting>
  <conditionalFormatting sqref="M152:M153">
    <cfRule type="cellIs" dxfId="9697" priority="25194" operator="equal">
      <formula>"value일 미도래"</formula>
    </cfRule>
  </conditionalFormatting>
  <conditionalFormatting sqref="M152:M153">
    <cfRule type="cellIs" dxfId="9696" priority="25193" operator="equal">
      <formula>"value일 미도래"</formula>
    </cfRule>
  </conditionalFormatting>
  <conditionalFormatting sqref="M152:M153">
    <cfRule type="cellIs" dxfId="9695" priority="25192" operator="equal">
      <formula>"value일 미도래"</formula>
    </cfRule>
  </conditionalFormatting>
  <conditionalFormatting sqref="M152:M153">
    <cfRule type="cellIs" dxfId="9694" priority="25191" operator="equal">
      <formula>"value일 미도래"</formula>
    </cfRule>
  </conditionalFormatting>
  <conditionalFormatting sqref="M152:M153">
    <cfRule type="cellIs" dxfId="9693" priority="25190" operator="equal">
      <formula>"value일 미도래"</formula>
    </cfRule>
  </conditionalFormatting>
  <conditionalFormatting sqref="M152:M153">
    <cfRule type="cellIs" dxfId="9692" priority="25189" operator="equal">
      <formula>"value일 미도래"</formula>
    </cfRule>
  </conditionalFormatting>
  <conditionalFormatting sqref="M152:M153">
    <cfRule type="cellIs" dxfId="9691" priority="25188" operator="equal">
      <formula>"value일 미도래"</formula>
    </cfRule>
  </conditionalFormatting>
  <conditionalFormatting sqref="M152:M153">
    <cfRule type="cellIs" dxfId="9690" priority="25187" operator="equal">
      <formula>"value일 미도래"</formula>
    </cfRule>
  </conditionalFormatting>
  <conditionalFormatting sqref="M152:M153">
    <cfRule type="cellIs" dxfId="9689" priority="25186" operator="equal">
      <formula>"value일 미도래"</formula>
    </cfRule>
  </conditionalFormatting>
  <conditionalFormatting sqref="M152:M153">
    <cfRule type="cellIs" dxfId="9688" priority="25185" operator="equal">
      <formula>"value일 미도래"</formula>
    </cfRule>
  </conditionalFormatting>
  <conditionalFormatting sqref="M152:M153">
    <cfRule type="cellIs" dxfId="9687" priority="25184" operator="equal">
      <formula>"value일 미도래"</formula>
    </cfRule>
  </conditionalFormatting>
  <conditionalFormatting sqref="M152:M153">
    <cfRule type="cellIs" dxfId="9686" priority="25183" operator="equal">
      <formula>"value일 미도래"</formula>
    </cfRule>
  </conditionalFormatting>
  <conditionalFormatting sqref="M152:M153">
    <cfRule type="cellIs" dxfId="9685" priority="25182" operator="equal">
      <formula>"value일 미도래"</formula>
    </cfRule>
  </conditionalFormatting>
  <conditionalFormatting sqref="M152:M153">
    <cfRule type="cellIs" dxfId="9684" priority="25181" operator="equal">
      <formula>"value일 미도래"</formula>
    </cfRule>
  </conditionalFormatting>
  <conditionalFormatting sqref="M152:M153">
    <cfRule type="cellIs" dxfId="9683" priority="25180" operator="equal">
      <formula>"value일 미도래"</formula>
    </cfRule>
  </conditionalFormatting>
  <conditionalFormatting sqref="M152:M153">
    <cfRule type="cellIs" dxfId="9682" priority="25179" operator="equal">
      <formula>"value일 미도래"</formula>
    </cfRule>
  </conditionalFormatting>
  <conditionalFormatting sqref="M152:M153">
    <cfRule type="cellIs" dxfId="9681" priority="25178" operator="equal">
      <formula>"value일 미도래"</formula>
    </cfRule>
  </conditionalFormatting>
  <conditionalFormatting sqref="M152:M153">
    <cfRule type="cellIs" dxfId="9680" priority="25177" operator="equal">
      <formula>"value일 미도래"</formula>
    </cfRule>
  </conditionalFormatting>
  <conditionalFormatting sqref="M152:M153">
    <cfRule type="cellIs" dxfId="9679" priority="25176" operator="equal">
      <formula>"value일 미도래"</formula>
    </cfRule>
  </conditionalFormatting>
  <conditionalFormatting sqref="M152:M153">
    <cfRule type="cellIs" dxfId="9678" priority="25174" operator="equal">
      <formula>"value일 미도래"</formula>
    </cfRule>
  </conditionalFormatting>
  <conditionalFormatting sqref="M152:M153">
    <cfRule type="cellIs" dxfId="9677" priority="25173" operator="equal">
      <formula>"value일 미도래"</formula>
    </cfRule>
  </conditionalFormatting>
  <conditionalFormatting sqref="M152:M153">
    <cfRule type="cellIs" dxfId="9676" priority="25172" operator="equal">
      <formula>"value일 미도래"</formula>
    </cfRule>
  </conditionalFormatting>
  <conditionalFormatting sqref="M152:M153">
    <cfRule type="cellIs" dxfId="9675" priority="25171" operator="equal">
      <formula>"value일 미도래"</formula>
    </cfRule>
  </conditionalFormatting>
  <conditionalFormatting sqref="M152:M153">
    <cfRule type="cellIs" dxfId="9674" priority="25170" operator="equal">
      <formula>"value일 미도래"</formula>
    </cfRule>
  </conditionalFormatting>
  <conditionalFormatting sqref="M152:M153">
    <cfRule type="cellIs" dxfId="9673" priority="25169" operator="equal">
      <formula>"value일 미도래"</formula>
    </cfRule>
  </conditionalFormatting>
  <conditionalFormatting sqref="M152:M153">
    <cfRule type="cellIs" dxfId="9672" priority="25168" operator="equal">
      <formula>"value일 미도래"</formula>
    </cfRule>
  </conditionalFormatting>
  <conditionalFormatting sqref="M152:M153">
    <cfRule type="cellIs" dxfId="9671" priority="25167" operator="equal">
      <formula>"value일 미도래"</formula>
    </cfRule>
  </conditionalFormatting>
  <conditionalFormatting sqref="M152:M153">
    <cfRule type="cellIs" dxfId="9670" priority="25166" operator="equal">
      <formula>"value일 미도래"</formula>
    </cfRule>
  </conditionalFormatting>
  <conditionalFormatting sqref="M152:M153">
    <cfRule type="cellIs" dxfId="9669" priority="25165" operator="equal">
      <formula>"value일 미도래"</formula>
    </cfRule>
  </conditionalFormatting>
  <conditionalFormatting sqref="M152:M153">
    <cfRule type="cellIs" dxfId="9668" priority="25164" operator="equal">
      <formula>"value일 미도래"</formula>
    </cfRule>
  </conditionalFormatting>
  <conditionalFormatting sqref="M152:M153">
    <cfRule type="cellIs" dxfId="9667" priority="25163" operator="equal">
      <formula>"value일 미도래"</formula>
    </cfRule>
  </conditionalFormatting>
  <conditionalFormatting sqref="M229">
    <cfRule type="cellIs" dxfId="9666" priority="25154" operator="equal">
      <formula>"value일 미도래"</formula>
    </cfRule>
  </conditionalFormatting>
  <conditionalFormatting sqref="M148">
    <cfRule type="cellIs" dxfId="9665" priority="25125" operator="equal">
      <formula>"value일 미도래"</formula>
    </cfRule>
  </conditionalFormatting>
  <conditionalFormatting sqref="M148">
    <cfRule type="cellIs" dxfId="9664" priority="25124" operator="equal">
      <formula>"value일 미도래"</formula>
    </cfRule>
  </conditionalFormatting>
  <conditionalFormatting sqref="M149:M150">
    <cfRule type="cellIs" dxfId="9663" priority="25123" operator="equal">
      <formula>"value일 미도래"</formula>
    </cfRule>
  </conditionalFormatting>
  <conditionalFormatting sqref="M149:M150">
    <cfRule type="cellIs" dxfId="9662" priority="25122" operator="equal">
      <formula>"value일 미도래"</formula>
    </cfRule>
  </conditionalFormatting>
  <conditionalFormatting sqref="M148">
    <cfRule type="cellIs" dxfId="9661" priority="25121" operator="equal">
      <formula>"value일 미도래"</formula>
    </cfRule>
  </conditionalFormatting>
  <conditionalFormatting sqref="M148">
    <cfRule type="cellIs" dxfId="9660" priority="25120" operator="equal">
      <formula>"value일 미도래"</formula>
    </cfRule>
  </conditionalFormatting>
  <conditionalFormatting sqref="M148">
    <cfRule type="cellIs" dxfId="9659" priority="25119" operator="equal">
      <formula>"value일 미도래"</formula>
    </cfRule>
  </conditionalFormatting>
  <conditionalFormatting sqref="M149:M150">
    <cfRule type="cellIs" dxfId="9658" priority="25118" operator="equal">
      <formula>"value일 미도래"</formula>
    </cfRule>
  </conditionalFormatting>
  <conditionalFormatting sqref="M149:M150">
    <cfRule type="cellIs" dxfId="9657" priority="25117" operator="equal">
      <formula>"value일 미도래"</formula>
    </cfRule>
  </conditionalFormatting>
  <conditionalFormatting sqref="M149:M150">
    <cfRule type="cellIs" dxfId="9656" priority="25116" operator="equal">
      <formula>"value일 미도래"</formula>
    </cfRule>
  </conditionalFormatting>
  <conditionalFormatting sqref="M148">
    <cfRule type="cellIs" dxfId="9655" priority="25115" operator="equal">
      <formula>"value일 미도래"</formula>
    </cfRule>
  </conditionalFormatting>
  <conditionalFormatting sqref="M148">
    <cfRule type="cellIs" dxfId="9654" priority="25114" operator="equal">
      <formula>"value일 미도래"</formula>
    </cfRule>
  </conditionalFormatting>
  <conditionalFormatting sqref="M149:M150">
    <cfRule type="cellIs" dxfId="9653" priority="25113" operator="equal">
      <formula>"value일 미도래"</formula>
    </cfRule>
  </conditionalFormatting>
  <conditionalFormatting sqref="M149:M150">
    <cfRule type="cellIs" dxfId="9652" priority="25112" operator="equal">
      <formula>"value일 미도래"</formula>
    </cfRule>
  </conditionalFormatting>
  <conditionalFormatting sqref="M149:M150">
    <cfRule type="cellIs" dxfId="9651" priority="25111" operator="equal">
      <formula>"value일 미도래"</formula>
    </cfRule>
  </conditionalFormatting>
  <conditionalFormatting sqref="M148">
    <cfRule type="cellIs" dxfId="9650" priority="25110" operator="equal">
      <formula>"value일 미도래"</formula>
    </cfRule>
  </conditionalFormatting>
  <conditionalFormatting sqref="M148">
    <cfRule type="cellIs" dxfId="9649" priority="25109" operator="equal">
      <formula>"value일 미도래"</formula>
    </cfRule>
  </conditionalFormatting>
  <conditionalFormatting sqref="M148">
    <cfRule type="cellIs" dxfId="9648" priority="25108" operator="equal">
      <formula>"value일 미도래"</formula>
    </cfRule>
  </conditionalFormatting>
  <conditionalFormatting sqref="M148">
    <cfRule type="cellIs" dxfId="9647" priority="25107" operator="equal">
      <formula>"value일 미도래"</formula>
    </cfRule>
  </conditionalFormatting>
  <conditionalFormatting sqref="M148">
    <cfRule type="cellIs" dxfId="9646" priority="25106" operator="equal">
      <formula>"value일 미도래"</formula>
    </cfRule>
  </conditionalFormatting>
  <conditionalFormatting sqref="M148">
    <cfRule type="cellIs" dxfId="9645" priority="25105" operator="equal">
      <formula>"value일 미도래"</formula>
    </cfRule>
  </conditionalFormatting>
  <conditionalFormatting sqref="M149:M150">
    <cfRule type="cellIs" dxfId="9644" priority="25104" operator="equal">
      <formula>"value일 미도래"</formula>
    </cfRule>
  </conditionalFormatting>
  <conditionalFormatting sqref="M149:M150">
    <cfRule type="cellIs" dxfId="9643" priority="25103" operator="equal">
      <formula>"value일 미도래"</formula>
    </cfRule>
  </conditionalFormatting>
  <conditionalFormatting sqref="M149:M150">
    <cfRule type="cellIs" dxfId="9642" priority="25102" operator="equal">
      <formula>"value일 미도래"</formula>
    </cfRule>
  </conditionalFormatting>
  <conditionalFormatting sqref="M148">
    <cfRule type="cellIs" dxfId="9641" priority="25099" operator="equal">
      <formula>"value일 미도래"</formula>
    </cfRule>
  </conditionalFormatting>
  <conditionalFormatting sqref="M148">
    <cfRule type="cellIs" dxfId="9640" priority="25098" operator="equal">
      <formula>"value일 미도래"</formula>
    </cfRule>
  </conditionalFormatting>
  <conditionalFormatting sqref="M149:M150">
    <cfRule type="cellIs" dxfId="9639" priority="25097" operator="equal">
      <formula>"value일 미도래"</formula>
    </cfRule>
  </conditionalFormatting>
  <conditionalFormatting sqref="M149:M150">
    <cfRule type="cellIs" dxfId="9638" priority="25096" operator="equal">
      <formula>"value일 미도래"</formula>
    </cfRule>
  </conditionalFormatting>
  <conditionalFormatting sqref="M149:M150">
    <cfRule type="cellIs" dxfId="9637" priority="25095" operator="equal">
      <formula>"value일 미도래"</formula>
    </cfRule>
  </conditionalFormatting>
  <conditionalFormatting sqref="M148">
    <cfRule type="cellIs" dxfId="9636" priority="25094" operator="equal">
      <formula>"value일 미도래"</formula>
    </cfRule>
  </conditionalFormatting>
  <conditionalFormatting sqref="M148">
    <cfRule type="cellIs" dxfId="9635" priority="25093" operator="equal">
      <formula>"value일 미도래"</formula>
    </cfRule>
  </conditionalFormatting>
  <conditionalFormatting sqref="M148">
    <cfRule type="cellIs" dxfId="9634" priority="25092" operator="equal">
      <formula>"value일 미도래"</formula>
    </cfRule>
  </conditionalFormatting>
  <conditionalFormatting sqref="M148">
    <cfRule type="cellIs" dxfId="9633" priority="25091" operator="equal">
      <formula>"value일 미도래"</formula>
    </cfRule>
  </conditionalFormatting>
  <conditionalFormatting sqref="M148">
    <cfRule type="cellIs" dxfId="9632" priority="25090" operator="equal">
      <formula>"value일 미도래"</formula>
    </cfRule>
  </conditionalFormatting>
  <conditionalFormatting sqref="M148">
    <cfRule type="cellIs" dxfId="9631" priority="25089" operator="equal">
      <formula>"value일 미도래"</formula>
    </cfRule>
  </conditionalFormatting>
  <conditionalFormatting sqref="M148">
    <cfRule type="cellIs" dxfId="9630" priority="25088" operator="equal">
      <formula>"value일 미도래"</formula>
    </cfRule>
  </conditionalFormatting>
  <conditionalFormatting sqref="M148">
    <cfRule type="cellIs" dxfId="9629" priority="25087" operator="equal">
      <formula>"value일 미도래"</formula>
    </cfRule>
  </conditionalFormatting>
  <conditionalFormatting sqref="M148">
    <cfRule type="cellIs" dxfId="9628" priority="25086" operator="equal">
      <formula>"value일 미도래"</formula>
    </cfRule>
  </conditionalFormatting>
  <conditionalFormatting sqref="M148">
    <cfRule type="cellIs" dxfId="9627" priority="25084" operator="equal">
      <formula>"value일 미도래"</formula>
    </cfRule>
  </conditionalFormatting>
  <conditionalFormatting sqref="M148">
    <cfRule type="cellIs" dxfId="9626" priority="25083" operator="equal">
      <formula>"value일 미도래"</formula>
    </cfRule>
  </conditionalFormatting>
  <conditionalFormatting sqref="M149:M150">
    <cfRule type="cellIs" dxfId="9625" priority="25082" operator="equal">
      <formula>"value일 미도래"</formula>
    </cfRule>
  </conditionalFormatting>
  <conditionalFormatting sqref="M149:M150">
    <cfRule type="cellIs" dxfId="9624" priority="25081" operator="equal">
      <formula>"value일 미도래"</formula>
    </cfRule>
  </conditionalFormatting>
  <conditionalFormatting sqref="M149:M150">
    <cfRule type="cellIs" dxfId="9623" priority="25080" operator="equal">
      <formula>"value일 미도래"</formula>
    </cfRule>
  </conditionalFormatting>
  <conditionalFormatting sqref="M148">
    <cfRule type="cellIs" dxfId="9622" priority="25079" operator="equal">
      <formula>"value일 미도래"</formula>
    </cfRule>
  </conditionalFormatting>
  <conditionalFormatting sqref="M148">
    <cfRule type="cellIs" dxfId="9621" priority="25078" operator="equal">
      <formula>"value일 미도래"</formula>
    </cfRule>
  </conditionalFormatting>
  <conditionalFormatting sqref="M148">
    <cfRule type="cellIs" dxfId="9620" priority="25077" operator="equal">
      <formula>"value일 미도래"</formula>
    </cfRule>
  </conditionalFormatting>
  <conditionalFormatting sqref="M148">
    <cfRule type="cellIs" dxfId="9619" priority="25076" operator="equal">
      <formula>"value일 미도래"</formula>
    </cfRule>
  </conditionalFormatting>
  <conditionalFormatting sqref="M148">
    <cfRule type="cellIs" dxfId="9618" priority="25075" operator="equal">
      <formula>"value일 미도래"</formula>
    </cfRule>
  </conditionalFormatting>
  <conditionalFormatting sqref="M148">
    <cfRule type="cellIs" dxfId="9617" priority="25074" operator="equal">
      <formula>"value일 미도래"</formula>
    </cfRule>
  </conditionalFormatting>
  <conditionalFormatting sqref="M148">
    <cfRule type="cellIs" dxfId="9616" priority="25073" operator="equal">
      <formula>"value일 미도래"</formula>
    </cfRule>
  </conditionalFormatting>
  <conditionalFormatting sqref="M148">
    <cfRule type="cellIs" dxfId="9615" priority="25072" operator="equal">
      <formula>"value일 미도래"</formula>
    </cfRule>
  </conditionalFormatting>
  <conditionalFormatting sqref="M148">
    <cfRule type="cellIs" dxfId="9614" priority="25071" operator="equal">
      <formula>"value일 미도래"</formula>
    </cfRule>
  </conditionalFormatting>
  <conditionalFormatting sqref="M148">
    <cfRule type="cellIs" dxfId="9613" priority="25069" operator="equal">
      <formula>"value일 미도래"</formula>
    </cfRule>
  </conditionalFormatting>
  <conditionalFormatting sqref="M148">
    <cfRule type="cellIs" dxfId="9612" priority="25068" operator="equal">
      <formula>"value일 미도래"</formula>
    </cfRule>
  </conditionalFormatting>
  <conditionalFormatting sqref="M148">
    <cfRule type="cellIs" dxfId="9611" priority="25067" operator="equal">
      <formula>"value일 미도래"</formula>
    </cfRule>
  </conditionalFormatting>
  <conditionalFormatting sqref="M149:M150">
    <cfRule type="cellIs" dxfId="9610" priority="25066" operator="equal">
      <formula>"value일 미도래"</formula>
    </cfRule>
  </conditionalFormatting>
  <conditionalFormatting sqref="M149:M150">
    <cfRule type="cellIs" dxfId="9609" priority="25065" operator="equal">
      <formula>"value일 미도래"</formula>
    </cfRule>
  </conditionalFormatting>
  <conditionalFormatting sqref="M149:M150">
    <cfRule type="cellIs" dxfId="9608" priority="25064" operator="equal">
      <formula>"value일 미도래"</formula>
    </cfRule>
  </conditionalFormatting>
  <conditionalFormatting sqref="M148:M149">
    <cfRule type="cellIs" dxfId="9607" priority="25063" operator="equal">
      <formula>"value일 미도래"</formula>
    </cfRule>
  </conditionalFormatting>
  <conditionalFormatting sqref="M148:M149">
    <cfRule type="cellIs" dxfId="9606" priority="25062" operator="equal">
      <formula>"value일 미도래"</formula>
    </cfRule>
  </conditionalFormatting>
  <conditionalFormatting sqref="M148:M149">
    <cfRule type="cellIs" dxfId="9605" priority="25061" operator="equal">
      <formula>"value일 미도래"</formula>
    </cfRule>
  </conditionalFormatting>
  <conditionalFormatting sqref="M148:M149">
    <cfRule type="cellIs" dxfId="9604" priority="25060" operator="equal">
      <formula>"value일 미도래"</formula>
    </cfRule>
  </conditionalFormatting>
  <conditionalFormatting sqref="M148:M149">
    <cfRule type="cellIs" dxfId="9603" priority="25059" operator="equal">
      <formula>"value일 미도래"</formula>
    </cfRule>
  </conditionalFormatting>
  <conditionalFormatting sqref="M148:M149">
    <cfRule type="cellIs" dxfId="9602" priority="25058" operator="equal">
      <formula>"value일 미도래"</formula>
    </cfRule>
  </conditionalFormatting>
  <conditionalFormatting sqref="M148:M149">
    <cfRule type="cellIs" dxfId="9601" priority="25056" operator="equal">
      <formula>"value일 미도래"</formula>
    </cfRule>
  </conditionalFormatting>
  <conditionalFormatting sqref="M148:M149">
    <cfRule type="cellIs" dxfId="9600" priority="25055" operator="equal">
      <formula>"value일 미도래"</formula>
    </cfRule>
  </conditionalFormatting>
  <conditionalFormatting sqref="M148:M149">
    <cfRule type="cellIs" dxfId="9599" priority="25054" operator="equal">
      <formula>"value일 미도래"</formula>
    </cfRule>
  </conditionalFormatting>
  <conditionalFormatting sqref="M148:M149">
    <cfRule type="cellIs" dxfId="9598" priority="25053" operator="equal">
      <formula>"value일 미도래"</formula>
    </cfRule>
  </conditionalFormatting>
  <conditionalFormatting sqref="M148:M149">
    <cfRule type="cellIs" dxfId="9597" priority="25052" operator="equal">
      <formula>"value일 미도래"</formula>
    </cfRule>
  </conditionalFormatting>
  <conditionalFormatting sqref="M148:M149">
    <cfRule type="cellIs" dxfId="9596" priority="25051" operator="equal">
      <formula>"value일 미도래"</formula>
    </cfRule>
  </conditionalFormatting>
  <conditionalFormatting sqref="M148:M149">
    <cfRule type="cellIs" dxfId="9595" priority="25050" operator="equal">
      <formula>"value일 미도래"</formula>
    </cfRule>
  </conditionalFormatting>
  <conditionalFormatting sqref="M148:M149">
    <cfRule type="cellIs" dxfId="9594" priority="25049" operator="equal">
      <formula>"value일 미도래"</formula>
    </cfRule>
  </conditionalFormatting>
  <conditionalFormatting sqref="M148:M149">
    <cfRule type="cellIs" dxfId="9593" priority="25047" operator="equal">
      <formula>"value일 미도래"</formula>
    </cfRule>
  </conditionalFormatting>
  <conditionalFormatting sqref="M148:M149">
    <cfRule type="cellIs" dxfId="9592" priority="25046" operator="equal">
      <formula>"value일 미도래"</formula>
    </cfRule>
  </conditionalFormatting>
  <conditionalFormatting sqref="M148:M149">
    <cfRule type="cellIs" dxfId="9591" priority="25045" operator="equal">
      <formula>"value일 미도래"</formula>
    </cfRule>
  </conditionalFormatting>
  <conditionalFormatting sqref="M148:M149">
    <cfRule type="cellIs" dxfId="9590" priority="25044" operator="equal">
      <formula>"value일 미도래"</formula>
    </cfRule>
  </conditionalFormatting>
  <conditionalFormatting sqref="M148:M149">
    <cfRule type="cellIs" dxfId="9589" priority="25043" operator="equal">
      <formula>"value일 미도래"</formula>
    </cfRule>
  </conditionalFormatting>
  <conditionalFormatting sqref="M148:M149">
    <cfRule type="cellIs" dxfId="9588" priority="25042" operator="equal">
      <formula>"value일 미도래"</formula>
    </cfRule>
  </conditionalFormatting>
  <conditionalFormatting sqref="M148:M149">
    <cfRule type="cellIs" dxfId="9587" priority="25041" operator="equal">
      <formula>"value일 미도래"</formula>
    </cfRule>
  </conditionalFormatting>
  <conditionalFormatting sqref="M148:M149">
    <cfRule type="cellIs" dxfId="9586" priority="25040" operator="equal">
      <formula>"value일 미도래"</formula>
    </cfRule>
  </conditionalFormatting>
  <conditionalFormatting sqref="M148:M149">
    <cfRule type="cellIs" dxfId="9585" priority="25039" operator="equal">
      <formula>"value일 미도래"</formula>
    </cfRule>
  </conditionalFormatting>
  <conditionalFormatting sqref="M148:M149">
    <cfRule type="cellIs" dxfId="9584" priority="25038" operator="equal">
      <formula>"value일 미도래"</formula>
    </cfRule>
  </conditionalFormatting>
  <conditionalFormatting sqref="M148:M149">
    <cfRule type="cellIs" dxfId="9583" priority="25037" operator="equal">
      <formula>"value일 미도래"</formula>
    </cfRule>
  </conditionalFormatting>
  <conditionalFormatting sqref="M148:M149">
    <cfRule type="cellIs" dxfId="9582" priority="25035" operator="equal">
      <formula>"value일 미도래"</formula>
    </cfRule>
  </conditionalFormatting>
  <conditionalFormatting sqref="M148:M149">
    <cfRule type="cellIs" dxfId="9581" priority="25034" operator="equal">
      <formula>"value일 미도래"</formula>
    </cfRule>
  </conditionalFormatting>
  <conditionalFormatting sqref="M148:M149">
    <cfRule type="cellIs" dxfId="9580" priority="25033" operator="equal">
      <formula>"value일 미도래"</formula>
    </cfRule>
  </conditionalFormatting>
  <conditionalFormatting sqref="M148:M149">
    <cfRule type="cellIs" dxfId="9579" priority="25032" operator="equal">
      <formula>"value일 미도래"</formula>
    </cfRule>
  </conditionalFormatting>
  <conditionalFormatting sqref="M148:M149">
    <cfRule type="cellIs" dxfId="9578" priority="25031" operator="equal">
      <formula>"value일 미도래"</formula>
    </cfRule>
  </conditionalFormatting>
  <conditionalFormatting sqref="M148:M149">
    <cfRule type="cellIs" dxfId="9577" priority="25030" operator="equal">
      <formula>"value일 미도래"</formula>
    </cfRule>
  </conditionalFormatting>
  <conditionalFormatting sqref="M148:M149">
    <cfRule type="cellIs" dxfId="9576" priority="25029" operator="equal">
      <formula>"value일 미도래"</formula>
    </cfRule>
  </conditionalFormatting>
  <conditionalFormatting sqref="M148:M149">
    <cfRule type="cellIs" dxfId="9575" priority="25028" operator="equal">
      <formula>"value일 미도래"</formula>
    </cfRule>
  </conditionalFormatting>
  <conditionalFormatting sqref="M148:M149">
    <cfRule type="cellIs" dxfId="9574" priority="25027" operator="equal">
      <formula>"value일 미도래"</formula>
    </cfRule>
  </conditionalFormatting>
  <conditionalFormatting sqref="M148:M149">
    <cfRule type="cellIs" dxfId="9573" priority="25026" operator="equal">
      <formula>"value일 미도래"</formula>
    </cfRule>
  </conditionalFormatting>
  <conditionalFormatting sqref="M148:M149">
    <cfRule type="cellIs" dxfId="9572" priority="25025" operator="equal">
      <formula>"value일 미도래"</formula>
    </cfRule>
  </conditionalFormatting>
  <conditionalFormatting sqref="M148:M149">
    <cfRule type="cellIs" dxfId="9571" priority="25023" operator="equal">
      <formula>"value일 미도래"</formula>
    </cfRule>
  </conditionalFormatting>
  <conditionalFormatting sqref="M148:M149">
    <cfRule type="cellIs" dxfId="9570" priority="25022" operator="equal">
      <formula>"value일 미도래"</formula>
    </cfRule>
  </conditionalFormatting>
  <conditionalFormatting sqref="M148:M149">
    <cfRule type="cellIs" dxfId="9569" priority="25021" operator="equal">
      <formula>"value일 미도래"</formula>
    </cfRule>
  </conditionalFormatting>
  <conditionalFormatting sqref="M148">
    <cfRule type="cellIs" dxfId="9568" priority="25020" operator="equal">
      <formula>"value일 미도래"</formula>
    </cfRule>
  </conditionalFormatting>
  <conditionalFormatting sqref="M148">
    <cfRule type="cellIs" dxfId="9567" priority="25019" operator="equal">
      <formula>"value일 미도래"</formula>
    </cfRule>
  </conditionalFormatting>
  <conditionalFormatting sqref="M148:M149">
    <cfRule type="cellIs" dxfId="9566" priority="25018" operator="equal">
      <formula>"value일 미도래"</formula>
    </cfRule>
  </conditionalFormatting>
  <conditionalFormatting sqref="M148:M149">
    <cfRule type="cellIs" dxfId="9565" priority="25017" operator="equal">
      <formula>"value일 미도래"</formula>
    </cfRule>
  </conditionalFormatting>
  <conditionalFormatting sqref="M148:M149">
    <cfRule type="cellIs" dxfId="9564" priority="25016" operator="equal">
      <formula>"value일 미도래"</formula>
    </cfRule>
  </conditionalFormatting>
  <conditionalFormatting sqref="M149:M150">
    <cfRule type="cellIs" dxfId="9563" priority="25015" operator="equal">
      <formula>"value일 미도래"</formula>
    </cfRule>
  </conditionalFormatting>
  <conditionalFormatting sqref="M149:M150">
    <cfRule type="cellIs" dxfId="9562" priority="25014" operator="equal">
      <formula>"value일 미도래"</formula>
    </cfRule>
  </conditionalFormatting>
  <conditionalFormatting sqref="M149:M150">
    <cfRule type="cellIs" dxfId="9561" priority="25013" operator="equal">
      <formula>"value일 미도래"</formula>
    </cfRule>
  </conditionalFormatting>
  <conditionalFormatting sqref="M148">
    <cfRule type="cellIs" dxfId="9560" priority="25012" operator="equal">
      <formula>"value일 미도래"</formula>
    </cfRule>
  </conditionalFormatting>
  <conditionalFormatting sqref="M148">
    <cfRule type="cellIs" dxfId="9559" priority="25011" operator="equal">
      <formula>"value일 미도래"</formula>
    </cfRule>
  </conditionalFormatting>
  <conditionalFormatting sqref="M148">
    <cfRule type="cellIs" dxfId="9558" priority="25010" operator="equal">
      <formula>"value일 미도래"</formula>
    </cfRule>
  </conditionalFormatting>
  <conditionalFormatting sqref="M148">
    <cfRule type="cellIs" dxfId="9557" priority="25009" operator="equal">
      <formula>"value일 미도래"</formula>
    </cfRule>
  </conditionalFormatting>
  <conditionalFormatting sqref="M148">
    <cfRule type="cellIs" dxfId="9556" priority="25008" operator="equal">
      <formula>"value일 미도래"</formula>
    </cfRule>
  </conditionalFormatting>
  <conditionalFormatting sqref="M148">
    <cfRule type="cellIs" dxfId="9555" priority="25007" operator="equal">
      <formula>"value일 미도래"</formula>
    </cfRule>
  </conditionalFormatting>
  <conditionalFormatting sqref="M148">
    <cfRule type="cellIs" dxfId="9554" priority="25006" operator="equal">
      <formula>"value일 미도래"</formula>
    </cfRule>
  </conditionalFormatting>
  <conditionalFormatting sqref="M148">
    <cfRule type="cellIs" dxfId="9553" priority="25005" operator="equal">
      <formula>"value일 미도래"</formula>
    </cfRule>
  </conditionalFormatting>
  <conditionalFormatting sqref="M148">
    <cfRule type="cellIs" dxfId="9552" priority="25004" operator="equal">
      <formula>"value일 미도래"</formula>
    </cfRule>
  </conditionalFormatting>
  <conditionalFormatting sqref="M148">
    <cfRule type="cellIs" dxfId="9551" priority="25002" operator="equal">
      <formula>"value일 미도래"</formula>
    </cfRule>
  </conditionalFormatting>
  <conditionalFormatting sqref="M148">
    <cfRule type="cellIs" dxfId="9550" priority="25001" operator="equal">
      <formula>"value일 미도래"</formula>
    </cfRule>
  </conditionalFormatting>
  <conditionalFormatting sqref="M148">
    <cfRule type="cellIs" dxfId="9549" priority="25000" operator="equal">
      <formula>"value일 미도래"</formula>
    </cfRule>
  </conditionalFormatting>
  <conditionalFormatting sqref="M148:M149">
    <cfRule type="cellIs" dxfId="9548" priority="24999" operator="equal">
      <formula>"value일 미도래"</formula>
    </cfRule>
  </conditionalFormatting>
  <conditionalFormatting sqref="M148:M149">
    <cfRule type="cellIs" dxfId="9547" priority="24998" operator="equal">
      <formula>"value일 미도래"</formula>
    </cfRule>
  </conditionalFormatting>
  <conditionalFormatting sqref="M148:M149">
    <cfRule type="cellIs" dxfId="9546" priority="24997" operator="equal">
      <formula>"value일 미도래"</formula>
    </cfRule>
  </conditionalFormatting>
  <conditionalFormatting sqref="M148">
    <cfRule type="cellIs" dxfId="9545" priority="24996" operator="equal">
      <formula>"value일 미도래"</formula>
    </cfRule>
  </conditionalFormatting>
  <conditionalFormatting sqref="M148">
    <cfRule type="cellIs" dxfId="9544" priority="24995" operator="equal">
      <formula>"value일 미도래"</formula>
    </cfRule>
  </conditionalFormatting>
  <conditionalFormatting sqref="M148">
    <cfRule type="cellIs" dxfId="9543" priority="24994" operator="equal">
      <formula>"value일 미도래"</formula>
    </cfRule>
  </conditionalFormatting>
  <conditionalFormatting sqref="M148:M149">
    <cfRule type="cellIs" dxfId="9542" priority="24993" operator="equal">
      <formula>"value일 미도래"</formula>
    </cfRule>
  </conditionalFormatting>
  <conditionalFormatting sqref="M148:M149">
    <cfRule type="cellIs" dxfId="9541" priority="24992" operator="equal">
      <formula>"value일 미도래"</formula>
    </cfRule>
  </conditionalFormatting>
  <conditionalFormatting sqref="M148:M149">
    <cfRule type="cellIs" dxfId="9540" priority="24991" operator="equal">
      <formula>"value일 미도래"</formula>
    </cfRule>
  </conditionalFormatting>
  <conditionalFormatting sqref="M148">
    <cfRule type="cellIs" dxfId="9539" priority="24990" operator="equal">
      <formula>"value일 미도래"</formula>
    </cfRule>
  </conditionalFormatting>
  <conditionalFormatting sqref="M148">
    <cfRule type="cellIs" dxfId="9538" priority="24989" operator="equal">
      <formula>"value일 미도래"</formula>
    </cfRule>
  </conditionalFormatting>
  <conditionalFormatting sqref="M148">
    <cfRule type="cellIs" dxfId="9537" priority="24988" operator="equal">
      <formula>"value일 미도래"</formula>
    </cfRule>
  </conditionalFormatting>
  <conditionalFormatting sqref="M148">
    <cfRule type="cellIs" dxfId="9536" priority="24987" operator="equal">
      <formula>"value일 미도래"</formula>
    </cfRule>
  </conditionalFormatting>
  <conditionalFormatting sqref="M148">
    <cfRule type="cellIs" dxfId="9535" priority="24986" operator="equal">
      <formula>"value일 미도래"</formula>
    </cfRule>
  </conditionalFormatting>
  <conditionalFormatting sqref="M148:M149">
    <cfRule type="cellIs" dxfId="9534" priority="24985" operator="equal">
      <formula>"value일 미도래"</formula>
    </cfRule>
  </conditionalFormatting>
  <conditionalFormatting sqref="M148:M149">
    <cfRule type="cellIs" dxfId="9533" priority="24984" operator="equal">
      <formula>"value일 미도래"</formula>
    </cfRule>
  </conditionalFormatting>
  <conditionalFormatting sqref="M148:M149">
    <cfRule type="cellIs" dxfId="9532" priority="24983" operator="equal">
      <formula>"value일 미도래"</formula>
    </cfRule>
  </conditionalFormatting>
  <conditionalFormatting sqref="M149:M150">
    <cfRule type="cellIs" dxfId="9531" priority="24982" operator="equal">
      <formula>"value일 미도래"</formula>
    </cfRule>
  </conditionalFormatting>
  <conditionalFormatting sqref="M149:M150">
    <cfRule type="cellIs" dxfId="9530" priority="24981" operator="equal">
      <formula>"value일 미도래"</formula>
    </cfRule>
  </conditionalFormatting>
  <conditionalFormatting sqref="M149:M150">
    <cfRule type="cellIs" dxfId="9529" priority="24980" operator="equal">
      <formula>"value일 미도래"</formula>
    </cfRule>
  </conditionalFormatting>
  <conditionalFormatting sqref="M148">
    <cfRule type="cellIs" dxfId="9528" priority="24979" operator="equal">
      <formula>"value일 미도래"</formula>
    </cfRule>
  </conditionalFormatting>
  <conditionalFormatting sqref="M148">
    <cfRule type="cellIs" dxfId="9527" priority="24978" operator="equal">
      <formula>"value일 미도래"</formula>
    </cfRule>
  </conditionalFormatting>
  <conditionalFormatting sqref="M148">
    <cfRule type="cellIs" dxfId="9526" priority="24977" operator="equal">
      <formula>"value일 미도래"</formula>
    </cfRule>
  </conditionalFormatting>
  <conditionalFormatting sqref="M148">
    <cfRule type="cellIs" dxfId="9525" priority="24976" operator="equal">
      <formula>"value일 미도래"</formula>
    </cfRule>
  </conditionalFormatting>
  <conditionalFormatting sqref="M148">
    <cfRule type="cellIs" dxfId="9524" priority="24975" operator="equal">
      <formula>"value일 미도래"</formula>
    </cfRule>
  </conditionalFormatting>
  <conditionalFormatting sqref="M148">
    <cfRule type="cellIs" dxfId="9523" priority="24974" operator="equal">
      <formula>"value일 미도래"</formula>
    </cfRule>
  </conditionalFormatting>
  <conditionalFormatting sqref="M148">
    <cfRule type="cellIs" dxfId="9522" priority="24973" operator="equal">
      <formula>"value일 미도래"</formula>
    </cfRule>
  </conditionalFormatting>
  <conditionalFormatting sqref="M148">
    <cfRule type="cellIs" dxfId="9521" priority="24972" operator="equal">
      <formula>"value일 미도래"</formula>
    </cfRule>
  </conditionalFormatting>
  <conditionalFormatting sqref="M148">
    <cfRule type="cellIs" dxfId="9520" priority="24971" operator="equal">
      <formula>"value일 미도래"</formula>
    </cfRule>
  </conditionalFormatting>
  <conditionalFormatting sqref="M148">
    <cfRule type="cellIs" dxfId="9519" priority="24969" operator="equal">
      <formula>"value일 미도래"</formula>
    </cfRule>
  </conditionalFormatting>
  <conditionalFormatting sqref="M148">
    <cfRule type="cellIs" dxfId="9518" priority="24968" operator="equal">
      <formula>"value일 미도래"</formula>
    </cfRule>
  </conditionalFormatting>
  <conditionalFormatting sqref="M148">
    <cfRule type="cellIs" dxfId="9517" priority="24967" operator="equal">
      <formula>"value일 미도래"</formula>
    </cfRule>
  </conditionalFormatting>
  <conditionalFormatting sqref="M148:M149">
    <cfRule type="cellIs" dxfId="9516" priority="24966" operator="equal">
      <formula>"value일 미도래"</formula>
    </cfRule>
  </conditionalFormatting>
  <conditionalFormatting sqref="M148:M149">
    <cfRule type="cellIs" dxfId="9515" priority="24965" operator="equal">
      <formula>"value일 미도래"</formula>
    </cfRule>
  </conditionalFormatting>
  <conditionalFormatting sqref="M148:M149">
    <cfRule type="cellIs" dxfId="9514" priority="24964" operator="equal">
      <formula>"value일 미도래"</formula>
    </cfRule>
  </conditionalFormatting>
  <conditionalFormatting sqref="M148">
    <cfRule type="cellIs" dxfId="9513" priority="24963" operator="equal">
      <formula>"value일 미도래"</formula>
    </cfRule>
  </conditionalFormatting>
  <conditionalFormatting sqref="M148">
    <cfRule type="cellIs" dxfId="9512" priority="24962" operator="equal">
      <formula>"value일 미도래"</formula>
    </cfRule>
  </conditionalFormatting>
  <conditionalFormatting sqref="M148">
    <cfRule type="cellIs" dxfId="9511" priority="24961" operator="equal">
      <formula>"value일 미도래"</formula>
    </cfRule>
  </conditionalFormatting>
  <conditionalFormatting sqref="M148:M149">
    <cfRule type="cellIs" dxfId="9510" priority="24960" operator="equal">
      <formula>"value일 미도래"</formula>
    </cfRule>
  </conditionalFormatting>
  <conditionalFormatting sqref="M148:M149">
    <cfRule type="cellIs" dxfId="9509" priority="24959" operator="equal">
      <formula>"value일 미도래"</formula>
    </cfRule>
  </conditionalFormatting>
  <conditionalFormatting sqref="M148:M149">
    <cfRule type="cellIs" dxfId="9508" priority="24958" operator="equal">
      <formula>"value일 미도래"</formula>
    </cfRule>
  </conditionalFormatting>
  <conditionalFormatting sqref="M148">
    <cfRule type="cellIs" dxfId="9507" priority="24957" operator="equal">
      <formula>"value일 미도래"</formula>
    </cfRule>
  </conditionalFormatting>
  <conditionalFormatting sqref="M148">
    <cfRule type="cellIs" dxfId="9506" priority="24956" operator="equal">
      <formula>"value일 미도래"</formula>
    </cfRule>
  </conditionalFormatting>
  <conditionalFormatting sqref="M148">
    <cfRule type="cellIs" dxfId="9505" priority="24955" operator="equal">
      <formula>"value일 미도래"</formula>
    </cfRule>
  </conditionalFormatting>
  <conditionalFormatting sqref="M149:M150">
    <cfRule type="cellIs" dxfId="9504" priority="24954" operator="equal">
      <formula>"value일 미도래"</formula>
    </cfRule>
  </conditionalFormatting>
  <conditionalFormatting sqref="M149:M150">
    <cfRule type="cellIs" dxfId="9503" priority="24953" operator="equal">
      <formula>"value일 미도래"</formula>
    </cfRule>
  </conditionalFormatting>
  <conditionalFormatting sqref="M149:M150">
    <cfRule type="cellIs" dxfId="9502" priority="24952" operator="equal">
      <formula>"value일 미도래"</formula>
    </cfRule>
  </conditionalFormatting>
  <conditionalFormatting sqref="M149:M150">
    <cfRule type="cellIs" dxfId="9501" priority="24951" operator="equal">
      <formula>"value일 미도래"</formula>
    </cfRule>
  </conditionalFormatting>
  <conditionalFormatting sqref="M148">
    <cfRule type="cellIs" dxfId="9500" priority="24950" operator="equal">
      <formula>"value일 미도래"</formula>
    </cfRule>
  </conditionalFormatting>
  <conditionalFormatting sqref="M148">
    <cfRule type="cellIs" dxfId="9499" priority="24949" operator="equal">
      <formula>"value일 미도래"</formula>
    </cfRule>
  </conditionalFormatting>
  <conditionalFormatting sqref="M148">
    <cfRule type="cellIs" dxfId="9498" priority="24948" operator="equal">
      <formula>"value일 미도래"</formula>
    </cfRule>
  </conditionalFormatting>
  <conditionalFormatting sqref="M150:M151">
    <cfRule type="cellIs" dxfId="9497" priority="24947" operator="equal">
      <formula>"value일 미도래"</formula>
    </cfRule>
  </conditionalFormatting>
  <conditionalFormatting sqref="M150:M151">
    <cfRule type="cellIs" dxfId="9496" priority="24946" operator="equal">
      <formula>"value일 미도래"</formula>
    </cfRule>
  </conditionalFormatting>
  <conditionalFormatting sqref="M150:M151">
    <cfRule type="cellIs" dxfId="9495" priority="24945" operator="equal">
      <formula>"value일 미도래"</formula>
    </cfRule>
  </conditionalFormatting>
  <conditionalFormatting sqref="M150:M151">
    <cfRule type="cellIs" dxfId="9494" priority="24944" operator="equal">
      <formula>"value일 미도래"</formula>
    </cfRule>
  </conditionalFormatting>
  <conditionalFormatting sqref="M150:M151">
    <cfRule type="cellIs" dxfId="9493" priority="24943" operator="equal">
      <formula>"value일 미도래"</formula>
    </cfRule>
  </conditionalFormatting>
  <conditionalFormatting sqref="M150:M151">
    <cfRule type="cellIs" dxfId="9492" priority="24942" operator="equal">
      <formula>"value일 미도래"</formula>
    </cfRule>
  </conditionalFormatting>
  <conditionalFormatting sqref="M150:M151">
    <cfRule type="cellIs" dxfId="9491" priority="24940" operator="equal">
      <formula>"value일 미도래"</formula>
    </cfRule>
  </conditionalFormatting>
  <conditionalFormatting sqref="M150:M151">
    <cfRule type="cellIs" dxfId="9490" priority="24939" operator="equal">
      <formula>"value일 미도래"</formula>
    </cfRule>
  </conditionalFormatting>
  <conditionalFormatting sqref="M150:M151">
    <cfRule type="cellIs" dxfId="9489" priority="24938" operator="equal">
      <formula>"value일 미도래"</formula>
    </cfRule>
  </conditionalFormatting>
  <conditionalFormatting sqref="M150:M151">
    <cfRule type="cellIs" dxfId="9488" priority="24937" operator="equal">
      <formula>"value일 미도래"</formula>
    </cfRule>
  </conditionalFormatting>
  <conditionalFormatting sqref="M150:M151">
    <cfRule type="cellIs" dxfId="9487" priority="24936" operator="equal">
      <formula>"value일 미도래"</formula>
    </cfRule>
  </conditionalFormatting>
  <conditionalFormatting sqref="M150:M151">
    <cfRule type="cellIs" dxfId="9486" priority="24935" operator="equal">
      <formula>"value일 미도래"</formula>
    </cfRule>
  </conditionalFormatting>
  <conditionalFormatting sqref="M150:M151">
    <cfRule type="cellIs" dxfId="9485" priority="24934" operator="equal">
      <formula>"value일 미도래"</formula>
    </cfRule>
  </conditionalFormatting>
  <conditionalFormatting sqref="M150:M151">
    <cfRule type="cellIs" dxfId="9484" priority="24933" operator="equal">
      <formula>"value일 미도래"</formula>
    </cfRule>
  </conditionalFormatting>
  <conditionalFormatting sqref="M150:M151">
    <cfRule type="cellIs" dxfId="9483" priority="24931" operator="equal">
      <formula>"value일 미도래"</formula>
    </cfRule>
  </conditionalFormatting>
  <conditionalFormatting sqref="M150:M151">
    <cfRule type="cellIs" dxfId="9482" priority="24930" operator="equal">
      <formula>"value일 미도래"</formula>
    </cfRule>
  </conditionalFormatting>
  <conditionalFormatting sqref="M150:M151">
    <cfRule type="cellIs" dxfId="9481" priority="24929" operator="equal">
      <formula>"value일 미도래"</formula>
    </cfRule>
  </conditionalFormatting>
  <conditionalFormatting sqref="M150:M151">
    <cfRule type="cellIs" dxfId="9480" priority="24928" operator="equal">
      <formula>"value일 미도래"</formula>
    </cfRule>
  </conditionalFormatting>
  <conditionalFormatting sqref="M150:M151">
    <cfRule type="cellIs" dxfId="9479" priority="24927" operator="equal">
      <formula>"value일 미도래"</formula>
    </cfRule>
  </conditionalFormatting>
  <conditionalFormatting sqref="M150:M151">
    <cfRule type="cellIs" dxfId="9478" priority="24926" operator="equal">
      <formula>"value일 미도래"</formula>
    </cfRule>
  </conditionalFormatting>
  <conditionalFormatting sqref="M150:M151">
    <cfRule type="cellIs" dxfId="9477" priority="24925" operator="equal">
      <formula>"value일 미도래"</formula>
    </cfRule>
  </conditionalFormatting>
  <conditionalFormatting sqref="M150:M151">
    <cfRule type="cellIs" dxfId="9476" priority="24924" operator="equal">
      <formula>"value일 미도래"</formula>
    </cfRule>
  </conditionalFormatting>
  <conditionalFormatting sqref="M150:M151">
    <cfRule type="cellIs" dxfId="9475" priority="24923" operator="equal">
      <formula>"value일 미도래"</formula>
    </cfRule>
  </conditionalFormatting>
  <conditionalFormatting sqref="M150:M151">
    <cfRule type="cellIs" dxfId="9474" priority="24922" operator="equal">
      <formula>"value일 미도래"</formula>
    </cfRule>
  </conditionalFormatting>
  <conditionalFormatting sqref="M150:M151">
    <cfRule type="cellIs" dxfId="9473" priority="24921" operator="equal">
      <formula>"value일 미도래"</formula>
    </cfRule>
  </conditionalFormatting>
  <conditionalFormatting sqref="M150:M151">
    <cfRule type="cellIs" dxfId="9472" priority="24919" operator="equal">
      <formula>"value일 미도래"</formula>
    </cfRule>
  </conditionalFormatting>
  <conditionalFormatting sqref="M150:M151">
    <cfRule type="cellIs" dxfId="9471" priority="24918" operator="equal">
      <formula>"value일 미도래"</formula>
    </cfRule>
  </conditionalFormatting>
  <conditionalFormatting sqref="M150:M151">
    <cfRule type="cellIs" dxfId="9470" priority="24917" operator="equal">
      <formula>"value일 미도래"</formula>
    </cfRule>
  </conditionalFormatting>
  <conditionalFormatting sqref="M150:M151">
    <cfRule type="cellIs" dxfId="9469" priority="24916" operator="equal">
      <formula>"value일 미도래"</formula>
    </cfRule>
  </conditionalFormatting>
  <conditionalFormatting sqref="M150:M151">
    <cfRule type="cellIs" dxfId="9468" priority="24915" operator="equal">
      <formula>"value일 미도래"</formula>
    </cfRule>
  </conditionalFormatting>
  <conditionalFormatting sqref="M150:M151">
    <cfRule type="cellIs" dxfId="9467" priority="24914" operator="equal">
      <formula>"value일 미도래"</formula>
    </cfRule>
  </conditionalFormatting>
  <conditionalFormatting sqref="M150:M151">
    <cfRule type="cellIs" dxfId="9466" priority="24913" operator="equal">
      <formula>"value일 미도래"</formula>
    </cfRule>
  </conditionalFormatting>
  <conditionalFormatting sqref="M150:M151">
    <cfRule type="cellIs" dxfId="9465" priority="24912" operator="equal">
      <formula>"value일 미도래"</formula>
    </cfRule>
  </conditionalFormatting>
  <conditionalFormatting sqref="M150:M151">
    <cfRule type="cellIs" dxfId="9464" priority="24911" operator="equal">
      <formula>"value일 미도래"</formula>
    </cfRule>
  </conditionalFormatting>
  <conditionalFormatting sqref="M150:M151">
    <cfRule type="cellIs" dxfId="9463" priority="24910" operator="equal">
      <formula>"value일 미도래"</formula>
    </cfRule>
  </conditionalFormatting>
  <conditionalFormatting sqref="M150:M151">
    <cfRule type="cellIs" dxfId="9462" priority="24909" operator="equal">
      <formula>"value일 미도래"</formula>
    </cfRule>
  </conditionalFormatting>
  <conditionalFormatting sqref="M150:M151">
    <cfRule type="cellIs" dxfId="9461" priority="24907" operator="equal">
      <formula>"value일 미도래"</formula>
    </cfRule>
  </conditionalFormatting>
  <conditionalFormatting sqref="M150:M151">
    <cfRule type="cellIs" dxfId="9460" priority="24906" operator="equal">
      <formula>"value일 미도래"</formula>
    </cfRule>
  </conditionalFormatting>
  <conditionalFormatting sqref="M150:M151">
    <cfRule type="cellIs" dxfId="9459" priority="24905" operator="equal">
      <formula>"value일 미도래"</formula>
    </cfRule>
  </conditionalFormatting>
  <conditionalFormatting sqref="M150:M151">
    <cfRule type="cellIs" dxfId="9458" priority="24904" operator="equal">
      <formula>"value일 미도래"</formula>
    </cfRule>
  </conditionalFormatting>
  <conditionalFormatting sqref="M150:M151">
    <cfRule type="cellIs" dxfId="9457" priority="24903" operator="equal">
      <formula>"value일 미도래"</formula>
    </cfRule>
  </conditionalFormatting>
  <conditionalFormatting sqref="M150:M151">
    <cfRule type="cellIs" dxfId="9456" priority="24902" operator="equal">
      <formula>"value일 미도래"</formula>
    </cfRule>
  </conditionalFormatting>
  <conditionalFormatting sqref="M150:M151">
    <cfRule type="cellIs" dxfId="9455" priority="24901" operator="equal">
      <formula>"value일 미도래"</formula>
    </cfRule>
  </conditionalFormatting>
  <conditionalFormatting sqref="M150:M151">
    <cfRule type="cellIs" dxfId="9454" priority="24900" operator="equal">
      <formula>"value일 미도래"</formula>
    </cfRule>
  </conditionalFormatting>
  <conditionalFormatting sqref="M150:M151">
    <cfRule type="cellIs" dxfId="9453" priority="24899" operator="equal">
      <formula>"value일 미도래"</formula>
    </cfRule>
  </conditionalFormatting>
  <conditionalFormatting sqref="M150:M151">
    <cfRule type="cellIs" dxfId="9452" priority="24898" operator="equal">
      <formula>"value일 미도래"</formula>
    </cfRule>
  </conditionalFormatting>
  <conditionalFormatting sqref="M150:M151">
    <cfRule type="cellIs" dxfId="9451" priority="24897" operator="equal">
      <formula>"value일 미도래"</formula>
    </cfRule>
  </conditionalFormatting>
  <conditionalFormatting sqref="M150:M151">
    <cfRule type="cellIs" dxfId="9450" priority="24896" operator="equal">
      <formula>"value일 미도래"</formula>
    </cfRule>
  </conditionalFormatting>
  <conditionalFormatting sqref="M150:M151">
    <cfRule type="cellIs" dxfId="9449" priority="24895" operator="equal">
      <formula>"value일 미도래"</formula>
    </cfRule>
  </conditionalFormatting>
  <conditionalFormatting sqref="M150:M151">
    <cfRule type="cellIs" dxfId="9448" priority="24894" operator="equal">
      <formula>"value일 미도래"</formula>
    </cfRule>
  </conditionalFormatting>
  <conditionalFormatting sqref="M150:M151">
    <cfRule type="cellIs" dxfId="9447" priority="24892" operator="equal">
      <formula>"value일 미도래"</formula>
    </cfRule>
  </conditionalFormatting>
  <conditionalFormatting sqref="M150:M151">
    <cfRule type="cellIs" dxfId="9446" priority="24891" operator="equal">
      <formula>"value일 미도래"</formula>
    </cfRule>
  </conditionalFormatting>
  <conditionalFormatting sqref="M150:M151">
    <cfRule type="cellIs" dxfId="9445" priority="24890" operator="equal">
      <formula>"value일 미도래"</formula>
    </cfRule>
  </conditionalFormatting>
  <conditionalFormatting sqref="M150:M151">
    <cfRule type="cellIs" dxfId="9444" priority="24889" operator="equal">
      <formula>"value일 미도래"</formula>
    </cfRule>
  </conditionalFormatting>
  <conditionalFormatting sqref="M150:M151">
    <cfRule type="cellIs" dxfId="9443" priority="24888" operator="equal">
      <formula>"value일 미도래"</formula>
    </cfRule>
  </conditionalFormatting>
  <conditionalFormatting sqref="M150:M151">
    <cfRule type="cellIs" dxfId="9442" priority="24887" operator="equal">
      <formula>"value일 미도래"</formula>
    </cfRule>
  </conditionalFormatting>
  <conditionalFormatting sqref="M150:M151">
    <cfRule type="cellIs" dxfId="9441" priority="24886" operator="equal">
      <formula>"value일 미도래"</formula>
    </cfRule>
  </conditionalFormatting>
  <conditionalFormatting sqref="M150:M151">
    <cfRule type="cellIs" dxfId="9440" priority="24885" operator="equal">
      <formula>"value일 미도래"</formula>
    </cfRule>
  </conditionalFormatting>
  <conditionalFormatting sqref="M150:M151">
    <cfRule type="cellIs" dxfId="9439" priority="24884" operator="equal">
      <formula>"value일 미도래"</formula>
    </cfRule>
  </conditionalFormatting>
  <conditionalFormatting sqref="M150:M151">
    <cfRule type="cellIs" dxfId="9438" priority="24883" operator="equal">
      <formula>"value일 미도래"</formula>
    </cfRule>
  </conditionalFormatting>
  <conditionalFormatting sqref="M150:M151">
    <cfRule type="cellIs" dxfId="9437" priority="24882" operator="equal">
      <formula>"value일 미도래"</formula>
    </cfRule>
  </conditionalFormatting>
  <conditionalFormatting sqref="M150:M151">
    <cfRule type="cellIs" dxfId="9436" priority="24881" operator="equal">
      <formula>"value일 미도래"</formula>
    </cfRule>
  </conditionalFormatting>
  <conditionalFormatting sqref="M150:M151">
    <cfRule type="cellIs" dxfId="9435" priority="24880" operator="equal">
      <formula>"value일 미도래"</formula>
    </cfRule>
  </conditionalFormatting>
  <conditionalFormatting sqref="M150:M151">
    <cfRule type="cellIs" dxfId="9434" priority="24879" operator="equal">
      <formula>"value일 미도래"</formula>
    </cfRule>
  </conditionalFormatting>
  <conditionalFormatting sqref="M150:M151">
    <cfRule type="cellIs" dxfId="9433" priority="24878" operator="equal">
      <formula>"value일 미도래"</formula>
    </cfRule>
  </conditionalFormatting>
  <conditionalFormatting sqref="M150:M151">
    <cfRule type="cellIs" dxfId="9432" priority="24877" operator="equal">
      <formula>"value일 미도래"</formula>
    </cfRule>
  </conditionalFormatting>
  <conditionalFormatting sqref="M150:M151">
    <cfRule type="cellIs" dxfId="9431" priority="24876" operator="equal">
      <formula>"value일 미도래"</formula>
    </cfRule>
  </conditionalFormatting>
  <conditionalFormatting sqref="M150:M151">
    <cfRule type="cellIs" dxfId="9430" priority="24875" operator="equal">
      <formula>"value일 미도래"</formula>
    </cfRule>
  </conditionalFormatting>
  <conditionalFormatting sqref="M150:M151">
    <cfRule type="cellIs" dxfId="9429" priority="24874" operator="equal">
      <formula>"value일 미도래"</formula>
    </cfRule>
  </conditionalFormatting>
  <conditionalFormatting sqref="M150:M151">
    <cfRule type="cellIs" dxfId="9428" priority="24873" operator="equal">
      <formula>"value일 미도래"</formula>
    </cfRule>
  </conditionalFormatting>
  <conditionalFormatting sqref="M150:M151">
    <cfRule type="cellIs" dxfId="9427" priority="24871" operator="equal">
      <formula>"value일 미도래"</formula>
    </cfRule>
  </conditionalFormatting>
  <conditionalFormatting sqref="M150:M151">
    <cfRule type="cellIs" dxfId="9426" priority="24870" operator="equal">
      <formula>"value일 미도래"</formula>
    </cfRule>
  </conditionalFormatting>
  <conditionalFormatting sqref="M150:M151">
    <cfRule type="cellIs" dxfId="9425" priority="24869" operator="equal">
      <formula>"value일 미도래"</formula>
    </cfRule>
  </conditionalFormatting>
  <conditionalFormatting sqref="M150:M151">
    <cfRule type="cellIs" dxfId="9424" priority="24868" operator="equal">
      <formula>"value일 미도래"</formula>
    </cfRule>
  </conditionalFormatting>
  <conditionalFormatting sqref="M150:M151">
    <cfRule type="cellIs" dxfId="9423" priority="24867" operator="equal">
      <formula>"value일 미도래"</formula>
    </cfRule>
  </conditionalFormatting>
  <conditionalFormatting sqref="M150:M151">
    <cfRule type="cellIs" dxfId="9422" priority="24866" operator="equal">
      <formula>"value일 미도래"</formula>
    </cfRule>
  </conditionalFormatting>
  <conditionalFormatting sqref="M150:M151">
    <cfRule type="cellIs" dxfId="9421" priority="24865" operator="equal">
      <formula>"value일 미도래"</formula>
    </cfRule>
  </conditionalFormatting>
  <conditionalFormatting sqref="M150:M151">
    <cfRule type="cellIs" dxfId="9420" priority="24864" operator="equal">
      <formula>"value일 미도래"</formula>
    </cfRule>
  </conditionalFormatting>
  <conditionalFormatting sqref="M150:M151">
    <cfRule type="cellIs" dxfId="9419" priority="24863" operator="equal">
      <formula>"value일 미도래"</formula>
    </cfRule>
  </conditionalFormatting>
  <conditionalFormatting sqref="M150:M151">
    <cfRule type="cellIs" dxfId="9418" priority="24862" operator="equal">
      <formula>"value일 미도래"</formula>
    </cfRule>
  </conditionalFormatting>
  <conditionalFormatting sqref="M150:M151">
    <cfRule type="cellIs" dxfId="9417" priority="24861" operator="equal">
      <formula>"value일 미도래"</formula>
    </cfRule>
  </conditionalFormatting>
  <conditionalFormatting sqref="M150:M151">
    <cfRule type="cellIs" dxfId="9416" priority="24860" operator="equal">
      <formula>"value일 미도래"</formula>
    </cfRule>
  </conditionalFormatting>
  <conditionalFormatting sqref="M148">
    <cfRule type="cellIs" dxfId="9415" priority="24811" operator="equal">
      <formula>"value일 미도래"</formula>
    </cfRule>
  </conditionalFormatting>
  <conditionalFormatting sqref="M148:M149">
    <cfRule type="cellIs" dxfId="9414" priority="24810" operator="equal">
      <formula>"value일 미도래"</formula>
    </cfRule>
  </conditionalFormatting>
  <conditionalFormatting sqref="M148:M149">
    <cfRule type="cellIs" dxfId="9413" priority="24809" operator="equal">
      <formula>"value일 미도래"</formula>
    </cfRule>
  </conditionalFormatting>
  <conditionalFormatting sqref="M148">
    <cfRule type="cellIs" dxfId="9412" priority="24808" operator="equal">
      <formula>"value일 미도래"</formula>
    </cfRule>
  </conditionalFormatting>
  <conditionalFormatting sqref="M148">
    <cfRule type="cellIs" dxfId="9411" priority="24807" operator="equal">
      <formula>"value일 미도래"</formula>
    </cfRule>
  </conditionalFormatting>
  <conditionalFormatting sqref="M148">
    <cfRule type="cellIs" dxfId="9410" priority="24806" operator="equal">
      <formula>"value일 미도래"</formula>
    </cfRule>
  </conditionalFormatting>
  <conditionalFormatting sqref="M148">
    <cfRule type="cellIs" dxfId="9409" priority="24805" operator="equal">
      <formula>"value일 미도래"</formula>
    </cfRule>
  </conditionalFormatting>
  <conditionalFormatting sqref="M148:M149">
    <cfRule type="cellIs" dxfId="9408" priority="24804" operator="equal">
      <formula>"value일 미도래"</formula>
    </cfRule>
  </conditionalFormatting>
  <conditionalFormatting sqref="M148:M149">
    <cfRule type="cellIs" dxfId="9407" priority="24803" operator="equal">
      <formula>"value일 미도래"</formula>
    </cfRule>
  </conditionalFormatting>
  <conditionalFormatting sqref="M148:M149">
    <cfRule type="cellIs" dxfId="9406" priority="24802" operator="equal">
      <formula>"value일 미도래"</formula>
    </cfRule>
  </conditionalFormatting>
  <conditionalFormatting sqref="M148">
    <cfRule type="cellIs" dxfId="9405" priority="24801" operator="equal">
      <formula>"value일 미도래"</formula>
    </cfRule>
  </conditionalFormatting>
  <conditionalFormatting sqref="M148">
    <cfRule type="cellIs" dxfId="9404" priority="24800" operator="equal">
      <formula>"value일 미도래"</formula>
    </cfRule>
  </conditionalFormatting>
  <conditionalFormatting sqref="M148:M149">
    <cfRule type="cellIs" dxfId="9403" priority="24799" operator="equal">
      <formula>"value일 미도래"</formula>
    </cfRule>
  </conditionalFormatting>
  <conditionalFormatting sqref="M148:M149">
    <cfRule type="cellIs" dxfId="9402" priority="24798" operator="equal">
      <formula>"value일 미도래"</formula>
    </cfRule>
  </conditionalFormatting>
  <conditionalFormatting sqref="M148">
    <cfRule type="cellIs" dxfId="9401" priority="24797" operator="equal">
      <formula>"value일 미도래"</formula>
    </cfRule>
  </conditionalFormatting>
  <conditionalFormatting sqref="M148">
    <cfRule type="cellIs" dxfId="9400" priority="24796" operator="equal">
      <formula>"value일 미도래"</formula>
    </cfRule>
  </conditionalFormatting>
  <conditionalFormatting sqref="M148">
    <cfRule type="cellIs" dxfId="9399" priority="24795" operator="equal">
      <formula>"value일 미도래"</formula>
    </cfRule>
  </conditionalFormatting>
  <conditionalFormatting sqref="M148:M149">
    <cfRule type="cellIs" dxfId="9398" priority="24794" operator="equal">
      <formula>"value일 미도래"</formula>
    </cfRule>
  </conditionalFormatting>
  <conditionalFormatting sqref="M148:M149">
    <cfRule type="cellIs" dxfId="9397" priority="24793" operator="equal">
      <formula>"value일 미도래"</formula>
    </cfRule>
  </conditionalFormatting>
  <conditionalFormatting sqref="M148:M149">
    <cfRule type="cellIs" dxfId="9396" priority="24792" operator="equal">
      <formula>"value일 미도래"</formula>
    </cfRule>
  </conditionalFormatting>
  <conditionalFormatting sqref="M148">
    <cfRule type="cellIs" dxfId="9395" priority="24791" operator="equal">
      <formula>"value일 미도래"</formula>
    </cfRule>
  </conditionalFormatting>
  <conditionalFormatting sqref="M148">
    <cfRule type="cellIs" dxfId="9394" priority="24790" operator="equal">
      <formula>"value일 미도래"</formula>
    </cfRule>
  </conditionalFormatting>
  <conditionalFormatting sqref="M148:M149">
    <cfRule type="cellIs" dxfId="9393" priority="24789" operator="equal">
      <formula>"value일 미도래"</formula>
    </cfRule>
  </conditionalFormatting>
  <conditionalFormatting sqref="M148:M149">
    <cfRule type="cellIs" dxfId="9392" priority="24788" operator="equal">
      <formula>"value일 미도래"</formula>
    </cfRule>
  </conditionalFormatting>
  <conditionalFormatting sqref="M148:M149">
    <cfRule type="cellIs" dxfId="9391" priority="24787" operator="equal">
      <formula>"value일 미도래"</formula>
    </cfRule>
  </conditionalFormatting>
  <conditionalFormatting sqref="M148">
    <cfRule type="cellIs" dxfId="9390" priority="24786" operator="equal">
      <formula>"value일 미도래"</formula>
    </cfRule>
  </conditionalFormatting>
  <conditionalFormatting sqref="M148">
    <cfRule type="cellIs" dxfId="9389" priority="24785" operator="equal">
      <formula>"value일 미도래"</formula>
    </cfRule>
  </conditionalFormatting>
  <conditionalFormatting sqref="M148">
    <cfRule type="cellIs" dxfId="9388" priority="24784" operator="equal">
      <formula>"value일 미도래"</formula>
    </cfRule>
  </conditionalFormatting>
  <conditionalFormatting sqref="M148">
    <cfRule type="cellIs" dxfId="9387" priority="24783" operator="equal">
      <formula>"value일 미도래"</formula>
    </cfRule>
  </conditionalFormatting>
  <conditionalFormatting sqref="M148">
    <cfRule type="cellIs" dxfId="9386" priority="24782" operator="equal">
      <formula>"value일 미도래"</formula>
    </cfRule>
  </conditionalFormatting>
  <conditionalFormatting sqref="M148">
    <cfRule type="cellIs" dxfId="9385" priority="24781" operator="equal">
      <formula>"value일 미도래"</formula>
    </cfRule>
  </conditionalFormatting>
  <conditionalFormatting sqref="M148">
    <cfRule type="cellIs" dxfId="9384" priority="24779" operator="equal">
      <formula>"value일 미도래"</formula>
    </cfRule>
  </conditionalFormatting>
  <conditionalFormatting sqref="M148">
    <cfRule type="cellIs" dxfId="9383" priority="24778" operator="equal">
      <formula>"value일 미도래"</formula>
    </cfRule>
  </conditionalFormatting>
  <conditionalFormatting sqref="M148:M149">
    <cfRule type="cellIs" dxfId="9382" priority="24777" operator="equal">
      <formula>"value일 미도래"</formula>
    </cfRule>
  </conditionalFormatting>
  <conditionalFormatting sqref="M148:M149">
    <cfRule type="cellIs" dxfId="9381" priority="24776" operator="equal">
      <formula>"value일 미도래"</formula>
    </cfRule>
  </conditionalFormatting>
  <conditionalFormatting sqref="M148">
    <cfRule type="cellIs" dxfId="9380" priority="24775" operator="equal">
      <formula>"value일 미도래"</formula>
    </cfRule>
  </conditionalFormatting>
  <conditionalFormatting sqref="M148">
    <cfRule type="cellIs" dxfId="9379" priority="24774" operator="equal">
      <formula>"value일 미도래"</formula>
    </cfRule>
  </conditionalFormatting>
  <conditionalFormatting sqref="M148">
    <cfRule type="cellIs" dxfId="9378" priority="24773" operator="equal">
      <formula>"value일 미도래"</formula>
    </cfRule>
  </conditionalFormatting>
  <conditionalFormatting sqref="M148:M149">
    <cfRule type="cellIs" dxfId="9377" priority="24772" operator="equal">
      <formula>"value일 미도래"</formula>
    </cfRule>
  </conditionalFormatting>
  <conditionalFormatting sqref="M148:M149">
    <cfRule type="cellIs" dxfId="9376" priority="24771" operator="equal">
      <formula>"value일 미도래"</formula>
    </cfRule>
  </conditionalFormatting>
  <conditionalFormatting sqref="M148:M149">
    <cfRule type="cellIs" dxfId="9375" priority="24770" operator="equal">
      <formula>"value일 미도래"</formula>
    </cfRule>
  </conditionalFormatting>
  <conditionalFormatting sqref="M148">
    <cfRule type="cellIs" dxfId="9374" priority="24769" operator="equal">
      <formula>"value일 미도래"</formula>
    </cfRule>
  </conditionalFormatting>
  <conditionalFormatting sqref="M148">
    <cfRule type="cellIs" dxfId="9373" priority="24768" operator="equal">
      <formula>"value일 미도래"</formula>
    </cfRule>
  </conditionalFormatting>
  <conditionalFormatting sqref="M148:M149">
    <cfRule type="cellIs" dxfId="9372" priority="24767" operator="equal">
      <formula>"value일 미도래"</formula>
    </cfRule>
  </conditionalFormatting>
  <conditionalFormatting sqref="M148:M149">
    <cfRule type="cellIs" dxfId="9371" priority="24766" operator="equal">
      <formula>"value일 미도래"</formula>
    </cfRule>
  </conditionalFormatting>
  <conditionalFormatting sqref="M148:M149">
    <cfRule type="cellIs" dxfId="9370" priority="24765" operator="equal">
      <formula>"value일 미도래"</formula>
    </cfRule>
  </conditionalFormatting>
  <conditionalFormatting sqref="M148">
    <cfRule type="cellIs" dxfId="9369" priority="24764" operator="equal">
      <formula>"value일 미도래"</formula>
    </cfRule>
  </conditionalFormatting>
  <conditionalFormatting sqref="M148">
    <cfRule type="cellIs" dxfId="9368" priority="24763" operator="equal">
      <formula>"value일 미도래"</formula>
    </cfRule>
  </conditionalFormatting>
  <conditionalFormatting sqref="M148">
    <cfRule type="cellIs" dxfId="9367" priority="24762" operator="equal">
      <formula>"value일 미도래"</formula>
    </cfRule>
  </conditionalFormatting>
  <conditionalFormatting sqref="M148">
    <cfRule type="cellIs" dxfId="9366" priority="24761" operator="equal">
      <formula>"value일 미도래"</formula>
    </cfRule>
  </conditionalFormatting>
  <conditionalFormatting sqref="M148">
    <cfRule type="cellIs" dxfId="9365" priority="24760" operator="equal">
      <formula>"value일 미도래"</formula>
    </cfRule>
  </conditionalFormatting>
  <conditionalFormatting sqref="M148">
    <cfRule type="cellIs" dxfId="9364" priority="24759" operator="equal">
      <formula>"value일 미도래"</formula>
    </cfRule>
  </conditionalFormatting>
  <conditionalFormatting sqref="M148:M149">
    <cfRule type="cellIs" dxfId="9363" priority="24758" operator="equal">
      <formula>"value일 미도래"</formula>
    </cfRule>
  </conditionalFormatting>
  <conditionalFormatting sqref="M148:M149">
    <cfRule type="cellIs" dxfId="9362" priority="24757" operator="equal">
      <formula>"value일 미도래"</formula>
    </cfRule>
  </conditionalFormatting>
  <conditionalFormatting sqref="M148:M149">
    <cfRule type="cellIs" dxfId="9361" priority="24756" operator="equal">
      <formula>"value일 미도래"</formula>
    </cfRule>
  </conditionalFormatting>
  <conditionalFormatting sqref="M148">
    <cfRule type="cellIs" dxfId="9360" priority="24753" operator="equal">
      <formula>"value일 미도래"</formula>
    </cfRule>
  </conditionalFormatting>
  <conditionalFormatting sqref="M148">
    <cfRule type="cellIs" dxfId="9359" priority="24752" operator="equal">
      <formula>"value일 미도래"</formula>
    </cfRule>
  </conditionalFormatting>
  <conditionalFormatting sqref="M148:M149">
    <cfRule type="cellIs" dxfId="9358" priority="24751" operator="equal">
      <formula>"value일 미도래"</formula>
    </cfRule>
  </conditionalFormatting>
  <conditionalFormatting sqref="M148:M149">
    <cfRule type="cellIs" dxfId="9357" priority="24750" operator="equal">
      <formula>"value일 미도래"</formula>
    </cfRule>
  </conditionalFormatting>
  <conditionalFormatting sqref="M148">
    <cfRule type="cellIs" dxfId="9356" priority="24749" operator="equal">
      <formula>"value일 미도래"</formula>
    </cfRule>
  </conditionalFormatting>
  <conditionalFormatting sqref="M148">
    <cfRule type="cellIs" dxfId="9355" priority="24748" operator="equal">
      <formula>"value일 미도래"</formula>
    </cfRule>
  </conditionalFormatting>
  <conditionalFormatting sqref="M148">
    <cfRule type="cellIs" dxfId="9354" priority="24747" operator="equal">
      <formula>"value일 미도래"</formula>
    </cfRule>
  </conditionalFormatting>
  <conditionalFormatting sqref="M148:M149">
    <cfRule type="cellIs" dxfId="9353" priority="24746" operator="equal">
      <formula>"value일 미도래"</formula>
    </cfRule>
  </conditionalFormatting>
  <conditionalFormatting sqref="M148:M149">
    <cfRule type="cellIs" dxfId="9352" priority="24745" operator="equal">
      <formula>"value일 미도래"</formula>
    </cfRule>
  </conditionalFormatting>
  <conditionalFormatting sqref="M148:M149">
    <cfRule type="cellIs" dxfId="9351" priority="24744" operator="equal">
      <formula>"value일 미도래"</formula>
    </cfRule>
  </conditionalFormatting>
  <conditionalFormatting sqref="M148">
    <cfRule type="cellIs" dxfId="9350" priority="24743" operator="equal">
      <formula>"value일 미도래"</formula>
    </cfRule>
  </conditionalFormatting>
  <conditionalFormatting sqref="M148">
    <cfRule type="cellIs" dxfId="9349" priority="24742" operator="equal">
      <formula>"value일 미도래"</formula>
    </cfRule>
  </conditionalFormatting>
  <conditionalFormatting sqref="M148:M149">
    <cfRule type="cellIs" dxfId="9348" priority="24741" operator="equal">
      <formula>"value일 미도래"</formula>
    </cfRule>
  </conditionalFormatting>
  <conditionalFormatting sqref="M148:M149">
    <cfRule type="cellIs" dxfId="9347" priority="24740" operator="equal">
      <formula>"value일 미도래"</formula>
    </cfRule>
  </conditionalFormatting>
  <conditionalFormatting sqref="M148:M149">
    <cfRule type="cellIs" dxfId="9346" priority="24739" operator="equal">
      <formula>"value일 미도래"</formula>
    </cfRule>
  </conditionalFormatting>
  <conditionalFormatting sqref="M148">
    <cfRule type="cellIs" dxfId="9345" priority="24738" operator="equal">
      <formula>"value일 미도래"</formula>
    </cfRule>
  </conditionalFormatting>
  <conditionalFormatting sqref="M148">
    <cfRule type="cellIs" dxfId="9344" priority="24737" operator="equal">
      <formula>"value일 미도래"</formula>
    </cfRule>
  </conditionalFormatting>
  <conditionalFormatting sqref="M148">
    <cfRule type="cellIs" dxfId="9343" priority="24736" operator="equal">
      <formula>"value일 미도래"</formula>
    </cfRule>
  </conditionalFormatting>
  <conditionalFormatting sqref="M148">
    <cfRule type="cellIs" dxfId="9342" priority="24735" operator="equal">
      <formula>"value일 미도래"</formula>
    </cfRule>
  </conditionalFormatting>
  <conditionalFormatting sqref="M148">
    <cfRule type="cellIs" dxfId="9341" priority="24734" operator="equal">
      <formula>"value일 미도래"</formula>
    </cfRule>
  </conditionalFormatting>
  <conditionalFormatting sqref="M148">
    <cfRule type="cellIs" dxfId="9340" priority="24733" operator="equal">
      <formula>"value일 미도래"</formula>
    </cfRule>
  </conditionalFormatting>
  <conditionalFormatting sqref="M148:M149">
    <cfRule type="cellIs" dxfId="9339" priority="24732" operator="equal">
      <formula>"value일 미도래"</formula>
    </cfRule>
  </conditionalFormatting>
  <conditionalFormatting sqref="M148:M149">
    <cfRule type="cellIs" dxfId="9338" priority="24731" operator="equal">
      <formula>"value일 미도래"</formula>
    </cfRule>
  </conditionalFormatting>
  <conditionalFormatting sqref="M148:M149">
    <cfRule type="cellIs" dxfId="9337" priority="24730" operator="equal">
      <formula>"value일 미도래"</formula>
    </cfRule>
  </conditionalFormatting>
  <conditionalFormatting sqref="M148">
    <cfRule type="cellIs" dxfId="9336" priority="24727" operator="equal">
      <formula>"value일 미도래"</formula>
    </cfRule>
  </conditionalFormatting>
  <conditionalFormatting sqref="M148">
    <cfRule type="cellIs" dxfId="9335" priority="24726" operator="equal">
      <formula>"value일 미도래"</formula>
    </cfRule>
  </conditionalFormatting>
  <conditionalFormatting sqref="M148:M149">
    <cfRule type="cellIs" dxfId="9334" priority="24725" operator="equal">
      <formula>"value일 미도래"</formula>
    </cfRule>
  </conditionalFormatting>
  <conditionalFormatting sqref="M148:M149">
    <cfRule type="cellIs" dxfId="9333" priority="24724" operator="equal">
      <formula>"value일 미도래"</formula>
    </cfRule>
  </conditionalFormatting>
  <conditionalFormatting sqref="M148:M149">
    <cfRule type="cellIs" dxfId="9332" priority="24723" operator="equal">
      <formula>"value일 미도래"</formula>
    </cfRule>
  </conditionalFormatting>
  <conditionalFormatting sqref="M148">
    <cfRule type="cellIs" dxfId="9331" priority="24722" operator="equal">
      <formula>"value일 미도래"</formula>
    </cfRule>
  </conditionalFormatting>
  <conditionalFormatting sqref="M148">
    <cfRule type="cellIs" dxfId="9330" priority="24721" operator="equal">
      <formula>"value일 미도래"</formula>
    </cfRule>
  </conditionalFormatting>
  <conditionalFormatting sqref="M148">
    <cfRule type="cellIs" dxfId="9329" priority="24720" operator="equal">
      <formula>"value일 미도래"</formula>
    </cfRule>
  </conditionalFormatting>
  <conditionalFormatting sqref="M148">
    <cfRule type="cellIs" dxfId="9328" priority="24719" operator="equal">
      <formula>"value일 미도래"</formula>
    </cfRule>
  </conditionalFormatting>
  <conditionalFormatting sqref="M148">
    <cfRule type="cellIs" dxfId="9327" priority="24718" operator="equal">
      <formula>"value일 미도래"</formula>
    </cfRule>
  </conditionalFormatting>
  <conditionalFormatting sqref="M148">
    <cfRule type="cellIs" dxfId="9326" priority="24717" operator="equal">
      <formula>"value일 미도래"</formula>
    </cfRule>
  </conditionalFormatting>
  <conditionalFormatting sqref="M148">
    <cfRule type="cellIs" dxfId="9325" priority="24716" operator="equal">
      <formula>"value일 미도래"</formula>
    </cfRule>
  </conditionalFormatting>
  <conditionalFormatting sqref="M148">
    <cfRule type="cellIs" dxfId="9324" priority="24715" operator="equal">
      <formula>"value일 미도래"</formula>
    </cfRule>
  </conditionalFormatting>
  <conditionalFormatting sqref="M148">
    <cfRule type="cellIs" dxfId="9323" priority="24714" operator="equal">
      <formula>"value일 미도래"</formula>
    </cfRule>
  </conditionalFormatting>
  <conditionalFormatting sqref="M149:M150">
    <cfRule type="cellIs" dxfId="9322" priority="24712" operator="equal">
      <formula>"value일 미도래"</formula>
    </cfRule>
  </conditionalFormatting>
  <conditionalFormatting sqref="M149:M150">
    <cfRule type="cellIs" dxfId="9321" priority="24711" operator="equal">
      <formula>"value일 미도래"</formula>
    </cfRule>
  </conditionalFormatting>
  <conditionalFormatting sqref="M149:M150">
    <cfRule type="cellIs" dxfId="9320" priority="24710" operator="equal">
      <formula>"value일 미도래"</formula>
    </cfRule>
  </conditionalFormatting>
  <conditionalFormatting sqref="M149:M150">
    <cfRule type="cellIs" dxfId="9319" priority="24709" operator="equal">
      <formula>"value일 미도래"</formula>
    </cfRule>
  </conditionalFormatting>
  <conditionalFormatting sqref="M149:M150">
    <cfRule type="cellIs" dxfId="9318" priority="24708" operator="equal">
      <formula>"value일 미도래"</formula>
    </cfRule>
  </conditionalFormatting>
  <conditionalFormatting sqref="M149:M150">
    <cfRule type="cellIs" dxfId="9317" priority="24707" operator="equal">
      <formula>"value일 미도래"</formula>
    </cfRule>
  </conditionalFormatting>
  <conditionalFormatting sqref="M149:M150">
    <cfRule type="cellIs" dxfId="9316" priority="24705" operator="equal">
      <formula>"value일 미도래"</formula>
    </cfRule>
  </conditionalFormatting>
  <conditionalFormatting sqref="M149:M150">
    <cfRule type="cellIs" dxfId="9315" priority="24704" operator="equal">
      <formula>"value일 미도래"</formula>
    </cfRule>
  </conditionalFormatting>
  <conditionalFormatting sqref="M149:M150">
    <cfRule type="cellIs" dxfId="9314" priority="24703" operator="equal">
      <formula>"value일 미도래"</formula>
    </cfRule>
  </conditionalFormatting>
  <conditionalFormatting sqref="M149:M150">
    <cfRule type="cellIs" dxfId="9313" priority="24702" operator="equal">
      <formula>"value일 미도래"</formula>
    </cfRule>
  </conditionalFormatting>
  <conditionalFormatting sqref="M149:M150">
    <cfRule type="cellIs" dxfId="9312" priority="24701" operator="equal">
      <formula>"value일 미도래"</formula>
    </cfRule>
  </conditionalFormatting>
  <conditionalFormatting sqref="M149:M150">
    <cfRule type="cellIs" dxfId="9311" priority="24700" operator="equal">
      <formula>"value일 미도래"</formula>
    </cfRule>
  </conditionalFormatting>
  <conditionalFormatting sqref="M149:M150">
    <cfRule type="cellIs" dxfId="9310" priority="24699" operator="equal">
      <formula>"value일 미도래"</formula>
    </cfRule>
  </conditionalFormatting>
  <conditionalFormatting sqref="M149:M150">
    <cfRule type="cellIs" dxfId="9309" priority="24698" operator="equal">
      <formula>"value일 미도래"</formula>
    </cfRule>
  </conditionalFormatting>
  <conditionalFormatting sqref="M149:M150">
    <cfRule type="cellIs" dxfId="9308" priority="24696" operator="equal">
      <formula>"value일 미도래"</formula>
    </cfRule>
  </conditionalFormatting>
  <conditionalFormatting sqref="M149:M150">
    <cfRule type="cellIs" dxfId="9307" priority="24695" operator="equal">
      <formula>"value일 미도래"</formula>
    </cfRule>
  </conditionalFormatting>
  <conditionalFormatting sqref="M149:M150">
    <cfRule type="cellIs" dxfId="9306" priority="24694" operator="equal">
      <formula>"value일 미도래"</formula>
    </cfRule>
  </conditionalFormatting>
  <conditionalFormatting sqref="M149:M150">
    <cfRule type="cellIs" dxfId="9305" priority="24693" operator="equal">
      <formula>"value일 미도래"</formula>
    </cfRule>
  </conditionalFormatting>
  <conditionalFormatting sqref="M149:M150">
    <cfRule type="cellIs" dxfId="9304" priority="24692" operator="equal">
      <formula>"value일 미도래"</formula>
    </cfRule>
  </conditionalFormatting>
  <conditionalFormatting sqref="M149:M150">
    <cfRule type="cellIs" dxfId="9303" priority="24691" operator="equal">
      <formula>"value일 미도래"</formula>
    </cfRule>
  </conditionalFormatting>
  <conditionalFormatting sqref="M149:M150">
    <cfRule type="cellIs" dxfId="9302" priority="24690" operator="equal">
      <formula>"value일 미도래"</formula>
    </cfRule>
  </conditionalFormatting>
  <conditionalFormatting sqref="M149:M150">
    <cfRule type="cellIs" dxfId="9301" priority="24689" operator="equal">
      <formula>"value일 미도래"</formula>
    </cfRule>
  </conditionalFormatting>
  <conditionalFormatting sqref="M149:M150">
    <cfRule type="cellIs" dxfId="9300" priority="24688" operator="equal">
      <formula>"value일 미도래"</formula>
    </cfRule>
  </conditionalFormatting>
  <conditionalFormatting sqref="M149:M150">
    <cfRule type="cellIs" dxfId="9299" priority="24687" operator="equal">
      <formula>"value일 미도래"</formula>
    </cfRule>
  </conditionalFormatting>
  <conditionalFormatting sqref="M149:M150">
    <cfRule type="cellIs" dxfId="9298" priority="24686" operator="equal">
      <formula>"value일 미도래"</formula>
    </cfRule>
  </conditionalFormatting>
  <conditionalFormatting sqref="M149:M150">
    <cfRule type="cellIs" dxfId="9297" priority="24684" operator="equal">
      <formula>"value일 미도래"</formula>
    </cfRule>
  </conditionalFormatting>
  <conditionalFormatting sqref="M149:M150">
    <cfRule type="cellIs" dxfId="9296" priority="24683" operator="equal">
      <formula>"value일 미도래"</formula>
    </cfRule>
  </conditionalFormatting>
  <conditionalFormatting sqref="M149:M150">
    <cfRule type="cellIs" dxfId="9295" priority="24682" operator="equal">
      <formula>"value일 미도래"</formula>
    </cfRule>
  </conditionalFormatting>
  <conditionalFormatting sqref="M149:M150">
    <cfRule type="cellIs" dxfId="9294" priority="24681" operator="equal">
      <formula>"value일 미도래"</formula>
    </cfRule>
  </conditionalFormatting>
  <conditionalFormatting sqref="M149:M150">
    <cfRule type="cellIs" dxfId="9293" priority="24680" operator="equal">
      <formula>"value일 미도래"</formula>
    </cfRule>
  </conditionalFormatting>
  <conditionalFormatting sqref="M149:M150">
    <cfRule type="cellIs" dxfId="9292" priority="24679" operator="equal">
      <formula>"value일 미도래"</formula>
    </cfRule>
  </conditionalFormatting>
  <conditionalFormatting sqref="M149:M150">
    <cfRule type="cellIs" dxfId="9291" priority="24678" operator="equal">
      <formula>"value일 미도래"</formula>
    </cfRule>
  </conditionalFormatting>
  <conditionalFormatting sqref="M149:M150">
    <cfRule type="cellIs" dxfId="9290" priority="24677" operator="equal">
      <formula>"value일 미도래"</formula>
    </cfRule>
  </conditionalFormatting>
  <conditionalFormatting sqref="M149:M150">
    <cfRule type="cellIs" dxfId="9289" priority="24676" operator="equal">
      <formula>"value일 미도래"</formula>
    </cfRule>
  </conditionalFormatting>
  <conditionalFormatting sqref="M149:M150">
    <cfRule type="cellIs" dxfId="9288" priority="24675" operator="equal">
      <formula>"value일 미도래"</formula>
    </cfRule>
  </conditionalFormatting>
  <conditionalFormatting sqref="M149:M150">
    <cfRule type="cellIs" dxfId="9287" priority="24674" operator="equal">
      <formula>"value일 미도래"</formula>
    </cfRule>
  </conditionalFormatting>
  <conditionalFormatting sqref="M149:M150">
    <cfRule type="cellIs" dxfId="9286" priority="24672" operator="equal">
      <formula>"value일 미도래"</formula>
    </cfRule>
  </conditionalFormatting>
  <conditionalFormatting sqref="M149:M150">
    <cfRule type="cellIs" dxfId="9285" priority="24671" operator="equal">
      <formula>"value일 미도래"</formula>
    </cfRule>
  </conditionalFormatting>
  <conditionalFormatting sqref="M149:M150">
    <cfRule type="cellIs" dxfId="9284" priority="24670" operator="equal">
      <formula>"value일 미도래"</formula>
    </cfRule>
  </conditionalFormatting>
  <conditionalFormatting sqref="M148:M149">
    <cfRule type="cellIs" dxfId="9283" priority="24669" operator="equal">
      <formula>"value일 미도래"</formula>
    </cfRule>
  </conditionalFormatting>
  <conditionalFormatting sqref="M148:M149">
    <cfRule type="cellIs" dxfId="9282" priority="24668" operator="equal">
      <formula>"value일 미도래"</formula>
    </cfRule>
  </conditionalFormatting>
  <conditionalFormatting sqref="M149:M150">
    <cfRule type="cellIs" dxfId="9281" priority="24667" operator="equal">
      <formula>"value일 미도래"</formula>
    </cfRule>
  </conditionalFormatting>
  <conditionalFormatting sqref="M149:M150">
    <cfRule type="cellIs" dxfId="9280" priority="24666" operator="equal">
      <formula>"value일 미도래"</formula>
    </cfRule>
  </conditionalFormatting>
  <conditionalFormatting sqref="M149:M150">
    <cfRule type="cellIs" dxfId="9279" priority="24665" operator="equal">
      <formula>"value일 미도래"</formula>
    </cfRule>
  </conditionalFormatting>
  <conditionalFormatting sqref="M148:M149">
    <cfRule type="cellIs" dxfId="9278" priority="24664" operator="equal">
      <formula>"value일 미도래"</formula>
    </cfRule>
  </conditionalFormatting>
  <conditionalFormatting sqref="M148:M149">
    <cfRule type="cellIs" dxfId="9277" priority="24663" operator="equal">
      <formula>"value일 미도래"</formula>
    </cfRule>
  </conditionalFormatting>
  <conditionalFormatting sqref="M148:M149">
    <cfRule type="cellIs" dxfId="9276" priority="24662" operator="equal">
      <formula>"value일 미도래"</formula>
    </cfRule>
  </conditionalFormatting>
  <conditionalFormatting sqref="M148:M149">
    <cfRule type="cellIs" dxfId="9275" priority="24661" operator="equal">
      <formula>"value일 미도래"</formula>
    </cfRule>
  </conditionalFormatting>
  <conditionalFormatting sqref="M148:M149">
    <cfRule type="cellIs" dxfId="9274" priority="24660" operator="equal">
      <formula>"value일 미도래"</formula>
    </cfRule>
  </conditionalFormatting>
  <conditionalFormatting sqref="M148:M149">
    <cfRule type="cellIs" dxfId="9273" priority="24659" operator="equal">
      <formula>"value일 미도래"</formula>
    </cfRule>
  </conditionalFormatting>
  <conditionalFormatting sqref="M148:M149">
    <cfRule type="cellIs" dxfId="9272" priority="24658" operator="equal">
      <formula>"value일 미도래"</formula>
    </cfRule>
  </conditionalFormatting>
  <conditionalFormatting sqref="M148:M149">
    <cfRule type="cellIs" dxfId="9271" priority="24657" operator="equal">
      <formula>"value일 미도래"</formula>
    </cfRule>
  </conditionalFormatting>
  <conditionalFormatting sqref="M148:M149">
    <cfRule type="cellIs" dxfId="9270" priority="24656" operator="equal">
      <formula>"value일 미도래"</formula>
    </cfRule>
  </conditionalFormatting>
  <conditionalFormatting sqref="M148:M149">
    <cfRule type="cellIs" dxfId="9269" priority="24654" operator="equal">
      <formula>"value일 미도래"</formula>
    </cfRule>
  </conditionalFormatting>
  <conditionalFormatting sqref="M148:M149">
    <cfRule type="cellIs" dxfId="9268" priority="24653" operator="equal">
      <formula>"value일 미도래"</formula>
    </cfRule>
  </conditionalFormatting>
  <conditionalFormatting sqref="M148:M149">
    <cfRule type="cellIs" dxfId="9267" priority="24652" operator="equal">
      <formula>"value일 미도래"</formula>
    </cfRule>
  </conditionalFormatting>
  <conditionalFormatting sqref="M149:M150">
    <cfRule type="cellIs" dxfId="9266" priority="24651" operator="equal">
      <formula>"value일 미도래"</formula>
    </cfRule>
  </conditionalFormatting>
  <conditionalFormatting sqref="M149:M150">
    <cfRule type="cellIs" dxfId="9265" priority="24650" operator="equal">
      <formula>"value일 미도래"</formula>
    </cfRule>
  </conditionalFormatting>
  <conditionalFormatting sqref="M149:M150">
    <cfRule type="cellIs" dxfId="9264" priority="24649" operator="equal">
      <formula>"value일 미도래"</formula>
    </cfRule>
  </conditionalFormatting>
  <conditionalFormatting sqref="M148:M149">
    <cfRule type="cellIs" dxfId="9263" priority="24648" operator="equal">
      <formula>"value일 미도래"</formula>
    </cfRule>
  </conditionalFormatting>
  <conditionalFormatting sqref="M148:M149">
    <cfRule type="cellIs" dxfId="9262" priority="24647" operator="equal">
      <formula>"value일 미도래"</formula>
    </cfRule>
  </conditionalFormatting>
  <conditionalFormatting sqref="M148:M149">
    <cfRule type="cellIs" dxfId="9261" priority="24646" operator="equal">
      <formula>"value일 미도래"</formula>
    </cfRule>
  </conditionalFormatting>
  <conditionalFormatting sqref="M149:M150">
    <cfRule type="cellIs" dxfId="9260" priority="24645" operator="equal">
      <formula>"value일 미도래"</formula>
    </cfRule>
  </conditionalFormatting>
  <conditionalFormatting sqref="M149:M150">
    <cfRule type="cellIs" dxfId="9259" priority="24644" operator="equal">
      <formula>"value일 미도래"</formula>
    </cfRule>
  </conditionalFormatting>
  <conditionalFormatting sqref="M149:M150">
    <cfRule type="cellIs" dxfId="9258" priority="24643" operator="equal">
      <formula>"value일 미도래"</formula>
    </cfRule>
  </conditionalFormatting>
  <conditionalFormatting sqref="M148:M149">
    <cfRule type="cellIs" dxfId="9257" priority="24642" operator="equal">
      <formula>"value일 미도래"</formula>
    </cfRule>
  </conditionalFormatting>
  <conditionalFormatting sqref="M148:M149">
    <cfRule type="cellIs" dxfId="9256" priority="24641" operator="equal">
      <formula>"value일 미도래"</formula>
    </cfRule>
  </conditionalFormatting>
  <conditionalFormatting sqref="M148:M149">
    <cfRule type="cellIs" dxfId="9255" priority="24640" operator="equal">
      <formula>"value일 미도래"</formula>
    </cfRule>
  </conditionalFormatting>
  <conditionalFormatting sqref="M148">
    <cfRule type="cellIs" dxfId="9254" priority="24639" operator="equal">
      <formula>"value일 미도래"</formula>
    </cfRule>
  </conditionalFormatting>
  <conditionalFormatting sqref="M148">
    <cfRule type="cellIs" dxfId="9253" priority="24638" operator="equal">
      <formula>"value일 미도래"</formula>
    </cfRule>
  </conditionalFormatting>
  <conditionalFormatting sqref="M148">
    <cfRule type="cellIs" dxfId="9252" priority="24637" operator="equal">
      <formula>"value일 미도래"</formula>
    </cfRule>
  </conditionalFormatting>
  <conditionalFormatting sqref="M148">
    <cfRule type="cellIs" dxfId="9251" priority="24636" operator="equal">
      <formula>"value일 미도래"</formula>
    </cfRule>
  </conditionalFormatting>
  <conditionalFormatting sqref="M148">
    <cfRule type="cellIs" dxfId="9250" priority="24635" operator="equal">
      <formula>"value일 미도래"</formula>
    </cfRule>
  </conditionalFormatting>
  <conditionalFormatting sqref="M148">
    <cfRule type="cellIs" dxfId="9249" priority="24634" operator="equal">
      <formula>"value일 미도래"</formula>
    </cfRule>
  </conditionalFormatting>
  <conditionalFormatting sqref="M148">
    <cfRule type="cellIs" dxfId="9248" priority="24632" operator="equal">
      <formula>"value일 미도래"</formula>
    </cfRule>
  </conditionalFormatting>
  <conditionalFormatting sqref="M148">
    <cfRule type="cellIs" dxfId="9247" priority="24631" operator="equal">
      <formula>"value일 미도래"</formula>
    </cfRule>
  </conditionalFormatting>
  <conditionalFormatting sqref="M148">
    <cfRule type="cellIs" dxfId="9246" priority="24630" operator="equal">
      <formula>"value일 미도래"</formula>
    </cfRule>
  </conditionalFormatting>
  <conditionalFormatting sqref="M148">
    <cfRule type="cellIs" dxfId="9245" priority="24629" operator="equal">
      <formula>"value일 미도래"</formula>
    </cfRule>
  </conditionalFormatting>
  <conditionalFormatting sqref="M148">
    <cfRule type="cellIs" dxfId="9244" priority="24628" operator="equal">
      <formula>"value일 미도래"</formula>
    </cfRule>
  </conditionalFormatting>
  <conditionalFormatting sqref="M148">
    <cfRule type="cellIs" dxfId="9243" priority="24627" operator="equal">
      <formula>"value일 미도래"</formula>
    </cfRule>
  </conditionalFormatting>
  <conditionalFormatting sqref="M148">
    <cfRule type="cellIs" dxfId="9242" priority="24626" operator="equal">
      <formula>"value일 미도래"</formula>
    </cfRule>
  </conditionalFormatting>
  <conditionalFormatting sqref="M148">
    <cfRule type="cellIs" dxfId="9241" priority="24625" operator="equal">
      <formula>"value일 미도래"</formula>
    </cfRule>
  </conditionalFormatting>
  <conditionalFormatting sqref="M148">
    <cfRule type="cellIs" dxfId="9240" priority="24623" operator="equal">
      <formula>"value일 미도래"</formula>
    </cfRule>
  </conditionalFormatting>
  <conditionalFormatting sqref="M148">
    <cfRule type="cellIs" dxfId="9239" priority="24622" operator="equal">
      <formula>"value일 미도래"</formula>
    </cfRule>
  </conditionalFormatting>
  <conditionalFormatting sqref="M148">
    <cfRule type="cellIs" dxfId="9238" priority="24621" operator="equal">
      <formula>"value일 미도래"</formula>
    </cfRule>
  </conditionalFormatting>
  <conditionalFormatting sqref="M148">
    <cfRule type="cellIs" dxfId="9237" priority="24620" operator="equal">
      <formula>"value일 미도래"</formula>
    </cfRule>
  </conditionalFormatting>
  <conditionalFormatting sqref="M148">
    <cfRule type="cellIs" dxfId="9236" priority="24619" operator="equal">
      <formula>"value일 미도래"</formula>
    </cfRule>
  </conditionalFormatting>
  <conditionalFormatting sqref="M148">
    <cfRule type="cellIs" dxfId="9235" priority="24618" operator="equal">
      <formula>"value일 미도래"</formula>
    </cfRule>
  </conditionalFormatting>
  <conditionalFormatting sqref="M148">
    <cfRule type="cellIs" dxfId="9234" priority="24617" operator="equal">
      <formula>"value일 미도래"</formula>
    </cfRule>
  </conditionalFormatting>
  <conditionalFormatting sqref="M148">
    <cfRule type="cellIs" dxfId="9233" priority="24616" operator="equal">
      <formula>"value일 미도래"</formula>
    </cfRule>
  </conditionalFormatting>
  <conditionalFormatting sqref="M148">
    <cfRule type="cellIs" dxfId="9232" priority="24615" operator="equal">
      <formula>"value일 미도래"</formula>
    </cfRule>
  </conditionalFormatting>
  <conditionalFormatting sqref="M148">
    <cfRule type="cellIs" dxfId="9231" priority="24614" operator="equal">
      <formula>"value일 미도래"</formula>
    </cfRule>
  </conditionalFormatting>
  <conditionalFormatting sqref="M148">
    <cfRule type="cellIs" dxfId="9230" priority="24613" operator="equal">
      <formula>"value일 미도래"</formula>
    </cfRule>
  </conditionalFormatting>
  <conditionalFormatting sqref="M148">
    <cfRule type="cellIs" dxfId="9229" priority="24611" operator="equal">
      <formula>"value일 미도래"</formula>
    </cfRule>
  </conditionalFormatting>
  <conditionalFormatting sqref="M148">
    <cfRule type="cellIs" dxfId="9228" priority="24610" operator="equal">
      <formula>"value일 미도래"</formula>
    </cfRule>
  </conditionalFormatting>
  <conditionalFormatting sqref="M148">
    <cfRule type="cellIs" dxfId="9227" priority="24609" operator="equal">
      <formula>"value일 미도래"</formula>
    </cfRule>
  </conditionalFormatting>
  <conditionalFormatting sqref="M148">
    <cfRule type="cellIs" dxfId="9226" priority="24608" operator="equal">
      <formula>"value일 미도래"</formula>
    </cfRule>
  </conditionalFormatting>
  <conditionalFormatting sqref="M148">
    <cfRule type="cellIs" dxfId="9225" priority="24607" operator="equal">
      <formula>"value일 미도래"</formula>
    </cfRule>
  </conditionalFormatting>
  <conditionalFormatting sqref="M148">
    <cfRule type="cellIs" dxfId="9224" priority="24606" operator="equal">
      <formula>"value일 미도래"</formula>
    </cfRule>
  </conditionalFormatting>
  <conditionalFormatting sqref="M148">
    <cfRule type="cellIs" dxfId="9223" priority="24605" operator="equal">
      <formula>"value일 미도래"</formula>
    </cfRule>
  </conditionalFormatting>
  <conditionalFormatting sqref="M148">
    <cfRule type="cellIs" dxfId="9222" priority="24604" operator="equal">
      <formula>"value일 미도래"</formula>
    </cfRule>
  </conditionalFormatting>
  <conditionalFormatting sqref="M148">
    <cfRule type="cellIs" dxfId="9221" priority="24603" operator="equal">
      <formula>"value일 미도래"</formula>
    </cfRule>
  </conditionalFormatting>
  <conditionalFormatting sqref="M148">
    <cfRule type="cellIs" dxfId="9220" priority="24602" operator="equal">
      <formula>"value일 미도래"</formula>
    </cfRule>
  </conditionalFormatting>
  <conditionalFormatting sqref="M148">
    <cfRule type="cellIs" dxfId="9219" priority="24601" operator="equal">
      <formula>"value일 미도래"</formula>
    </cfRule>
  </conditionalFormatting>
  <conditionalFormatting sqref="M148">
    <cfRule type="cellIs" dxfId="9218" priority="24599" operator="equal">
      <formula>"value일 미도래"</formula>
    </cfRule>
  </conditionalFormatting>
  <conditionalFormatting sqref="M148">
    <cfRule type="cellIs" dxfId="9217" priority="24598" operator="equal">
      <formula>"value일 미도래"</formula>
    </cfRule>
  </conditionalFormatting>
  <conditionalFormatting sqref="M148">
    <cfRule type="cellIs" dxfId="9216" priority="24597" operator="equal">
      <formula>"value일 미도래"</formula>
    </cfRule>
  </conditionalFormatting>
  <conditionalFormatting sqref="M148:M149">
    <cfRule type="cellIs" dxfId="9215" priority="24596" operator="equal">
      <formula>"value일 미도래"</formula>
    </cfRule>
  </conditionalFormatting>
  <conditionalFormatting sqref="M148:M149">
    <cfRule type="cellIs" dxfId="9214" priority="24595" operator="equal">
      <formula>"value일 미도래"</formula>
    </cfRule>
  </conditionalFormatting>
  <conditionalFormatting sqref="M149:M150">
    <cfRule type="cellIs" dxfId="9213" priority="24594" operator="equal">
      <formula>"value일 미도래"</formula>
    </cfRule>
  </conditionalFormatting>
  <conditionalFormatting sqref="M149:M150">
    <cfRule type="cellIs" dxfId="9212" priority="24593" operator="equal">
      <formula>"value일 미도래"</formula>
    </cfRule>
  </conditionalFormatting>
  <conditionalFormatting sqref="M149:M150">
    <cfRule type="cellIs" dxfId="9211" priority="24592" operator="equal">
      <formula>"value일 미도래"</formula>
    </cfRule>
  </conditionalFormatting>
  <conditionalFormatting sqref="M148:M149">
    <cfRule type="cellIs" dxfId="9210" priority="24591" operator="equal">
      <formula>"value일 미도래"</formula>
    </cfRule>
  </conditionalFormatting>
  <conditionalFormatting sqref="M148:M149">
    <cfRule type="cellIs" dxfId="9209" priority="24590" operator="equal">
      <formula>"value일 미도래"</formula>
    </cfRule>
  </conditionalFormatting>
  <conditionalFormatting sqref="M148:M149">
    <cfRule type="cellIs" dxfId="9208" priority="24589" operator="equal">
      <formula>"value일 미도래"</formula>
    </cfRule>
  </conditionalFormatting>
  <conditionalFormatting sqref="M148:M149">
    <cfRule type="cellIs" dxfId="9207" priority="24588" operator="equal">
      <formula>"value일 미도래"</formula>
    </cfRule>
  </conditionalFormatting>
  <conditionalFormatting sqref="M148:M149">
    <cfRule type="cellIs" dxfId="9206" priority="24587" operator="equal">
      <formula>"value일 미도래"</formula>
    </cfRule>
  </conditionalFormatting>
  <conditionalFormatting sqref="M148:M149">
    <cfRule type="cellIs" dxfId="9205" priority="24586" operator="equal">
      <formula>"value일 미도래"</formula>
    </cfRule>
  </conditionalFormatting>
  <conditionalFormatting sqref="M148:M149">
    <cfRule type="cellIs" dxfId="9204" priority="24585" operator="equal">
      <formula>"value일 미도래"</formula>
    </cfRule>
  </conditionalFormatting>
  <conditionalFormatting sqref="M148:M149">
    <cfRule type="cellIs" dxfId="9203" priority="24584" operator="equal">
      <formula>"value일 미도래"</formula>
    </cfRule>
  </conditionalFormatting>
  <conditionalFormatting sqref="M148:M149">
    <cfRule type="cellIs" dxfId="9202" priority="24583" operator="equal">
      <formula>"value일 미도래"</formula>
    </cfRule>
  </conditionalFormatting>
  <conditionalFormatting sqref="M148:M149">
    <cfRule type="cellIs" dxfId="9201" priority="24581" operator="equal">
      <formula>"value일 미도래"</formula>
    </cfRule>
  </conditionalFormatting>
  <conditionalFormatting sqref="M148:M149">
    <cfRule type="cellIs" dxfId="9200" priority="24580" operator="equal">
      <formula>"value일 미도래"</formula>
    </cfRule>
  </conditionalFormatting>
  <conditionalFormatting sqref="M148:M149">
    <cfRule type="cellIs" dxfId="9199" priority="24579" operator="equal">
      <formula>"value일 미도래"</formula>
    </cfRule>
  </conditionalFormatting>
  <conditionalFormatting sqref="M149:M150">
    <cfRule type="cellIs" dxfId="9198" priority="24578" operator="equal">
      <formula>"value일 미도래"</formula>
    </cfRule>
  </conditionalFormatting>
  <conditionalFormatting sqref="M149:M150">
    <cfRule type="cellIs" dxfId="9197" priority="24577" operator="equal">
      <formula>"value일 미도래"</formula>
    </cfRule>
  </conditionalFormatting>
  <conditionalFormatting sqref="M149:M150">
    <cfRule type="cellIs" dxfId="9196" priority="24576" operator="equal">
      <formula>"value일 미도래"</formula>
    </cfRule>
  </conditionalFormatting>
  <conditionalFormatting sqref="M148:M149">
    <cfRule type="cellIs" dxfId="9195" priority="24575" operator="equal">
      <formula>"value일 미도래"</formula>
    </cfRule>
  </conditionalFormatting>
  <conditionalFormatting sqref="M148:M149">
    <cfRule type="cellIs" dxfId="9194" priority="24574" operator="equal">
      <formula>"value일 미도래"</formula>
    </cfRule>
  </conditionalFormatting>
  <conditionalFormatting sqref="M148:M149">
    <cfRule type="cellIs" dxfId="9193" priority="24573" operator="equal">
      <formula>"value일 미도래"</formula>
    </cfRule>
  </conditionalFormatting>
  <conditionalFormatting sqref="M149:M150">
    <cfRule type="cellIs" dxfId="9192" priority="24572" operator="equal">
      <formula>"value일 미도래"</formula>
    </cfRule>
  </conditionalFormatting>
  <conditionalFormatting sqref="M149:M150">
    <cfRule type="cellIs" dxfId="9191" priority="24571" operator="equal">
      <formula>"value일 미도래"</formula>
    </cfRule>
  </conditionalFormatting>
  <conditionalFormatting sqref="M149:M150">
    <cfRule type="cellIs" dxfId="9190" priority="24570" operator="equal">
      <formula>"value일 미도래"</formula>
    </cfRule>
  </conditionalFormatting>
  <conditionalFormatting sqref="M148:M149">
    <cfRule type="cellIs" dxfId="9189" priority="24569" operator="equal">
      <formula>"value일 미도래"</formula>
    </cfRule>
  </conditionalFormatting>
  <conditionalFormatting sqref="M148:M149">
    <cfRule type="cellIs" dxfId="9188" priority="24568" operator="equal">
      <formula>"value일 미도래"</formula>
    </cfRule>
  </conditionalFormatting>
  <conditionalFormatting sqref="M148:M149">
    <cfRule type="cellIs" dxfId="9187" priority="24567" operator="equal">
      <formula>"value일 미도래"</formula>
    </cfRule>
  </conditionalFormatting>
  <conditionalFormatting sqref="M148">
    <cfRule type="cellIs" dxfId="9186" priority="24566" operator="equal">
      <formula>"value일 미도래"</formula>
    </cfRule>
  </conditionalFormatting>
  <conditionalFormatting sqref="M148">
    <cfRule type="cellIs" dxfId="9185" priority="24565" operator="equal">
      <formula>"value일 미도래"</formula>
    </cfRule>
  </conditionalFormatting>
  <conditionalFormatting sqref="M148">
    <cfRule type="cellIs" dxfId="9184" priority="24564" operator="equal">
      <formula>"value일 미도래"</formula>
    </cfRule>
  </conditionalFormatting>
  <conditionalFormatting sqref="M148">
    <cfRule type="cellIs" dxfId="9183" priority="24563" operator="equal">
      <formula>"value일 미도래"</formula>
    </cfRule>
  </conditionalFormatting>
  <conditionalFormatting sqref="M148">
    <cfRule type="cellIs" dxfId="9182" priority="24562" operator="equal">
      <formula>"value일 미도래"</formula>
    </cfRule>
  </conditionalFormatting>
  <conditionalFormatting sqref="M148">
    <cfRule type="cellIs" dxfId="9181" priority="24561" operator="equal">
      <formula>"value일 미도래"</formula>
    </cfRule>
  </conditionalFormatting>
  <conditionalFormatting sqref="M148">
    <cfRule type="cellIs" dxfId="9180" priority="24559" operator="equal">
      <formula>"value일 미도래"</formula>
    </cfRule>
  </conditionalFormatting>
  <conditionalFormatting sqref="M148">
    <cfRule type="cellIs" dxfId="9179" priority="24558" operator="equal">
      <formula>"value일 미도래"</formula>
    </cfRule>
  </conditionalFormatting>
  <conditionalFormatting sqref="M148">
    <cfRule type="cellIs" dxfId="9178" priority="24557" operator="equal">
      <formula>"value일 미도래"</formula>
    </cfRule>
  </conditionalFormatting>
  <conditionalFormatting sqref="M148">
    <cfRule type="cellIs" dxfId="9177" priority="24556" operator="equal">
      <formula>"value일 미도래"</formula>
    </cfRule>
  </conditionalFormatting>
  <conditionalFormatting sqref="M148">
    <cfRule type="cellIs" dxfId="9176" priority="24555" operator="equal">
      <formula>"value일 미도래"</formula>
    </cfRule>
  </conditionalFormatting>
  <conditionalFormatting sqref="M148">
    <cfRule type="cellIs" dxfId="9175" priority="24554" operator="equal">
      <formula>"value일 미도래"</formula>
    </cfRule>
  </conditionalFormatting>
  <conditionalFormatting sqref="M148">
    <cfRule type="cellIs" dxfId="9174" priority="24553" operator="equal">
      <formula>"value일 미도래"</formula>
    </cfRule>
  </conditionalFormatting>
  <conditionalFormatting sqref="M148">
    <cfRule type="cellIs" dxfId="9173" priority="24552" operator="equal">
      <formula>"value일 미도래"</formula>
    </cfRule>
  </conditionalFormatting>
  <conditionalFormatting sqref="M148">
    <cfRule type="cellIs" dxfId="9172" priority="24550" operator="equal">
      <formula>"value일 미도래"</formula>
    </cfRule>
  </conditionalFormatting>
  <conditionalFormatting sqref="M148">
    <cfRule type="cellIs" dxfId="9171" priority="24549" operator="equal">
      <formula>"value일 미도래"</formula>
    </cfRule>
  </conditionalFormatting>
  <conditionalFormatting sqref="M148">
    <cfRule type="cellIs" dxfId="9170" priority="24548" operator="equal">
      <formula>"value일 미도래"</formula>
    </cfRule>
  </conditionalFormatting>
  <conditionalFormatting sqref="M148">
    <cfRule type="cellIs" dxfId="9169" priority="24547" operator="equal">
      <formula>"value일 미도래"</formula>
    </cfRule>
  </conditionalFormatting>
  <conditionalFormatting sqref="M148">
    <cfRule type="cellIs" dxfId="9168" priority="24546" operator="equal">
      <formula>"value일 미도래"</formula>
    </cfRule>
  </conditionalFormatting>
  <conditionalFormatting sqref="M148">
    <cfRule type="cellIs" dxfId="9167" priority="24545" operator="equal">
      <formula>"value일 미도래"</formula>
    </cfRule>
  </conditionalFormatting>
  <conditionalFormatting sqref="M148">
    <cfRule type="cellIs" dxfId="9166" priority="24544" operator="equal">
      <formula>"value일 미도래"</formula>
    </cfRule>
  </conditionalFormatting>
  <conditionalFormatting sqref="M148">
    <cfRule type="cellIs" dxfId="9165" priority="24543" operator="equal">
      <formula>"value일 미도래"</formula>
    </cfRule>
  </conditionalFormatting>
  <conditionalFormatting sqref="M148">
    <cfRule type="cellIs" dxfId="9164" priority="24542" operator="equal">
      <formula>"value일 미도래"</formula>
    </cfRule>
  </conditionalFormatting>
  <conditionalFormatting sqref="M148">
    <cfRule type="cellIs" dxfId="9163" priority="24541" operator="equal">
      <formula>"value일 미도래"</formula>
    </cfRule>
  </conditionalFormatting>
  <conditionalFormatting sqref="M148">
    <cfRule type="cellIs" dxfId="9162" priority="24540" operator="equal">
      <formula>"value일 미도래"</formula>
    </cfRule>
  </conditionalFormatting>
  <conditionalFormatting sqref="M148">
    <cfRule type="cellIs" dxfId="9161" priority="24538" operator="equal">
      <formula>"value일 미도래"</formula>
    </cfRule>
  </conditionalFormatting>
  <conditionalFormatting sqref="M148">
    <cfRule type="cellIs" dxfId="9160" priority="24537" operator="equal">
      <formula>"value일 미도래"</formula>
    </cfRule>
  </conditionalFormatting>
  <conditionalFormatting sqref="M148">
    <cfRule type="cellIs" dxfId="9159" priority="24536" operator="equal">
      <formula>"value일 미도래"</formula>
    </cfRule>
  </conditionalFormatting>
  <conditionalFormatting sqref="M148">
    <cfRule type="cellIs" dxfId="9158" priority="24535" operator="equal">
      <formula>"value일 미도래"</formula>
    </cfRule>
  </conditionalFormatting>
  <conditionalFormatting sqref="M148">
    <cfRule type="cellIs" dxfId="9157" priority="24534" operator="equal">
      <formula>"value일 미도래"</formula>
    </cfRule>
  </conditionalFormatting>
  <conditionalFormatting sqref="M148">
    <cfRule type="cellIs" dxfId="9156" priority="24533" operator="equal">
      <formula>"value일 미도래"</formula>
    </cfRule>
  </conditionalFormatting>
  <conditionalFormatting sqref="M148">
    <cfRule type="cellIs" dxfId="9155" priority="24532" operator="equal">
      <formula>"value일 미도래"</formula>
    </cfRule>
  </conditionalFormatting>
  <conditionalFormatting sqref="M148">
    <cfRule type="cellIs" dxfId="9154" priority="24531" operator="equal">
      <formula>"value일 미도래"</formula>
    </cfRule>
  </conditionalFormatting>
  <conditionalFormatting sqref="M148">
    <cfRule type="cellIs" dxfId="9153" priority="24530" operator="equal">
      <formula>"value일 미도래"</formula>
    </cfRule>
  </conditionalFormatting>
  <conditionalFormatting sqref="M148">
    <cfRule type="cellIs" dxfId="9152" priority="24529" operator="equal">
      <formula>"value일 미도래"</formula>
    </cfRule>
  </conditionalFormatting>
  <conditionalFormatting sqref="M148">
    <cfRule type="cellIs" dxfId="9151" priority="24528" operator="equal">
      <formula>"value일 미도래"</formula>
    </cfRule>
  </conditionalFormatting>
  <conditionalFormatting sqref="M148">
    <cfRule type="cellIs" dxfId="9150" priority="24526" operator="equal">
      <formula>"value일 미도래"</formula>
    </cfRule>
  </conditionalFormatting>
  <conditionalFormatting sqref="M148">
    <cfRule type="cellIs" dxfId="9149" priority="24525" operator="equal">
      <formula>"value일 미도래"</formula>
    </cfRule>
  </conditionalFormatting>
  <conditionalFormatting sqref="M148">
    <cfRule type="cellIs" dxfId="9148" priority="24524" operator="equal">
      <formula>"value일 미도래"</formula>
    </cfRule>
  </conditionalFormatting>
  <conditionalFormatting sqref="M148">
    <cfRule type="cellIs" dxfId="9147" priority="24523" operator="equal">
      <formula>"value일 미도래"</formula>
    </cfRule>
  </conditionalFormatting>
  <conditionalFormatting sqref="M148">
    <cfRule type="cellIs" dxfId="9146" priority="24522" operator="equal">
      <formula>"value일 미도래"</formula>
    </cfRule>
  </conditionalFormatting>
  <conditionalFormatting sqref="M148">
    <cfRule type="cellIs" dxfId="9145" priority="24521" operator="equal">
      <formula>"value일 미도래"</formula>
    </cfRule>
  </conditionalFormatting>
  <conditionalFormatting sqref="M148:M149">
    <cfRule type="cellIs" dxfId="9144" priority="24520" operator="equal">
      <formula>"value일 미도래"</formula>
    </cfRule>
  </conditionalFormatting>
  <conditionalFormatting sqref="M148:M149">
    <cfRule type="cellIs" dxfId="9143" priority="24519" operator="equal">
      <formula>"value일 미도래"</formula>
    </cfRule>
  </conditionalFormatting>
  <conditionalFormatting sqref="M148:M149">
    <cfRule type="cellIs" dxfId="9142" priority="24518" operator="equal">
      <formula>"value일 미도래"</formula>
    </cfRule>
  </conditionalFormatting>
  <conditionalFormatting sqref="M148">
    <cfRule type="cellIs" dxfId="9141" priority="24517" operator="equal">
      <formula>"value일 미도래"</formula>
    </cfRule>
  </conditionalFormatting>
  <conditionalFormatting sqref="M148">
    <cfRule type="cellIs" dxfId="9140" priority="24516" operator="equal">
      <formula>"value일 미도래"</formula>
    </cfRule>
  </conditionalFormatting>
  <conditionalFormatting sqref="M148">
    <cfRule type="cellIs" dxfId="9139" priority="24515" operator="equal">
      <formula>"value일 미도래"</formula>
    </cfRule>
  </conditionalFormatting>
  <conditionalFormatting sqref="M148">
    <cfRule type="cellIs" dxfId="9138" priority="24514" operator="equal">
      <formula>"value일 미도래"</formula>
    </cfRule>
  </conditionalFormatting>
  <conditionalFormatting sqref="M148">
    <cfRule type="cellIs" dxfId="9137" priority="24513" operator="equal">
      <formula>"value일 미도래"</formula>
    </cfRule>
  </conditionalFormatting>
  <conditionalFormatting sqref="M148">
    <cfRule type="cellIs" dxfId="9136" priority="24512" operator="equal">
      <formula>"value일 미도래"</formula>
    </cfRule>
  </conditionalFormatting>
  <conditionalFormatting sqref="M148:M149">
    <cfRule type="cellIs" dxfId="9135" priority="24511" operator="equal">
      <formula>"value일 미도래"</formula>
    </cfRule>
  </conditionalFormatting>
  <conditionalFormatting sqref="M148:M149">
    <cfRule type="cellIs" dxfId="9134" priority="24510" operator="equal">
      <formula>"value일 미도래"</formula>
    </cfRule>
  </conditionalFormatting>
  <conditionalFormatting sqref="M148:M149">
    <cfRule type="cellIs" dxfId="9133" priority="24509" operator="equal">
      <formula>"value일 미도래"</formula>
    </cfRule>
  </conditionalFormatting>
  <conditionalFormatting sqref="M148:M149">
    <cfRule type="cellIs" dxfId="9132" priority="24508" operator="equal">
      <formula>"value일 미도래"</formula>
    </cfRule>
  </conditionalFormatting>
  <conditionalFormatting sqref="M148:M149">
    <cfRule type="cellIs" dxfId="9131" priority="24507" operator="equal">
      <formula>"value일 미도래"</formula>
    </cfRule>
  </conditionalFormatting>
  <conditionalFormatting sqref="M148:M149">
    <cfRule type="cellIs" dxfId="9130" priority="24506" operator="equal">
      <formula>"value일 미도래"</formula>
    </cfRule>
  </conditionalFormatting>
  <conditionalFormatting sqref="M148:M149">
    <cfRule type="cellIs" dxfId="9129" priority="24505" operator="equal">
      <formula>"value일 미도래"</formula>
    </cfRule>
  </conditionalFormatting>
  <conditionalFormatting sqref="M148:M149">
    <cfRule type="cellIs" dxfId="9128" priority="24504" operator="equal">
      <formula>"value일 미도래"</formula>
    </cfRule>
  </conditionalFormatting>
  <conditionalFormatting sqref="M148:M149">
    <cfRule type="cellIs" dxfId="9127" priority="24503" operator="equal">
      <formula>"value일 미도래"</formula>
    </cfRule>
  </conditionalFormatting>
  <conditionalFormatting sqref="M148:M149">
    <cfRule type="cellIs" dxfId="9126" priority="24502" operator="equal">
      <formula>"value일 미도래"</formula>
    </cfRule>
  </conditionalFormatting>
  <conditionalFormatting sqref="M148:M149">
    <cfRule type="cellIs" dxfId="9125" priority="24501" operator="equal">
      <formula>"value일 미도래"</formula>
    </cfRule>
  </conditionalFormatting>
  <conditionalFormatting sqref="M148:M149">
    <cfRule type="cellIs" dxfId="9124" priority="24499" operator="equal">
      <formula>"value일 미도래"</formula>
    </cfRule>
  </conditionalFormatting>
  <conditionalFormatting sqref="M148:M149">
    <cfRule type="cellIs" dxfId="9123" priority="24498" operator="equal">
      <formula>"value일 미도래"</formula>
    </cfRule>
  </conditionalFormatting>
  <conditionalFormatting sqref="M148:M149">
    <cfRule type="cellIs" dxfId="9122" priority="24497" operator="equal">
      <formula>"value일 미도래"</formula>
    </cfRule>
  </conditionalFormatting>
  <conditionalFormatting sqref="M148:M149">
    <cfRule type="cellIs" dxfId="9121" priority="24496" operator="equal">
      <formula>"value일 미도래"</formula>
    </cfRule>
  </conditionalFormatting>
  <conditionalFormatting sqref="M148:M149">
    <cfRule type="cellIs" dxfId="9120" priority="24495" operator="equal">
      <formula>"value일 미도래"</formula>
    </cfRule>
  </conditionalFormatting>
  <conditionalFormatting sqref="M148:M149">
    <cfRule type="cellIs" dxfId="9119" priority="24494" operator="equal">
      <formula>"value일 미도래"</formula>
    </cfRule>
  </conditionalFormatting>
  <conditionalFormatting sqref="M148:M149">
    <cfRule type="cellIs" dxfId="9118" priority="24493" operator="equal">
      <formula>"value일 미도래"</formula>
    </cfRule>
  </conditionalFormatting>
  <conditionalFormatting sqref="M148:M149">
    <cfRule type="cellIs" dxfId="9117" priority="24492" operator="equal">
      <formula>"value일 미도래"</formula>
    </cfRule>
  </conditionalFormatting>
  <conditionalFormatting sqref="M148:M149">
    <cfRule type="cellIs" dxfId="9116" priority="24491" operator="equal">
      <formula>"value일 미도래"</formula>
    </cfRule>
  </conditionalFormatting>
  <conditionalFormatting sqref="M148">
    <cfRule type="cellIs" dxfId="9115" priority="24490" operator="equal">
      <formula>"value일 미도래"</formula>
    </cfRule>
  </conditionalFormatting>
  <conditionalFormatting sqref="M148">
    <cfRule type="cellIs" dxfId="9114" priority="24489" operator="equal">
      <formula>"value일 미도래"</formula>
    </cfRule>
  </conditionalFormatting>
  <conditionalFormatting sqref="M148">
    <cfRule type="cellIs" dxfId="9113" priority="24488" operator="equal">
      <formula>"value일 미도래"</formula>
    </cfRule>
  </conditionalFormatting>
  <conditionalFormatting sqref="M148">
    <cfRule type="cellIs" dxfId="9112" priority="24487" operator="equal">
      <formula>"value일 미도래"</formula>
    </cfRule>
  </conditionalFormatting>
  <conditionalFormatting sqref="M148">
    <cfRule type="cellIs" dxfId="9111" priority="24486" operator="equal">
      <formula>"value일 미도래"</formula>
    </cfRule>
  </conditionalFormatting>
  <conditionalFormatting sqref="M148">
    <cfRule type="cellIs" dxfId="9110" priority="24485" operator="equal">
      <formula>"value일 미도래"</formula>
    </cfRule>
  </conditionalFormatting>
  <conditionalFormatting sqref="M148">
    <cfRule type="cellIs" dxfId="9109" priority="24483" operator="equal">
      <formula>"value일 미도래"</formula>
    </cfRule>
  </conditionalFormatting>
  <conditionalFormatting sqref="M148">
    <cfRule type="cellIs" dxfId="9108" priority="24482" operator="equal">
      <formula>"value일 미도래"</formula>
    </cfRule>
  </conditionalFormatting>
  <conditionalFormatting sqref="M148">
    <cfRule type="cellIs" dxfId="9107" priority="24481" operator="equal">
      <formula>"value일 미도래"</formula>
    </cfRule>
  </conditionalFormatting>
  <conditionalFormatting sqref="M148">
    <cfRule type="cellIs" dxfId="9106" priority="24480" operator="equal">
      <formula>"value일 미도래"</formula>
    </cfRule>
  </conditionalFormatting>
  <conditionalFormatting sqref="M148">
    <cfRule type="cellIs" dxfId="9105" priority="24479" operator="equal">
      <formula>"value일 미도래"</formula>
    </cfRule>
  </conditionalFormatting>
  <conditionalFormatting sqref="M148">
    <cfRule type="cellIs" dxfId="9104" priority="24478" operator="equal">
      <formula>"value일 미도래"</formula>
    </cfRule>
  </conditionalFormatting>
  <conditionalFormatting sqref="M148">
    <cfRule type="cellIs" dxfId="9103" priority="24477" operator="equal">
      <formula>"value일 미도래"</formula>
    </cfRule>
  </conditionalFormatting>
  <conditionalFormatting sqref="M148">
    <cfRule type="cellIs" dxfId="9102" priority="24476" operator="equal">
      <formula>"value일 미도래"</formula>
    </cfRule>
  </conditionalFormatting>
  <conditionalFormatting sqref="M148">
    <cfRule type="cellIs" dxfId="9101" priority="24474" operator="equal">
      <formula>"value일 미도래"</formula>
    </cfRule>
  </conditionalFormatting>
  <conditionalFormatting sqref="M148">
    <cfRule type="cellIs" dxfId="9100" priority="24473" operator="equal">
      <formula>"value일 미도래"</formula>
    </cfRule>
  </conditionalFormatting>
  <conditionalFormatting sqref="M148">
    <cfRule type="cellIs" dxfId="9099" priority="24472" operator="equal">
      <formula>"value일 미도래"</formula>
    </cfRule>
  </conditionalFormatting>
  <conditionalFormatting sqref="M148">
    <cfRule type="cellIs" dxfId="9098" priority="24471" operator="equal">
      <formula>"value일 미도래"</formula>
    </cfRule>
  </conditionalFormatting>
  <conditionalFormatting sqref="M148">
    <cfRule type="cellIs" dxfId="9097" priority="24470" operator="equal">
      <formula>"value일 미도래"</formula>
    </cfRule>
  </conditionalFormatting>
  <conditionalFormatting sqref="M148">
    <cfRule type="cellIs" dxfId="9096" priority="24469" operator="equal">
      <formula>"value일 미도래"</formula>
    </cfRule>
  </conditionalFormatting>
  <conditionalFormatting sqref="M148">
    <cfRule type="cellIs" dxfId="9095" priority="24468" operator="equal">
      <formula>"value일 미도래"</formula>
    </cfRule>
  </conditionalFormatting>
  <conditionalFormatting sqref="M148">
    <cfRule type="cellIs" dxfId="9094" priority="24467" operator="equal">
      <formula>"value일 미도래"</formula>
    </cfRule>
  </conditionalFormatting>
  <conditionalFormatting sqref="M148">
    <cfRule type="cellIs" dxfId="9093" priority="24466" operator="equal">
      <formula>"value일 미도래"</formula>
    </cfRule>
  </conditionalFormatting>
  <conditionalFormatting sqref="M148">
    <cfRule type="cellIs" dxfId="9092" priority="24465" operator="equal">
      <formula>"value일 미도래"</formula>
    </cfRule>
  </conditionalFormatting>
  <conditionalFormatting sqref="M148">
    <cfRule type="cellIs" dxfId="9091" priority="24464" operator="equal">
      <formula>"value일 미도래"</formula>
    </cfRule>
  </conditionalFormatting>
  <conditionalFormatting sqref="M148">
    <cfRule type="cellIs" dxfId="9090" priority="24462" operator="equal">
      <formula>"value일 미도래"</formula>
    </cfRule>
  </conditionalFormatting>
  <conditionalFormatting sqref="M148">
    <cfRule type="cellIs" dxfId="9089" priority="24461" operator="equal">
      <formula>"value일 미도래"</formula>
    </cfRule>
  </conditionalFormatting>
  <conditionalFormatting sqref="M148">
    <cfRule type="cellIs" dxfId="9088" priority="24460" operator="equal">
      <formula>"value일 미도래"</formula>
    </cfRule>
  </conditionalFormatting>
  <conditionalFormatting sqref="M148">
    <cfRule type="cellIs" dxfId="9087" priority="24459" operator="equal">
      <formula>"value일 미도래"</formula>
    </cfRule>
  </conditionalFormatting>
  <conditionalFormatting sqref="M148">
    <cfRule type="cellIs" dxfId="9086" priority="24458" operator="equal">
      <formula>"value일 미도래"</formula>
    </cfRule>
  </conditionalFormatting>
  <conditionalFormatting sqref="M148">
    <cfRule type="cellIs" dxfId="9085" priority="24457" operator="equal">
      <formula>"value일 미도래"</formula>
    </cfRule>
  </conditionalFormatting>
  <conditionalFormatting sqref="M148">
    <cfRule type="cellIs" dxfId="9084" priority="24456" operator="equal">
      <formula>"value일 미도래"</formula>
    </cfRule>
  </conditionalFormatting>
  <conditionalFormatting sqref="M148">
    <cfRule type="cellIs" dxfId="9083" priority="24455" operator="equal">
      <formula>"value일 미도래"</formula>
    </cfRule>
  </conditionalFormatting>
  <conditionalFormatting sqref="M148">
    <cfRule type="cellIs" dxfId="9082" priority="24454" operator="equal">
      <formula>"value일 미도래"</formula>
    </cfRule>
  </conditionalFormatting>
  <conditionalFormatting sqref="M148">
    <cfRule type="cellIs" dxfId="9081" priority="24453" operator="equal">
      <formula>"value일 미도래"</formula>
    </cfRule>
  </conditionalFormatting>
  <conditionalFormatting sqref="M148">
    <cfRule type="cellIs" dxfId="9080" priority="24452" operator="equal">
      <formula>"value일 미도래"</formula>
    </cfRule>
  </conditionalFormatting>
  <conditionalFormatting sqref="M148">
    <cfRule type="cellIs" dxfId="9079" priority="24450" operator="equal">
      <formula>"value일 미도래"</formula>
    </cfRule>
  </conditionalFormatting>
  <conditionalFormatting sqref="M148">
    <cfRule type="cellIs" dxfId="9078" priority="24449" operator="equal">
      <formula>"value일 미도래"</formula>
    </cfRule>
  </conditionalFormatting>
  <conditionalFormatting sqref="M148">
    <cfRule type="cellIs" dxfId="9077" priority="24448" operator="equal">
      <formula>"value일 미도래"</formula>
    </cfRule>
  </conditionalFormatting>
  <conditionalFormatting sqref="M148">
    <cfRule type="cellIs" dxfId="9076" priority="24447" operator="equal">
      <formula>"value일 미도래"</formula>
    </cfRule>
  </conditionalFormatting>
  <conditionalFormatting sqref="M148">
    <cfRule type="cellIs" dxfId="9075" priority="24446" operator="equal">
      <formula>"value일 미도래"</formula>
    </cfRule>
  </conditionalFormatting>
  <conditionalFormatting sqref="M148">
    <cfRule type="cellIs" dxfId="9074" priority="24445" operator="equal">
      <formula>"value일 미도래"</formula>
    </cfRule>
  </conditionalFormatting>
  <conditionalFormatting sqref="M148:M149">
    <cfRule type="cellIs" dxfId="9073" priority="24444" operator="equal">
      <formula>"value일 미도래"</formula>
    </cfRule>
  </conditionalFormatting>
  <conditionalFormatting sqref="M148:M149">
    <cfRule type="cellIs" dxfId="9072" priority="24443" operator="equal">
      <formula>"value일 미도래"</formula>
    </cfRule>
  </conditionalFormatting>
  <conditionalFormatting sqref="M148:M149">
    <cfRule type="cellIs" dxfId="9071" priority="24442" operator="equal">
      <formula>"value일 미도래"</formula>
    </cfRule>
  </conditionalFormatting>
  <conditionalFormatting sqref="M148">
    <cfRule type="cellIs" dxfId="9070" priority="24441" operator="equal">
      <formula>"value일 미도래"</formula>
    </cfRule>
  </conditionalFormatting>
  <conditionalFormatting sqref="M148">
    <cfRule type="cellIs" dxfId="9069" priority="24440" operator="equal">
      <formula>"value일 미도래"</formula>
    </cfRule>
  </conditionalFormatting>
  <conditionalFormatting sqref="M148">
    <cfRule type="cellIs" dxfId="9068" priority="24439" operator="equal">
      <formula>"value일 미도래"</formula>
    </cfRule>
  </conditionalFormatting>
  <conditionalFormatting sqref="M148">
    <cfRule type="cellIs" dxfId="9067" priority="24438" operator="equal">
      <formula>"value일 미도래"</formula>
    </cfRule>
  </conditionalFormatting>
  <conditionalFormatting sqref="M148">
    <cfRule type="cellIs" dxfId="9066" priority="24437" operator="equal">
      <formula>"value일 미도래"</formula>
    </cfRule>
  </conditionalFormatting>
  <conditionalFormatting sqref="M148">
    <cfRule type="cellIs" dxfId="9065" priority="24436" operator="equal">
      <formula>"value일 미도래"</formula>
    </cfRule>
  </conditionalFormatting>
  <conditionalFormatting sqref="M148">
    <cfRule type="cellIs" dxfId="9064" priority="24435" operator="equal">
      <formula>"value일 미도래"</formula>
    </cfRule>
  </conditionalFormatting>
  <conditionalFormatting sqref="M148">
    <cfRule type="cellIs" dxfId="9063" priority="24434" operator="equal">
      <formula>"value일 미도래"</formula>
    </cfRule>
  </conditionalFormatting>
  <conditionalFormatting sqref="M148">
    <cfRule type="cellIs" dxfId="9062" priority="24433" operator="equal">
      <formula>"value일 미도래"</formula>
    </cfRule>
  </conditionalFormatting>
  <conditionalFormatting sqref="M148:M149">
    <cfRule type="cellIs" dxfId="9061" priority="24432" operator="equal">
      <formula>"value일 미도래"</formula>
    </cfRule>
  </conditionalFormatting>
  <conditionalFormatting sqref="M148:M149">
    <cfRule type="cellIs" dxfId="9060" priority="24431" operator="equal">
      <formula>"value일 미도래"</formula>
    </cfRule>
  </conditionalFormatting>
  <conditionalFormatting sqref="M148:M149">
    <cfRule type="cellIs" dxfId="9059" priority="24430" operator="equal">
      <formula>"value일 미도래"</formula>
    </cfRule>
  </conditionalFormatting>
  <conditionalFormatting sqref="M148">
    <cfRule type="cellIs" dxfId="9058" priority="24429" operator="equal">
      <formula>"value일 미도래"</formula>
    </cfRule>
  </conditionalFormatting>
  <conditionalFormatting sqref="M148">
    <cfRule type="cellIs" dxfId="9057" priority="24428" operator="equal">
      <formula>"value일 미도래"</formula>
    </cfRule>
  </conditionalFormatting>
  <conditionalFormatting sqref="M148">
    <cfRule type="cellIs" dxfId="9056" priority="24427" operator="equal">
      <formula>"value일 미도래"</formula>
    </cfRule>
  </conditionalFormatting>
  <conditionalFormatting sqref="M148">
    <cfRule type="cellIs" dxfId="9055" priority="24426" operator="equal">
      <formula>"value일 미도래"</formula>
    </cfRule>
  </conditionalFormatting>
  <conditionalFormatting sqref="M148">
    <cfRule type="cellIs" dxfId="9054" priority="24425" operator="equal">
      <formula>"value일 미도래"</formula>
    </cfRule>
  </conditionalFormatting>
  <conditionalFormatting sqref="M148">
    <cfRule type="cellIs" dxfId="9053" priority="24424" operator="equal">
      <formula>"value일 미도래"</formula>
    </cfRule>
  </conditionalFormatting>
  <conditionalFormatting sqref="M148:M149">
    <cfRule type="cellIs" dxfId="9052" priority="24423" operator="equal">
      <formula>"value일 미도래"</formula>
    </cfRule>
  </conditionalFormatting>
  <conditionalFormatting sqref="M148:M149">
    <cfRule type="cellIs" dxfId="9051" priority="24422" operator="equal">
      <formula>"value일 미도래"</formula>
    </cfRule>
  </conditionalFormatting>
  <conditionalFormatting sqref="M148:M149">
    <cfRule type="cellIs" dxfId="9050" priority="24421" operator="equal">
      <formula>"value일 미도래"</formula>
    </cfRule>
  </conditionalFormatting>
  <conditionalFormatting sqref="M148:M149">
    <cfRule type="cellIs" dxfId="9049" priority="24420" operator="equal">
      <formula>"value일 미도래"</formula>
    </cfRule>
  </conditionalFormatting>
  <conditionalFormatting sqref="M149:M150">
    <cfRule type="cellIs" dxfId="9048" priority="24419" operator="equal">
      <formula>"value일 미도래"</formula>
    </cfRule>
  </conditionalFormatting>
  <conditionalFormatting sqref="M149:M150">
    <cfRule type="cellIs" dxfId="9047" priority="24418" operator="equal">
      <formula>"value일 미도래"</formula>
    </cfRule>
  </conditionalFormatting>
  <conditionalFormatting sqref="M149:M150">
    <cfRule type="cellIs" dxfId="9046" priority="24417" operator="equal">
      <formula>"value일 미도래"</formula>
    </cfRule>
  </conditionalFormatting>
  <conditionalFormatting sqref="M149:M150">
    <cfRule type="cellIs" dxfId="9045" priority="24416" operator="equal">
      <formula>"value일 미도래"</formula>
    </cfRule>
  </conditionalFormatting>
  <conditionalFormatting sqref="M149:M150">
    <cfRule type="cellIs" dxfId="9044" priority="24415" operator="equal">
      <formula>"value일 미도래"</formula>
    </cfRule>
  </conditionalFormatting>
  <conditionalFormatting sqref="M149:M150">
    <cfRule type="cellIs" dxfId="9043" priority="24414" operator="equal">
      <formula>"value일 미도래"</formula>
    </cfRule>
  </conditionalFormatting>
  <conditionalFormatting sqref="M149:M150">
    <cfRule type="cellIs" dxfId="9042" priority="24412" operator="equal">
      <formula>"value일 미도래"</formula>
    </cfRule>
  </conditionalFormatting>
  <conditionalFormatting sqref="M149:M150">
    <cfRule type="cellIs" dxfId="9041" priority="24411" operator="equal">
      <formula>"value일 미도래"</formula>
    </cfRule>
  </conditionalFormatting>
  <conditionalFormatting sqref="M149:M150">
    <cfRule type="cellIs" dxfId="9040" priority="24410" operator="equal">
      <formula>"value일 미도래"</formula>
    </cfRule>
  </conditionalFormatting>
  <conditionalFormatting sqref="M149:M150">
    <cfRule type="cellIs" dxfId="9039" priority="24409" operator="equal">
      <formula>"value일 미도래"</formula>
    </cfRule>
  </conditionalFormatting>
  <conditionalFormatting sqref="M149:M150">
    <cfRule type="cellIs" dxfId="9038" priority="24408" operator="equal">
      <formula>"value일 미도래"</formula>
    </cfRule>
  </conditionalFormatting>
  <conditionalFormatting sqref="M149:M150">
    <cfRule type="cellIs" dxfId="9037" priority="24407" operator="equal">
      <formula>"value일 미도래"</formula>
    </cfRule>
  </conditionalFormatting>
  <conditionalFormatting sqref="M149:M150">
    <cfRule type="cellIs" dxfId="9036" priority="24406" operator="equal">
      <formula>"value일 미도래"</formula>
    </cfRule>
  </conditionalFormatting>
  <conditionalFormatting sqref="M149:M150">
    <cfRule type="cellIs" dxfId="9035" priority="24405" operator="equal">
      <formula>"value일 미도래"</formula>
    </cfRule>
  </conditionalFormatting>
  <conditionalFormatting sqref="M149:M150">
    <cfRule type="cellIs" dxfId="9034" priority="24403" operator="equal">
      <formula>"value일 미도래"</formula>
    </cfRule>
  </conditionalFormatting>
  <conditionalFormatting sqref="M149:M150">
    <cfRule type="cellIs" dxfId="9033" priority="24402" operator="equal">
      <formula>"value일 미도래"</formula>
    </cfRule>
  </conditionalFormatting>
  <conditionalFormatting sqref="M149:M150">
    <cfRule type="cellIs" dxfId="9032" priority="24401" operator="equal">
      <formula>"value일 미도래"</formula>
    </cfRule>
  </conditionalFormatting>
  <conditionalFormatting sqref="M149:M150">
    <cfRule type="cellIs" dxfId="9031" priority="24400" operator="equal">
      <formula>"value일 미도래"</formula>
    </cfRule>
  </conditionalFormatting>
  <conditionalFormatting sqref="M149:M150">
    <cfRule type="cellIs" dxfId="9030" priority="24399" operator="equal">
      <formula>"value일 미도래"</formula>
    </cfRule>
  </conditionalFormatting>
  <conditionalFormatting sqref="M149:M150">
    <cfRule type="cellIs" dxfId="9029" priority="24398" operator="equal">
      <formula>"value일 미도래"</formula>
    </cfRule>
  </conditionalFormatting>
  <conditionalFormatting sqref="M149:M150">
    <cfRule type="cellIs" dxfId="9028" priority="24397" operator="equal">
      <formula>"value일 미도래"</formula>
    </cfRule>
  </conditionalFormatting>
  <conditionalFormatting sqref="M149:M150">
    <cfRule type="cellIs" dxfId="9027" priority="24396" operator="equal">
      <formula>"value일 미도래"</formula>
    </cfRule>
  </conditionalFormatting>
  <conditionalFormatting sqref="M149:M150">
    <cfRule type="cellIs" dxfId="9026" priority="24395" operator="equal">
      <formula>"value일 미도래"</formula>
    </cfRule>
  </conditionalFormatting>
  <conditionalFormatting sqref="M149:M150">
    <cfRule type="cellIs" dxfId="9025" priority="24394" operator="equal">
      <formula>"value일 미도래"</formula>
    </cfRule>
  </conditionalFormatting>
  <conditionalFormatting sqref="M149:M150">
    <cfRule type="cellIs" dxfId="9024" priority="24393" operator="equal">
      <formula>"value일 미도래"</formula>
    </cfRule>
  </conditionalFormatting>
  <conditionalFormatting sqref="M149:M150">
    <cfRule type="cellIs" dxfId="9023" priority="24391" operator="equal">
      <formula>"value일 미도래"</formula>
    </cfRule>
  </conditionalFormatting>
  <conditionalFormatting sqref="M149:M150">
    <cfRule type="cellIs" dxfId="9022" priority="24390" operator="equal">
      <formula>"value일 미도래"</formula>
    </cfRule>
  </conditionalFormatting>
  <conditionalFormatting sqref="M149:M150">
    <cfRule type="cellIs" dxfId="9021" priority="24389" operator="equal">
      <formula>"value일 미도래"</formula>
    </cfRule>
  </conditionalFormatting>
  <conditionalFormatting sqref="M149:M150">
    <cfRule type="cellIs" dxfId="9020" priority="24388" operator="equal">
      <formula>"value일 미도래"</formula>
    </cfRule>
  </conditionalFormatting>
  <conditionalFormatting sqref="M149:M150">
    <cfRule type="cellIs" dxfId="9019" priority="24387" operator="equal">
      <formula>"value일 미도래"</formula>
    </cfRule>
  </conditionalFormatting>
  <conditionalFormatting sqref="M149:M150">
    <cfRule type="cellIs" dxfId="9018" priority="24386" operator="equal">
      <formula>"value일 미도래"</formula>
    </cfRule>
  </conditionalFormatting>
  <conditionalFormatting sqref="M149:M150">
    <cfRule type="cellIs" dxfId="9017" priority="24385" operator="equal">
      <formula>"value일 미도래"</formula>
    </cfRule>
  </conditionalFormatting>
  <conditionalFormatting sqref="M149:M150">
    <cfRule type="cellIs" dxfId="9016" priority="24384" operator="equal">
      <formula>"value일 미도래"</formula>
    </cfRule>
  </conditionalFormatting>
  <conditionalFormatting sqref="M149:M150">
    <cfRule type="cellIs" dxfId="9015" priority="24383" operator="equal">
      <formula>"value일 미도래"</formula>
    </cfRule>
  </conditionalFormatting>
  <conditionalFormatting sqref="M149:M150">
    <cfRule type="cellIs" dxfId="9014" priority="24382" operator="equal">
      <formula>"value일 미도래"</formula>
    </cfRule>
  </conditionalFormatting>
  <conditionalFormatting sqref="M149:M150">
    <cfRule type="cellIs" dxfId="9013" priority="24381" operator="equal">
      <formula>"value일 미도래"</formula>
    </cfRule>
  </conditionalFormatting>
  <conditionalFormatting sqref="M149:M150">
    <cfRule type="cellIs" dxfId="9012" priority="24379" operator="equal">
      <formula>"value일 미도래"</formula>
    </cfRule>
  </conditionalFormatting>
  <conditionalFormatting sqref="M149:M150">
    <cfRule type="cellIs" dxfId="9011" priority="24378" operator="equal">
      <formula>"value일 미도래"</formula>
    </cfRule>
  </conditionalFormatting>
  <conditionalFormatting sqref="M149:M150">
    <cfRule type="cellIs" dxfId="9010" priority="24377" operator="equal">
      <formula>"value일 미도래"</formula>
    </cfRule>
  </conditionalFormatting>
  <conditionalFormatting sqref="M149:M150">
    <cfRule type="cellIs" dxfId="9009" priority="24376" operator="equal">
      <formula>"value일 미도래"</formula>
    </cfRule>
  </conditionalFormatting>
  <conditionalFormatting sqref="M149:M150">
    <cfRule type="cellIs" dxfId="9008" priority="24375" operator="equal">
      <formula>"value일 미도래"</formula>
    </cfRule>
  </conditionalFormatting>
  <conditionalFormatting sqref="M149:M150">
    <cfRule type="cellIs" dxfId="9007" priority="24374" operator="equal">
      <formula>"value일 미도래"</formula>
    </cfRule>
  </conditionalFormatting>
  <conditionalFormatting sqref="M149:M150">
    <cfRule type="cellIs" dxfId="9006" priority="24373" operator="equal">
      <formula>"value일 미도래"</formula>
    </cfRule>
  </conditionalFormatting>
  <conditionalFormatting sqref="M149:M150">
    <cfRule type="cellIs" dxfId="9005" priority="24372" operator="equal">
      <formula>"value일 미도래"</formula>
    </cfRule>
  </conditionalFormatting>
  <conditionalFormatting sqref="M149:M150">
    <cfRule type="cellIs" dxfId="9004" priority="24371" operator="equal">
      <formula>"value일 미도래"</formula>
    </cfRule>
  </conditionalFormatting>
  <conditionalFormatting sqref="M149:M150">
    <cfRule type="cellIs" dxfId="9003" priority="24370" operator="equal">
      <formula>"value일 미도래"</formula>
    </cfRule>
  </conditionalFormatting>
  <conditionalFormatting sqref="M149:M150">
    <cfRule type="cellIs" dxfId="9002" priority="24369" operator="equal">
      <formula>"value일 미도래"</formula>
    </cfRule>
  </conditionalFormatting>
  <conditionalFormatting sqref="M149:M150">
    <cfRule type="cellIs" dxfId="9001" priority="24368" operator="equal">
      <formula>"value일 미도래"</formula>
    </cfRule>
  </conditionalFormatting>
  <conditionalFormatting sqref="M149:M150">
    <cfRule type="cellIs" dxfId="9000" priority="24367" operator="equal">
      <formula>"value일 미도래"</formula>
    </cfRule>
  </conditionalFormatting>
  <conditionalFormatting sqref="M149:M150">
    <cfRule type="cellIs" dxfId="8999" priority="24366" operator="equal">
      <formula>"value일 미도래"</formula>
    </cfRule>
  </conditionalFormatting>
  <conditionalFormatting sqref="M149:M150">
    <cfRule type="cellIs" dxfId="8998" priority="24364" operator="equal">
      <formula>"value일 미도래"</formula>
    </cfRule>
  </conditionalFormatting>
  <conditionalFormatting sqref="M149:M150">
    <cfRule type="cellIs" dxfId="8997" priority="24363" operator="equal">
      <formula>"value일 미도래"</formula>
    </cfRule>
  </conditionalFormatting>
  <conditionalFormatting sqref="M149:M150">
    <cfRule type="cellIs" dxfId="8996" priority="24362" operator="equal">
      <formula>"value일 미도래"</formula>
    </cfRule>
  </conditionalFormatting>
  <conditionalFormatting sqref="M149:M150">
    <cfRule type="cellIs" dxfId="8995" priority="24361" operator="equal">
      <formula>"value일 미도래"</formula>
    </cfRule>
  </conditionalFormatting>
  <conditionalFormatting sqref="M149:M150">
    <cfRule type="cellIs" dxfId="8994" priority="24360" operator="equal">
      <formula>"value일 미도래"</formula>
    </cfRule>
  </conditionalFormatting>
  <conditionalFormatting sqref="M149:M150">
    <cfRule type="cellIs" dxfId="8993" priority="24359" operator="equal">
      <formula>"value일 미도래"</formula>
    </cfRule>
  </conditionalFormatting>
  <conditionalFormatting sqref="M149:M150">
    <cfRule type="cellIs" dxfId="8992" priority="24358" operator="equal">
      <formula>"value일 미도래"</formula>
    </cfRule>
  </conditionalFormatting>
  <conditionalFormatting sqref="M149:M150">
    <cfRule type="cellIs" dxfId="8991" priority="24357" operator="equal">
      <formula>"value일 미도래"</formula>
    </cfRule>
  </conditionalFormatting>
  <conditionalFormatting sqref="M149:M150">
    <cfRule type="cellIs" dxfId="8990" priority="24356" operator="equal">
      <formula>"value일 미도래"</formula>
    </cfRule>
  </conditionalFormatting>
  <conditionalFormatting sqref="M149:M150">
    <cfRule type="cellIs" dxfId="8989" priority="24355" operator="equal">
      <formula>"value일 미도래"</formula>
    </cfRule>
  </conditionalFormatting>
  <conditionalFormatting sqref="M149:M150">
    <cfRule type="cellIs" dxfId="8988" priority="24354" operator="equal">
      <formula>"value일 미도래"</formula>
    </cfRule>
  </conditionalFormatting>
  <conditionalFormatting sqref="M149:M150">
    <cfRule type="cellIs" dxfId="8987" priority="24353" operator="equal">
      <formula>"value일 미도래"</formula>
    </cfRule>
  </conditionalFormatting>
  <conditionalFormatting sqref="M149:M150">
    <cfRule type="cellIs" dxfId="8986" priority="24352" operator="equal">
      <formula>"value일 미도래"</formula>
    </cfRule>
  </conditionalFormatting>
  <conditionalFormatting sqref="M149:M150">
    <cfRule type="cellIs" dxfId="8985" priority="24351" operator="equal">
      <formula>"value일 미도래"</formula>
    </cfRule>
  </conditionalFormatting>
  <conditionalFormatting sqref="M149:M150">
    <cfRule type="cellIs" dxfId="8984" priority="24350" operator="equal">
      <formula>"value일 미도래"</formula>
    </cfRule>
  </conditionalFormatting>
  <conditionalFormatting sqref="M149:M150">
    <cfRule type="cellIs" dxfId="8983" priority="24349" operator="equal">
      <formula>"value일 미도래"</formula>
    </cfRule>
  </conditionalFormatting>
  <conditionalFormatting sqref="M149:M150">
    <cfRule type="cellIs" dxfId="8982" priority="24348" operator="equal">
      <formula>"value일 미도래"</formula>
    </cfRule>
  </conditionalFormatting>
  <conditionalFormatting sqref="M149:M150">
    <cfRule type="cellIs" dxfId="8981" priority="24347" operator="equal">
      <formula>"value일 미도래"</formula>
    </cfRule>
  </conditionalFormatting>
  <conditionalFormatting sqref="M149:M150">
    <cfRule type="cellIs" dxfId="8980" priority="24346" operator="equal">
      <formula>"value일 미도래"</formula>
    </cfRule>
  </conditionalFormatting>
  <conditionalFormatting sqref="M149:M150">
    <cfRule type="cellIs" dxfId="8979" priority="24345" operator="equal">
      <formula>"value일 미도래"</formula>
    </cfRule>
  </conditionalFormatting>
  <conditionalFormatting sqref="M149:M150">
    <cfRule type="cellIs" dxfId="8978" priority="24343" operator="equal">
      <formula>"value일 미도래"</formula>
    </cfRule>
  </conditionalFormatting>
  <conditionalFormatting sqref="M149:M150">
    <cfRule type="cellIs" dxfId="8977" priority="24342" operator="equal">
      <formula>"value일 미도래"</formula>
    </cfRule>
  </conditionalFormatting>
  <conditionalFormatting sqref="M149:M150">
    <cfRule type="cellIs" dxfId="8976" priority="24341" operator="equal">
      <formula>"value일 미도래"</formula>
    </cfRule>
  </conditionalFormatting>
  <conditionalFormatting sqref="M149:M150">
    <cfRule type="cellIs" dxfId="8975" priority="24340" operator="equal">
      <formula>"value일 미도래"</formula>
    </cfRule>
  </conditionalFormatting>
  <conditionalFormatting sqref="M149:M150">
    <cfRule type="cellIs" dxfId="8974" priority="24339" operator="equal">
      <formula>"value일 미도래"</formula>
    </cfRule>
  </conditionalFormatting>
  <conditionalFormatting sqref="M149:M150">
    <cfRule type="cellIs" dxfId="8973" priority="24338" operator="equal">
      <formula>"value일 미도래"</formula>
    </cfRule>
  </conditionalFormatting>
  <conditionalFormatting sqref="M149:M150">
    <cfRule type="cellIs" dxfId="8972" priority="24337" operator="equal">
      <formula>"value일 미도래"</formula>
    </cfRule>
  </conditionalFormatting>
  <conditionalFormatting sqref="M149:M150">
    <cfRule type="cellIs" dxfId="8971" priority="24336" operator="equal">
      <formula>"value일 미도래"</formula>
    </cfRule>
  </conditionalFormatting>
  <conditionalFormatting sqref="M149:M150">
    <cfRule type="cellIs" dxfId="8970" priority="24335" operator="equal">
      <formula>"value일 미도래"</formula>
    </cfRule>
  </conditionalFormatting>
  <conditionalFormatting sqref="M149:M150">
    <cfRule type="cellIs" dxfId="8969" priority="24334" operator="equal">
      <formula>"value일 미도래"</formula>
    </cfRule>
  </conditionalFormatting>
  <conditionalFormatting sqref="M149:M150">
    <cfRule type="cellIs" dxfId="8968" priority="24333" operator="equal">
      <formula>"value일 미도래"</formula>
    </cfRule>
  </conditionalFormatting>
  <conditionalFormatting sqref="M149:M150">
    <cfRule type="cellIs" dxfId="8967" priority="24332" operator="equal">
      <formula>"value일 미도래"</formula>
    </cfRule>
  </conditionalFormatting>
  <conditionalFormatting sqref="M164">
    <cfRule type="cellIs" dxfId="8966" priority="24309" operator="equal">
      <formula>"value일 미도래"</formula>
    </cfRule>
  </conditionalFormatting>
  <conditionalFormatting sqref="M164">
    <cfRule type="cellIs" dxfId="8965" priority="24308" operator="equal">
      <formula>"value일 미도래"</formula>
    </cfRule>
  </conditionalFormatting>
  <conditionalFormatting sqref="M183">
    <cfRule type="cellIs" dxfId="8964" priority="24289" operator="equal">
      <formula>"value일 미도래"</formula>
    </cfRule>
  </conditionalFormatting>
  <conditionalFormatting sqref="M183">
    <cfRule type="cellIs" dxfId="8963" priority="24287" operator="equal">
      <formula>"value일 미도래"</formula>
    </cfRule>
  </conditionalFormatting>
  <conditionalFormatting sqref="M183">
    <cfRule type="cellIs" dxfId="8962" priority="24286" operator="equal">
      <formula>"value일 미도래"</formula>
    </cfRule>
  </conditionalFormatting>
  <conditionalFormatting sqref="M183">
    <cfRule type="cellIs" dxfId="8961" priority="24285" operator="equal">
      <formula>"value일 미도래"</formula>
    </cfRule>
  </conditionalFormatting>
  <conditionalFormatting sqref="M183">
    <cfRule type="cellIs" dxfId="8960" priority="24284" operator="equal">
      <formula>"value일 미도래"</formula>
    </cfRule>
  </conditionalFormatting>
  <conditionalFormatting sqref="M183">
    <cfRule type="cellIs" dxfId="8959" priority="24283" operator="equal">
      <formula>"value일 미도래"</formula>
    </cfRule>
  </conditionalFormatting>
  <conditionalFormatting sqref="M193">
    <cfRule type="cellIs" dxfId="8958" priority="24250" operator="equal">
      <formula>"value일 미도래"</formula>
    </cfRule>
  </conditionalFormatting>
  <conditionalFormatting sqref="M193">
    <cfRule type="cellIs" dxfId="8957" priority="24248" operator="equal">
      <formula>"value일 미도래"</formula>
    </cfRule>
  </conditionalFormatting>
  <conditionalFormatting sqref="M193">
    <cfRule type="cellIs" dxfId="8956" priority="24247" operator="equal">
      <formula>"value일 미도래"</formula>
    </cfRule>
  </conditionalFormatting>
  <conditionalFormatting sqref="M193">
    <cfRule type="cellIs" dxfId="8955" priority="24246" operator="equal">
      <formula>"value일 미도래"</formula>
    </cfRule>
  </conditionalFormatting>
  <conditionalFormatting sqref="M193">
    <cfRule type="cellIs" dxfId="8954" priority="24245" operator="equal">
      <formula>"value일 미도래"</formula>
    </cfRule>
  </conditionalFormatting>
  <conditionalFormatting sqref="M193">
    <cfRule type="cellIs" dxfId="8953" priority="24244" operator="equal">
      <formula>"value일 미도래"</formula>
    </cfRule>
  </conditionalFormatting>
  <conditionalFormatting sqref="M148">
    <cfRule type="cellIs" dxfId="8952" priority="24182" operator="equal">
      <formula>"value일 미도래"</formula>
    </cfRule>
  </conditionalFormatting>
  <conditionalFormatting sqref="M148">
    <cfRule type="cellIs" dxfId="8951" priority="24181" operator="equal">
      <formula>"value일 미도래"</formula>
    </cfRule>
  </conditionalFormatting>
  <conditionalFormatting sqref="M149:M150">
    <cfRule type="cellIs" dxfId="8950" priority="24180" operator="equal">
      <formula>"value일 미도래"</formula>
    </cfRule>
  </conditionalFormatting>
  <conditionalFormatting sqref="M149:M150">
    <cfRule type="cellIs" dxfId="8949" priority="24179" operator="equal">
      <formula>"value일 미도래"</formula>
    </cfRule>
  </conditionalFormatting>
  <conditionalFormatting sqref="M151:M152">
    <cfRule type="cellIs" dxfId="8948" priority="24178" operator="equal">
      <formula>"value일 미도래"</formula>
    </cfRule>
  </conditionalFormatting>
  <conditionalFormatting sqref="M151:M152">
    <cfRule type="cellIs" dxfId="8947" priority="24177" operator="equal">
      <formula>"value일 미도래"</formula>
    </cfRule>
  </conditionalFormatting>
  <conditionalFormatting sqref="M151:M152">
    <cfRule type="cellIs" dxfId="8946" priority="24176" operator="equal">
      <formula>"value일 미도래"</formula>
    </cfRule>
  </conditionalFormatting>
  <conditionalFormatting sqref="M148">
    <cfRule type="cellIs" dxfId="8945" priority="24175" operator="equal">
      <formula>"value일 미도래"</formula>
    </cfRule>
  </conditionalFormatting>
  <conditionalFormatting sqref="M148">
    <cfRule type="cellIs" dxfId="8944" priority="24174" operator="equal">
      <formula>"value일 미도래"</formula>
    </cfRule>
  </conditionalFormatting>
  <conditionalFormatting sqref="M148">
    <cfRule type="cellIs" dxfId="8943" priority="24173" operator="equal">
      <formula>"value일 미도래"</formula>
    </cfRule>
  </conditionalFormatting>
  <conditionalFormatting sqref="M149:M150">
    <cfRule type="cellIs" dxfId="8942" priority="24172" operator="equal">
      <formula>"value일 미도래"</formula>
    </cfRule>
  </conditionalFormatting>
  <conditionalFormatting sqref="M149:M150">
    <cfRule type="cellIs" dxfId="8941" priority="24171" operator="equal">
      <formula>"value일 미도래"</formula>
    </cfRule>
  </conditionalFormatting>
  <conditionalFormatting sqref="M149:M150">
    <cfRule type="cellIs" dxfId="8940" priority="24170" operator="equal">
      <formula>"value일 미도래"</formula>
    </cfRule>
  </conditionalFormatting>
  <conditionalFormatting sqref="M148">
    <cfRule type="cellIs" dxfId="8939" priority="24169" operator="equal">
      <formula>"value일 미도래"</formula>
    </cfRule>
  </conditionalFormatting>
  <conditionalFormatting sqref="M148">
    <cfRule type="cellIs" dxfId="8938" priority="24168" operator="equal">
      <formula>"value일 미도래"</formula>
    </cfRule>
  </conditionalFormatting>
  <conditionalFormatting sqref="M149:M150">
    <cfRule type="cellIs" dxfId="8937" priority="24167" operator="equal">
      <formula>"value일 미도래"</formula>
    </cfRule>
  </conditionalFormatting>
  <conditionalFormatting sqref="M149:M150">
    <cfRule type="cellIs" dxfId="8936" priority="24166" operator="equal">
      <formula>"value일 미도래"</formula>
    </cfRule>
  </conditionalFormatting>
  <conditionalFormatting sqref="M149:M150">
    <cfRule type="cellIs" dxfId="8935" priority="24165" operator="equal">
      <formula>"value일 미도래"</formula>
    </cfRule>
  </conditionalFormatting>
  <conditionalFormatting sqref="M148">
    <cfRule type="cellIs" dxfId="8934" priority="24164" operator="equal">
      <formula>"value일 미도래"</formula>
    </cfRule>
  </conditionalFormatting>
  <conditionalFormatting sqref="M148">
    <cfRule type="cellIs" dxfId="8933" priority="24163" operator="equal">
      <formula>"value일 미도래"</formula>
    </cfRule>
  </conditionalFormatting>
  <conditionalFormatting sqref="M148">
    <cfRule type="cellIs" dxfId="8932" priority="24162" operator="equal">
      <formula>"value일 미도래"</formula>
    </cfRule>
  </conditionalFormatting>
  <conditionalFormatting sqref="M148">
    <cfRule type="cellIs" dxfId="8931" priority="24161" operator="equal">
      <formula>"value일 미도래"</formula>
    </cfRule>
  </conditionalFormatting>
  <conditionalFormatting sqref="M148">
    <cfRule type="cellIs" dxfId="8930" priority="24160" operator="equal">
      <formula>"value일 미도래"</formula>
    </cfRule>
  </conditionalFormatting>
  <conditionalFormatting sqref="M148">
    <cfRule type="cellIs" dxfId="8929" priority="24159" operator="equal">
      <formula>"value일 미도래"</formula>
    </cfRule>
  </conditionalFormatting>
  <conditionalFormatting sqref="M149:M150">
    <cfRule type="cellIs" dxfId="8928" priority="24158" operator="equal">
      <formula>"value일 미도래"</formula>
    </cfRule>
  </conditionalFormatting>
  <conditionalFormatting sqref="M149:M150">
    <cfRule type="cellIs" dxfId="8927" priority="24157" operator="equal">
      <formula>"value일 미도래"</formula>
    </cfRule>
  </conditionalFormatting>
  <conditionalFormatting sqref="M149:M150">
    <cfRule type="cellIs" dxfId="8926" priority="24156" operator="equal">
      <formula>"value일 미도래"</formula>
    </cfRule>
  </conditionalFormatting>
  <conditionalFormatting sqref="M148">
    <cfRule type="cellIs" dxfId="8925" priority="24153" operator="equal">
      <formula>"value일 미도래"</formula>
    </cfRule>
  </conditionalFormatting>
  <conditionalFormatting sqref="M148">
    <cfRule type="cellIs" dxfId="8924" priority="24152" operator="equal">
      <formula>"value일 미도래"</formula>
    </cfRule>
  </conditionalFormatting>
  <conditionalFormatting sqref="M149:M150">
    <cfRule type="cellIs" dxfId="8923" priority="24151" operator="equal">
      <formula>"value일 미도래"</formula>
    </cfRule>
  </conditionalFormatting>
  <conditionalFormatting sqref="M149:M150">
    <cfRule type="cellIs" dxfId="8922" priority="24150" operator="equal">
      <formula>"value일 미도래"</formula>
    </cfRule>
  </conditionalFormatting>
  <conditionalFormatting sqref="M149:M150">
    <cfRule type="cellIs" dxfId="8921" priority="24149" operator="equal">
      <formula>"value일 미도래"</formula>
    </cfRule>
  </conditionalFormatting>
  <conditionalFormatting sqref="M148">
    <cfRule type="cellIs" dxfId="8920" priority="24148" operator="equal">
      <formula>"value일 미도래"</formula>
    </cfRule>
  </conditionalFormatting>
  <conditionalFormatting sqref="M148">
    <cfRule type="cellIs" dxfId="8919" priority="24147" operator="equal">
      <formula>"value일 미도래"</formula>
    </cfRule>
  </conditionalFormatting>
  <conditionalFormatting sqref="M148">
    <cfRule type="cellIs" dxfId="8918" priority="24146" operator="equal">
      <formula>"value일 미도래"</formula>
    </cfRule>
  </conditionalFormatting>
  <conditionalFormatting sqref="M148">
    <cfRule type="cellIs" dxfId="8917" priority="24145" operator="equal">
      <formula>"value일 미도래"</formula>
    </cfRule>
  </conditionalFormatting>
  <conditionalFormatting sqref="M148">
    <cfRule type="cellIs" dxfId="8916" priority="24144" operator="equal">
      <formula>"value일 미도래"</formula>
    </cfRule>
  </conditionalFormatting>
  <conditionalFormatting sqref="M148">
    <cfRule type="cellIs" dxfId="8915" priority="24143" operator="equal">
      <formula>"value일 미도래"</formula>
    </cfRule>
  </conditionalFormatting>
  <conditionalFormatting sqref="M148">
    <cfRule type="cellIs" dxfId="8914" priority="24142" operator="equal">
      <formula>"value일 미도래"</formula>
    </cfRule>
  </conditionalFormatting>
  <conditionalFormatting sqref="M148">
    <cfRule type="cellIs" dxfId="8913" priority="24141" operator="equal">
      <formula>"value일 미도래"</formula>
    </cfRule>
  </conditionalFormatting>
  <conditionalFormatting sqref="M148">
    <cfRule type="cellIs" dxfId="8912" priority="24140" operator="equal">
      <formula>"value일 미도래"</formula>
    </cfRule>
  </conditionalFormatting>
  <conditionalFormatting sqref="M148">
    <cfRule type="cellIs" dxfId="8911" priority="24138" operator="equal">
      <formula>"value일 미도래"</formula>
    </cfRule>
  </conditionalFormatting>
  <conditionalFormatting sqref="M148">
    <cfRule type="cellIs" dxfId="8910" priority="24137" operator="equal">
      <formula>"value일 미도래"</formula>
    </cfRule>
  </conditionalFormatting>
  <conditionalFormatting sqref="M149:M150">
    <cfRule type="cellIs" dxfId="8909" priority="24136" operator="equal">
      <formula>"value일 미도래"</formula>
    </cfRule>
  </conditionalFormatting>
  <conditionalFormatting sqref="M149:M150">
    <cfRule type="cellIs" dxfId="8908" priority="24135" operator="equal">
      <formula>"value일 미도래"</formula>
    </cfRule>
  </conditionalFormatting>
  <conditionalFormatting sqref="M149:M150">
    <cfRule type="cellIs" dxfId="8907" priority="24134" operator="equal">
      <formula>"value일 미도래"</formula>
    </cfRule>
  </conditionalFormatting>
  <conditionalFormatting sqref="M148">
    <cfRule type="cellIs" dxfId="8906" priority="24133" operator="equal">
      <formula>"value일 미도래"</formula>
    </cfRule>
  </conditionalFormatting>
  <conditionalFormatting sqref="M148">
    <cfRule type="cellIs" dxfId="8905" priority="24132" operator="equal">
      <formula>"value일 미도래"</formula>
    </cfRule>
  </conditionalFormatting>
  <conditionalFormatting sqref="M148">
    <cfRule type="cellIs" dxfId="8904" priority="24131" operator="equal">
      <formula>"value일 미도래"</formula>
    </cfRule>
  </conditionalFormatting>
  <conditionalFormatting sqref="M148">
    <cfRule type="cellIs" dxfId="8903" priority="24130" operator="equal">
      <formula>"value일 미도래"</formula>
    </cfRule>
  </conditionalFormatting>
  <conditionalFormatting sqref="M148">
    <cfRule type="cellIs" dxfId="8902" priority="24129" operator="equal">
      <formula>"value일 미도래"</formula>
    </cfRule>
  </conditionalFormatting>
  <conditionalFormatting sqref="M148">
    <cfRule type="cellIs" dxfId="8901" priority="24128" operator="equal">
      <formula>"value일 미도래"</formula>
    </cfRule>
  </conditionalFormatting>
  <conditionalFormatting sqref="M148">
    <cfRule type="cellIs" dxfId="8900" priority="24127" operator="equal">
      <formula>"value일 미도래"</formula>
    </cfRule>
  </conditionalFormatting>
  <conditionalFormatting sqref="M148">
    <cfRule type="cellIs" dxfId="8899" priority="24126" operator="equal">
      <formula>"value일 미도래"</formula>
    </cfRule>
  </conditionalFormatting>
  <conditionalFormatting sqref="M148">
    <cfRule type="cellIs" dxfId="8898" priority="24125" operator="equal">
      <formula>"value일 미도래"</formula>
    </cfRule>
  </conditionalFormatting>
  <conditionalFormatting sqref="M148">
    <cfRule type="cellIs" dxfId="8897" priority="24123" operator="equal">
      <formula>"value일 미도래"</formula>
    </cfRule>
  </conditionalFormatting>
  <conditionalFormatting sqref="M148">
    <cfRule type="cellIs" dxfId="8896" priority="24122" operator="equal">
      <formula>"value일 미도래"</formula>
    </cfRule>
  </conditionalFormatting>
  <conditionalFormatting sqref="M148">
    <cfRule type="cellIs" dxfId="8895" priority="24121" operator="equal">
      <formula>"value일 미도래"</formula>
    </cfRule>
  </conditionalFormatting>
  <conditionalFormatting sqref="M149:M150">
    <cfRule type="cellIs" dxfId="8894" priority="24120" operator="equal">
      <formula>"value일 미도래"</formula>
    </cfRule>
  </conditionalFormatting>
  <conditionalFormatting sqref="M149:M150">
    <cfRule type="cellIs" dxfId="8893" priority="24119" operator="equal">
      <formula>"value일 미도래"</formula>
    </cfRule>
  </conditionalFormatting>
  <conditionalFormatting sqref="M149:M150">
    <cfRule type="cellIs" dxfId="8892" priority="24118" operator="equal">
      <formula>"value일 미도래"</formula>
    </cfRule>
  </conditionalFormatting>
  <conditionalFormatting sqref="M148:M149">
    <cfRule type="cellIs" dxfId="8891" priority="24117" operator="equal">
      <formula>"value일 미도래"</formula>
    </cfRule>
  </conditionalFormatting>
  <conditionalFormatting sqref="M148:M149">
    <cfRule type="cellIs" dxfId="8890" priority="24116" operator="equal">
      <formula>"value일 미도래"</formula>
    </cfRule>
  </conditionalFormatting>
  <conditionalFormatting sqref="M148:M149">
    <cfRule type="cellIs" dxfId="8889" priority="24115" operator="equal">
      <formula>"value일 미도래"</formula>
    </cfRule>
  </conditionalFormatting>
  <conditionalFormatting sqref="M148:M149">
    <cfRule type="cellIs" dxfId="8888" priority="24114" operator="equal">
      <formula>"value일 미도래"</formula>
    </cfRule>
  </conditionalFormatting>
  <conditionalFormatting sqref="M148:M149">
    <cfRule type="cellIs" dxfId="8887" priority="24113" operator="equal">
      <formula>"value일 미도래"</formula>
    </cfRule>
  </conditionalFormatting>
  <conditionalFormatting sqref="M148:M149">
    <cfRule type="cellIs" dxfId="8886" priority="24112" operator="equal">
      <formula>"value일 미도래"</formula>
    </cfRule>
  </conditionalFormatting>
  <conditionalFormatting sqref="M148:M149">
    <cfRule type="cellIs" dxfId="8885" priority="24110" operator="equal">
      <formula>"value일 미도래"</formula>
    </cfRule>
  </conditionalFormatting>
  <conditionalFormatting sqref="M148:M149">
    <cfRule type="cellIs" dxfId="8884" priority="24109" operator="equal">
      <formula>"value일 미도래"</formula>
    </cfRule>
  </conditionalFormatting>
  <conditionalFormatting sqref="M148:M149">
    <cfRule type="cellIs" dxfId="8883" priority="24108" operator="equal">
      <formula>"value일 미도래"</formula>
    </cfRule>
  </conditionalFormatting>
  <conditionalFormatting sqref="M148:M149">
    <cfRule type="cellIs" dxfId="8882" priority="24107" operator="equal">
      <formula>"value일 미도래"</formula>
    </cfRule>
  </conditionalFormatting>
  <conditionalFormatting sqref="M148:M149">
    <cfRule type="cellIs" dxfId="8881" priority="24106" operator="equal">
      <formula>"value일 미도래"</formula>
    </cfRule>
  </conditionalFormatting>
  <conditionalFormatting sqref="M148:M149">
    <cfRule type="cellIs" dxfId="8880" priority="24105" operator="equal">
      <formula>"value일 미도래"</formula>
    </cfRule>
  </conditionalFormatting>
  <conditionalFormatting sqref="M148:M149">
    <cfRule type="cellIs" dxfId="8879" priority="24104" operator="equal">
      <formula>"value일 미도래"</formula>
    </cfRule>
  </conditionalFormatting>
  <conditionalFormatting sqref="M148:M149">
    <cfRule type="cellIs" dxfId="8878" priority="24103" operator="equal">
      <formula>"value일 미도래"</formula>
    </cfRule>
  </conditionalFormatting>
  <conditionalFormatting sqref="M148:M149">
    <cfRule type="cellIs" dxfId="8877" priority="24101" operator="equal">
      <formula>"value일 미도래"</formula>
    </cfRule>
  </conditionalFormatting>
  <conditionalFormatting sqref="M148:M149">
    <cfRule type="cellIs" dxfId="8876" priority="24100" operator="equal">
      <formula>"value일 미도래"</formula>
    </cfRule>
  </conditionalFormatting>
  <conditionalFormatting sqref="M148:M149">
    <cfRule type="cellIs" dxfId="8875" priority="24099" operator="equal">
      <formula>"value일 미도래"</formula>
    </cfRule>
  </conditionalFormatting>
  <conditionalFormatting sqref="M148:M149">
    <cfRule type="cellIs" dxfId="8874" priority="24098" operator="equal">
      <formula>"value일 미도래"</formula>
    </cfRule>
  </conditionalFormatting>
  <conditionalFormatting sqref="M148:M149">
    <cfRule type="cellIs" dxfId="8873" priority="24097" operator="equal">
      <formula>"value일 미도래"</formula>
    </cfRule>
  </conditionalFormatting>
  <conditionalFormatting sqref="M148:M149">
    <cfRule type="cellIs" dxfId="8872" priority="24096" operator="equal">
      <formula>"value일 미도래"</formula>
    </cfRule>
  </conditionalFormatting>
  <conditionalFormatting sqref="M148:M149">
    <cfRule type="cellIs" dxfId="8871" priority="24095" operator="equal">
      <formula>"value일 미도래"</formula>
    </cfRule>
  </conditionalFormatting>
  <conditionalFormatting sqref="M148:M149">
    <cfRule type="cellIs" dxfId="8870" priority="24094" operator="equal">
      <formula>"value일 미도래"</formula>
    </cfRule>
  </conditionalFormatting>
  <conditionalFormatting sqref="M148:M149">
    <cfRule type="cellIs" dxfId="8869" priority="24093" operator="equal">
      <formula>"value일 미도래"</formula>
    </cfRule>
  </conditionalFormatting>
  <conditionalFormatting sqref="M148:M149">
    <cfRule type="cellIs" dxfId="8868" priority="24092" operator="equal">
      <formula>"value일 미도래"</formula>
    </cfRule>
  </conditionalFormatting>
  <conditionalFormatting sqref="M148:M149">
    <cfRule type="cellIs" dxfId="8867" priority="24091" operator="equal">
      <formula>"value일 미도래"</formula>
    </cfRule>
  </conditionalFormatting>
  <conditionalFormatting sqref="M148:M149">
    <cfRule type="cellIs" dxfId="8866" priority="24089" operator="equal">
      <formula>"value일 미도래"</formula>
    </cfRule>
  </conditionalFormatting>
  <conditionalFormatting sqref="M148:M149">
    <cfRule type="cellIs" dxfId="8865" priority="24088" operator="equal">
      <formula>"value일 미도래"</formula>
    </cfRule>
  </conditionalFormatting>
  <conditionalFormatting sqref="M148:M149">
    <cfRule type="cellIs" dxfId="8864" priority="24087" operator="equal">
      <formula>"value일 미도래"</formula>
    </cfRule>
  </conditionalFormatting>
  <conditionalFormatting sqref="M148:M149">
    <cfRule type="cellIs" dxfId="8863" priority="24086" operator="equal">
      <formula>"value일 미도래"</formula>
    </cfRule>
  </conditionalFormatting>
  <conditionalFormatting sqref="M148:M149">
    <cfRule type="cellIs" dxfId="8862" priority="24085" operator="equal">
      <formula>"value일 미도래"</formula>
    </cfRule>
  </conditionalFormatting>
  <conditionalFormatting sqref="M148:M149">
    <cfRule type="cellIs" dxfId="8861" priority="24084" operator="equal">
      <formula>"value일 미도래"</formula>
    </cfRule>
  </conditionalFormatting>
  <conditionalFormatting sqref="M148:M149">
    <cfRule type="cellIs" dxfId="8860" priority="24083" operator="equal">
      <formula>"value일 미도래"</formula>
    </cfRule>
  </conditionalFormatting>
  <conditionalFormatting sqref="M148:M149">
    <cfRule type="cellIs" dxfId="8859" priority="24082" operator="equal">
      <formula>"value일 미도래"</formula>
    </cfRule>
  </conditionalFormatting>
  <conditionalFormatting sqref="M148:M149">
    <cfRule type="cellIs" dxfId="8858" priority="24081" operator="equal">
      <formula>"value일 미도래"</formula>
    </cfRule>
  </conditionalFormatting>
  <conditionalFormatting sqref="M148:M149">
    <cfRule type="cellIs" dxfId="8857" priority="24080" operator="equal">
      <formula>"value일 미도래"</formula>
    </cfRule>
  </conditionalFormatting>
  <conditionalFormatting sqref="M148:M149">
    <cfRule type="cellIs" dxfId="8856" priority="24079" operator="equal">
      <formula>"value일 미도래"</formula>
    </cfRule>
  </conditionalFormatting>
  <conditionalFormatting sqref="M148:M149">
    <cfRule type="cellIs" dxfId="8855" priority="24077" operator="equal">
      <formula>"value일 미도래"</formula>
    </cfRule>
  </conditionalFormatting>
  <conditionalFormatting sqref="M148:M149">
    <cfRule type="cellIs" dxfId="8854" priority="24076" operator="equal">
      <formula>"value일 미도래"</formula>
    </cfRule>
  </conditionalFormatting>
  <conditionalFormatting sqref="M148:M149">
    <cfRule type="cellIs" dxfId="8853" priority="24075" operator="equal">
      <formula>"value일 미도래"</formula>
    </cfRule>
  </conditionalFormatting>
  <conditionalFormatting sqref="M148">
    <cfRule type="cellIs" dxfId="8852" priority="24074" operator="equal">
      <formula>"value일 미도래"</formula>
    </cfRule>
  </conditionalFormatting>
  <conditionalFormatting sqref="M148">
    <cfRule type="cellIs" dxfId="8851" priority="24073" operator="equal">
      <formula>"value일 미도래"</formula>
    </cfRule>
  </conditionalFormatting>
  <conditionalFormatting sqref="M151:M152">
    <cfRule type="cellIs" dxfId="8850" priority="24072" operator="equal">
      <formula>"value일 미도래"</formula>
    </cfRule>
  </conditionalFormatting>
  <conditionalFormatting sqref="M151:M152">
    <cfRule type="cellIs" dxfId="8849" priority="24071" operator="equal">
      <formula>"value일 미도래"</formula>
    </cfRule>
  </conditionalFormatting>
  <conditionalFormatting sqref="M151:M152">
    <cfRule type="cellIs" dxfId="8848" priority="24070" operator="equal">
      <formula>"value일 미도래"</formula>
    </cfRule>
  </conditionalFormatting>
  <conditionalFormatting sqref="M151:M152">
    <cfRule type="cellIs" dxfId="8847" priority="24069" operator="equal">
      <formula>"value일 미도래"</formula>
    </cfRule>
  </conditionalFormatting>
  <conditionalFormatting sqref="M148:M149">
    <cfRule type="cellIs" dxfId="8846" priority="24068" operator="equal">
      <formula>"value일 미도래"</formula>
    </cfRule>
  </conditionalFormatting>
  <conditionalFormatting sqref="M148:M149">
    <cfRule type="cellIs" dxfId="8845" priority="24067" operator="equal">
      <formula>"value일 미도래"</formula>
    </cfRule>
  </conditionalFormatting>
  <conditionalFormatting sqref="M148:M149">
    <cfRule type="cellIs" dxfId="8844" priority="24066" operator="equal">
      <formula>"value일 미도래"</formula>
    </cfRule>
  </conditionalFormatting>
  <conditionalFormatting sqref="M149:M150">
    <cfRule type="cellIs" dxfId="8843" priority="24065" operator="equal">
      <formula>"value일 미도래"</formula>
    </cfRule>
  </conditionalFormatting>
  <conditionalFormatting sqref="M149:M150">
    <cfRule type="cellIs" dxfId="8842" priority="24064" operator="equal">
      <formula>"value일 미도래"</formula>
    </cfRule>
  </conditionalFormatting>
  <conditionalFormatting sqref="M149:M150">
    <cfRule type="cellIs" dxfId="8841" priority="24063" operator="equal">
      <formula>"value일 미도래"</formula>
    </cfRule>
  </conditionalFormatting>
  <conditionalFormatting sqref="M148">
    <cfRule type="cellIs" dxfId="8840" priority="24062" operator="equal">
      <formula>"value일 미도래"</formula>
    </cfRule>
  </conditionalFormatting>
  <conditionalFormatting sqref="M148">
    <cfRule type="cellIs" dxfId="8839" priority="24061" operator="equal">
      <formula>"value일 미도래"</formula>
    </cfRule>
  </conditionalFormatting>
  <conditionalFormatting sqref="M148">
    <cfRule type="cellIs" dxfId="8838" priority="24060" operator="equal">
      <formula>"value일 미도래"</formula>
    </cfRule>
  </conditionalFormatting>
  <conditionalFormatting sqref="M148">
    <cfRule type="cellIs" dxfId="8837" priority="24059" operator="equal">
      <formula>"value일 미도래"</formula>
    </cfRule>
  </conditionalFormatting>
  <conditionalFormatting sqref="M148">
    <cfRule type="cellIs" dxfId="8836" priority="24058" operator="equal">
      <formula>"value일 미도래"</formula>
    </cfRule>
  </conditionalFormatting>
  <conditionalFormatting sqref="M148">
    <cfRule type="cellIs" dxfId="8835" priority="24057" operator="equal">
      <formula>"value일 미도래"</formula>
    </cfRule>
  </conditionalFormatting>
  <conditionalFormatting sqref="M148">
    <cfRule type="cellIs" dxfId="8834" priority="24056" operator="equal">
      <formula>"value일 미도래"</formula>
    </cfRule>
  </conditionalFormatting>
  <conditionalFormatting sqref="M148">
    <cfRule type="cellIs" dxfId="8833" priority="24055" operator="equal">
      <formula>"value일 미도래"</formula>
    </cfRule>
  </conditionalFormatting>
  <conditionalFormatting sqref="M148">
    <cfRule type="cellIs" dxfId="8832" priority="24054" operator="equal">
      <formula>"value일 미도래"</formula>
    </cfRule>
  </conditionalFormatting>
  <conditionalFormatting sqref="M148">
    <cfRule type="cellIs" dxfId="8831" priority="24052" operator="equal">
      <formula>"value일 미도래"</formula>
    </cfRule>
  </conditionalFormatting>
  <conditionalFormatting sqref="M148">
    <cfRule type="cellIs" dxfId="8830" priority="24051" operator="equal">
      <formula>"value일 미도래"</formula>
    </cfRule>
  </conditionalFormatting>
  <conditionalFormatting sqref="M148">
    <cfRule type="cellIs" dxfId="8829" priority="24050" operator="equal">
      <formula>"value일 미도래"</formula>
    </cfRule>
  </conditionalFormatting>
  <conditionalFormatting sqref="M148:M149">
    <cfRule type="cellIs" dxfId="8828" priority="24049" operator="equal">
      <formula>"value일 미도래"</formula>
    </cfRule>
  </conditionalFormatting>
  <conditionalFormatting sqref="M148:M149">
    <cfRule type="cellIs" dxfId="8827" priority="24048" operator="equal">
      <formula>"value일 미도래"</formula>
    </cfRule>
  </conditionalFormatting>
  <conditionalFormatting sqref="M148:M149">
    <cfRule type="cellIs" dxfId="8826" priority="24047" operator="equal">
      <formula>"value일 미도래"</formula>
    </cfRule>
  </conditionalFormatting>
  <conditionalFormatting sqref="M148">
    <cfRule type="cellIs" dxfId="8825" priority="24046" operator="equal">
      <formula>"value일 미도래"</formula>
    </cfRule>
  </conditionalFormatting>
  <conditionalFormatting sqref="M148">
    <cfRule type="cellIs" dxfId="8824" priority="24045" operator="equal">
      <formula>"value일 미도래"</formula>
    </cfRule>
  </conditionalFormatting>
  <conditionalFormatting sqref="M148">
    <cfRule type="cellIs" dxfId="8823" priority="24044" operator="equal">
      <formula>"value일 미도래"</formula>
    </cfRule>
  </conditionalFormatting>
  <conditionalFormatting sqref="M148:M149">
    <cfRule type="cellIs" dxfId="8822" priority="24043" operator="equal">
      <formula>"value일 미도래"</formula>
    </cfRule>
  </conditionalFormatting>
  <conditionalFormatting sqref="M148:M149">
    <cfRule type="cellIs" dxfId="8821" priority="24042" operator="equal">
      <formula>"value일 미도래"</formula>
    </cfRule>
  </conditionalFormatting>
  <conditionalFormatting sqref="M148:M149">
    <cfRule type="cellIs" dxfId="8820" priority="24041" operator="equal">
      <formula>"value일 미도래"</formula>
    </cfRule>
  </conditionalFormatting>
  <conditionalFormatting sqref="M148">
    <cfRule type="cellIs" dxfId="8819" priority="24040" operator="equal">
      <formula>"value일 미도래"</formula>
    </cfRule>
  </conditionalFormatting>
  <conditionalFormatting sqref="M148">
    <cfRule type="cellIs" dxfId="8818" priority="24039" operator="equal">
      <formula>"value일 미도래"</formula>
    </cfRule>
  </conditionalFormatting>
  <conditionalFormatting sqref="M148">
    <cfRule type="cellIs" dxfId="8817" priority="24038" operator="equal">
      <formula>"value일 미도래"</formula>
    </cfRule>
  </conditionalFormatting>
  <conditionalFormatting sqref="M148">
    <cfRule type="cellIs" dxfId="8816" priority="24037" operator="equal">
      <formula>"value일 미도래"</formula>
    </cfRule>
  </conditionalFormatting>
  <conditionalFormatting sqref="M148">
    <cfRule type="cellIs" dxfId="8815" priority="24036" operator="equal">
      <formula>"value일 미도래"</formula>
    </cfRule>
  </conditionalFormatting>
  <conditionalFormatting sqref="M148:M149">
    <cfRule type="cellIs" dxfId="8814" priority="24035" operator="equal">
      <formula>"value일 미도래"</formula>
    </cfRule>
  </conditionalFormatting>
  <conditionalFormatting sqref="M148:M149">
    <cfRule type="cellIs" dxfId="8813" priority="24034" operator="equal">
      <formula>"value일 미도래"</formula>
    </cfRule>
  </conditionalFormatting>
  <conditionalFormatting sqref="M148:M149">
    <cfRule type="cellIs" dxfId="8812" priority="24033" operator="equal">
      <formula>"value일 미도래"</formula>
    </cfRule>
  </conditionalFormatting>
  <conditionalFormatting sqref="M149:M150">
    <cfRule type="cellIs" dxfId="8811" priority="24032" operator="equal">
      <formula>"value일 미도래"</formula>
    </cfRule>
  </conditionalFormatting>
  <conditionalFormatting sqref="M149:M150">
    <cfRule type="cellIs" dxfId="8810" priority="24031" operator="equal">
      <formula>"value일 미도래"</formula>
    </cfRule>
  </conditionalFormatting>
  <conditionalFormatting sqref="M149:M150">
    <cfRule type="cellIs" dxfId="8809" priority="24030" operator="equal">
      <formula>"value일 미도래"</formula>
    </cfRule>
  </conditionalFormatting>
  <conditionalFormatting sqref="M148">
    <cfRule type="cellIs" dxfId="8808" priority="24029" operator="equal">
      <formula>"value일 미도래"</formula>
    </cfRule>
  </conditionalFormatting>
  <conditionalFormatting sqref="M148">
    <cfRule type="cellIs" dxfId="8807" priority="24028" operator="equal">
      <formula>"value일 미도래"</formula>
    </cfRule>
  </conditionalFormatting>
  <conditionalFormatting sqref="M148">
    <cfRule type="cellIs" dxfId="8806" priority="24027" operator="equal">
      <formula>"value일 미도래"</formula>
    </cfRule>
  </conditionalFormatting>
  <conditionalFormatting sqref="M148">
    <cfRule type="cellIs" dxfId="8805" priority="24026" operator="equal">
      <formula>"value일 미도래"</formula>
    </cfRule>
  </conditionalFormatting>
  <conditionalFormatting sqref="M148">
    <cfRule type="cellIs" dxfId="8804" priority="24025" operator="equal">
      <formula>"value일 미도래"</formula>
    </cfRule>
  </conditionalFormatting>
  <conditionalFormatting sqref="M148">
    <cfRule type="cellIs" dxfId="8803" priority="24024" operator="equal">
      <formula>"value일 미도래"</formula>
    </cfRule>
  </conditionalFormatting>
  <conditionalFormatting sqref="M148">
    <cfRule type="cellIs" dxfId="8802" priority="24023" operator="equal">
      <formula>"value일 미도래"</formula>
    </cfRule>
  </conditionalFormatting>
  <conditionalFormatting sqref="M148">
    <cfRule type="cellIs" dxfId="8801" priority="24022" operator="equal">
      <formula>"value일 미도래"</formula>
    </cfRule>
  </conditionalFormatting>
  <conditionalFormatting sqref="M148">
    <cfRule type="cellIs" dxfId="8800" priority="24021" operator="equal">
      <formula>"value일 미도래"</formula>
    </cfRule>
  </conditionalFormatting>
  <conditionalFormatting sqref="M148">
    <cfRule type="cellIs" dxfId="8799" priority="24019" operator="equal">
      <formula>"value일 미도래"</formula>
    </cfRule>
  </conditionalFormatting>
  <conditionalFormatting sqref="M148">
    <cfRule type="cellIs" dxfId="8798" priority="24018" operator="equal">
      <formula>"value일 미도래"</formula>
    </cfRule>
  </conditionalFormatting>
  <conditionalFormatting sqref="M148">
    <cfRule type="cellIs" dxfId="8797" priority="24017" operator="equal">
      <formula>"value일 미도래"</formula>
    </cfRule>
  </conditionalFormatting>
  <conditionalFormatting sqref="M148:M149">
    <cfRule type="cellIs" dxfId="8796" priority="24016" operator="equal">
      <formula>"value일 미도래"</formula>
    </cfRule>
  </conditionalFormatting>
  <conditionalFormatting sqref="M148:M149">
    <cfRule type="cellIs" dxfId="8795" priority="24015" operator="equal">
      <formula>"value일 미도래"</formula>
    </cfRule>
  </conditionalFormatting>
  <conditionalFormatting sqref="M148:M149">
    <cfRule type="cellIs" dxfId="8794" priority="24014" operator="equal">
      <formula>"value일 미도래"</formula>
    </cfRule>
  </conditionalFormatting>
  <conditionalFormatting sqref="M148">
    <cfRule type="cellIs" dxfId="8793" priority="24013" operator="equal">
      <formula>"value일 미도래"</formula>
    </cfRule>
  </conditionalFormatting>
  <conditionalFormatting sqref="M148">
    <cfRule type="cellIs" dxfId="8792" priority="24012" operator="equal">
      <formula>"value일 미도래"</formula>
    </cfRule>
  </conditionalFormatting>
  <conditionalFormatting sqref="M148">
    <cfRule type="cellIs" dxfId="8791" priority="24011" operator="equal">
      <formula>"value일 미도래"</formula>
    </cfRule>
  </conditionalFormatting>
  <conditionalFormatting sqref="M148:M149">
    <cfRule type="cellIs" dxfId="8790" priority="24010" operator="equal">
      <formula>"value일 미도래"</formula>
    </cfRule>
  </conditionalFormatting>
  <conditionalFormatting sqref="M148:M149">
    <cfRule type="cellIs" dxfId="8789" priority="24009" operator="equal">
      <formula>"value일 미도래"</formula>
    </cfRule>
  </conditionalFormatting>
  <conditionalFormatting sqref="M148:M149">
    <cfRule type="cellIs" dxfId="8788" priority="24008" operator="equal">
      <formula>"value일 미도래"</formula>
    </cfRule>
  </conditionalFormatting>
  <conditionalFormatting sqref="M148">
    <cfRule type="cellIs" dxfId="8787" priority="24007" operator="equal">
      <formula>"value일 미도래"</formula>
    </cfRule>
  </conditionalFormatting>
  <conditionalFormatting sqref="M148">
    <cfRule type="cellIs" dxfId="8786" priority="24006" operator="equal">
      <formula>"value일 미도래"</formula>
    </cfRule>
  </conditionalFormatting>
  <conditionalFormatting sqref="M148">
    <cfRule type="cellIs" dxfId="8785" priority="24005" operator="equal">
      <formula>"value일 미도래"</formula>
    </cfRule>
  </conditionalFormatting>
  <conditionalFormatting sqref="M149:M150">
    <cfRule type="cellIs" dxfId="8784" priority="24004" operator="equal">
      <formula>"value일 미도래"</formula>
    </cfRule>
  </conditionalFormatting>
  <conditionalFormatting sqref="M149:M150">
    <cfRule type="cellIs" dxfId="8783" priority="24003" operator="equal">
      <formula>"value일 미도래"</formula>
    </cfRule>
  </conditionalFormatting>
  <conditionalFormatting sqref="M149:M150">
    <cfRule type="cellIs" dxfId="8782" priority="24002" operator="equal">
      <formula>"value일 미도래"</formula>
    </cfRule>
  </conditionalFormatting>
  <conditionalFormatting sqref="M149:M150">
    <cfRule type="cellIs" dxfId="8781" priority="24001" operator="equal">
      <formula>"value일 미도래"</formula>
    </cfRule>
  </conditionalFormatting>
  <conditionalFormatting sqref="M148">
    <cfRule type="cellIs" dxfId="8780" priority="24000" operator="equal">
      <formula>"value일 미도래"</formula>
    </cfRule>
  </conditionalFormatting>
  <conditionalFormatting sqref="M148">
    <cfRule type="cellIs" dxfId="8779" priority="23999" operator="equal">
      <formula>"value일 미도래"</formula>
    </cfRule>
  </conditionalFormatting>
  <conditionalFormatting sqref="M148">
    <cfRule type="cellIs" dxfId="8778" priority="23998" operator="equal">
      <formula>"value일 미도래"</formula>
    </cfRule>
  </conditionalFormatting>
  <conditionalFormatting sqref="M150:M151">
    <cfRule type="cellIs" dxfId="8777" priority="23997" operator="equal">
      <formula>"value일 미도래"</formula>
    </cfRule>
  </conditionalFormatting>
  <conditionalFormatting sqref="M150:M151">
    <cfRule type="cellIs" dxfId="8776" priority="23996" operator="equal">
      <formula>"value일 미도래"</formula>
    </cfRule>
  </conditionalFormatting>
  <conditionalFormatting sqref="M150:M151">
    <cfRule type="cellIs" dxfId="8775" priority="23995" operator="equal">
      <formula>"value일 미도래"</formula>
    </cfRule>
  </conditionalFormatting>
  <conditionalFormatting sqref="M150:M151">
    <cfRule type="cellIs" dxfId="8774" priority="23994" operator="equal">
      <formula>"value일 미도래"</formula>
    </cfRule>
  </conditionalFormatting>
  <conditionalFormatting sqref="M150:M151">
    <cfRule type="cellIs" dxfId="8773" priority="23993" operator="equal">
      <formula>"value일 미도래"</formula>
    </cfRule>
  </conditionalFormatting>
  <conditionalFormatting sqref="M150:M151">
    <cfRule type="cellIs" dxfId="8772" priority="23992" operator="equal">
      <formula>"value일 미도래"</formula>
    </cfRule>
  </conditionalFormatting>
  <conditionalFormatting sqref="M150:M151">
    <cfRule type="cellIs" dxfId="8771" priority="23990" operator="equal">
      <formula>"value일 미도래"</formula>
    </cfRule>
  </conditionalFormatting>
  <conditionalFormatting sqref="M150:M151">
    <cfRule type="cellIs" dxfId="8770" priority="23989" operator="equal">
      <formula>"value일 미도래"</formula>
    </cfRule>
  </conditionalFormatting>
  <conditionalFormatting sqref="M150:M151">
    <cfRule type="cellIs" dxfId="8769" priority="23988" operator="equal">
      <formula>"value일 미도래"</formula>
    </cfRule>
  </conditionalFormatting>
  <conditionalFormatting sqref="M150:M151">
    <cfRule type="cellIs" dxfId="8768" priority="23987" operator="equal">
      <formula>"value일 미도래"</formula>
    </cfRule>
  </conditionalFormatting>
  <conditionalFormatting sqref="M150:M151">
    <cfRule type="cellIs" dxfId="8767" priority="23986" operator="equal">
      <formula>"value일 미도래"</formula>
    </cfRule>
  </conditionalFormatting>
  <conditionalFormatting sqref="M150:M151">
    <cfRule type="cellIs" dxfId="8766" priority="23985" operator="equal">
      <formula>"value일 미도래"</formula>
    </cfRule>
  </conditionalFormatting>
  <conditionalFormatting sqref="M150:M151">
    <cfRule type="cellIs" dxfId="8765" priority="23984" operator="equal">
      <formula>"value일 미도래"</formula>
    </cfRule>
  </conditionalFormatting>
  <conditionalFormatting sqref="M150:M151">
    <cfRule type="cellIs" dxfId="8764" priority="23983" operator="equal">
      <formula>"value일 미도래"</formula>
    </cfRule>
  </conditionalFormatting>
  <conditionalFormatting sqref="M150:M151">
    <cfRule type="cellIs" dxfId="8763" priority="23981" operator="equal">
      <formula>"value일 미도래"</formula>
    </cfRule>
  </conditionalFormatting>
  <conditionalFormatting sqref="M150:M151">
    <cfRule type="cellIs" dxfId="8762" priority="23980" operator="equal">
      <formula>"value일 미도래"</formula>
    </cfRule>
  </conditionalFormatting>
  <conditionalFormatting sqref="M150:M151">
    <cfRule type="cellIs" dxfId="8761" priority="23979" operator="equal">
      <formula>"value일 미도래"</formula>
    </cfRule>
  </conditionalFormatting>
  <conditionalFormatting sqref="M150:M151">
    <cfRule type="cellIs" dxfId="8760" priority="23978" operator="equal">
      <formula>"value일 미도래"</formula>
    </cfRule>
  </conditionalFormatting>
  <conditionalFormatting sqref="M150:M151">
    <cfRule type="cellIs" dxfId="8759" priority="23977" operator="equal">
      <formula>"value일 미도래"</formula>
    </cfRule>
  </conditionalFormatting>
  <conditionalFormatting sqref="M150:M151">
    <cfRule type="cellIs" dxfId="8758" priority="23976" operator="equal">
      <formula>"value일 미도래"</formula>
    </cfRule>
  </conditionalFormatting>
  <conditionalFormatting sqref="M150:M151">
    <cfRule type="cellIs" dxfId="8757" priority="23975" operator="equal">
      <formula>"value일 미도래"</formula>
    </cfRule>
  </conditionalFormatting>
  <conditionalFormatting sqref="M150:M151">
    <cfRule type="cellIs" dxfId="8756" priority="23974" operator="equal">
      <formula>"value일 미도래"</formula>
    </cfRule>
  </conditionalFormatting>
  <conditionalFormatting sqref="M150:M151">
    <cfRule type="cellIs" dxfId="8755" priority="23973" operator="equal">
      <formula>"value일 미도래"</formula>
    </cfRule>
  </conditionalFormatting>
  <conditionalFormatting sqref="M150:M151">
    <cfRule type="cellIs" dxfId="8754" priority="23972" operator="equal">
      <formula>"value일 미도래"</formula>
    </cfRule>
  </conditionalFormatting>
  <conditionalFormatting sqref="M150:M151">
    <cfRule type="cellIs" dxfId="8753" priority="23971" operator="equal">
      <formula>"value일 미도래"</formula>
    </cfRule>
  </conditionalFormatting>
  <conditionalFormatting sqref="M150:M151">
    <cfRule type="cellIs" dxfId="8752" priority="23969" operator="equal">
      <formula>"value일 미도래"</formula>
    </cfRule>
  </conditionalFormatting>
  <conditionalFormatting sqref="M150:M151">
    <cfRule type="cellIs" dxfId="8751" priority="23968" operator="equal">
      <formula>"value일 미도래"</formula>
    </cfRule>
  </conditionalFormatting>
  <conditionalFormatting sqref="M150:M151">
    <cfRule type="cellIs" dxfId="8750" priority="23967" operator="equal">
      <formula>"value일 미도래"</formula>
    </cfRule>
  </conditionalFormatting>
  <conditionalFormatting sqref="M150:M151">
    <cfRule type="cellIs" dxfId="8749" priority="23966" operator="equal">
      <formula>"value일 미도래"</formula>
    </cfRule>
  </conditionalFormatting>
  <conditionalFormatting sqref="M150:M151">
    <cfRule type="cellIs" dxfId="8748" priority="23965" operator="equal">
      <formula>"value일 미도래"</formula>
    </cfRule>
  </conditionalFormatting>
  <conditionalFormatting sqref="M150:M151">
    <cfRule type="cellIs" dxfId="8747" priority="23964" operator="equal">
      <formula>"value일 미도래"</formula>
    </cfRule>
  </conditionalFormatting>
  <conditionalFormatting sqref="M150:M151">
    <cfRule type="cellIs" dxfId="8746" priority="23963" operator="equal">
      <formula>"value일 미도래"</formula>
    </cfRule>
  </conditionalFormatting>
  <conditionalFormatting sqref="M150:M151">
    <cfRule type="cellIs" dxfId="8745" priority="23962" operator="equal">
      <formula>"value일 미도래"</formula>
    </cfRule>
  </conditionalFormatting>
  <conditionalFormatting sqref="M150:M151">
    <cfRule type="cellIs" dxfId="8744" priority="23961" operator="equal">
      <formula>"value일 미도래"</formula>
    </cfRule>
  </conditionalFormatting>
  <conditionalFormatting sqref="M150:M151">
    <cfRule type="cellIs" dxfId="8743" priority="23960" operator="equal">
      <formula>"value일 미도래"</formula>
    </cfRule>
  </conditionalFormatting>
  <conditionalFormatting sqref="M150:M151">
    <cfRule type="cellIs" dxfId="8742" priority="23959" operator="equal">
      <formula>"value일 미도래"</formula>
    </cfRule>
  </conditionalFormatting>
  <conditionalFormatting sqref="M150:M151">
    <cfRule type="cellIs" dxfId="8741" priority="23957" operator="equal">
      <formula>"value일 미도래"</formula>
    </cfRule>
  </conditionalFormatting>
  <conditionalFormatting sqref="M150:M151">
    <cfRule type="cellIs" dxfId="8740" priority="23956" operator="equal">
      <formula>"value일 미도래"</formula>
    </cfRule>
  </conditionalFormatting>
  <conditionalFormatting sqref="M150:M151">
    <cfRule type="cellIs" dxfId="8739" priority="23955" operator="equal">
      <formula>"value일 미도래"</formula>
    </cfRule>
  </conditionalFormatting>
  <conditionalFormatting sqref="M150:M151">
    <cfRule type="cellIs" dxfId="8738" priority="23954" operator="equal">
      <formula>"value일 미도래"</formula>
    </cfRule>
  </conditionalFormatting>
  <conditionalFormatting sqref="M150:M151">
    <cfRule type="cellIs" dxfId="8737" priority="23953" operator="equal">
      <formula>"value일 미도래"</formula>
    </cfRule>
  </conditionalFormatting>
  <conditionalFormatting sqref="M150:M151">
    <cfRule type="cellIs" dxfId="8736" priority="23952" operator="equal">
      <formula>"value일 미도래"</formula>
    </cfRule>
  </conditionalFormatting>
  <conditionalFormatting sqref="M150:M151">
    <cfRule type="cellIs" dxfId="8735" priority="23951" operator="equal">
      <formula>"value일 미도래"</formula>
    </cfRule>
  </conditionalFormatting>
  <conditionalFormatting sqref="M150:M151">
    <cfRule type="cellIs" dxfId="8734" priority="23950" operator="equal">
      <formula>"value일 미도래"</formula>
    </cfRule>
  </conditionalFormatting>
  <conditionalFormatting sqref="M150:M151">
    <cfRule type="cellIs" dxfId="8733" priority="23949" operator="equal">
      <formula>"value일 미도래"</formula>
    </cfRule>
  </conditionalFormatting>
  <conditionalFormatting sqref="M150:M151">
    <cfRule type="cellIs" dxfId="8732" priority="23948" operator="equal">
      <formula>"value일 미도래"</formula>
    </cfRule>
  </conditionalFormatting>
  <conditionalFormatting sqref="M150:M151">
    <cfRule type="cellIs" dxfId="8731" priority="23947" operator="equal">
      <formula>"value일 미도래"</formula>
    </cfRule>
  </conditionalFormatting>
  <conditionalFormatting sqref="M150:M151">
    <cfRule type="cellIs" dxfId="8730" priority="23946" operator="equal">
      <formula>"value일 미도래"</formula>
    </cfRule>
  </conditionalFormatting>
  <conditionalFormatting sqref="M150:M151">
    <cfRule type="cellIs" dxfId="8729" priority="23945" operator="equal">
      <formula>"value일 미도래"</formula>
    </cfRule>
  </conditionalFormatting>
  <conditionalFormatting sqref="M150:M151">
    <cfRule type="cellIs" dxfId="8728" priority="23944" operator="equal">
      <formula>"value일 미도래"</formula>
    </cfRule>
  </conditionalFormatting>
  <conditionalFormatting sqref="M150:M151">
    <cfRule type="cellIs" dxfId="8727" priority="23942" operator="equal">
      <formula>"value일 미도래"</formula>
    </cfRule>
  </conditionalFormatting>
  <conditionalFormatting sqref="M150:M151">
    <cfRule type="cellIs" dxfId="8726" priority="23941" operator="equal">
      <formula>"value일 미도래"</formula>
    </cfRule>
  </conditionalFormatting>
  <conditionalFormatting sqref="M150:M151">
    <cfRule type="cellIs" dxfId="8725" priority="23940" operator="equal">
      <formula>"value일 미도래"</formula>
    </cfRule>
  </conditionalFormatting>
  <conditionalFormatting sqref="M150:M151">
    <cfRule type="cellIs" dxfId="8724" priority="23939" operator="equal">
      <formula>"value일 미도래"</formula>
    </cfRule>
  </conditionalFormatting>
  <conditionalFormatting sqref="M150:M151">
    <cfRule type="cellIs" dxfId="8723" priority="23938" operator="equal">
      <formula>"value일 미도래"</formula>
    </cfRule>
  </conditionalFormatting>
  <conditionalFormatting sqref="M150:M151">
    <cfRule type="cellIs" dxfId="8722" priority="23937" operator="equal">
      <formula>"value일 미도래"</formula>
    </cfRule>
  </conditionalFormatting>
  <conditionalFormatting sqref="M150:M151">
    <cfRule type="cellIs" dxfId="8721" priority="23936" operator="equal">
      <formula>"value일 미도래"</formula>
    </cfRule>
  </conditionalFormatting>
  <conditionalFormatting sqref="M150:M151">
    <cfRule type="cellIs" dxfId="8720" priority="23935" operator="equal">
      <formula>"value일 미도래"</formula>
    </cfRule>
  </conditionalFormatting>
  <conditionalFormatting sqref="M150:M151">
    <cfRule type="cellIs" dxfId="8719" priority="23934" operator="equal">
      <formula>"value일 미도래"</formula>
    </cfRule>
  </conditionalFormatting>
  <conditionalFormatting sqref="M150:M151">
    <cfRule type="cellIs" dxfId="8718" priority="23933" operator="equal">
      <formula>"value일 미도래"</formula>
    </cfRule>
  </conditionalFormatting>
  <conditionalFormatting sqref="M150:M151">
    <cfRule type="cellIs" dxfId="8717" priority="23932" operator="equal">
      <formula>"value일 미도래"</formula>
    </cfRule>
  </conditionalFormatting>
  <conditionalFormatting sqref="M150:M151">
    <cfRule type="cellIs" dxfId="8716" priority="23931" operator="equal">
      <formula>"value일 미도래"</formula>
    </cfRule>
  </conditionalFormatting>
  <conditionalFormatting sqref="M150:M151">
    <cfRule type="cellIs" dxfId="8715" priority="23930" operator="equal">
      <formula>"value일 미도래"</formula>
    </cfRule>
  </conditionalFormatting>
  <conditionalFormatting sqref="M150:M151">
    <cfRule type="cellIs" dxfId="8714" priority="23929" operator="equal">
      <formula>"value일 미도래"</formula>
    </cfRule>
  </conditionalFormatting>
  <conditionalFormatting sqref="M150:M151">
    <cfRule type="cellIs" dxfId="8713" priority="23928" operator="equal">
      <formula>"value일 미도래"</formula>
    </cfRule>
  </conditionalFormatting>
  <conditionalFormatting sqref="M150:M151">
    <cfRule type="cellIs" dxfId="8712" priority="23927" operator="equal">
      <formula>"value일 미도래"</formula>
    </cfRule>
  </conditionalFormatting>
  <conditionalFormatting sqref="M150:M151">
    <cfRule type="cellIs" dxfId="8711" priority="23926" operator="equal">
      <formula>"value일 미도래"</formula>
    </cfRule>
  </conditionalFormatting>
  <conditionalFormatting sqref="M150:M151">
    <cfRule type="cellIs" dxfId="8710" priority="23925" operator="equal">
      <formula>"value일 미도래"</formula>
    </cfRule>
  </conditionalFormatting>
  <conditionalFormatting sqref="M150:M151">
    <cfRule type="cellIs" dxfId="8709" priority="23924" operator="equal">
      <formula>"value일 미도래"</formula>
    </cfRule>
  </conditionalFormatting>
  <conditionalFormatting sqref="M150:M151">
    <cfRule type="cellIs" dxfId="8708" priority="23923" operator="equal">
      <formula>"value일 미도래"</formula>
    </cfRule>
  </conditionalFormatting>
  <conditionalFormatting sqref="M150:M151">
    <cfRule type="cellIs" dxfId="8707" priority="23921" operator="equal">
      <formula>"value일 미도래"</formula>
    </cfRule>
  </conditionalFormatting>
  <conditionalFormatting sqref="M150:M151">
    <cfRule type="cellIs" dxfId="8706" priority="23920" operator="equal">
      <formula>"value일 미도래"</formula>
    </cfRule>
  </conditionalFormatting>
  <conditionalFormatting sqref="M150:M151">
    <cfRule type="cellIs" dxfId="8705" priority="23919" operator="equal">
      <formula>"value일 미도래"</formula>
    </cfRule>
  </conditionalFormatting>
  <conditionalFormatting sqref="M150:M151">
    <cfRule type="cellIs" dxfId="8704" priority="23918" operator="equal">
      <formula>"value일 미도래"</formula>
    </cfRule>
  </conditionalFormatting>
  <conditionalFormatting sqref="M150:M151">
    <cfRule type="cellIs" dxfId="8703" priority="23917" operator="equal">
      <formula>"value일 미도래"</formula>
    </cfRule>
  </conditionalFormatting>
  <conditionalFormatting sqref="M150:M151">
    <cfRule type="cellIs" dxfId="8702" priority="23916" operator="equal">
      <formula>"value일 미도래"</formula>
    </cfRule>
  </conditionalFormatting>
  <conditionalFormatting sqref="M150:M151">
    <cfRule type="cellIs" dxfId="8701" priority="23915" operator="equal">
      <formula>"value일 미도래"</formula>
    </cfRule>
  </conditionalFormatting>
  <conditionalFormatting sqref="M150:M151">
    <cfRule type="cellIs" dxfId="8700" priority="23914" operator="equal">
      <formula>"value일 미도래"</formula>
    </cfRule>
  </conditionalFormatting>
  <conditionalFormatting sqref="M150:M151">
    <cfRule type="cellIs" dxfId="8699" priority="23913" operator="equal">
      <formula>"value일 미도래"</formula>
    </cfRule>
  </conditionalFormatting>
  <conditionalFormatting sqref="M150:M151">
    <cfRule type="cellIs" dxfId="8698" priority="23912" operator="equal">
      <formula>"value일 미도래"</formula>
    </cfRule>
  </conditionalFormatting>
  <conditionalFormatting sqref="M150:M151">
    <cfRule type="cellIs" dxfId="8697" priority="23911" operator="equal">
      <formula>"value일 미도래"</formula>
    </cfRule>
  </conditionalFormatting>
  <conditionalFormatting sqref="M150:M151">
    <cfRule type="cellIs" dxfId="8696" priority="23910" operator="equal">
      <formula>"value일 미도래"</formula>
    </cfRule>
  </conditionalFormatting>
  <conditionalFormatting sqref="M148">
    <cfRule type="cellIs" dxfId="8695" priority="23909" operator="equal">
      <formula>"value일 미도래"</formula>
    </cfRule>
  </conditionalFormatting>
  <conditionalFormatting sqref="M148">
    <cfRule type="cellIs" dxfId="8694" priority="23908" operator="equal">
      <formula>"value일 미도래"</formula>
    </cfRule>
  </conditionalFormatting>
  <conditionalFormatting sqref="M148">
    <cfRule type="cellIs" dxfId="8693" priority="23907" operator="equal">
      <formula>"value일 미도래"</formula>
    </cfRule>
  </conditionalFormatting>
  <conditionalFormatting sqref="M148">
    <cfRule type="cellIs" dxfId="8692" priority="23906" operator="equal">
      <formula>"value일 미도래"</formula>
    </cfRule>
  </conditionalFormatting>
  <conditionalFormatting sqref="M148">
    <cfRule type="cellIs" dxfId="8691" priority="23905" operator="equal">
      <formula>"value일 미도래"</formula>
    </cfRule>
  </conditionalFormatting>
  <conditionalFormatting sqref="M148">
    <cfRule type="cellIs" dxfId="8690" priority="23904" operator="equal">
      <formula>"value일 미도래"</formula>
    </cfRule>
  </conditionalFormatting>
  <conditionalFormatting sqref="M148">
    <cfRule type="cellIs" dxfId="8689" priority="23903" operator="equal">
      <formula>"value일 미도래"</formula>
    </cfRule>
  </conditionalFormatting>
  <conditionalFormatting sqref="M148">
    <cfRule type="cellIs" dxfId="8688" priority="23902" operator="equal">
      <formula>"value일 미도래"</formula>
    </cfRule>
  </conditionalFormatting>
  <conditionalFormatting sqref="M148">
    <cfRule type="cellIs" dxfId="8687" priority="23901" operator="equal">
      <formula>"value일 미도래"</formula>
    </cfRule>
  </conditionalFormatting>
  <conditionalFormatting sqref="M148">
    <cfRule type="cellIs" dxfId="8686" priority="23900" operator="equal">
      <formula>"value일 미도래"</formula>
    </cfRule>
  </conditionalFormatting>
  <conditionalFormatting sqref="M148">
    <cfRule type="cellIs" dxfId="8685" priority="23899" operator="equal">
      <formula>"value일 미도래"</formula>
    </cfRule>
  </conditionalFormatting>
  <conditionalFormatting sqref="M148">
    <cfRule type="cellIs" dxfId="8684" priority="23897" operator="equal">
      <formula>"value일 미도래"</formula>
    </cfRule>
  </conditionalFormatting>
  <conditionalFormatting sqref="M148">
    <cfRule type="cellIs" dxfId="8683" priority="23896" operator="equal">
      <formula>"value일 미도래"</formula>
    </cfRule>
  </conditionalFormatting>
  <conditionalFormatting sqref="M148">
    <cfRule type="cellIs" dxfId="8682" priority="23895" operator="equal">
      <formula>"value일 미도래"</formula>
    </cfRule>
  </conditionalFormatting>
  <conditionalFormatting sqref="M148">
    <cfRule type="cellIs" dxfId="8681" priority="23894" operator="equal">
      <formula>"value일 미도래"</formula>
    </cfRule>
  </conditionalFormatting>
  <conditionalFormatting sqref="M148">
    <cfRule type="cellIs" dxfId="8680" priority="23893" operator="equal">
      <formula>"value일 미도래"</formula>
    </cfRule>
  </conditionalFormatting>
  <conditionalFormatting sqref="M148">
    <cfRule type="cellIs" dxfId="8679" priority="23892" operator="equal">
      <formula>"value일 미도래"</formula>
    </cfRule>
  </conditionalFormatting>
  <conditionalFormatting sqref="M148">
    <cfRule type="cellIs" dxfId="8678" priority="23891" operator="equal">
      <formula>"value일 미도래"</formula>
    </cfRule>
  </conditionalFormatting>
  <conditionalFormatting sqref="M148">
    <cfRule type="cellIs" dxfId="8677" priority="23890" operator="equal">
      <formula>"value일 미도래"</formula>
    </cfRule>
  </conditionalFormatting>
  <conditionalFormatting sqref="M148">
    <cfRule type="cellIs" dxfId="8676" priority="23889" operator="equal">
      <formula>"value일 미도래"</formula>
    </cfRule>
  </conditionalFormatting>
  <conditionalFormatting sqref="M148">
    <cfRule type="cellIs" dxfId="8675" priority="23888" operator="equal">
      <formula>"value일 미도래"</formula>
    </cfRule>
  </conditionalFormatting>
  <conditionalFormatting sqref="M148">
    <cfRule type="cellIs" dxfId="8674" priority="23887" operator="equal">
      <formula>"value일 미도래"</formula>
    </cfRule>
  </conditionalFormatting>
  <conditionalFormatting sqref="M148">
    <cfRule type="cellIs" dxfId="8673" priority="23886" operator="equal">
      <formula>"value일 미도래"</formula>
    </cfRule>
  </conditionalFormatting>
  <conditionalFormatting sqref="M148">
    <cfRule type="cellIs" dxfId="8672" priority="23885" operator="equal">
      <formula>"value일 미도래"</formula>
    </cfRule>
  </conditionalFormatting>
  <conditionalFormatting sqref="M148">
    <cfRule type="cellIs" dxfId="8671" priority="23884" operator="equal">
      <formula>"value일 미도래"</formula>
    </cfRule>
  </conditionalFormatting>
  <conditionalFormatting sqref="M148">
    <cfRule type="cellIs" dxfId="8670" priority="23883" operator="equal">
      <formula>"value일 미도래"</formula>
    </cfRule>
  </conditionalFormatting>
  <conditionalFormatting sqref="M148">
    <cfRule type="cellIs" dxfId="8669" priority="23882" operator="equal">
      <formula>"value일 미도래"</formula>
    </cfRule>
  </conditionalFormatting>
  <conditionalFormatting sqref="M148">
    <cfRule type="cellIs" dxfId="8668" priority="23881" operator="equal">
      <formula>"value일 미도래"</formula>
    </cfRule>
  </conditionalFormatting>
  <conditionalFormatting sqref="M148">
    <cfRule type="cellIs" dxfId="8667" priority="23880" operator="equal">
      <formula>"value일 미도래"</formula>
    </cfRule>
  </conditionalFormatting>
  <conditionalFormatting sqref="M148">
    <cfRule type="cellIs" dxfId="8666" priority="23879" operator="equal">
      <formula>"value일 미도래"</formula>
    </cfRule>
  </conditionalFormatting>
  <conditionalFormatting sqref="M148:M149">
    <cfRule type="cellIs" dxfId="8665" priority="23878" operator="equal">
      <formula>"value일 미도래"</formula>
    </cfRule>
  </conditionalFormatting>
  <conditionalFormatting sqref="M148:M149">
    <cfRule type="cellIs" dxfId="8664" priority="23877" operator="equal">
      <formula>"value일 미도래"</formula>
    </cfRule>
  </conditionalFormatting>
  <conditionalFormatting sqref="M148:M149">
    <cfRule type="cellIs" dxfId="8663" priority="23876" operator="equal">
      <formula>"value일 미도래"</formula>
    </cfRule>
  </conditionalFormatting>
  <conditionalFormatting sqref="M148:M149">
    <cfRule type="cellIs" dxfId="8662" priority="23875" operator="equal">
      <formula>"value일 미도래"</formula>
    </cfRule>
  </conditionalFormatting>
  <conditionalFormatting sqref="M148:M149">
    <cfRule type="cellIs" dxfId="8661" priority="23874" operator="equal">
      <formula>"value일 미도래"</formula>
    </cfRule>
  </conditionalFormatting>
  <conditionalFormatting sqref="M148:M149">
    <cfRule type="cellIs" dxfId="8660" priority="23873" operator="equal">
      <formula>"value일 미도래"</formula>
    </cfRule>
  </conditionalFormatting>
  <conditionalFormatting sqref="M148:M149">
    <cfRule type="cellIs" dxfId="8659" priority="23871" operator="equal">
      <formula>"value일 미도래"</formula>
    </cfRule>
  </conditionalFormatting>
  <conditionalFormatting sqref="M148:M149">
    <cfRule type="cellIs" dxfId="8658" priority="23870" operator="equal">
      <formula>"value일 미도래"</formula>
    </cfRule>
  </conditionalFormatting>
  <conditionalFormatting sqref="M148:M149">
    <cfRule type="cellIs" dxfId="8657" priority="23869" operator="equal">
      <formula>"value일 미도래"</formula>
    </cfRule>
  </conditionalFormatting>
  <conditionalFormatting sqref="M148:M149">
    <cfRule type="cellIs" dxfId="8656" priority="23868" operator="equal">
      <formula>"value일 미도래"</formula>
    </cfRule>
  </conditionalFormatting>
  <conditionalFormatting sqref="M148:M149">
    <cfRule type="cellIs" dxfId="8655" priority="23867" operator="equal">
      <formula>"value일 미도래"</formula>
    </cfRule>
  </conditionalFormatting>
  <conditionalFormatting sqref="M148:M149">
    <cfRule type="cellIs" dxfId="8654" priority="23866" operator="equal">
      <formula>"value일 미도래"</formula>
    </cfRule>
  </conditionalFormatting>
  <conditionalFormatting sqref="M148:M149">
    <cfRule type="cellIs" dxfId="8653" priority="23865" operator="equal">
      <formula>"value일 미도래"</formula>
    </cfRule>
  </conditionalFormatting>
  <conditionalFormatting sqref="M148:M149">
    <cfRule type="cellIs" dxfId="8652" priority="23864" operator="equal">
      <formula>"value일 미도래"</formula>
    </cfRule>
  </conditionalFormatting>
  <conditionalFormatting sqref="M148:M149">
    <cfRule type="cellIs" dxfId="8651" priority="23862" operator="equal">
      <formula>"value일 미도래"</formula>
    </cfRule>
  </conditionalFormatting>
  <conditionalFormatting sqref="M148:M149">
    <cfRule type="cellIs" dxfId="8650" priority="23861" operator="equal">
      <formula>"value일 미도래"</formula>
    </cfRule>
  </conditionalFormatting>
  <conditionalFormatting sqref="M148:M149">
    <cfRule type="cellIs" dxfId="8649" priority="23860" operator="equal">
      <formula>"value일 미도래"</formula>
    </cfRule>
  </conditionalFormatting>
  <conditionalFormatting sqref="M148:M149">
    <cfRule type="cellIs" dxfId="8648" priority="23859" operator="equal">
      <formula>"value일 미도래"</formula>
    </cfRule>
  </conditionalFormatting>
  <conditionalFormatting sqref="M148:M149">
    <cfRule type="cellIs" dxfId="8647" priority="23858" operator="equal">
      <formula>"value일 미도래"</formula>
    </cfRule>
  </conditionalFormatting>
  <conditionalFormatting sqref="M148:M149">
    <cfRule type="cellIs" dxfId="8646" priority="23857" operator="equal">
      <formula>"value일 미도래"</formula>
    </cfRule>
  </conditionalFormatting>
  <conditionalFormatting sqref="M148:M149">
    <cfRule type="cellIs" dxfId="8645" priority="23856" operator="equal">
      <formula>"value일 미도래"</formula>
    </cfRule>
  </conditionalFormatting>
  <conditionalFormatting sqref="M148:M149">
    <cfRule type="cellIs" dxfId="8644" priority="23855" operator="equal">
      <formula>"value일 미도래"</formula>
    </cfRule>
  </conditionalFormatting>
  <conditionalFormatting sqref="M148:M149">
    <cfRule type="cellIs" dxfId="8643" priority="23854" operator="equal">
      <formula>"value일 미도래"</formula>
    </cfRule>
  </conditionalFormatting>
  <conditionalFormatting sqref="M148:M149">
    <cfRule type="cellIs" dxfId="8642" priority="23853" operator="equal">
      <formula>"value일 미도래"</formula>
    </cfRule>
  </conditionalFormatting>
  <conditionalFormatting sqref="M148:M149">
    <cfRule type="cellIs" dxfId="8641" priority="23852" operator="equal">
      <formula>"value일 미도래"</formula>
    </cfRule>
  </conditionalFormatting>
  <conditionalFormatting sqref="M148:M149">
    <cfRule type="cellIs" dxfId="8640" priority="23850" operator="equal">
      <formula>"value일 미도래"</formula>
    </cfRule>
  </conditionalFormatting>
  <conditionalFormatting sqref="M148:M149">
    <cfRule type="cellIs" dxfId="8639" priority="23849" operator="equal">
      <formula>"value일 미도래"</formula>
    </cfRule>
  </conditionalFormatting>
  <conditionalFormatting sqref="M148:M149">
    <cfRule type="cellIs" dxfId="8638" priority="23848" operator="equal">
      <formula>"value일 미도래"</formula>
    </cfRule>
  </conditionalFormatting>
  <conditionalFormatting sqref="M148:M149">
    <cfRule type="cellIs" dxfId="8637" priority="23847" operator="equal">
      <formula>"value일 미도래"</formula>
    </cfRule>
  </conditionalFormatting>
  <conditionalFormatting sqref="M148:M149">
    <cfRule type="cellIs" dxfId="8636" priority="23846" operator="equal">
      <formula>"value일 미도래"</formula>
    </cfRule>
  </conditionalFormatting>
  <conditionalFormatting sqref="M148:M149">
    <cfRule type="cellIs" dxfId="8635" priority="23845" operator="equal">
      <formula>"value일 미도래"</formula>
    </cfRule>
  </conditionalFormatting>
  <conditionalFormatting sqref="M148:M149">
    <cfRule type="cellIs" dxfId="8634" priority="23844" operator="equal">
      <formula>"value일 미도래"</formula>
    </cfRule>
  </conditionalFormatting>
  <conditionalFormatting sqref="M148:M149">
    <cfRule type="cellIs" dxfId="8633" priority="23843" operator="equal">
      <formula>"value일 미도래"</formula>
    </cfRule>
  </conditionalFormatting>
  <conditionalFormatting sqref="M148:M149">
    <cfRule type="cellIs" dxfId="8632" priority="23842" operator="equal">
      <formula>"value일 미도래"</formula>
    </cfRule>
  </conditionalFormatting>
  <conditionalFormatting sqref="M148:M149">
    <cfRule type="cellIs" dxfId="8631" priority="23841" operator="equal">
      <formula>"value일 미도래"</formula>
    </cfRule>
  </conditionalFormatting>
  <conditionalFormatting sqref="M148:M149">
    <cfRule type="cellIs" dxfId="8630" priority="23840" operator="equal">
      <formula>"value일 미도래"</formula>
    </cfRule>
  </conditionalFormatting>
  <conditionalFormatting sqref="M148:M149">
    <cfRule type="cellIs" dxfId="8629" priority="23838" operator="equal">
      <formula>"value일 미도래"</formula>
    </cfRule>
  </conditionalFormatting>
  <conditionalFormatting sqref="M148:M149">
    <cfRule type="cellIs" dxfId="8628" priority="23837" operator="equal">
      <formula>"value일 미도래"</formula>
    </cfRule>
  </conditionalFormatting>
  <conditionalFormatting sqref="M148:M149">
    <cfRule type="cellIs" dxfId="8627" priority="23836" operator="equal">
      <formula>"value일 미도래"</formula>
    </cfRule>
  </conditionalFormatting>
  <conditionalFormatting sqref="M148:M149">
    <cfRule type="cellIs" dxfId="8626" priority="23835" operator="equal">
      <formula>"value일 미도래"</formula>
    </cfRule>
  </conditionalFormatting>
  <conditionalFormatting sqref="M148:M149">
    <cfRule type="cellIs" dxfId="8625" priority="23834" operator="equal">
      <formula>"value일 미도래"</formula>
    </cfRule>
  </conditionalFormatting>
  <conditionalFormatting sqref="M148:M149">
    <cfRule type="cellIs" dxfId="8624" priority="23833" operator="equal">
      <formula>"value일 미도래"</formula>
    </cfRule>
  </conditionalFormatting>
  <conditionalFormatting sqref="M148:M149">
    <cfRule type="cellIs" dxfId="8623" priority="23832" operator="equal">
      <formula>"value일 미도래"</formula>
    </cfRule>
  </conditionalFormatting>
  <conditionalFormatting sqref="M148:M149">
    <cfRule type="cellIs" dxfId="8622" priority="23831" operator="equal">
      <formula>"value일 미도래"</formula>
    </cfRule>
  </conditionalFormatting>
  <conditionalFormatting sqref="M148:M149">
    <cfRule type="cellIs" dxfId="8621" priority="23830" operator="equal">
      <formula>"value일 미도래"</formula>
    </cfRule>
  </conditionalFormatting>
  <conditionalFormatting sqref="M148:M149">
    <cfRule type="cellIs" dxfId="8620" priority="23829" operator="equal">
      <formula>"value일 미도래"</formula>
    </cfRule>
  </conditionalFormatting>
  <conditionalFormatting sqref="M148:M149">
    <cfRule type="cellIs" dxfId="8619" priority="23828" operator="equal">
      <formula>"value일 미도래"</formula>
    </cfRule>
  </conditionalFormatting>
  <conditionalFormatting sqref="M148:M149">
    <cfRule type="cellIs" dxfId="8618" priority="23827" operator="equal">
      <formula>"value일 미도래"</formula>
    </cfRule>
  </conditionalFormatting>
  <conditionalFormatting sqref="M148:M149">
    <cfRule type="cellIs" dxfId="8617" priority="23826" operator="equal">
      <formula>"value일 미도래"</formula>
    </cfRule>
  </conditionalFormatting>
  <conditionalFormatting sqref="M148:M149">
    <cfRule type="cellIs" dxfId="8616" priority="23825" operator="equal">
      <formula>"value일 미도래"</formula>
    </cfRule>
  </conditionalFormatting>
  <conditionalFormatting sqref="M148:M149">
    <cfRule type="cellIs" dxfId="8615" priority="23823" operator="equal">
      <formula>"value일 미도래"</formula>
    </cfRule>
  </conditionalFormatting>
  <conditionalFormatting sqref="M148:M149">
    <cfRule type="cellIs" dxfId="8614" priority="23822" operator="equal">
      <formula>"value일 미도래"</formula>
    </cfRule>
  </conditionalFormatting>
  <conditionalFormatting sqref="M148:M149">
    <cfRule type="cellIs" dxfId="8613" priority="23821" operator="equal">
      <formula>"value일 미도래"</formula>
    </cfRule>
  </conditionalFormatting>
  <conditionalFormatting sqref="M148:M149">
    <cfRule type="cellIs" dxfId="8612" priority="23820" operator="equal">
      <formula>"value일 미도래"</formula>
    </cfRule>
  </conditionalFormatting>
  <conditionalFormatting sqref="M148:M149">
    <cfRule type="cellIs" dxfId="8611" priority="23819" operator="equal">
      <formula>"value일 미도래"</formula>
    </cfRule>
  </conditionalFormatting>
  <conditionalFormatting sqref="M148:M149">
    <cfRule type="cellIs" dxfId="8610" priority="23818" operator="equal">
      <formula>"value일 미도래"</formula>
    </cfRule>
  </conditionalFormatting>
  <conditionalFormatting sqref="M148:M149">
    <cfRule type="cellIs" dxfId="8609" priority="23817" operator="equal">
      <formula>"value일 미도래"</formula>
    </cfRule>
  </conditionalFormatting>
  <conditionalFormatting sqref="M148:M149">
    <cfRule type="cellIs" dxfId="8608" priority="23816" operator="equal">
      <formula>"value일 미도래"</formula>
    </cfRule>
  </conditionalFormatting>
  <conditionalFormatting sqref="M148:M149">
    <cfRule type="cellIs" dxfId="8607" priority="23815" operator="equal">
      <formula>"value일 미도래"</formula>
    </cfRule>
  </conditionalFormatting>
  <conditionalFormatting sqref="M148:M149">
    <cfRule type="cellIs" dxfId="8606" priority="23814" operator="equal">
      <formula>"value일 미도래"</formula>
    </cfRule>
  </conditionalFormatting>
  <conditionalFormatting sqref="M148:M149">
    <cfRule type="cellIs" dxfId="8605" priority="23813" operator="equal">
      <formula>"value일 미도래"</formula>
    </cfRule>
  </conditionalFormatting>
  <conditionalFormatting sqref="M148:M149">
    <cfRule type="cellIs" dxfId="8604" priority="23812" operator="equal">
      <formula>"value일 미도래"</formula>
    </cfRule>
  </conditionalFormatting>
  <conditionalFormatting sqref="M148:M149">
    <cfRule type="cellIs" dxfId="8603" priority="23811" operator="equal">
      <formula>"value일 미도래"</formula>
    </cfRule>
  </conditionalFormatting>
  <conditionalFormatting sqref="M148:M149">
    <cfRule type="cellIs" dxfId="8602" priority="23810" operator="equal">
      <formula>"value일 미도래"</formula>
    </cfRule>
  </conditionalFormatting>
  <conditionalFormatting sqref="M148:M149">
    <cfRule type="cellIs" dxfId="8601" priority="23809" operator="equal">
      <formula>"value일 미도래"</formula>
    </cfRule>
  </conditionalFormatting>
  <conditionalFormatting sqref="M148:M149">
    <cfRule type="cellIs" dxfId="8600" priority="23808" operator="equal">
      <formula>"value일 미도래"</formula>
    </cfRule>
  </conditionalFormatting>
  <conditionalFormatting sqref="M148:M149">
    <cfRule type="cellIs" dxfId="8599" priority="23807" operator="equal">
      <formula>"value일 미도래"</formula>
    </cfRule>
  </conditionalFormatting>
  <conditionalFormatting sqref="M148:M149">
    <cfRule type="cellIs" dxfId="8598" priority="23806" operator="equal">
      <formula>"value일 미도래"</formula>
    </cfRule>
  </conditionalFormatting>
  <conditionalFormatting sqref="M148:M149">
    <cfRule type="cellIs" dxfId="8597" priority="23805" operator="equal">
      <formula>"value일 미도래"</formula>
    </cfRule>
  </conditionalFormatting>
  <conditionalFormatting sqref="M148:M149">
    <cfRule type="cellIs" dxfId="8596" priority="23804" operator="equal">
      <formula>"value일 미도래"</formula>
    </cfRule>
  </conditionalFormatting>
  <conditionalFormatting sqref="M148:M149">
    <cfRule type="cellIs" dxfId="8595" priority="23802" operator="equal">
      <formula>"value일 미도래"</formula>
    </cfRule>
  </conditionalFormatting>
  <conditionalFormatting sqref="M148:M149">
    <cfRule type="cellIs" dxfId="8594" priority="23801" operator="equal">
      <formula>"value일 미도래"</formula>
    </cfRule>
  </conditionalFormatting>
  <conditionalFormatting sqref="M148:M149">
    <cfRule type="cellIs" dxfId="8593" priority="23800" operator="equal">
      <formula>"value일 미도래"</formula>
    </cfRule>
  </conditionalFormatting>
  <conditionalFormatting sqref="M148:M149">
    <cfRule type="cellIs" dxfId="8592" priority="23799" operator="equal">
      <formula>"value일 미도래"</formula>
    </cfRule>
  </conditionalFormatting>
  <conditionalFormatting sqref="M148:M149">
    <cfRule type="cellIs" dxfId="8591" priority="23798" operator="equal">
      <formula>"value일 미도래"</formula>
    </cfRule>
  </conditionalFormatting>
  <conditionalFormatting sqref="M148:M149">
    <cfRule type="cellIs" dxfId="8590" priority="23797" operator="equal">
      <formula>"value일 미도래"</formula>
    </cfRule>
  </conditionalFormatting>
  <conditionalFormatting sqref="M148:M149">
    <cfRule type="cellIs" dxfId="8589" priority="23796" operator="equal">
      <formula>"value일 미도래"</formula>
    </cfRule>
  </conditionalFormatting>
  <conditionalFormatting sqref="M148:M149">
    <cfRule type="cellIs" dxfId="8588" priority="23795" operator="equal">
      <formula>"value일 미도래"</formula>
    </cfRule>
  </conditionalFormatting>
  <conditionalFormatting sqref="M148:M149">
    <cfRule type="cellIs" dxfId="8587" priority="23794" operator="equal">
      <formula>"value일 미도래"</formula>
    </cfRule>
  </conditionalFormatting>
  <conditionalFormatting sqref="M148:M149">
    <cfRule type="cellIs" dxfId="8586" priority="23793" operator="equal">
      <formula>"value일 미도래"</formula>
    </cfRule>
  </conditionalFormatting>
  <conditionalFormatting sqref="M148:M149">
    <cfRule type="cellIs" dxfId="8585" priority="23792" operator="equal">
      <formula>"value일 미도래"</formula>
    </cfRule>
  </conditionalFormatting>
  <conditionalFormatting sqref="M148:M149">
    <cfRule type="cellIs" dxfId="8584" priority="23791" operator="equal">
      <formula>"value일 미도래"</formula>
    </cfRule>
  </conditionalFormatting>
  <conditionalFormatting sqref="M148">
    <cfRule type="cellIs" dxfId="8583" priority="23790" operator="equal">
      <formula>"value일 미도래"</formula>
    </cfRule>
  </conditionalFormatting>
  <conditionalFormatting sqref="M148">
    <cfRule type="cellIs" dxfId="8582" priority="23789" operator="equal">
      <formula>"value일 미도래"</formula>
    </cfRule>
  </conditionalFormatting>
  <conditionalFormatting sqref="M148">
    <cfRule type="cellIs" dxfId="8581" priority="23788" operator="equal">
      <formula>"value일 미도래"</formula>
    </cfRule>
  </conditionalFormatting>
  <conditionalFormatting sqref="M148">
    <cfRule type="cellIs" dxfId="8580" priority="23787" operator="equal">
      <formula>"value일 미도래"</formula>
    </cfRule>
  </conditionalFormatting>
  <conditionalFormatting sqref="M148">
    <cfRule type="cellIs" dxfId="8579" priority="23786" operator="equal">
      <formula>"value일 미도래"</formula>
    </cfRule>
  </conditionalFormatting>
  <conditionalFormatting sqref="M148">
    <cfRule type="cellIs" dxfId="8578" priority="23785" operator="equal">
      <formula>"value일 미도래"</formula>
    </cfRule>
  </conditionalFormatting>
  <conditionalFormatting sqref="M148">
    <cfRule type="cellIs" dxfId="8577" priority="23783" operator="equal">
      <formula>"value일 미도래"</formula>
    </cfRule>
  </conditionalFormatting>
  <conditionalFormatting sqref="M148">
    <cfRule type="cellIs" dxfId="8576" priority="23782" operator="equal">
      <formula>"value일 미도래"</formula>
    </cfRule>
  </conditionalFormatting>
  <conditionalFormatting sqref="M148">
    <cfRule type="cellIs" dxfId="8575" priority="23781" operator="equal">
      <formula>"value일 미도래"</formula>
    </cfRule>
  </conditionalFormatting>
  <conditionalFormatting sqref="M148">
    <cfRule type="cellIs" dxfId="8574" priority="23780" operator="equal">
      <formula>"value일 미도래"</formula>
    </cfRule>
  </conditionalFormatting>
  <conditionalFormatting sqref="M148">
    <cfRule type="cellIs" dxfId="8573" priority="23779" operator="equal">
      <formula>"value일 미도래"</formula>
    </cfRule>
  </conditionalFormatting>
  <conditionalFormatting sqref="M148">
    <cfRule type="cellIs" dxfId="8572" priority="23778" operator="equal">
      <formula>"value일 미도래"</formula>
    </cfRule>
  </conditionalFormatting>
  <conditionalFormatting sqref="M148">
    <cfRule type="cellIs" dxfId="8571" priority="23777" operator="equal">
      <formula>"value일 미도래"</formula>
    </cfRule>
  </conditionalFormatting>
  <conditionalFormatting sqref="M148">
    <cfRule type="cellIs" dxfId="8570" priority="23776" operator="equal">
      <formula>"value일 미도래"</formula>
    </cfRule>
  </conditionalFormatting>
  <conditionalFormatting sqref="M148">
    <cfRule type="cellIs" dxfId="8569" priority="23774" operator="equal">
      <formula>"value일 미도래"</formula>
    </cfRule>
  </conditionalFormatting>
  <conditionalFormatting sqref="M148">
    <cfRule type="cellIs" dxfId="8568" priority="23773" operator="equal">
      <formula>"value일 미도래"</formula>
    </cfRule>
  </conditionalFormatting>
  <conditionalFormatting sqref="M148">
    <cfRule type="cellIs" dxfId="8567" priority="23772" operator="equal">
      <formula>"value일 미도래"</formula>
    </cfRule>
  </conditionalFormatting>
  <conditionalFormatting sqref="M148">
    <cfRule type="cellIs" dxfId="8566" priority="23771" operator="equal">
      <formula>"value일 미도래"</formula>
    </cfRule>
  </conditionalFormatting>
  <conditionalFormatting sqref="M148">
    <cfRule type="cellIs" dxfId="8565" priority="23770" operator="equal">
      <formula>"value일 미도래"</formula>
    </cfRule>
  </conditionalFormatting>
  <conditionalFormatting sqref="M148">
    <cfRule type="cellIs" dxfId="8564" priority="23769" operator="equal">
      <formula>"value일 미도래"</formula>
    </cfRule>
  </conditionalFormatting>
  <conditionalFormatting sqref="M148">
    <cfRule type="cellIs" dxfId="8563" priority="23768" operator="equal">
      <formula>"value일 미도래"</formula>
    </cfRule>
  </conditionalFormatting>
  <conditionalFormatting sqref="M148">
    <cfRule type="cellIs" dxfId="8562" priority="23767" operator="equal">
      <formula>"value일 미도래"</formula>
    </cfRule>
  </conditionalFormatting>
  <conditionalFormatting sqref="M148">
    <cfRule type="cellIs" dxfId="8561" priority="23766" operator="equal">
      <formula>"value일 미도래"</formula>
    </cfRule>
  </conditionalFormatting>
  <conditionalFormatting sqref="M148">
    <cfRule type="cellIs" dxfId="8560" priority="23765" operator="equal">
      <formula>"value일 미도래"</formula>
    </cfRule>
  </conditionalFormatting>
  <conditionalFormatting sqref="M148">
    <cfRule type="cellIs" dxfId="8559" priority="23764" operator="equal">
      <formula>"value일 미도래"</formula>
    </cfRule>
  </conditionalFormatting>
  <conditionalFormatting sqref="M148">
    <cfRule type="cellIs" dxfId="8558" priority="23762" operator="equal">
      <formula>"value일 미도래"</formula>
    </cfRule>
  </conditionalFormatting>
  <conditionalFormatting sqref="M148">
    <cfRule type="cellIs" dxfId="8557" priority="23761" operator="equal">
      <formula>"value일 미도래"</formula>
    </cfRule>
  </conditionalFormatting>
  <conditionalFormatting sqref="M148">
    <cfRule type="cellIs" dxfId="8556" priority="23760" operator="equal">
      <formula>"value일 미도래"</formula>
    </cfRule>
  </conditionalFormatting>
  <conditionalFormatting sqref="M148">
    <cfRule type="cellIs" dxfId="8555" priority="23759" operator="equal">
      <formula>"value일 미도래"</formula>
    </cfRule>
  </conditionalFormatting>
  <conditionalFormatting sqref="M148">
    <cfRule type="cellIs" dxfId="8554" priority="23758" operator="equal">
      <formula>"value일 미도래"</formula>
    </cfRule>
  </conditionalFormatting>
  <conditionalFormatting sqref="M148">
    <cfRule type="cellIs" dxfId="8553" priority="23757" operator="equal">
      <formula>"value일 미도래"</formula>
    </cfRule>
  </conditionalFormatting>
  <conditionalFormatting sqref="M148">
    <cfRule type="cellIs" dxfId="8552" priority="23756" operator="equal">
      <formula>"value일 미도래"</formula>
    </cfRule>
  </conditionalFormatting>
  <conditionalFormatting sqref="M148">
    <cfRule type="cellIs" dxfId="8551" priority="23755" operator="equal">
      <formula>"value일 미도래"</formula>
    </cfRule>
  </conditionalFormatting>
  <conditionalFormatting sqref="M148">
    <cfRule type="cellIs" dxfId="8550" priority="23754" operator="equal">
      <formula>"value일 미도래"</formula>
    </cfRule>
  </conditionalFormatting>
  <conditionalFormatting sqref="M148">
    <cfRule type="cellIs" dxfId="8549" priority="23753" operator="equal">
      <formula>"value일 미도래"</formula>
    </cfRule>
  </conditionalFormatting>
  <conditionalFormatting sqref="M148">
    <cfRule type="cellIs" dxfId="8548" priority="23752" operator="equal">
      <formula>"value일 미도래"</formula>
    </cfRule>
  </conditionalFormatting>
  <conditionalFormatting sqref="M148">
    <cfRule type="cellIs" dxfId="8547" priority="23750" operator="equal">
      <formula>"value일 미도래"</formula>
    </cfRule>
  </conditionalFormatting>
  <conditionalFormatting sqref="M148">
    <cfRule type="cellIs" dxfId="8546" priority="23749" operator="equal">
      <formula>"value일 미도래"</formula>
    </cfRule>
  </conditionalFormatting>
  <conditionalFormatting sqref="M148">
    <cfRule type="cellIs" dxfId="8545" priority="23748" operator="equal">
      <formula>"value일 미도래"</formula>
    </cfRule>
  </conditionalFormatting>
  <conditionalFormatting sqref="M148">
    <cfRule type="cellIs" dxfId="8544" priority="23747" operator="equal">
      <formula>"value일 미도래"</formula>
    </cfRule>
  </conditionalFormatting>
  <conditionalFormatting sqref="M148">
    <cfRule type="cellIs" dxfId="8543" priority="23746" operator="equal">
      <formula>"value일 미도래"</formula>
    </cfRule>
  </conditionalFormatting>
  <conditionalFormatting sqref="M148">
    <cfRule type="cellIs" dxfId="8542" priority="23745" operator="equal">
      <formula>"value일 미도래"</formula>
    </cfRule>
  </conditionalFormatting>
  <conditionalFormatting sqref="M148">
    <cfRule type="cellIs" dxfId="8541" priority="23744" operator="equal">
      <formula>"value일 미도래"</formula>
    </cfRule>
  </conditionalFormatting>
  <conditionalFormatting sqref="M148">
    <cfRule type="cellIs" dxfId="8540" priority="23743" operator="equal">
      <formula>"value일 미도래"</formula>
    </cfRule>
  </conditionalFormatting>
  <conditionalFormatting sqref="M148">
    <cfRule type="cellIs" dxfId="8539" priority="23742" operator="equal">
      <formula>"value일 미도래"</formula>
    </cfRule>
  </conditionalFormatting>
  <conditionalFormatting sqref="M148">
    <cfRule type="cellIs" dxfId="8538" priority="23741" operator="equal">
      <formula>"value일 미도래"</formula>
    </cfRule>
  </conditionalFormatting>
  <conditionalFormatting sqref="M148">
    <cfRule type="cellIs" dxfId="8537" priority="23740" operator="equal">
      <formula>"value일 미도래"</formula>
    </cfRule>
  </conditionalFormatting>
  <conditionalFormatting sqref="M148">
    <cfRule type="cellIs" dxfId="8536" priority="23739" operator="equal">
      <formula>"value일 미도래"</formula>
    </cfRule>
  </conditionalFormatting>
  <conditionalFormatting sqref="M148">
    <cfRule type="cellIs" dxfId="8535" priority="23738" operator="equal">
      <formula>"value일 미도래"</formula>
    </cfRule>
  </conditionalFormatting>
  <conditionalFormatting sqref="M148">
    <cfRule type="cellIs" dxfId="8534" priority="23737" operator="equal">
      <formula>"value일 미도래"</formula>
    </cfRule>
  </conditionalFormatting>
  <conditionalFormatting sqref="M148">
    <cfRule type="cellIs" dxfId="8533" priority="23736" operator="equal">
      <formula>"value일 미도래"</formula>
    </cfRule>
  </conditionalFormatting>
  <conditionalFormatting sqref="M148">
    <cfRule type="cellIs" dxfId="8532" priority="23735" operator="equal">
      <formula>"value일 미도래"</formula>
    </cfRule>
  </conditionalFormatting>
  <conditionalFormatting sqref="M148">
    <cfRule type="cellIs" dxfId="8531" priority="23734" operator="equal">
      <formula>"value일 미도래"</formula>
    </cfRule>
  </conditionalFormatting>
  <conditionalFormatting sqref="M148">
    <cfRule type="cellIs" dxfId="8530" priority="23733" operator="equal">
      <formula>"value일 미도래"</formula>
    </cfRule>
  </conditionalFormatting>
  <conditionalFormatting sqref="M148">
    <cfRule type="cellIs" dxfId="8529" priority="23732" operator="equal">
      <formula>"value일 미도래"</formula>
    </cfRule>
  </conditionalFormatting>
  <conditionalFormatting sqref="M148">
    <cfRule type="cellIs" dxfId="8528" priority="23731" operator="equal">
      <formula>"value일 미도래"</formula>
    </cfRule>
  </conditionalFormatting>
  <conditionalFormatting sqref="M148">
    <cfRule type="cellIs" dxfId="8527" priority="23730" operator="equal">
      <formula>"value일 미도래"</formula>
    </cfRule>
  </conditionalFormatting>
  <conditionalFormatting sqref="M148">
    <cfRule type="cellIs" dxfId="8526" priority="23729" operator="equal">
      <formula>"value일 미도래"</formula>
    </cfRule>
  </conditionalFormatting>
  <conditionalFormatting sqref="M148">
    <cfRule type="cellIs" dxfId="8525" priority="23728" operator="equal">
      <formula>"value일 미도래"</formula>
    </cfRule>
  </conditionalFormatting>
  <conditionalFormatting sqref="M148">
    <cfRule type="cellIs" dxfId="8524" priority="23727" operator="equal">
      <formula>"value일 미도래"</formula>
    </cfRule>
  </conditionalFormatting>
  <conditionalFormatting sqref="M148">
    <cfRule type="cellIs" dxfId="8523" priority="23726" operator="equal">
      <formula>"value일 미도래"</formula>
    </cfRule>
  </conditionalFormatting>
  <conditionalFormatting sqref="M148">
    <cfRule type="cellIs" dxfId="8522" priority="23725" operator="equal">
      <formula>"value일 미도래"</formula>
    </cfRule>
  </conditionalFormatting>
  <conditionalFormatting sqref="M148">
    <cfRule type="cellIs" dxfId="8521" priority="23724" operator="equal">
      <formula>"value일 미도래"</formula>
    </cfRule>
  </conditionalFormatting>
  <conditionalFormatting sqref="M148">
    <cfRule type="cellIs" dxfId="8520" priority="23722" operator="equal">
      <formula>"value일 미도래"</formula>
    </cfRule>
  </conditionalFormatting>
  <conditionalFormatting sqref="M148">
    <cfRule type="cellIs" dxfId="8519" priority="23721" operator="equal">
      <formula>"value일 미도래"</formula>
    </cfRule>
  </conditionalFormatting>
  <conditionalFormatting sqref="M148">
    <cfRule type="cellIs" dxfId="8518" priority="23720" operator="equal">
      <formula>"value일 미도래"</formula>
    </cfRule>
  </conditionalFormatting>
  <conditionalFormatting sqref="M148">
    <cfRule type="cellIs" dxfId="8517" priority="23719" operator="equal">
      <formula>"value일 미도래"</formula>
    </cfRule>
  </conditionalFormatting>
  <conditionalFormatting sqref="M148">
    <cfRule type="cellIs" dxfId="8516" priority="23718" operator="equal">
      <formula>"value일 미도래"</formula>
    </cfRule>
  </conditionalFormatting>
  <conditionalFormatting sqref="M148">
    <cfRule type="cellIs" dxfId="8515" priority="23717" operator="equal">
      <formula>"value일 미도래"</formula>
    </cfRule>
  </conditionalFormatting>
  <conditionalFormatting sqref="M148">
    <cfRule type="cellIs" dxfId="8514" priority="23716" operator="equal">
      <formula>"value일 미도래"</formula>
    </cfRule>
  </conditionalFormatting>
  <conditionalFormatting sqref="M148">
    <cfRule type="cellIs" dxfId="8513" priority="23715" operator="equal">
      <formula>"value일 미도래"</formula>
    </cfRule>
  </conditionalFormatting>
  <conditionalFormatting sqref="M148">
    <cfRule type="cellIs" dxfId="8512" priority="23713" operator="equal">
      <formula>"value일 미도래"</formula>
    </cfRule>
  </conditionalFormatting>
  <conditionalFormatting sqref="M148">
    <cfRule type="cellIs" dxfId="8511" priority="23712" operator="equal">
      <formula>"value일 미도래"</formula>
    </cfRule>
  </conditionalFormatting>
  <conditionalFormatting sqref="M148">
    <cfRule type="cellIs" dxfId="8510" priority="23711" operator="equal">
      <formula>"value일 미도래"</formula>
    </cfRule>
  </conditionalFormatting>
  <conditionalFormatting sqref="M148">
    <cfRule type="cellIs" dxfId="8509" priority="23710" operator="equal">
      <formula>"value일 미도래"</formula>
    </cfRule>
  </conditionalFormatting>
  <conditionalFormatting sqref="M148">
    <cfRule type="cellIs" dxfId="8508" priority="23709" operator="equal">
      <formula>"value일 미도래"</formula>
    </cfRule>
  </conditionalFormatting>
  <conditionalFormatting sqref="M148">
    <cfRule type="cellIs" dxfId="8507" priority="23708" operator="equal">
      <formula>"value일 미도래"</formula>
    </cfRule>
  </conditionalFormatting>
  <conditionalFormatting sqref="M148">
    <cfRule type="cellIs" dxfId="8506" priority="23707" operator="equal">
      <formula>"value일 미도래"</formula>
    </cfRule>
  </conditionalFormatting>
  <conditionalFormatting sqref="M148">
    <cfRule type="cellIs" dxfId="8505" priority="23706" operator="equal">
      <formula>"value일 미도래"</formula>
    </cfRule>
  </conditionalFormatting>
  <conditionalFormatting sqref="M148">
    <cfRule type="cellIs" dxfId="8504" priority="23705" operator="equal">
      <formula>"value일 미도래"</formula>
    </cfRule>
  </conditionalFormatting>
  <conditionalFormatting sqref="M148">
    <cfRule type="cellIs" dxfId="8503" priority="23704" operator="equal">
      <formula>"value일 미도래"</formula>
    </cfRule>
  </conditionalFormatting>
  <conditionalFormatting sqref="M148">
    <cfRule type="cellIs" dxfId="8502" priority="23703" operator="equal">
      <formula>"value일 미도래"</formula>
    </cfRule>
  </conditionalFormatting>
  <conditionalFormatting sqref="M148">
    <cfRule type="cellIs" dxfId="8501" priority="23701" operator="equal">
      <formula>"value일 미도래"</formula>
    </cfRule>
  </conditionalFormatting>
  <conditionalFormatting sqref="M148">
    <cfRule type="cellIs" dxfId="8500" priority="23700" operator="equal">
      <formula>"value일 미도래"</formula>
    </cfRule>
  </conditionalFormatting>
  <conditionalFormatting sqref="M148">
    <cfRule type="cellIs" dxfId="8499" priority="23699" operator="equal">
      <formula>"value일 미도래"</formula>
    </cfRule>
  </conditionalFormatting>
  <conditionalFormatting sqref="M148">
    <cfRule type="cellIs" dxfId="8498" priority="23698" operator="equal">
      <formula>"value일 미도래"</formula>
    </cfRule>
  </conditionalFormatting>
  <conditionalFormatting sqref="M148">
    <cfRule type="cellIs" dxfId="8497" priority="23697" operator="equal">
      <formula>"value일 미도래"</formula>
    </cfRule>
  </conditionalFormatting>
  <conditionalFormatting sqref="M148">
    <cfRule type="cellIs" dxfId="8496" priority="23696" operator="equal">
      <formula>"value일 미도래"</formula>
    </cfRule>
  </conditionalFormatting>
  <conditionalFormatting sqref="M148">
    <cfRule type="cellIs" dxfId="8495" priority="23695" operator="equal">
      <formula>"value일 미도래"</formula>
    </cfRule>
  </conditionalFormatting>
  <conditionalFormatting sqref="M148">
    <cfRule type="cellIs" dxfId="8494" priority="23694" operator="equal">
      <formula>"value일 미도래"</formula>
    </cfRule>
  </conditionalFormatting>
  <conditionalFormatting sqref="M148">
    <cfRule type="cellIs" dxfId="8493" priority="23693" operator="equal">
      <formula>"value일 미도래"</formula>
    </cfRule>
  </conditionalFormatting>
  <conditionalFormatting sqref="M148">
    <cfRule type="cellIs" dxfId="8492" priority="23692" operator="equal">
      <formula>"value일 미도래"</formula>
    </cfRule>
  </conditionalFormatting>
  <conditionalFormatting sqref="M148">
    <cfRule type="cellIs" dxfId="8491" priority="23691" operator="equal">
      <formula>"value일 미도래"</formula>
    </cfRule>
  </conditionalFormatting>
  <conditionalFormatting sqref="M148">
    <cfRule type="cellIs" dxfId="8490" priority="23689" operator="equal">
      <formula>"value일 미도래"</formula>
    </cfRule>
  </conditionalFormatting>
  <conditionalFormatting sqref="M148">
    <cfRule type="cellIs" dxfId="8489" priority="23688" operator="equal">
      <formula>"value일 미도래"</formula>
    </cfRule>
  </conditionalFormatting>
  <conditionalFormatting sqref="M148">
    <cfRule type="cellIs" dxfId="8488" priority="23687" operator="equal">
      <formula>"value일 미도래"</formula>
    </cfRule>
  </conditionalFormatting>
  <conditionalFormatting sqref="M148">
    <cfRule type="cellIs" dxfId="8487" priority="23686" operator="equal">
      <formula>"value일 미도래"</formula>
    </cfRule>
  </conditionalFormatting>
  <conditionalFormatting sqref="M148">
    <cfRule type="cellIs" dxfId="8486" priority="23685" operator="equal">
      <formula>"value일 미도래"</formula>
    </cfRule>
  </conditionalFormatting>
  <conditionalFormatting sqref="M148">
    <cfRule type="cellIs" dxfId="8485" priority="23684" operator="equal">
      <formula>"value일 미도래"</formula>
    </cfRule>
  </conditionalFormatting>
  <conditionalFormatting sqref="M148">
    <cfRule type="cellIs" dxfId="8484" priority="23683" operator="equal">
      <formula>"value일 미도래"</formula>
    </cfRule>
  </conditionalFormatting>
  <conditionalFormatting sqref="M148">
    <cfRule type="cellIs" dxfId="8483" priority="23682" operator="equal">
      <formula>"value일 미도래"</formula>
    </cfRule>
  </conditionalFormatting>
  <conditionalFormatting sqref="M148">
    <cfRule type="cellIs" dxfId="8482" priority="23681" operator="equal">
      <formula>"value일 미도래"</formula>
    </cfRule>
  </conditionalFormatting>
  <conditionalFormatting sqref="M148">
    <cfRule type="cellIs" dxfId="8481" priority="23680" operator="equal">
      <formula>"value일 미도래"</formula>
    </cfRule>
  </conditionalFormatting>
  <conditionalFormatting sqref="M148">
    <cfRule type="cellIs" dxfId="8480" priority="23679" operator="equal">
      <formula>"value일 미도래"</formula>
    </cfRule>
  </conditionalFormatting>
  <conditionalFormatting sqref="M148">
    <cfRule type="cellIs" dxfId="8479" priority="23678" operator="equal">
      <formula>"value일 미도래"</formula>
    </cfRule>
  </conditionalFormatting>
  <conditionalFormatting sqref="M148">
    <cfRule type="cellIs" dxfId="8478" priority="23677" operator="equal">
      <formula>"value일 미도래"</formula>
    </cfRule>
  </conditionalFormatting>
  <conditionalFormatting sqref="M148">
    <cfRule type="cellIs" dxfId="8477" priority="23676" operator="equal">
      <formula>"value일 미도래"</formula>
    </cfRule>
  </conditionalFormatting>
  <conditionalFormatting sqref="M148">
    <cfRule type="cellIs" dxfId="8476" priority="23674" operator="equal">
      <formula>"value일 미도래"</formula>
    </cfRule>
  </conditionalFormatting>
  <conditionalFormatting sqref="M148">
    <cfRule type="cellIs" dxfId="8475" priority="23673" operator="equal">
      <formula>"value일 미도래"</formula>
    </cfRule>
  </conditionalFormatting>
  <conditionalFormatting sqref="M148">
    <cfRule type="cellIs" dxfId="8474" priority="23672" operator="equal">
      <formula>"value일 미도래"</formula>
    </cfRule>
  </conditionalFormatting>
  <conditionalFormatting sqref="M148">
    <cfRule type="cellIs" dxfId="8473" priority="23671" operator="equal">
      <formula>"value일 미도래"</formula>
    </cfRule>
  </conditionalFormatting>
  <conditionalFormatting sqref="M148">
    <cfRule type="cellIs" dxfId="8472" priority="23670" operator="equal">
      <formula>"value일 미도래"</formula>
    </cfRule>
  </conditionalFormatting>
  <conditionalFormatting sqref="M148">
    <cfRule type="cellIs" dxfId="8471" priority="23669" operator="equal">
      <formula>"value일 미도래"</formula>
    </cfRule>
  </conditionalFormatting>
  <conditionalFormatting sqref="M148">
    <cfRule type="cellIs" dxfId="8470" priority="23668" operator="equal">
      <formula>"value일 미도래"</formula>
    </cfRule>
  </conditionalFormatting>
  <conditionalFormatting sqref="M148">
    <cfRule type="cellIs" dxfId="8469" priority="23667" operator="equal">
      <formula>"value일 미도래"</formula>
    </cfRule>
  </conditionalFormatting>
  <conditionalFormatting sqref="M148">
    <cfRule type="cellIs" dxfId="8468" priority="23666" operator="equal">
      <formula>"value일 미도래"</formula>
    </cfRule>
  </conditionalFormatting>
  <conditionalFormatting sqref="M148">
    <cfRule type="cellIs" dxfId="8467" priority="23665" operator="equal">
      <formula>"value일 미도래"</formula>
    </cfRule>
  </conditionalFormatting>
  <conditionalFormatting sqref="M148">
    <cfRule type="cellIs" dxfId="8466" priority="23664" operator="equal">
      <formula>"value일 미도래"</formula>
    </cfRule>
  </conditionalFormatting>
  <conditionalFormatting sqref="M148">
    <cfRule type="cellIs" dxfId="8465" priority="23663" operator="equal">
      <formula>"value일 미도래"</formula>
    </cfRule>
  </conditionalFormatting>
  <conditionalFormatting sqref="M148">
    <cfRule type="cellIs" dxfId="8464" priority="23662" operator="equal">
      <formula>"value일 미도래"</formula>
    </cfRule>
  </conditionalFormatting>
  <conditionalFormatting sqref="M148">
    <cfRule type="cellIs" dxfId="8463" priority="23661" operator="equal">
      <formula>"value일 미도래"</formula>
    </cfRule>
  </conditionalFormatting>
  <conditionalFormatting sqref="M148">
    <cfRule type="cellIs" dxfId="8462" priority="23660" operator="equal">
      <formula>"value일 미도래"</formula>
    </cfRule>
  </conditionalFormatting>
  <conditionalFormatting sqref="M148">
    <cfRule type="cellIs" dxfId="8461" priority="23659" operator="equal">
      <formula>"value일 미도래"</formula>
    </cfRule>
  </conditionalFormatting>
  <conditionalFormatting sqref="M148">
    <cfRule type="cellIs" dxfId="8460" priority="23658" operator="equal">
      <formula>"value일 미도래"</formula>
    </cfRule>
  </conditionalFormatting>
  <conditionalFormatting sqref="M148">
    <cfRule type="cellIs" dxfId="8459" priority="23657" operator="equal">
      <formula>"value일 미도래"</formula>
    </cfRule>
  </conditionalFormatting>
  <conditionalFormatting sqref="M148">
    <cfRule type="cellIs" dxfId="8458" priority="23656" operator="equal">
      <formula>"value일 미도래"</formula>
    </cfRule>
  </conditionalFormatting>
  <conditionalFormatting sqref="M148">
    <cfRule type="cellIs" dxfId="8457" priority="23655" operator="equal">
      <formula>"value일 미도래"</formula>
    </cfRule>
  </conditionalFormatting>
  <conditionalFormatting sqref="M148">
    <cfRule type="cellIs" dxfId="8456" priority="23653" operator="equal">
      <formula>"value일 미도래"</formula>
    </cfRule>
  </conditionalFormatting>
  <conditionalFormatting sqref="M148">
    <cfRule type="cellIs" dxfId="8455" priority="23652" operator="equal">
      <formula>"value일 미도래"</formula>
    </cfRule>
  </conditionalFormatting>
  <conditionalFormatting sqref="M148">
    <cfRule type="cellIs" dxfId="8454" priority="23651" operator="equal">
      <formula>"value일 미도래"</formula>
    </cfRule>
  </conditionalFormatting>
  <conditionalFormatting sqref="M148">
    <cfRule type="cellIs" dxfId="8453" priority="23650" operator="equal">
      <formula>"value일 미도래"</formula>
    </cfRule>
  </conditionalFormatting>
  <conditionalFormatting sqref="M148">
    <cfRule type="cellIs" dxfId="8452" priority="23649" operator="equal">
      <formula>"value일 미도래"</formula>
    </cfRule>
  </conditionalFormatting>
  <conditionalFormatting sqref="M148">
    <cfRule type="cellIs" dxfId="8451" priority="23648" operator="equal">
      <formula>"value일 미도래"</formula>
    </cfRule>
  </conditionalFormatting>
  <conditionalFormatting sqref="M148">
    <cfRule type="cellIs" dxfId="8450" priority="23647" operator="equal">
      <formula>"value일 미도래"</formula>
    </cfRule>
  </conditionalFormatting>
  <conditionalFormatting sqref="M148">
    <cfRule type="cellIs" dxfId="8449" priority="23646" operator="equal">
      <formula>"value일 미도래"</formula>
    </cfRule>
  </conditionalFormatting>
  <conditionalFormatting sqref="M148">
    <cfRule type="cellIs" dxfId="8448" priority="23645" operator="equal">
      <formula>"value일 미도래"</formula>
    </cfRule>
  </conditionalFormatting>
  <conditionalFormatting sqref="M148">
    <cfRule type="cellIs" dxfId="8447" priority="23644" operator="equal">
      <formula>"value일 미도래"</formula>
    </cfRule>
  </conditionalFormatting>
  <conditionalFormatting sqref="M148">
    <cfRule type="cellIs" dxfId="8446" priority="23643" operator="equal">
      <formula>"value일 미도래"</formula>
    </cfRule>
  </conditionalFormatting>
  <conditionalFormatting sqref="M148">
    <cfRule type="cellIs" dxfId="8445" priority="23642" operator="equal">
      <formula>"value일 미도래"</formula>
    </cfRule>
  </conditionalFormatting>
  <conditionalFormatting sqref="M189">
    <cfRule type="cellIs" dxfId="8444" priority="23426" operator="equal">
      <formula>"value일 미도래"</formula>
    </cfRule>
  </conditionalFormatting>
  <conditionalFormatting sqref="M189">
    <cfRule type="cellIs" dxfId="8443" priority="23424" operator="equal">
      <formula>"value일 미도래"</formula>
    </cfRule>
  </conditionalFormatting>
  <conditionalFormatting sqref="M189">
    <cfRule type="cellIs" dxfId="8442" priority="23423" operator="equal">
      <formula>"value일 미도래"</formula>
    </cfRule>
  </conditionalFormatting>
  <conditionalFormatting sqref="M189">
    <cfRule type="cellIs" dxfId="8441" priority="23422" operator="equal">
      <formula>"value일 미도래"</formula>
    </cfRule>
  </conditionalFormatting>
  <conditionalFormatting sqref="M189">
    <cfRule type="cellIs" dxfId="8440" priority="23421" operator="equal">
      <formula>"value일 미도래"</formula>
    </cfRule>
  </conditionalFormatting>
  <conditionalFormatting sqref="M189">
    <cfRule type="cellIs" dxfId="8439" priority="23420" operator="equal">
      <formula>"value일 미도래"</formula>
    </cfRule>
  </conditionalFormatting>
  <conditionalFormatting sqref="M148">
    <cfRule type="cellIs" dxfId="8438" priority="23309" operator="equal">
      <formula>"value일 미도래"</formula>
    </cfRule>
  </conditionalFormatting>
  <conditionalFormatting sqref="M148:M149">
    <cfRule type="cellIs" dxfId="8437" priority="23308" operator="equal">
      <formula>"value일 미도래"</formula>
    </cfRule>
  </conditionalFormatting>
  <conditionalFormatting sqref="M148:M149">
    <cfRule type="cellIs" dxfId="8436" priority="23307" operator="equal">
      <formula>"value일 미도래"</formula>
    </cfRule>
  </conditionalFormatting>
  <conditionalFormatting sqref="M150:M151">
    <cfRule type="cellIs" dxfId="8435" priority="23306" operator="equal">
      <formula>"value일 미도래"</formula>
    </cfRule>
  </conditionalFormatting>
  <conditionalFormatting sqref="M150:M151">
    <cfRule type="cellIs" dxfId="8434" priority="23305" operator="equal">
      <formula>"value일 미도래"</formula>
    </cfRule>
  </conditionalFormatting>
  <conditionalFormatting sqref="M148">
    <cfRule type="cellIs" dxfId="8433" priority="23304" operator="equal">
      <formula>"value일 미도래"</formula>
    </cfRule>
  </conditionalFormatting>
  <conditionalFormatting sqref="M148">
    <cfRule type="cellIs" dxfId="8432" priority="23303" operator="equal">
      <formula>"value일 미도래"</formula>
    </cfRule>
  </conditionalFormatting>
  <conditionalFormatting sqref="M152:M153">
    <cfRule type="cellIs" dxfId="8431" priority="23302" operator="equal">
      <formula>"value일 미도래"</formula>
    </cfRule>
  </conditionalFormatting>
  <conditionalFormatting sqref="M152:M153">
    <cfRule type="cellIs" dxfId="8430" priority="23301" operator="equal">
      <formula>"value일 미도래"</formula>
    </cfRule>
  </conditionalFormatting>
  <conditionalFormatting sqref="M152:M153">
    <cfRule type="cellIs" dxfId="8429" priority="23300" operator="equal">
      <formula>"value일 미도래"</formula>
    </cfRule>
  </conditionalFormatting>
  <conditionalFormatting sqref="M148">
    <cfRule type="cellIs" dxfId="8428" priority="23299" operator="equal">
      <formula>"value일 미도래"</formula>
    </cfRule>
  </conditionalFormatting>
  <conditionalFormatting sqref="M148">
    <cfRule type="cellIs" dxfId="8427" priority="23298" operator="equal">
      <formula>"value일 미도래"</formula>
    </cfRule>
  </conditionalFormatting>
  <conditionalFormatting sqref="M148:M149">
    <cfRule type="cellIs" dxfId="8426" priority="23297" operator="equal">
      <formula>"value일 미도래"</formula>
    </cfRule>
  </conditionalFormatting>
  <conditionalFormatting sqref="M148:M149">
    <cfRule type="cellIs" dxfId="8425" priority="23296" operator="equal">
      <formula>"value일 미도래"</formula>
    </cfRule>
  </conditionalFormatting>
  <conditionalFormatting sqref="M148:M149">
    <cfRule type="cellIs" dxfId="8424" priority="23295" operator="equal">
      <formula>"value일 미도래"</formula>
    </cfRule>
  </conditionalFormatting>
  <conditionalFormatting sqref="M150:M151">
    <cfRule type="cellIs" dxfId="8423" priority="23294" operator="equal">
      <formula>"value일 미도래"</formula>
    </cfRule>
  </conditionalFormatting>
  <conditionalFormatting sqref="M150:M151">
    <cfRule type="cellIs" dxfId="8422" priority="23293" operator="equal">
      <formula>"value일 미도래"</formula>
    </cfRule>
  </conditionalFormatting>
  <conditionalFormatting sqref="M150:M151">
    <cfRule type="cellIs" dxfId="8421" priority="23292" operator="equal">
      <formula>"value일 미도래"</formula>
    </cfRule>
  </conditionalFormatting>
  <conditionalFormatting sqref="M148">
    <cfRule type="cellIs" dxfId="8420" priority="23291" operator="equal">
      <formula>"value일 미도래"</formula>
    </cfRule>
  </conditionalFormatting>
  <conditionalFormatting sqref="M148">
    <cfRule type="cellIs" dxfId="8419" priority="23290" operator="equal">
      <formula>"value일 미도래"</formula>
    </cfRule>
  </conditionalFormatting>
  <conditionalFormatting sqref="M148:M149">
    <cfRule type="cellIs" dxfId="8418" priority="23289" operator="equal">
      <formula>"value일 미도래"</formula>
    </cfRule>
  </conditionalFormatting>
  <conditionalFormatting sqref="M148:M149">
    <cfRule type="cellIs" dxfId="8417" priority="23288" operator="equal">
      <formula>"value일 미도래"</formula>
    </cfRule>
  </conditionalFormatting>
  <conditionalFormatting sqref="M150:M151">
    <cfRule type="cellIs" dxfId="8416" priority="23287" operator="equal">
      <formula>"value일 미도래"</formula>
    </cfRule>
  </conditionalFormatting>
  <conditionalFormatting sqref="M150:M151">
    <cfRule type="cellIs" dxfId="8415" priority="23286" operator="equal">
      <formula>"value일 미도래"</formula>
    </cfRule>
  </conditionalFormatting>
  <conditionalFormatting sqref="M150:M151">
    <cfRule type="cellIs" dxfId="8414" priority="23285" operator="equal">
      <formula>"value일 미도래"</formula>
    </cfRule>
  </conditionalFormatting>
  <conditionalFormatting sqref="M148">
    <cfRule type="cellIs" dxfId="8413" priority="23284" operator="equal">
      <formula>"value일 미도래"</formula>
    </cfRule>
  </conditionalFormatting>
  <conditionalFormatting sqref="M148">
    <cfRule type="cellIs" dxfId="8412" priority="23283" operator="equal">
      <formula>"value일 미도래"</formula>
    </cfRule>
  </conditionalFormatting>
  <conditionalFormatting sqref="M148">
    <cfRule type="cellIs" dxfId="8411" priority="23282" operator="equal">
      <formula>"value일 미도래"</formula>
    </cfRule>
  </conditionalFormatting>
  <conditionalFormatting sqref="M148:M149">
    <cfRule type="cellIs" dxfId="8410" priority="23281" operator="equal">
      <formula>"value일 미도래"</formula>
    </cfRule>
  </conditionalFormatting>
  <conditionalFormatting sqref="M148:M149">
    <cfRule type="cellIs" dxfId="8409" priority="23280" operator="equal">
      <formula>"value일 미도래"</formula>
    </cfRule>
  </conditionalFormatting>
  <conditionalFormatting sqref="M148:M149">
    <cfRule type="cellIs" dxfId="8408" priority="23279" operator="equal">
      <formula>"value일 미도래"</formula>
    </cfRule>
  </conditionalFormatting>
  <conditionalFormatting sqref="M148">
    <cfRule type="cellIs" dxfId="8407" priority="23278" operator="equal">
      <formula>"value일 미도래"</formula>
    </cfRule>
  </conditionalFormatting>
  <conditionalFormatting sqref="M148">
    <cfRule type="cellIs" dxfId="8406" priority="23277" operator="equal">
      <formula>"value일 미도래"</formula>
    </cfRule>
  </conditionalFormatting>
  <conditionalFormatting sqref="M148:M149">
    <cfRule type="cellIs" dxfId="8405" priority="23276" operator="equal">
      <formula>"value일 미도래"</formula>
    </cfRule>
  </conditionalFormatting>
  <conditionalFormatting sqref="M148:M149">
    <cfRule type="cellIs" dxfId="8404" priority="23275" operator="equal">
      <formula>"value일 미도래"</formula>
    </cfRule>
  </conditionalFormatting>
  <conditionalFormatting sqref="M148:M149">
    <cfRule type="cellIs" dxfId="8403" priority="23274" operator="equal">
      <formula>"value일 미도래"</formula>
    </cfRule>
  </conditionalFormatting>
  <conditionalFormatting sqref="M150:M151">
    <cfRule type="cellIs" dxfId="8402" priority="23273" operator="equal">
      <formula>"value일 미도래"</formula>
    </cfRule>
  </conditionalFormatting>
  <conditionalFormatting sqref="M150:M151">
    <cfRule type="cellIs" dxfId="8401" priority="23272" operator="equal">
      <formula>"value일 미도래"</formula>
    </cfRule>
  </conditionalFormatting>
  <conditionalFormatting sqref="M150:M151">
    <cfRule type="cellIs" dxfId="8400" priority="23271" operator="equal">
      <formula>"value일 미도래"</formula>
    </cfRule>
  </conditionalFormatting>
  <conditionalFormatting sqref="M148">
    <cfRule type="cellIs" dxfId="8399" priority="23270" operator="equal">
      <formula>"value일 미도래"</formula>
    </cfRule>
  </conditionalFormatting>
  <conditionalFormatting sqref="M148">
    <cfRule type="cellIs" dxfId="8398" priority="23269" operator="equal">
      <formula>"value일 미도래"</formula>
    </cfRule>
  </conditionalFormatting>
  <conditionalFormatting sqref="M148">
    <cfRule type="cellIs" dxfId="8397" priority="23268" operator="equal">
      <formula>"value일 미도래"</formula>
    </cfRule>
  </conditionalFormatting>
  <conditionalFormatting sqref="M148">
    <cfRule type="cellIs" dxfId="8396" priority="23267" operator="equal">
      <formula>"value일 미도래"</formula>
    </cfRule>
  </conditionalFormatting>
  <conditionalFormatting sqref="M148">
    <cfRule type="cellIs" dxfId="8395" priority="23266" operator="equal">
      <formula>"value일 미도래"</formula>
    </cfRule>
  </conditionalFormatting>
  <conditionalFormatting sqref="M148">
    <cfRule type="cellIs" dxfId="8394" priority="23265" operator="equal">
      <formula>"value일 미도래"</formula>
    </cfRule>
  </conditionalFormatting>
  <conditionalFormatting sqref="M148">
    <cfRule type="cellIs" dxfId="8393" priority="23262" operator="equal">
      <formula>"value일 미도래"</formula>
    </cfRule>
  </conditionalFormatting>
  <conditionalFormatting sqref="M148">
    <cfRule type="cellIs" dxfId="8392" priority="23261" operator="equal">
      <formula>"value일 미도래"</formula>
    </cfRule>
  </conditionalFormatting>
  <conditionalFormatting sqref="M148:M149">
    <cfRule type="cellIs" dxfId="8391" priority="23260" operator="equal">
      <formula>"value일 미도래"</formula>
    </cfRule>
  </conditionalFormatting>
  <conditionalFormatting sqref="M148:M149">
    <cfRule type="cellIs" dxfId="8390" priority="23259" operator="equal">
      <formula>"value일 미도래"</formula>
    </cfRule>
  </conditionalFormatting>
  <conditionalFormatting sqref="M150:M151">
    <cfRule type="cellIs" dxfId="8389" priority="23258" operator="equal">
      <formula>"value일 미도래"</formula>
    </cfRule>
  </conditionalFormatting>
  <conditionalFormatting sqref="M150:M151">
    <cfRule type="cellIs" dxfId="8388" priority="23257" operator="equal">
      <formula>"value일 미도래"</formula>
    </cfRule>
  </conditionalFormatting>
  <conditionalFormatting sqref="M150:M151">
    <cfRule type="cellIs" dxfId="8387" priority="23256" operator="equal">
      <formula>"value일 미도래"</formula>
    </cfRule>
  </conditionalFormatting>
  <conditionalFormatting sqref="M148">
    <cfRule type="cellIs" dxfId="8386" priority="23255" operator="equal">
      <formula>"value일 미도래"</formula>
    </cfRule>
  </conditionalFormatting>
  <conditionalFormatting sqref="M148">
    <cfRule type="cellIs" dxfId="8385" priority="23254" operator="equal">
      <formula>"value일 미도래"</formula>
    </cfRule>
  </conditionalFormatting>
  <conditionalFormatting sqref="M148">
    <cfRule type="cellIs" dxfId="8384" priority="23253" operator="equal">
      <formula>"value일 미도래"</formula>
    </cfRule>
  </conditionalFormatting>
  <conditionalFormatting sqref="M148:M149">
    <cfRule type="cellIs" dxfId="8383" priority="23252" operator="equal">
      <formula>"value일 미도래"</formula>
    </cfRule>
  </conditionalFormatting>
  <conditionalFormatting sqref="M148:M149">
    <cfRule type="cellIs" dxfId="8382" priority="23251" operator="equal">
      <formula>"value일 미도래"</formula>
    </cfRule>
  </conditionalFormatting>
  <conditionalFormatting sqref="M148:M149">
    <cfRule type="cellIs" dxfId="8381" priority="23250" operator="equal">
      <formula>"value일 미도래"</formula>
    </cfRule>
  </conditionalFormatting>
  <conditionalFormatting sqref="M148">
    <cfRule type="cellIs" dxfId="8380" priority="23249" operator="equal">
      <formula>"value일 미도래"</formula>
    </cfRule>
  </conditionalFormatting>
  <conditionalFormatting sqref="M148">
    <cfRule type="cellIs" dxfId="8379" priority="23248" operator="equal">
      <formula>"value일 미도래"</formula>
    </cfRule>
  </conditionalFormatting>
  <conditionalFormatting sqref="M148:M149">
    <cfRule type="cellIs" dxfId="8378" priority="23247" operator="equal">
      <formula>"value일 미도래"</formula>
    </cfRule>
  </conditionalFormatting>
  <conditionalFormatting sqref="M148:M149">
    <cfRule type="cellIs" dxfId="8377" priority="23246" operator="equal">
      <formula>"value일 미도래"</formula>
    </cfRule>
  </conditionalFormatting>
  <conditionalFormatting sqref="M148:M149">
    <cfRule type="cellIs" dxfId="8376" priority="23245" operator="equal">
      <formula>"value일 미도래"</formula>
    </cfRule>
  </conditionalFormatting>
  <conditionalFormatting sqref="M148">
    <cfRule type="cellIs" dxfId="8375" priority="23244" operator="equal">
      <formula>"value일 미도래"</formula>
    </cfRule>
  </conditionalFormatting>
  <conditionalFormatting sqref="M148">
    <cfRule type="cellIs" dxfId="8374" priority="23243" operator="equal">
      <formula>"value일 미도래"</formula>
    </cfRule>
  </conditionalFormatting>
  <conditionalFormatting sqref="M148">
    <cfRule type="cellIs" dxfId="8373" priority="23242" operator="equal">
      <formula>"value일 미도래"</formula>
    </cfRule>
  </conditionalFormatting>
  <conditionalFormatting sqref="M148">
    <cfRule type="cellIs" dxfId="8372" priority="23241" operator="equal">
      <formula>"value일 미도래"</formula>
    </cfRule>
  </conditionalFormatting>
  <conditionalFormatting sqref="M148">
    <cfRule type="cellIs" dxfId="8371" priority="23240" operator="equal">
      <formula>"value일 미도래"</formula>
    </cfRule>
  </conditionalFormatting>
  <conditionalFormatting sqref="M148">
    <cfRule type="cellIs" dxfId="8370" priority="23239" operator="equal">
      <formula>"value일 미도래"</formula>
    </cfRule>
  </conditionalFormatting>
  <conditionalFormatting sqref="M148:M149">
    <cfRule type="cellIs" dxfId="8369" priority="23238" operator="equal">
      <formula>"value일 미도래"</formula>
    </cfRule>
  </conditionalFormatting>
  <conditionalFormatting sqref="M148:M149">
    <cfRule type="cellIs" dxfId="8368" priority="23237" operator="equal">
      <formula>"value일 미도래"</formula>
    </cfRule>
  </conditionalFormatting>
  <conditionalFormatting sqref="M148:M149">
    <cfRule type="cellIs" dxfId="8367" priority="23236" operator="equal">
      <formula>"value일 미도래"</formula>
    </cfRule>
  </conditionalFormatting>
  <conditionalFormatting sqref="M148">
    <cfRule type="cellIs" dxfId="8366" priority="23233" operator="equal">
      <formula>"value일 미도래"</formula>
    </cfRule>
  </conditionalFormatting>
  <conditionalFormatting sqref="M148">
    <cfRule type="cellIs" dxfId="8365" priority="23232" operator="equal">
      <formula>"value일 미도래"</formula>
    </cfRule>
  </conditionalFormatting>
  <conditionalFormatting sqref="M148:M149">
    <cfRule type="cellIs" dxfId="8364" priority="23231" operator="equal">
      <formula>"value일 미도래"</formula>
    </cfRule>
  </conditionalFormatting>
  <conditionalFormatting sqref="M148:M149">
    <cfRule type="cellIs" dxfId="8363" priority="23230" operator="equal">
      <formula>"value일 미도래"</formula>
    </cfRule>
  </conditionalFormatting>
  <conditionalFormatting sqref="M150:M151">
    <cfRule type="cellIs" dxfId="8362" priority="23229" operator="equal">
      <formula>"value일 미도래"</formula>
    </cfRule>
  </conditionalFormatting>
  <conditionalFormatting sqref="M150:M151">
    <cfRule type="cellIs" dxfId="8361" priority="23228" operator="equal">
      <formula>"value일 미도래"</formula>
    </cfRule>
  </conditionalFormatting>
  <conditionalFormatting sqref="M150:M151">
    <cfRule type="cellIs" dxfId="8360" priority="23227" operator="equal">
      <formula>"value일 미도래"</formula>
    </cfRule>
  </conditionalFormatting>
  <conditionalFormatting sqref="M148">
    <cfRule type="cellIs" dxfId="8359" priority="23226" operator="equal">
      <formula>"value일 미도래"</formula>
    </cfRule>
  </conditionalFormatting>
  <conditionalFormatting sqref="M148">
    <cfRule type="cellIs" dxfId="8358" priority="23225" operator="equal">
      <formula>"value일 미도래"</formula>
    </cfRule>
  </conditionalFormatting>
  <conditionalFormatting sqref="M148">
    <cfRule type="cellIs" dxfId="8357" priority="23224" operator="equal">
      <formula>"value일 미도래"</formula>
    </cfRule>
  </conditionalFormatting>
  <conditionalFormatting sqref="M148:M149">
    <cfRule type="cellIs" dxfId="8356" priority="23223" operator="equal">
      <formula>"value일 미도래"</formula>
    </cfRule>
  </conditionalFormatting>
  <conditionalFormatting sqref="M148:M149">
    <cfRule type="cellIs" dxfId="8355" priority="23222" operator="equal">
      <formula>"value일 미도래"</formula>
    </cfRule>
  </conditionalFormatting>
  <conditionalFormatting sqref="M148:M149">
    <cfRule type="cellIs" dxfId="8354" priority="23221" operator="equal">
      <formula>"value일 미도래"</formula>
    </cfRule>
  </conditionalFormatting>
  <conditionalFormatting sqref="M148">
    <cfRule type="cellIs" dxfId="8353" priority="23220" operator="equal">
      <formula>"value일 미도래"</formula>
    </cfRule>
  </conditionalFormatting>
  <conditionalFormatting sqref="M148">
    <cfRule type="cellIs" dxfId="8352" priority="23219" operator="equal">
      <formula>"value일 미도래"</formula>
    </cfRule>
  </conditionalFormatting>
  <conditionalFormatting sqref="M148:M149">
    <cfRule type="cellIs" dxfId="8351" priority="23218" operator="equal">
      <formula>"value일 미도래"</formula>
    </cfRule>
  </conditionalFormatting>
  <conditionalFormatting sqref="M148:M149">
    <cfRule type="cellIs" dxfId="8350" priority="23217" operator="equal">
      <formula>"value일 미도래"</formula>
    </cfRule>
  </conditionalFormatting>
  <conditionalFormatting sqref="M148:M149">
    <cfRule type="cellIs" dxfId="8349" priority="23216" operator="equal">
      <formula>"value일 미도래"</formula>
    </cfRule>
  </conditionalFormatting>
  <conditionalFormatting sqref="M148">
    <cfRule type="cellIs" dxfId="8348" priority="23215" operator="equal">
      <formula>"value일 미도래"</formula>
    </cfRule>
  </conditionalFormatting>
  <conditionalFormatting sqref="M148">
    <cfRule type="cellIs" dxfId="8347" priority="23214" operator="equal">
      <formula>"value일 미도래"</formula>
    </cfRule>
  </conditionalFormatting>
  <conditionalFormatting sqref="M148">
    <cfRule type="cellIs" dxfId="8346" priority="23213" operator="equal">
      <formula>"value일 미도래"</formula>
    </cfRule>
  </conditionalFormatting>
  <conditionalFormatting sqref="M148">
    <cfRule type="cellIs" dxfId="8345" priority="23212" operator="equal">
      <formula>"value일 미도래"</formula>
    </cfRule>
  </conditionalFormatting>
  <conditionalFormatting sqref="M148">
    <cfRule type="cellIs" dxfId="8344" priority="23211" operator="equal">
      <formula>"value일 미도래"</formula>
    </cfRule>
  </conditionalFormatting>
  <conditionalFormatting sqref="M148">
    <cfRule type="cellIs" dxfId="8343" priority="23210" operator="equal">
      <formula>"value일 미도래"</formula>
    </cfRule>
  </conditionalFormatting>
  <conditionalFormatting sqref="M148:M149">
    <cfRule type="cellIs" dxfId="8342" priority="23209" operator="equal">
      <formula>"value일 미도래"</formula>
    </cfRule>
  </conditionalFormatting>
  <conditionalFormatting sqref="M148:M149">
    <cfRule type="cellIs" dxfId="8341" priority="23208" operator="equal">
      <formula>"value일 미도래"</formula>
    </cfRule>
  </conditionalFormatting>
  <conditionalFormatting sqref="M148:M149">
    <cfRule type="cellIs" dxfId="8340" priority="23207" operator="equal">
      <formula>"value일 미도래"</formula>
    </cfRule>
  </conditionalFormatting>
  <conditionalFormatting sqref="M148">
    <cfRule type="cellIs" dxfId="8339" priority="23204" operator="equal">
      <formula>"value일 미도래"</formula>
    </cfRule>
  </conditionalFormatting>
  <conditionalFormatting sqref="M148">
    <cfRule type="cellIs" dxfId="8338" priority="23203" operator="equal">
      <formula>"value일 미도래"</formula>
    </cfRule>
  </conditionalFormatting>
  <conditionalFormatting sqref="M148:M149">
    <cfRule type="cellIs" dxfId="8337" priority="23202" operator="equal">
      <formula>"value일 미도래"</formula>
    </cfRule>
  </conditionalFormatting>
  <conditionalFormatting sqref="M148:M149">
    <cfRule type="cellIs" dxfId="8336" priority="23201" operator="equal">
      <formula>"value일 미도래"</formula>
    </cfRule>
  </conditionalFormatting>
  <conditionalFormatting sqref="M148:M149">
    <cfRule type="cellIs" dxfId="8335" priority="23200" operator="equal">
      <formula>"value일 미도래"</formula>
    </cfRule>
  </conditionalFormatting>
  <conditionalFormatting sqref="M150:M151">
    <cfRule type="cellIs" dxfId="8334" priority="23199" operator="equal">
      <formula>"value일 미도래"</formula>
    </cfRule>
  </conditionalFormatting>
  <conditionalFormatting sqref="M150:M151">
    <cfRule type="cellIs" dxfId="8333" priority="23198" operator="equal">
      <formula>"value일 미도래"</formula>
    </cfRule>
  </conditionalFormatting>
  <conditionalFormatting sqref="M150:M151">
    <cfRule type="cellIs" dxfId="8332" priority="23197" operator="equal">
      <formula>"value일 미도래"</formula>
    </cfRule>
  </conditionalFormatting>
  <conditionalFormatting sqref="M148">
    <cfRule type="cellIs" dxfId="8331" priority="23196" operator="equal">
      <formula>"value일 미도래"</formula>
    </cfRule>
  </conditionalFormatting>
  <conditionalFormatting sqref="M148">
    <cfRule type="cellIs" dxfId="8330" priority="23195" operator="equal">
      <formula>"value일 미도래"</formula>
    </cfRule>
  </conditionalFormatting>
  <conditionalFormatting sqref="M148">
    <cfRule type="cellIs" dxfId="8329" priority="23194" operator="equal">
      <formula>"value일 미도래"</formula>
    </cfRule>
  </conditionalFormatting>
  <conditionalFormatting sqref="M148">
    <cfRule type="cellIs" dxfId="8328" priority="23193" operator="equal">
      <formula>"value일 미도래"</formula>
    </cfRule>
  </conditionalFormatting>
  <conditionalFormatting sqref="M148">
    <cfRule type="cellIs" dxfId="8327" priority="23192" operator="equal">
      <formula>"value일 미도래"</formula>
    </cfRule>
  </conditionalFormatting>
  <conditionalFormatting sqref="M148">
    <cfRule type="cellIs" dxfId="8326" priority="23191" operator="equal">
      <formula>"value일 미도래"</formula>
    </cfRule>
  </conditionalFormatting>
  <conditionalFormatting sqref="M148">
    <cfRule type="cellIs" dxfId="8325" priority="23190" operator="equal">
      <formula>"value일 미도래"</formula>
    </cfRule>
  </conditionalFormatting>
  <conditionalFormatting sqref="M148">
    <cfRule type="cellIs" dxfId="8324" priority="23189" operator="equal">
      <formula>"value일 미도래"</formula>
    </cfRule>
  </conditionalFormatting>
  <conditionalFormatting sqref="M148">
    <cfRule type="cellIs" dxfId="8323" priority="23188" operator="equal">
      <formula>"value일 미도래"</formula>
    </cfRule>
  </conditionalFormatting>
  <conditionalFormatting sqref="M149:M150">
    <cfRule type="cellIs" dxfId="8322" priority="23186" operator="equal">
      <formula>"value일 미도래"</formula>
    </cfRule>
  </conditionalFormatting>
  <conditionalFormatting sqref="M149:M150">
    <cfRule type="cellIs" dxfId="8321" priority="23185" operator="equal">
      <formula>"value일 미도래"</formula>
    </cfRule>
  </conditionalFormatting>
  <conditionalFormatting sqref="M149:M150">
    <cfRule type="cellIs" dxfId="8320" priority="23184" operator="equal">
      <formula>"value일 미도래"</formula>
    </cfRule>
  </conditionalFormatting>
  <conditionalFormatting sqref="M149:M150">
    <cfRule type="cellIs" dxfId="8319" priority="23183" operator="equal">
      <formula>"value일 미도래"</formula>
    </cfRule>
  </conditionalFormatting>
  <conditionalFormatting sqref="M149:M150">
    <cfRule type="cellIs" dxfId="8318" priority="23182" operator="equal">
      <formula>"value일 미도래"</formula>
    </cfRule>
  </conditionalFormatting>
  <conditionalFormatting sqref="M149:M150">
    <cfRule type="cellIs" dxfId="8317" priority="23181" operator="equal">
      <formula>"value일 미도래"</formula>
    </cfRule>
  </conditionalFormatting>
  <conditionalFormatting sqref="M149:M150">
    <cfRule type="cellIs" dxfId="8316" priority="23179" operator="equal">
      <formula>"value일 미도래"</formula>
    </cfRule>
  </conditionalFormatting>
  <conditionalFormatting sqref="M149:M150">
    <cfRule type="cellIs" dxfId="8315" priority="23178" operator="equal">
      <formula>"value일 미도래"</formula>
    </cfRule>
  </conditionalFormatting>
  <conditionalFormatting sqref="M149:M150">
    <cfRule type="cellIs" dxfId="8314" priority="23177" operator="equal">
      <formula>"value일 미도래"</formula>
    </cfRule>
  </conditionalFormatting>
  <conditionalFormatting sqref="M149:M150">
    <cfRule type="cellIs" dxfId="8313" priority="23176" operator="equal">
      <formula>"value일 미도래"</formula>
    </cfRule>
  </conditionalFormatting>
  <conditionalFormatting sqref="M149:M150">
    <cfRule type="cellIs" dxfId="8312" priority="23175" operator="equal">
      <formula>"value일 미도래"</formula>
    </cfRule>
  </conditionalFormatting>
  <conditionalFormatting sqref="M149:M150">
    <cfRule type="cellIs" dxfId="8311" priority="23174" operator="equal">
      <formula>"value일 미도래"</formula>
    </cfRule>
  </conditionalFormatting>
  <conditionalFormatting sqref="M149:M150">
    <cfRule type="cellIs" dxfId="8310" priority="23173" operator="equal">
      <formula>"value일 미도래"</formula>
    </cfRule>
  </conditionalFormatting>
  <conditionalFormatting sqref="M149:M150">
    <cfRule type="cellIs" dxfId="8309" priority="23172" operator="equal">
      <formula>"value일 미도래"</formula>
    </cfRule>
  </conditionalFormatting>
  <conditionalFormatting sqref="M149:M150">
    <cfRule type="cellIs" dxfId="8308" priority="23170" operator="equal">
      <formula>"value일 미도래"</formula>
    </cfRule>
  </conditionalFormatting>
  <conditionalFormatting sqref="M149:M150">
    <cfRule type="cellIs" dxfId="8307" priority="23169" operator="equal">
      <formula>"value일 미도래"</formula>
    </cfRule>
  </conditionalFormatting>
  <conditionalFormatting sqref="M149:M150">
    <cfRule type="cellIs" dxfId="8306" priority="23168" operator="equal">
      <formula>"value일 미도래"</formula>
    </cfRule>
  </conditionalFormatting>
  <conditionalFormatting sqref="M149:M150">
    <cfRule type="cellIs" dxfId="8305" priority="23167" operator="equal">
      <formula>"value일 미도래"</formula>
    </cfRule>
  </conditionalFormatting>
  <conditionalFormatting sqref="M149:M150">
    <cfRule type="cellIs" dxfId="8304" priority="23166" operator="equal">
      <formula>"value일 미도래"</formula>
    </cfRule>
  </conditionalFormatting>
  <conditionalFormatting sqref="M149:M150">
    <cfRule type="cellIs" dxfId="8303" priority="23165" operator="equal">
      <formula>"value일 미도래"</formula>
    </cfRule>
  </conditionalFormatting>
  <conditionalFormatting sqref="M149:M150">
    <cfRule type="cellIs" dxfId="8302" priority="23164" operator="equal">
      <formula>"value일 미도래"</formula>
    </cfRule>
  </conditionalFormatting>
  <conditionalFormatting sqref="M149:M150">
    <cfRule type="cellIs" dxfId="8301" priority="23163" operator="equal">
      <formula>"value일 미도래"</formula>
    </cfRule>
  </conditionalFormatting>
  <conditionalFormatting sqref="M149:M150">
    <cfRule type="cellIs" dxfId="8300" priority="23162" operator="equal">
      <formula>"value일 미도래"</formula>
    </cfRule>
  </conditionalFormatting>
  <conditionalFormatting sqref="M149:M150">
    <cfRule type="cellIs" dxfId="8299" priority="23161" operator="equal">
      <formula>"value일 미도래"</formula>
    </cfRule>
  </conditionalFormatting>
  <conditionalFormatting sqref="M149:M150">
    <cfRule type="cellIs" dxfId="8298" priority="23160" operator="equal">
      <formula>"value일 미도래"</formula>
    </cfRule>
  </conditionalFormatting>
  <conditionalFormatting sqref="M149:M150">
    <cfRule type="cellIs" dxfId="8297" priority="23158" operator="equal">
      <formula>"value일 미도래"</formula>
    </cfRule>
  </conditionalFormatting>
  <conditionalFormatting sqref="M149:M150">
    <cfRule type="cellIs" dxfId="8296" priority="23157" operator="equal">
      <formula>"value일 미도래"</formula>
    </cfRule>
  </conditionalFormatting>
  <conditionalFormatting sqref="M149:M150">
    <cfRule type="cellIs" dxfId="8295" priority="23156" operator="equal">
      <formula>"value일 미도래"</formula>
    </cfRule>
  </conditionalFormatting>
  <conditionalFormatting sqref="M149:M150">
    <cfRule type="cellIs" dxfId="8294" priority="23155" operator="equal">
      <formula>"value일 미도래"</formula>
    </cfRule>
  </conditionalFormatting>
  <conditionalFormatting sqref="M149:M150">
    <cfRule type="cellIs" dxfId="8293" priority="23154" operator="equal">
      <formula>"value일 미도래"</formula>
    </cfRule>
  </conditionalFormatting>
  <conditionalFormatting sqref="M149:M150">
    <cfRule type="cellIs" dxfId="8292" priority="23153" operator="equal">
      <formula>"value일 미도래"</formula>
    </cfRule>
  </conditionalFormatting>
  <conditionalFormatting sqref="M149:M150">
    <cfRule type="cellIs" dxfId="8291" priority="23152" operator="equal">
      <formula>"value일 미도래"</formula>
    </cfRule>
  </conditionalFormatting>
  <conditionalFormatting sqref="M149:M150">
    <cfRule type="cellIs" dxfId="8290" priority="23151" operator="equal">
      <formula>"value일 미도래"</formula>
    </cfRule>
  </conditionalFormatting>
  <conditionalFormatting sqref="M149:M150">
    <cfRule type="cellIs" dxfId="8289" priority="23150" operator="equal">
      <formula>"value일 미도래"</formula>
    </cfRule>
  </conditionalFormatting>
  <conditionalFormatting sqref="M149:M150">
    <cfRule type="cellIs" dxfId="8288" priority="23149" operator="equal">
      <formula>"value일 미도래"</formula>
    </cfRule>
  </conditionalFormatting>
  <conditionalFormatting sqref="M149:M150">
    <cfRule type="cellIs" dxfId="8287" priority="23148" operator="equal">
      <formula>"value일 미도래"</formula>
    </cfRule>
  </conditionalFormatting>
  <conditionalFormatting sqref="M149:M150">
    <cfRule type="cellIs" dxfId="8286" priority="23146" operator="equal">
      <formula>"value일 미도래"</formula>
    </cfRule>
  </conditionalFormatting>
  <conditionalFormatting sqref="M149:M150">
    <cfRule type="cellIs" dxfId="8285" priority="23145" operator="equal">
      <formula>"value일 미도래"</formula>
    </cfRule>
  </conditionalFormatting>
  <conditionalFormatting sqref="M149:M150">
    <cfRule type="cellIs" dxfId="8284" priority="23144" operator="equal">
      <formula>"value일 미도래"</formula>
    </cfRule>
  </conditionalFormatting>
  <conditionalFormatting sqref="M148:M149">
    <cfRule type="cellIs" dxfId="8283" priority="23143" operator="equal">
      <formula>"value일 미도래"</formula>
    </cfRule>
  </conditionalFormatting>
  <conditionalFormatting sqref="M148:M149">
    <cfRule type="cellIs" dxfId="8282" priority="23142" operator="equal">
      <formula>"value일 미도래"</formula>
    </cfRule>
  </conditionalFormatting>
  <conditionalFormatting sqref="M152:M153">
    <cfRule type="cellIs" dxfId="8281" priority="23141" operator="equal">
      <formula>"value일 미도래"</formula>
    </cfRule>
  </conditionalFormatting>
  <conditionalFormatting sqref="M152:M153">
    <cfRule type="cellIs" dxfId="8280" priority="23140" operator="equal">
      <formula>"value일 미도래"</formula>
    </cfRule>
  </conditionalFormatting>
  <conditionalFormatting sqref="M152:M153">
    <cfRule type="cellIs" dxfId="8279" priority="23139" operator="equal">
      <formula>"value일 미도래"</formula>
    </cfRule>
  </conditionalFormatting>
  <conditionalFormatting sqref="M152:M153">
    <cfRule type="cellIs" dxfId="8278" priority="23138" operator="equal">
      <formula>"value일 미도래"</formula>
    </cfRule>
  </conditionalFormatting>
  <conditionalFormatting sqref="M149:M150">
    <cfRule type="cellIs" dxfId="8277" priority="23137" operator="equal">
      <formula>"value일 미도래"</formula>
    </cfRule>
  </conditionalFormatting>
  <conditionalFormatting sqref="M149:M150">
    <cfRule type="cellIs" dxfId="8276" priority="23136" operator="equal">
      <formula>"value일 미도래"</formula>
    </cfRule>
  </conditionalFormatting>
  <conditionalFormatting sqref="M149:M150">
    <cfRule type="cellIs" dxfId="8275" priority="23135" operator="equal">
      <formula>"value일 미도래"</formula>
    </cfRule>
  </conditionalFormatting>
  <conditionalFormatting sqref="M150:M151">
    <cfRule type="cellIs" dxfId="8274" priority="23134" operator="equal">
      <formula>"value일 미도래"</formula>
    </cfRule>
  </conditionalFormatting>
  <conditionalFormatting sqref="M150:M151">
    <cfRule type="cellIs" dxfId="8273" priority="23133" operator="equal">
      <formula>"value일 미도래"</formula>
    </cfRule>
  </conditionalFormatting>
  <conditionalFormatting sqref="M150:M151">
    <cfRule type="cellIs" dxfId="8272" priority="23132" operator="equal">
      <formula>"value일 미도래"</formula>
    </cfRule>
  </conditionalFormatting>
  <conditionalFormatting sqref="M148:M149">
    <cfRule type="cellIs" dxfId="8271" priority="23131" operator="equal">
      <formula>"value일 미도래"</formula>
    </cfRule>
  </conditionalFormatting>
  <conditionalFormatting sqref="M148:M149">
    <cfRule type="cellIs" dxfId="8270" priority="23130" operator="equal">
      <formula>"value일 미도래"</formula>
    </cfRule>
  </conditionalFormatting>
  <conditionalFormatting sqref="M148:M149">
    <cfRule type="cellIs" dxfId="8269" priority="23129" operator="equal">
      <formula>"value일 미도래"</formula>
    </cfRule>
  </conditionalFormatting>
  <conditionalFormatting sqref="M148:M149">
    <cfRule type="cellIs" dxfId="8268" priority="23128" operator="equal">
      <formula>"value일 미도래"</formula>
    </cfRule>
  </conditionalFormatting>
  <conditionalFormatting sqref="M148:M149">
    <cfRule type="cellIs" dxfId="8267" priority="23127" operator="equal">
      <formula>"value일 미도래"</formula>
    </cfRule>
  </conditionalFormatting>
  <conditionalFormatting sqref="M148:M149">
    <cfRule type="cellIs" dxfId="8266" priority="23126" operator="equal">
      <formula>"value일 미도래"</formula>
    </cfRule>
  </conditionalFormatting>
  <conditionalFormatting sqref="M148:M149">
    <cfRule type="cellIs" dxfId="8265" priority="23125" operator="equal">
      <formula>"value일 미도래"</formula>
    </cfRule>
  </conditionalFormatting>
  <conditionalFormatting sqref="M148:M149">
    <cfRule type="cellIs" dxfId="8264" priority="23124" operator="equal">
      <formula>"value일 미도래"</formula>
    </cfRule>
  </conditionalFormatting>
  <conditionalFormatting sqref="M148:M149">
    <cfRule type="cellIs" dxfId="8263" priority="23123" operator="equal">
      <formula>"value일 미도래"</formula>
    </cfRule>
  </conditionalFormatting>
  <conditionalFormatting sqref="M148:M149">
    <cfRule type="cellIs" dxfId="8262" priority="23121" operator="equal">
      <formula>"value일 미도래"</formula>
    </cfRule>
  </conditionalFormatting>
  <conditionalFormatting sqref="M148:M149">
    <cfRule type="cellIs" dxfId="8261" priority="23120" operator="equal">
      <formula>"value일 미도래"</formula>
    </cfRule>
  </conditionalFormatting>
  <conditionalFormatting sqref="M148:M149">
    <cfRule type="cellIs" dxfId="8260" priority="23119" operator="equal">
      <formula>"value일 미도래"</formula>
    </cfRule>
  </conditionalFormatting>
  <conditionalFormatting sqref="M149:M150">
    <cfRule type="cellIs" dxfId="8259" priority="23118" operator="equal">
      <formula>"value일 미도래"</formula>
    </cfRule>
  </conditionalFormatting>
  <conditionalFormatting sqref="M149:M150">
    <cfRule type="cellIs" dxfId="8258" priority="23117" operator="equal">
      <formula>"value일 미도래"</formula>
    </cfRule>
  </conditionalFormatting>
  <conditionalFormatting sqref="M149:M150">
    <cfRule type="cellIs" dxfId="8257" priority="23116" operator="equal">
      <formula>"value일 미도래"</formula>
    </cfRule>
  </conditionalFormatting>
  <conditionalFormatting sqref="M148:M149">
    <cfRule type="cellIs" dxfId="8256" priority="23115" operator="equal">
      <formula>"value일 미도래"</formula>
    </cfRule>
  </conditionalFormatting>
  <conditionalFormatting sqref="M148:M149">
    <cfRule type="cellIs" dxfId="8255" priority="23114" operator="equal">
      <formula>"value일 미도래"</formula>
    </cfRule>
  </conditionalFormatting>
  <conditionalFormatting sqref="M148:M149">
    <cfRule type="cellIs" dxfId="8254" priority="23113" operator="equal">
      <formula>"value일 미도래"</formula>
    </cfRule>
  </conditionalFormatting>
  <conditionalFormatting sqref="M149:M150">
    <cfRule type="cellIs" dxfId="8253" priority="23112" operator="equal">
      <formula>"value일 미도래"</formula>
    </cfRule>
  </conditionalFormatting>
  <conditionalFormatting sqref="M149:M150">
    <cfRule type="cellIs" dxfId="8252" priority="23111" operator="equal">
      <formula>"value일 미도래"</formula>
    </cfRule>
  </conditionalFormatting>
  <conditionalFormatting sqref="M149:M150">
    <cfRule type="cellIs" dxfId="8251" priority="23110" operator="equal">
      <formula>"value일 미도래"</formula>
    </cfRule>
  </conditionalFormatting>
  <conditionalFormatting sqref="M148:M149">
    <cfRule type="cellIs" dxfId="8250" priority="23109" operator="equal">
      <formula>"value일 미도래"</formula>
    </cfRule>
  </conditionalFormatting>
  <conditionalFormatting sqref="M148:M149">
    <cfRule type="cellIs" dxfId="8249" priority="23108" operator="equal">
      <formula>"value일 미도래"</formula>
    </cfRule>
  </conditionalFormatting>
  <conditionalFormatting sqref="M148:M149">
    <cfRule type="cellIs" dxfId="8248" priority="23107" operator="equal">
      <formula>"value일 미도래"</formula>
    </cfRule>
  </conditionalFormatting>
  <conditionalFormatting sqref="M148">
    <cfRule type="cellIs" dxfId="8247" priority="23106" operator="equal">
      <formula>"value일 미도래"</formula>
    </cfRule>
  </conditionalFormatting>
  <conditionalFormatting sqref="M148">
    <cfRule type="cellIs" dxfId="8246" priority="23105" operator="equal">
      <formula>"value일 미도래"</formula>
    </cfRule>
  </conditionalFormatting>
  <conditionalFormatting sqref="M148">
    <cfRule type="cellIs" dxfId="8245" priority="23104" operator="equal">
      <formula>"value일 미도래"</formula>
    </cfRule>
  </conditionalFormatting>
  <conditionalFormatting sqref="M148">
    <cfRule type="cellIs" dxfId="8244" priority="23103" operator="equal">
      <formula>"value일 미도래"</formula>
    </cfRule>
  </conditionalFormatting>
  <conditionalFormatting sqref="M148">
    <cfRule type="cellIs" dxfId="8243" priority="23102" operator="equal">
      <formula>"value일 미도래"</formula>
    </cfRule>
  </conditionalFormatting>
  <conditionalFormatting sqref="M148">
    <cfRule type="cellIs" dxfId="8242" priority="23101" operator="equal">
      <formula>"value일 미도래"</formula>
    </cfRule>
  </conditionalFormatting>
  <conditionalFormatting sqref="M148">
    <cfRule type="cellIs" dxfId="8241" priority="23099" operator="equal">
      <formula>"value일 미도래"</formula>
    </cfRule>
  </conditionalFormatting>
  <conditionalFormatting sqref="M148">
    <cfRule type="cellIs" dxfId="8240" priority="23098" operator="equal">
      <formula>"value일 미도래"</formula>
    </cfRule>
  </conditionalFormatting>
  <conditionalFormatting sqref="M148">
    <cfRule type="cellIs" dxfId="8239" priority="23097" operator="equal">
      <formula>"value일 미도래"</formula>
    </cfRule>
  </conditionalFormatting>
  <conditionalFormatting sqref="M148">
    <cfRule type="cellIs" dxfId="8238" priority="23096" operator="equal">
      <formula>"value일 미도래"</formula>
    </cfRule>
  </conditionalFormatting>
  <conditionalFormatting sqref="M148">
    <cfRule type="cellIs" dxfId="8237" priority="23095" operator="equal">
      <formula>"value일 미도래"</formula>
    </cfRule>
  </conditionalFormatting>
  <conditionalFormatting sqref="M148">
    <cfRule type="cellIs" dxfId="8236" priority="23094" operator="equal">
      <formula>"value일 미도래"</formula>
    </cfRule>
  </conditionalFormatting>
  <conditionalFormatting sqref="M148">
    <cfRule type="cellIs" dxfId="8235" priority="23093" operator="equal">
      <formula>"value일 미도래"</formula>
    </cfRule>
  </conditionalFormatting>
  <conditionalFormatting sqref="M148">
    <cfRule type="cellIs" dxfId="8234" priority="23092" operator="equal">
      <formula>"value일 미도래"</formula>
    </cfRule>
  </conditionalFormatting>
  <conditionalFormatting sqref="M148">
    <cfRule type="cellIs" dxfId="8233" priority="23090" operator="equal">
      <formula>"value일 미도래"</formula>
    </cfRule>
  </conditionalFormatting>
  <conditionalFormatting sqref="M148">
    <cfRule type="cellIs" dxfId="8232" priority="23089" operator="equal">
      <formula>"value일 미도래"</formula>
    </cfRule>
  </conditionalFormatting>
  <conditionalFormatting sqref="M148">
    <cfRule type="cellIs" dxfId="8231" priority="23088" operator="equal">
      <formula>"value일 미도래"</formula>
    </cfRule>
  </conditionalFormatting>
  <conditionalFormatting sqref="M148">
    <cfRule type="cellIs" dxfId="8230" priority="23087" operator="equal">
      <formula>"value일 미도래"</formula>
    </cfRule>
  </conditionalFormatting>
  <conditionalFormatting sqref="M148">
    <cfRule type="cellIs" dxfId="8229" priority="23086" operator="equal">
      <formula>"value일 미도래"</formula>
    </cfRule>
  </conditionalFormatting>
  <conditionalFormatting sqref="M148">
    <cfRule type="cellIs" dxfId="8228" priority="23085" operator="equal">
      <formula>"value일 미도래"</formula>
    </cfRule>
  </conditionalFormatting>
  <conditionalFormatting sqref="M148">
    <cfRule type="cellIs" dxfId="8227" priority="23084" operator="equal">
      <formula>"value일 미도래"</formula>
    </cfRule>
  </conditionalFormatting>
  <conditionalFormatting sqref="M148">
    <cfRule type="cellIs" dxfId="8226" priority="23083" operator="equal">
      <formula>"value일 미도래"</formula>
    </cfRule>
  </conditionalFormatting>
  <conditionalFormatting sqref="M148">
    <cfRule type="cellIs" dxfId="8225" priority="23082" operator="equal">
      <formula>"value일 미도래"</formula>
    </cfRule>
  </conditionalFormatting>
  <conditionalFormatting sqref="M148">
    <cfRule type="cellIs" dxfId="8224" priority="23081" operator="equal">
      <formula>"value일 미도래"</formula>
    </cfRule>
  </conditionalFormatting>
  <conditionalFormatting sqref="M148">
    <cfRule type="cellIs" dxfId="8223" priority="23080" operator="equal">
      <formula>"value일 미도래"</formula>
    </cfRule>
  </conditionalFormatting>
  <conditionalFormatting sqref="M148">
    <cfRule type="cellIs" dxfId="8222" priority="23078" operator="equal">
      <formula>"value일 미도래"</formula>
    </cfRule>
  </conditionalFormatting>
  <conditionalFormatting sqref="M148">
    <cfRule type="cellIs" dxfId="8221" priority="23077" operator="equal">
      <formula>"value일 미도래"</formula>
    </cfRule>
  </conditionalFormatting>
  <conditionalFormatting sqref="M148">
    <cfRule type="cellIs" dxfId="8220" priority="23076" operator="equal">
      <formula>"value일 미도래"</formula>
    </cfRule>
  </conditionalFormatting>
  <conditionalFormatting sqref="M148">
    <cfRule type="cellIs" dxfId="8219" priority="23075" operator="equal">
      <formula>"value일 미도래"</formula>
    </cfRule>
  </conditionalFormatting>
  <conditionalFormatting sqref="M148">
    <cfRule type="cellIs" dxfId="8218" priority="23074" operator="equal">
      <formula>"value일 미도래"</formula>
    </cfRule>
  </conditionalFormatting>
  <conditionalFormatting sqref="M148">
    <cfRule type="cellIs" dxfId="8217" priority="23073" operator="equal">
      <formula>"value일 미도래"</formula>
    </cfRule>
  </conditionalFormatting>
  <conditionalFormatting sqref="M148">
    <cfRule type="cellIs" dxfId="8216" priority="23072" operator="equal">
      <formula>"value일 미도래"</formula>
    </cfRule>
  </conditionalFormatting>
  <conditionalFormatting sqref="M148">
    <cfRule type="cellIs" dxfId="8215" priority="23071" operator="equal">
      <formula>"value일 미도래"</formula>
    </cfRule>
  </conditionalFormatting>
  <conditionalFormatting sqref="M148">
    <cfRule type="cellIs" dxfId="8214" priority="23070" operator="equal">
      <formula>"value일 미도래"</formula>
    </cfRule>
  </conditionalFormatting>
  <conditionalFormatting sqref="M148">
    <cfRule type="cellIs" dxfId="8213" priority="23069" operator="equal">
      <formula>"value일 미도래"</formula>
    </cfRule>
  </conditionalFormatting>
  <conditionalFormatting sqref="M148">
    <cfRule type="cellIs" dxfId="8212" priority="23068" operator="equal">
      <formula>"value일 미도래"</formula>
    </cfRule>
  </conditionalFormatting>
  <conditionalFormatting sqref="M148">
    <cfRule type="cellIs" dxfId="8211" priority="23066" operator="equal">
      <formula>"value일 미도래"</formula>
    </cfRule>
  </conditionalFormatting>
  <conditionalFormatting sqref="M148">
    <cfRule type="cellIs" dxfId="8210" priority="23065" operator="equal">
      <formula>"value일 미도래"</formula>
    </cfRule>
  </conditionalFormatting>
  <conditionalFormatting sqref="M148">
    <cfRule type="cellIs" dxfId="8209" priority="23064" operator="equal">
      <formula>"value일 미도래"</formula>
    </cfRule>
  </conditionalFormatting>
  <conditionalFormatting sqref="M148:M149">
    <cfRule type="cellIs" dxfId="8208" priority="23063" operator="equal">
      <formula>"value일 미도래"</formula>
    </cfRule>
  </conditionalFormatting>
  <conditionalFormatting sqref="M148:M149">
    <cfRule type="cellIs" dxfId="8207" priority="23062" operator="equal">
      <formula>"value일 미도래"</formula>
    </cfRule>
  </conditionalFormatting>
  <conditionalFormatting sqref="M149:M150">
    <cfRule type="cellIs" dxfId="8206" priority="23061" operator="equal">
      <formula>"value일 미도래"</formula>
    </cfRule>
  </conditionalFormatting>
  <conditionalFormatting sqref="M149:M150">
    <cfRule type="cellIs" dxfId="8205" priority="23060" operator="equal">
      <formula>"value일 미도래"</formula>
    </cfRule>
  </conditionalFormatting>
  <conditionalFormatting sqref="M149:M150">
    <cfRule type="cellIs" dxfId="8204" priority="23059" operator="equal">
      <formula>"value일 미도래"</formula>
    </cfRule>
  </conditionalFormatting>
  <conditionalFormatting sqref="M150:M151">
    <cfRule type="cellIs" dxfId="8203" priority="23058" operator="equal">
      <formula>"value일 미도래"</formula>
    </cfRule>
  </conditionalFormatting>
  <conditionalFormatting sqref="M150:M151">
    <cfRule type="cellIs" dxfId="8202" priority="23057" operator="equal">
      <formula>"value일 미도래"</formula>
    </cfRule>
  </conditionalFormatting>
  <conditionalFormatting sqref="M150:M151">
    <cfRule type="cellIs" dxfId="8201" priority="23056" operator="equal">
      <formula>"value일 미도래"</formula>
    </cfRule>
  </conditionalFormatting>
  <conditionalFormatting sqref="M148:M149">
    <cfRule type="cellIs" dxfId="8200" priority="23055" operator="equal">
      <formula>"value일 미도래"</formula>
    </cfRule>
  </conditionalFormatting>
  <conditionalFormatting sqref="M148:M149">
    <cfRule type="cellIs" dxfId="8199" priority="23054" operator="equal">
      <formula>"value일 미도래"</formula>
    </cfRule>
  </conditionalFormatting>
  <conditionalFormatting sqref="M148:M149">
    <cfRule type="cellIs" dxfId="8198" priority="23053" operator="equal">
      <formula>"value일 미도래"</formula>
    </cfRule>
  </conditionalFormatting>
  <conditionalFormatting sqref="M148:M149">
    <cfRule type="cellIs" dxfId="8197" priority="23052" operator="equal">
      <formula>"value일 미도래"</formula>
    </cfRule>
  </conditionalFormatting>
  <conditionalFormatting sqref="M148:M149">
    <cfRule type="cellIs" dxfId="8196" priority="23051" operator="equal">
      <formula>"value일 미도래"</formula>
    </cfRule>
  </conditionalFormatting>
  <conditionalFormatting sqref="M148:M149">
    <cfRule type="cellIs" dxfId="8195" priority="23050" operator="equal">
      <formula>"value일 미도래"</formula>
    </cfRule>
  </conditionalFormatting>
  <conditionalFormatting sqref="M148:M149">
    <cfRule type="cellIs" dxfId="8194" priority="23049" operator="equal">
      <formula>"value일 미도래"</formula>
    </cfRule>
  </conditionalFormatting>
  <conditionalFormatting sqref="M148:M149">
    <cfRule type="cellIs" dxfId="8193" priority="23048" operator="equal">
      <formula>"value일 미도래"</formula>
    </cfRule>
  </conditionalFormatting>
  <conditionalFormatting sqref="M148:M149">
    <cfRule type="cellIs" dxfId="8192" priority="23047" operator="equal">
      <formula>"value일 미도래"</formula>
    </cfRule>
  </conditionalFormatting>
  <conditionalFormatting sqref="M148:M149">
    <cfRule type="cellIs" dxfId="8191" priority="23045" operator="equal">
      <formula>"value일 미도래"</formula>
    </cfRule>
  </conditionalFormatting>
  <conditionalFormatting sqref="M148:M149">
    <cfRule type="cellIs" dxfId="8190" priority="23044" operator="equal">
      <formula>"value일 미도래"</formula>
    </cfRule>
  </conditionalFormatting>
  <conditionalFormatting sqref="M148:M149">
    <cfRule type="cellIs" dxfId="8189" priority="23043" operator="equal">
      <formula>"value일 미도래"</formula>
    </cfRule>
  </conditionalFormatting>
  <conditionalFormatting sqref="M149:M150">
    <cfRule type="cellIs" dxfId="8188" priority="23042" operator="equal">
      <formula>"value일 미도래"</formula>
    </cfRule>
  </conditionalFormatting>
  <conditionalFormatting sqref="M149:M150">
    <cfRule type="cellIs" dxfId="8187" priority="23041" operator="equal">
      <formula>"value일 미도래"</formula>
    </cfRule>
  </conditionalFormatting>
  <conditionalFormatting sqref="M149:M150">
    <cfRule type="cellIs" dxfId="8186" priority="23040" operator="equal">
      <formula>"value일 미도래"</formula>
    </cfRule>
  </conditionalFormatting>
  <conditionalFormatting sqref="M148:M149">
    <cfRule type="cellIs" dxfId="8185" priority="23039" operator="equal">
      <formula>"value일 미도래"</formula>
    </cfRule>
  </conditionalFormatting>
  <conditionalFormatting sqref="M148:M149">
    <cfRule type="cellIs" dxfId="8184" priority="23038" operator="equal">
      <formula>"value일 미도래"</formula>
    </cfRule>
  </conditionalFormatting>
  <conditionalFormatting sqref="M148:M149">
    <cfRule type="cellIs" dxfId="8183" priority="23037" operator="equal">
      <formula>"value일 미도래"</formula>
    </cfRule>
  </conditionalFormatting>
  <conditionalFormatting sqref="M149:M150">
    <cfRule type="cellIs" dxfId="8182" priority="23036" operator="equal">
      <formula>"value일 미도래"</formula>
    </cfRule>
  </conditionalFormatting>
  <conditionalFormatting sqref="M149:M150">
    <cfRule type="cellIs" dxfId="8181" priority="23035" operator="equal">
      <formula>"value일 미도래"</formula>
    </cfRule>
  </conditionalFormatting>
  <conditionalFormatting sqref="M149:M150">
    <cfRule type="cellIs" dxfId="8180" priority="23034" operator="equal">
      <formula>"value일 미도래"</formula>
    </cfRule>
  </conditionalFormatting>
  <conditionalFormatting sqref="M148:M149">
    <cfRule type="cellIs" dxfId="8179" priority="23033" operator="equal">
      <formula>"value일 미도래"</formula>
    </cfRule>
  </conditionalFormatting>
  <conditionalFormatting sqref="M148:M149">
    <cfRule type="cellIs" dxfId="8178" priority="23032" operator="equal">
      <formula>"value일 미도래"</formula>
    </cfRule>
  </conditionalFormatting>
  <conditionalFormatting sqref="M148:M149">
    <cfRule type="cellIs" dxfId="8177" priority="23031" operator="equal">
      <formula>"value일 미도래"</formula>
    </cfRule>
  </conditionalFormatting>
  <conditionalFormatting sqref="M148">
    <cfRule type="cellIs" dxfId="8176" priority="23030" operator="equal">
      <formula>"value일 미도래"</formula>
    </cfRule>
  </conditionalFormatting>
  <conditionalFormatting sqref="M148">
    <cfRule type="cellIs" dxfId="8175" priority="23029" operator="equal">
      <formula>"value일 미도래"</formula>
    </cfRule>
  </conditionalFormatting>
  <conditionalFormatting sqref="M148">
    <cfRule type="cellIs" dxfId="8174" priority="23028" operator="equal">
      <formula>"value일 미도래"</formula>
    </cfRule>
  </conditionalFormatting>
  <conditionalFormatting sqref="M148">
    <cfRule type="cellIs" dxfId="8173" priority="23027" operator="equal">
      <formula>"value일 미도래"</formula>
    </cfRule>
  </conditionalFormatting>
  <conditionalFormatting sqref="M148">
    <cfRule type="cellIs" dxfId="8172" priority="23026" operator="equal">
      <formula>"value일 미도래"</formula>
    </cfRule>
  </conditionalFormatting>
  <conditionalFormatting sqref="M148">
    <cfRule type="cellIs" dxfId="8171" priority="23025" operator="equal">
      <formula>"value일 미도래"</formula>
    </cfRule>
  </conditionalFormatting>
  <conditionalFormatting sqref="M148">
    <cfRule type="cellIs" dxfId="8170" priority="23023" operator="equal">
      <formula>"value일 미도래"</formula>
    </cfRule>
  </conditionalFormatting>
  <conditionalFormatting sqref="M148">
    <cfRule type="cellIs" dxfId="8169" priority="23022" operator="equal">
      <formula>"value일 미도래"</formula>
    </cfRule>
  </conditionalFormatting>
  <conditionalFormatting sqref="M148">
    <cfRule type="cellIs" dxfId="8168" priority="23021" operator="equal">
      <formula>"value일 미도래"</formula>
    </cfRule>
  </conditionalFormatting>
  <conditionalFormatting sqref="M148">
    <cfRule type="cellIs" dxfId="8167" priority="23020" operator="equal">
      <formula>"value일 미도래"</formula>
    </cfRule>
  </conditionalFormatting>
  <conditionalFormatting sqref="M148">
    <cfRule type="cellIs" dxfId="8166" priority="23019" operator="equal">
      <formula>"value일 미도래"</formula>
    </cfRule>
  </conditionalFormatting>
  <conditionalFormatting sqref="M148">
    <cfRule type="cellIs" dxfId="8165" priority="23018" operator="equal">
      <formula>"value일 미도래"</formula>
    </cfRule>
  </conditionalFormatting>
  <conditionalFormatting sqref="M148">
    <cfRule type="cellIs" dxfId="8164" priority="23017" operator="equal">
      <formula>"value일 미도래"</formula>
    </cfRule>
  </conditionalFormatting>
  <conditionalFormatting sqref="M148">
    <cfRule type="cellIs" dxfId="8163" priority="23016" operator="equal">
      <formula>"value일 미도래"</formula>
    </cfRule>
  </conditionalFormatting>
  <conditionalFormatting sqref="M148">
    <cfRule type="cellIs" dxfId="8162" priority="23014" operator="equal">
      <formula>"value일 미도래"</formula>
    </cfRule>
  </conditionalFormatting>
  <conditionalFormatting sqref="M148">
    <cfRule type="cellIs" dxfId="8161" priority="23013" operator="equal">
      <formula>"value일 미도래"</formula>
    </cfRule>
  </conditionalFormatting>
  <conditionalFormatting sqref="M148">
    <cfRule type="cellIs" dxfId="8160" priority="23012" operator="equal">
      <formula>"value일 미도래"</formula>
    </cfRule>
  </conditionalFormatting>
  <conditionalFormatting sqref="M148">
    <cfRule type="cellIs" dxfId="8159" priority="23011" operator="equal">
      <formula>"value일 미도래"</formula>
    </cfRule>
  </conditionalFormatting>
  <conditionalFormatting sqref="M148">
    <cfRule type="cellIs" dxfId="8158" priority="23010" operator="equal">
      <formula>"value일 미도래"</formula>
    </cfRule>
  </conditionalFormatting>
  <conditionalFormatting sqref="M148">
    <cfRule type="cellIs" dxfId="8157" priority="23009" operator="equal">
      <formula>"value일 미도래"</formula>
    </cfRule>
  </conditionalFormatting>
  <conditionalFormatting sqref="M148">
    <cfRule type="cellIs" dxfId="8156" priority="23008" operator="equal">
      <formula>"value일 미도래"</formula>
    </cfRule>
  </conditionalFormatting>
  <conditionalFormatting sqref="M148">
    <cfRule type="cellIs" dxfId="8155" priority="23007" operator="equal">
      <formula>"value일 미도래"</formula>
    </cfRule>
  </conditionalFormatting>
  <conditionalFormatting sqref="M148">
    <cfRule type="cellIs" dxfId="8154" priority="23006" operator="equal">
      <formula>"value일 미도래"</formula>
    </cfRule>
  </conditionalFormatting>
  <conditionalFormatting sqref="M148">
    <cfRule type="cellIs" dxfId="8153" priority="23005" operator="equal">
      <formula>"value일 미도래"</formula>
    </cfRule>
  </conditionalFormatting>
  <conditionalFormatting sqref="M148">
    <cfRule type="cellIs" dxfId="8152" priority="23004" operator="equal">
      <formula>"value일 미도래"</formula>
    </cfRule>
  </conditionalFormatting>
  <conditionalFormatting sqref="M148">
    <cfRule type="cellIs" dxfId="8151" priority="23002" operator="equal">
      <formula>"value일 미도래"</formula>
    </cfRule>
  </conditionalFormatting>
  <conditionalFormatting sqref="M148">
    <cfRule type="cellIs" dxfId="8150" priority="23001" operator="equal">
      <formula>"value일 미도래"</formula>
    </cfRule>
  </conditionalFormatting>
  <conditionalFormatting sqref="M148">
    <cfRule type="cellIs" dxfId="8149" priority="23000" operator="equal">
      <formula>"value일 미도래"</formula>
    </cfRule>
  </conditionalFormatting>
  <conditionalFormatting sqref="M148">
    <cfRule type="cellIs" dxfId="8148" priority="22999" operator="equal">
      <formula>"value일 미도래"</formula>
    </cfRule>
  </conditionalFormatting>
  <conditionalFormatting sqref="M148">
    <cfRule type="cellIs" dxfId="8147" priority="22998" operator="equal">
      <formula>"value일 미도래"</formula>
    </cfRule>
  </conditionalFormatting>
  <conditionalFormatting sqref="M148">
    <cfRule type="cellIs" dxfId="8146" priority="22997" operator="equal">
      <formula>"value일 미도래"</formula>
    </cfRule>
  </conditionalFormatting>
  <conditionalFormatting sqref="M148">
    <cfRule type="cellIs" dxfId="8145" priority="22996" operator="equal">
      <formula>"value일 미도래"</formula>
    </cfRule>
  </conditionalFormatting>
  <conditionalFormatting sqref="M148">
    <cfRule type="cellIs" dxfId="8144" priority="22995" operator="equal">
      <formula>"value일 미도래"</formula>
    </cfRule>
  </conditionalFormatting>
  <conditionalFormatting sqref="M148">
    <cfRule type="cellIs" dxfId="8143" priority="22994" operator="equal">
      <formula>"value일 미도래"</formula>
    </cfRule>
  </conditionalFormatting>
  <conditionalFormatting sqref="M148">
    <cfRule type="cellIs" dxfId="8142" priority="22993" operator="equal">
      <formula>"value일 미도래"</formula>
    </cfRule>
  </conditionalFormatting>
  <conditionalFormatting sqref="M148">
    <cfRule type="cellIs" dxfId="8141" priority="22992" operator="equal">
      <formula>"value일 미도래"</formula>
    </cfRule>
  </conditionalFormatting>
  <conditionalFormatting sqref="M148">
    <cfRule type="cellIs" dxfId="8140" priority="22990" operator="equal">
      <formula>"value일 미도래"</formula>
    </cfRule>
  </conditionalFormatting>
  <conditionalFormatting sqref="M148">
    <cfRule type="cellIs" dxfId="8139" priority="22989" operator="equal">
      <formula>"value일 미도래"</formula>
    </cfRule>
  </conditionalFormatting>
  <conditionalFormatting sqref="M148">
    <cfRule type="cellIs" dxfId="8138" priority="22988" operator="equal">
      <formula>"value일 미도래"</formula>
    </cfRule>
  </conditionalFormatting>
  <conditionalFormatting sqref="M150:M151">
    <cfRule type="cellIs" dxfId="8137" priority="22987" operator="equal">
      <formula>"value일 미도래"</formula>
    </cfRule>
  </conditionalFormatting>
  <conditionalFormatting sqref="M150:M151">
    <cfRule type="cellIs" dxfId="8136" priority="22986" operator="equal">
      <formula>"value일 미도래"</formula>
    </cfRule>
  </conditionalFormatting>
  <conditionalFormatting sqref="M150:M151">
    <cfRule type="cellIs" dxfId="8135" priority="22985" operator="equal">
      <formula>"value일 미도래"</formula>
    </cfRule>
  </conditionalFormatting>
  <conditionalFormatting sqref="M150:M151">
    <cfRule type="cellIs" dxfId="8134" priority="22984" operator="equal">
      <formula>"value일 미도래"</formula>
    </cfRule>
  </conditionalFormatting>
  <conditionalFormatting sqref="M148">
    <cfRule type="cellIs" dxfId="8133" priority="22983" operator="equal">
      <formula>"value일 미도래"</formula>
    </cfRule>
  </conditionalFormatting>
  <conditionalFormatting sqref="M148">
    <cfRule type="cellIs" dxfId="8132" priority="22982" operator="equal">
      <formula>"value일 미도래"</formula>
    </cfRule>
  </conditionalFormatting>
  <conditionalFormatting sqref="M148">
    <cfRule type="cellIs" dxfId="8131" priority="22981" operator="equal">
      <formula>"value일 미도래"</formula>
    </cfRule>
  </conditionalFormatting>
  <conditionalFormatting sqref="M148:M149">
    <cfRule type="cellIs" dxfId="8130" priority="22980" operator="equal">
      <formula>"value일 미도래"</formula>
    </cfRule>
  </conditionalFormatting>
  <conditionalFormatting sqref="M148:M149">
    <cfRule type="cellIs" dxfId="8129" priority="22979" operator="equal">
      <formula>"value일 미도래"</formula>
    </cfRule>
  </conditionalFormatting>
  <conditionalFormatting sqref="M148:M149">
    <cfRule type="cellIs" dxfId="8128" priority="22978" operator="equal">
      <formula>"value일 미도래"</formula>
    </cfRule>
  </conditionalFormatting>
  <conditionalFormatting sqref="M148">
    <cfRule type="cellIs" dxfId="8127" priority="22977" operator="equal">
      <formula>"value일 미도래"</formula>
    </cfRule>
  </conditionalFormatting>
  <conditionalFormatting sqref="M148">
    <cfRule type="cellIs" dxfId="8126" priority="22976" operator="equal">
      <formula>"value일 미도래"</formula>
    </cfRule>
  </conditionalFormatting>
  <conditionalFormatting sqref="M148">
    <cfRule type="cellIs" dxfId="8125" priority="22975" operator="equal">
      <formula>"value일 미도래"</formula>
    </cfRule>
  </conditionalFormatting>
  <conditionalFormatting sqref="M148">
    <cfRule type="cellIs" dxfId="8124" priority="22974" operator="equal">
      <formula>"value일 미도래"</formula>
    </cfRule>
  </conditionalFormatting>
  <conditionalFormatting sqref="M148">
    <cfRule type="cellIs" dxfId="8123" priority="22973" operator="equal">
      <formula>"value일 미도래"</formula>
    </cfRule>
  </conditionalFormatting>
  <conditionalFormatting sqref="M148">
    <cfRule type="cellIs" dxfId="8122" priority="22972" operator="equal">
      <formula>"value일 미도래"</formula>
    </cfRule>
  </conditionalFormatting>
  <conditionalFormatting sqref="M151:M152">
    <cfRule type="cellIs" dxfId="8121" priority="22971" operator="equal">
      <formula>"value일 미도래"</formula>
    </cfRule>
  </conditionalFormatting>
  <conditionalFormatting sqref="M151:M152">
    <cfRule type="cellIs" dxfId="8120" priority="22970" operator="equal">
      <formula>"value일 미도래"</formula>
    </cfRule>
  </conditionalFormatting>
  <conditionalFormatting sqref="M151:M152">
    <cfRule type="cellIs" dxfId="8119" priority="22969" operator="equal">
      <formula>"value일 미도래"</formula>
    </cfRule>
  </conditionalFormatting>
  <conditionalFormatting sqref="M151:M152">
    <cfRule type="cellIs" dxfId="8118" priority="22968" operator="equal">
      <formula>"value일 미도래"</formula>
    </cfRule>
  </conditionalFormatting>
  <conditionalFormatting sqref="M151:M152">
    <cfRule type="cellIs" dxfId="8117" priority="22967" operator="equal">
      <formula>"value일 미도래"</formula>
    </cfRule>
  </conditionalFormatting>
  <conditionalFormatting sqref="M151:M152">
    <cfRule type="cellIs" dxfId="8116" priority="22966" operator="equal">
      <formula>"value일 미도래"</formula>
    </cfRule>
  </conditionalFormatting>
  <conditionalFormatting sqref="M151:M152">
    <cfRule type="cellIs" dxfId="8115" priority="22964" operator="equal">
      <formula>"value일 미도래"</formula>
    </cfRule>
  </conditionalFormatting>
  <conditionalFormatting sqref="M151:M152">
    <cfRule type="cellIs" dxfId="8114" priority="22963" operator="equal">
      <formula>"value일 미도래"</formula>
    </cfRule>
  </conditionalFormatting>
  <conditionalFormatting sqref="M151:M152">
    <cfRule type="cellIs" dxfId="8113" priority="22962" operator="equal">
      <formula>"value일 미도래"</formula>
    </cfRule>
  </conditionalFormatting>
  <conditionalFormatting sqref="M151:M152">
    <cfRule type="cellIs" dxfId="8112" priority="22961" operator="equal">
      <formula>"value일 미도래"</formula>
    </cfRule>
  </conditionalFormatting>
  <conditionalFormatting sqref="M151:M152">
    <cfRule type="cellIs" dxfId="8111" priority="22960" operator="equal">
      <formula>"value일 미도래"</formula>
    </cfRule>
  </conditionalFormatting>
  <conditionalFormatting sqref="M151:M152">
    <cfRule type="cellIs" dxfId="8110" priority="22959" operator="equal">
      <formula>"value일 미도래"</formula>
    </cfRule>
  </conditionalFormatting>
  <conditionalFormatting sqref="M151:M152">
    <cfRule type="cellIs" dxfId="8109" priority="22958" operator="equal">
      <formula>"value일 미도래"</formula>
    </cfRule>
  </conditionalFormatting>
  <conditionalFormatting sqref="M151:M152">
    <cfRule type="cellIs" dxfId="8108" priority="22957" operator="equal">
      <formula>"value일 미도래"</formula>
    </cfRule>
  </conditionalFormatting>
  <conditionalFormatting sqref="M151:M152">
    <cfRule type="cellIs" dxfId="8107" priority="22955" operator="equal">
      <formula>"value일 미도래"</formula>
    </cfRule>
  </conditionalFormatting>
  <conditionalFormatting sqref="M151:M152">
    <cfRule type="cellIs" dxfId="8106" priority="22954" operator="equal">
      <formula>"value일 미도래"</formula>
    </cfRule>
  </conditionalFormatting>
  <conditionalFormatting sqref="M151:M152">
    <cfRule type="cellIs" dxfId="8105" priority="22953" operator="equal">
      <formula>"value일 미도래"</formula>
    </cfRule>
  </conditionalFormatting>
  <conditionalFormatting sqref="M151:M152">
    <cfRule type="cellIs" dxfId="8104" priority="22952" operator="equal">
      <formula>"value일 미도래"</formula>
    </cfRule>
  </conditionalFormatting>
  <conditionalFormatting sqref="M151:M152">
    <cfRule type="cellIs" dxfId="8103" priority="22951" operator="equal">
      <formula>"value일 미도래"</formula>
    </cfRule>
  </conditionalFormatting>
  <conditionalFormatting sqref="M151:M152">
    <cfRule type="cellIs" dxfId="8102" priority="22950" operator="equal">
      <formula>"value일 미도래"</formula>
    </cfRule>
  </conditionalFormatting>
  <conditionalFormatting sqref="M151:M152">
    <cfRule type="cellIs" dxfId="8101" priority="22949" operator="equal">
      <formula>"value일 미도래"</formula>
    </cfRule>
  </conditionalFormatting>
  <conditionalFormatting sqref="M151:M152">
    <cfRule type="cellIs" dxfId="8100" priority="22948" operator="equal">
      <formula>"value일 미도래"</formula>
    </cfRule>
  </conditionalFormatting>
  <conditionalFormatting sqref="M151:M152">
    <cfRule type="cellIs" dxfId="8099" priority="22947" operator="equal">
      <formula>"value일 미도래"</formula>
    </cfRule>
  </conditionalFormatting>
  <conditionalFormatting sqref="M151:M152">
    <cfRule type="cellIs" dxfId="8098" priority="22946" operator="equal">
      <formula>"value일 미도래"</formula>
    </cfRule>
  </conditionalFormatting>
  <conditionalFormatting sqref="M151:M152">
    <cfRule type="cellIs" dxfId="8097" priority="22945" operator="equal">
      <formula>"value일 미도래"</formula>
    </cfRule>
  </conditionalFormatting>
  <conditionalFormatting sqref="M151:M152">
    <cfRule type="cellIs" dxfId="8096" priority="22943" operator="equal">
      <formula>"value일 미도래"</formula>
    </cfRule>
  </conditionalFormatting>
  <conditionalFormatting sqref="M151:M152">
    <cfRule type="cellIs" dxfId="8095" priority="22942" operator="equal">
      <formula>"value일 미도래"</formula>
    </cfRule>
  </conditionalFormatting>
  <conditionalFormatting sqref="M151:M152">
    <cfRule type="cellIs" dxfId="8094" priority="22941" operator="equal">
      <formula>"value일 미도래"</formula>
    </cfRule>
  </conditionalFormatting>
  <conditionalFormatting sqref="M151:M152">
    <cfRule type="cellIs" dxfId="8093" priority="22940" operator="equal">
      <formula>"value일 미도래"</formula>
    </cfRule>
  </conditionalFormatting>
  <conditionalFormatting sqref="M151:M152">
    <cfRule type="cellIs" dxfId="8092" priority="22939" operator="equal">
      <formula>"value일 미도래"</formula>
    </cfRule>
  </conditionalFormatting>
  <conditionalFormatting sqref="M151:M152">
    <cfRule type="cellIs" dxfId="8091" priority="22938" operator="equal">
      <formula>"value일 미도래"</formula>
    </cfRule>
  </conditionalFormatting>
  <conditionalFormatting sqref="M151:M152">
    <cfRule type="cellIs" dxfId="8090" priority="22937" operator="equal">
      <formula>"value일 미도래"</formula>
    </cfRule>
  </conditionalFormatting>
  <conditionalFormatting sqref="M151:M152">
    <cfRule type="cellIs" dxfId="8089" priority="22936" operator="equal">
      <formula>"value일 미도래"</formula>
    </cfRule>
  </conditionalFormatting>
  <conditionalFormatting sqref="M151:M152">
    <cfRule type="cellIs" dxfId="8088" priority="22935" operator="equal">
      <formula>"value일 미도래"</formula>
    </cfRule>
  </conditionalFormatting>
  <conditionalFormatting sqref="M151:M152">
    <cfRule type="cellIs" dxfId="8087" priority="22934" operator="equal">
      <formula>"value일 미도래"</formula>
    </cfRule>
  </conditionalFormatting>
  <conditionalFormatting sqref="M151:M152">
    <cfRule type="cellIs" dxfId="8086" priority="22933" operator="equal">
      <formula>"value일 미도래"</formula>
    </cfRule>
  </conditionalFormatting>
  <conditionalFormatting sqref="M151:M152">
    <cfRule type="cellIs" dxfId="8085" priority="22931" operator="equal">
      <formula>"value일 미도래"</formula>
    </cfRule>
  </conditionalFormatting>
  <conditionalFormatting sqref="M151:M152">
    <cfRule type="cellIs" dxfId="8084" priority="22930" operator="equal">
      <formula>"value일 미도래"</formula>
    </cfRule>
  </conditionalFormatting>
  <conditionalFormatting sqref="M151:M152">
    <cfRule type="cellIs" dxfId="8083" priority="22929" operator="equal">
      <formula>"value일 미도래"</formula>
    </cfRule>
  </conditionalFormatting>
  <conditionalFormatting sqref="M151:M152">
    <cfRule type="cellIs" dxfId="8082" priority="22928" operator="equal">
      <formula>"value일 미도래"</formula>
    </cfRule>
  </conditionalFormatting>
  <conditionalFormatting sqref="M151:M152">
    <cfRule type="cellIs" dxfId="8081" priority="22927" operator="equal">
      <formula>"value일 미도래"</formula>
    </cfRule>
  </conditionalFormatting>
  <conditionalFormatting sqref="M151:M152">
    <cfRule type="cellIs" dxfId="8080" priority="22926" operator="equal">
      <formula>"value일 미도래"</formula>
    </cfRule>
  </conditionalFormatting>
  <conditionalFormatting sqref="M151:M152">
    <cfRule type="cellIs" dxfId="8079" priority="22925" operator="equal">
      <formula>"value일 미도래"</formula>
    </cfRule>
  </conditionalFormatting>
  <conditionalFormatting sqref="M151:M152">
    <cfRule type="cellIs" dxfId="8078" priority="22924" operator="equal">
      <formula>"value일 미도래"</formula>
    </cfRule>
  </conditionalFormatting>
  <conditionalFormatting sqref="M151:M152">
    <cfRule type="cellIs" dxfId="8077" priority="22923" operator="equal">
      <formula>"value일 미도래"</formula>
    </cfRule>
  </conditionalFormatting>
  <conditionalFormatting sqref="M151:M152">
    <cfRule type="cellIs" dxfId="8076" priority="22922" operator="equal">
      <formula>"value일 미도래"</formula>
    </cfRule>
  </conditionalFormatting>
  <conditionalFormatting sqref="M151:M152">
    <cfRule type="cellIs" dxfId="8075" priority="22921" operator="equal">
      <formula>"value일 미도래"</formula>
    </cfRule>
  </conditionalFormatting>
  <conditionalFormatting sqref="M151:M152">
    <cfRule type="cellIs" dxfId="8074" priority="22920" operator="equal">
      <formula>"value일 미도래"</formula>
    </cfRule>
  </conditionalFormatting>
  <conditionalFormatting sqref="M151:M152">
    <cfRule type="cellIs" dxfId="8073" priority="22919" operator="equal">
      <formula>"value일 미도래"</formula>
    </cfRule>
  </conditionalFormatting>
  <conditionalFormatting sqref="M151:M152">
    <cfRule type="cellIs" dxfId="8072" priority="22918" operator="equal">
      <formula>"value일 미도래"</formula>
    </cfRule>
  </conditionalFormatting>
  <conditionalFormatting sqref="M151:M152">
    <cfRule type="cellIs" dxfId="8071" priority="22916" operator="equal">
      <formula>"value일 미도래"</formula>
    </cfRule>
  </conditionalFormatting>
  <conditionalFormatting sqref="M151:M152">
    <cfRule type="cellIs" dxfId="8070" priority="22915" operator="equal">
      <formula>"value일 미도래"</formula>
    </cfRule>
  </conditionalFormatting>
  <conditionalFormatting sqref="M151:M152">
    <cfRule type="cellIs" dxfId="8069" priority="22914" operator="equal">
      <formula>"value일 미도래"</formula>
    </cfRule>
  </conditionalFormatting>
  <conditionalFormatting sqref="M151:M152">
    <cfRule type="cellIs" dxfId="8068" priority="22913" operator="equal">
      <formula>"value일 미도래"</formula>
    </cfRule>
  </conditionalFormatting>
  <conditionalFormatting sqref="M151:M152">
    <cfRule type="cellIs" dxfId="8067" priority="22912" operator="equal">
      <formula>"value일 미도래"</formula>
    </cfRule>
  </conditionalFormatting>
  <conditionalFormatting sqref="M151:M152">
    <cfRule type="cellIs" dxfId="8066" priority="22911" operator="equal">
      <formula>"value일 미도래"</formula>
    </cfRule>
  </conditionalFormatting>
  <conditionalFormatting sqref="M151:M152">
    <cfRule type="cellIs" dxfId="8065" priority="22910" operator="equal">
      <formula>"value일 미도래"</formula>
    </cfRule>
  </conditionalFormatting>
  <conditionalFormatting sqref="M151:M152">
    <cfRule type="cellIs" dxfId="8064" priority="22909" operator="equal">
      <formula>"value일 미도래"</formula>
    </cfRule>
  </conditionalFormatting>
  <conditionalFormatting sqref="M151:M152">
    <cfRule type="cellIs" dxfId="8063" priority="22908" operator="equal">
      <formula>"value일 미도래"</formula>
    </cfRule>
  </conditionalFormatting>
  <conditionalFormatting sqref="M151:M152">
    <cfRule type="cellIs" dxfId="8062" priority="22907" operator="equal">
      <formula>"value일 미도래"</formula>
    </cfRule>
  </conditionalFormatting>
  <conditionalFormatting sqref="M151:M152">
    <cfRule type="cellIs" dxfId="8061" priority="22906" operator="equal">
      <formula>"value일 미도래"</formula>
    </cfRule>
  </conditionalFormatting>
  <conditionalFormatting sqref="M151:M152">
    <cfRule type="cellIs" dxfId="8060" priority="22905" operator="equal">
      <formula>"value일 미도래"</formula>
    </cfRule>
  </conditionalFormatting>
  <conditionalFormatting sqref="M151:M152">
    <cfRule type="cellIs" dxfId="8059" priority="22904" operator="equal">
      <formula>"value일 미도래"</formula>
    </cfRule>
  </conditionalFormatting>
  <conditionalFormatting sqref="M151:M152">
    <cfRule type="cellIs" dxfId="8058" priority="22903" operator="equal">
      <formula>"value일 미도래"</formula>
    </cfRule>
  </conditionalFormatting>
  <conditionalFormatting sqref="M151:M152">
    <cfRule type="cellIs" dxfId="8057" priority="22902" operator="equal">
      <formula>"value일 미도래"</formula>
    </cfRule>
  </conditionalFormatting>
  <conditionalFormatting sqref="M151:M152">
    <cfRule type="cellIs" dxfId="8056" priority="22901" operator="equal">
      <formula>"value일 미도래"</formula>
    </cfRule>
  </conditionalFormatting>
  <conditionalFormatting sqref="M151:M152">
    <cfRule type="cellIs" dxfId="8055" priority="22900" operator="equal">
      <formula>"value일 미도래"</formula>
    </cfRule>
  </conditionalFormatting>
  <conditionalFormatting sqref="M151:M152">
    <cfRule type="cellIs" dxfId="8054" priority="22899" operator="equal">
      <formula>"value일 미도래"</formula>
    </cfRule>
  </conditionalFormatting>
  <conditionalFormatting sqref="M151:M152">
    <cfRule type="cellIs" dxfId="8053" priority="22898" operator="equal">
      <formula>"value일 미도래"</formula>
    </cfRule>
  </conditionalFormatting>
  <conditionalFormatting sqref="M151:M152">
    <cfRule type="cellIs" dxfId="8052" priority="22897" operator="equal">
      <formula>"value일 미도래"</formula>
    </cfRule>
  </conditionalFormatting>
  <conditionalFormatting sqref="M151:M152">
    <cfRule type="cellIs" dxfId="8051" priority="22895" operator="equal">
      <formula>"value일 미도래"</formula>
    </cfRule>
  </conditionalFormatting>
  <conditionalFormatting sqref="M151:M152">
    <cfRule type="cellIs" dxfId="8050" priority="22894" operator="equal">
      <formula>"value일 미도래"</formula>
    </cfRule>
  </conditionalFormatting>
  <conditionalFormatting sqref="M151:M152">
    <cfRule type="cellIs" dxfId="8049" priority="22893" operator="equal">
      <formula>"value일 미도래"</formula>
    </cfRule>
  </conditionalFormatting>
  <conditionalFormatting sqref="M151:M152">
    <cfRule type="cellIs" dxfId="8048" priority="22892" operator="equal">
      <formula>"value일 미도래"</formula>
    </cfRule>
  </conditionalFormatting>
  <conditionalFormatting sqref="M151:M152">
    <cfRule type="cellIs" dxfId="8047" priority="22891" operator="equal">
      <formula>"value일 미도래"</formula>
    </cfRule>
  </conditionalFormatting>
  <conditionalFormatting sqref="M151:M152">
    <cfRule type="cellIs" dxfId="8046" priority="22890" operator="equal">
      <formula>"value일 미도래"</formula>
    </cfRule>
  </conditionalFormatting>
  <conditionalFormatting sqref="M151:M152">
    <cfRule type="cellIs" dxfId="8045" priority="22889" operator="equal">
      <formula>"value일 미도래"</formula>
    </cfRule>
  </conditionalFormatting>
  <conditionalFormatting sqref="M151:M152">
    <cfRule type="cellIs" dxfId="8044" priority="22888" operator="equal">
      <formula>"value일 미도래"</formula>
    </cfRule>
  </conditionalFormatting>
  <conditionalFormatting sqref="M151:M152">
    <cfRule type="cellIs" dxfId="8043" priority="22887" operator="equal">
      <formula>"value일 미도래"</formula>
    </cfRule>
  </conditionalFormatting>
  <conditionalFormatting sqref="M151:M152">
    <cfRule type="cellIs" dxfId="8042" priority="22886" operator="equal">
      <formula>"value일 미도래"</formula>
    </cfRule>
  </conditionalFormatting>
  <conditionalFormatting sqref="M151:M152">
    <cfRule type="cellIs" dxfId="8041" priority="22885" operator="equal">
      <formula>"value일 미도래"</formula>
    </cfRule>
  </conditionalFormatting>
  <conditionalFormatting sqref="M151:M152">
    <cfRule type="cellIs" dxfId="8040" priority="22884" operator="equal">
      <formula>"value일 미도래"</formula>
    </cfRule>
  </conditionalFormatting>
  <conditionalFormatting sqref="M148:M149">
    <cfRule type="cellIs" dxfId="8039" priority="22883" operator="equal">
      <formula>"value일 미도래"</formula>
    </cfRule>
  </conditionalFormatting>
  <conditionalFormatting sqref="M148:M149">
    <cfRule type="cellIs" dxfId="8038" priority="22882" operator="equal">
      <formula>"value일 미도래"</formula>
    </cfRule>
  </conditionalFormatting>
  <conditionalFormatting sqref="M148:M149">
    <cfRule type="cellIs" dxfId="8037" priority="22881" operator="equal">
      <formula>"value일 미도래"</formula>
    </cfRule>
  </conditionalFormatting>
  <conditionalFormatting sqref="M148:M149">
    <cfRule type="cellIs" dxfId="8036" priority="22880" operator="equal">
      <formula>"value일 미도래"</formula>
    </cfRule>
  </conditionalFormatting>
  <conditionalFormatting sqref="M148:M149">
    <cfRule type="cellIs" dxfId="8035" priority="22879" operator="equal">
      <formula>"value일 미도래"</formula>
    </cfRule>
  </conditionalFormatting>
  <conditionalFormatting sqref="M148:M149">
    <cfRule type="cellIs" dxfId="8034" priority="22878" operator="equal">
      <formula>"value일 미도래"</formula>
    </cfRule>
  </conditionalFormatting>
  <conditionalFormatting sqref="M148:M149">
    <cfRule type="cellIs" dxfId="8033" priority="22877" operator="equal">
      <formula>"value일 미도래"</formula>
    </cfRule>
  </conditionalFormatting>
  <conditionalFormatting sqref="M148:M149">
    <cfRule type="cellIs" dxfId="8032" priority="22876" operator="equal">
      <formula>"value일 미도래"</formula>
    </cfRule>
  </conditionalFormatting>
  <conditionalFormatting sqref="M148:M149">
    <cfRule type="cellIs" dxfId="8031" priority="22875" operator="equal">
      <formula>"value일 미도래"</formula>
    </cfRule>
  </conditionalFormatting>
  <conditionalFormatting sqref="M148:M149">
    <cfRule type="cellIs" dxfId="8030" priority="22874" operator="equal">
      <formula>"value일 미도래"</formula>
    </cfRule>
  </conditionalFormatting>
  <conditionalFormatting sqref="M148:M149">
    <cfRule type="cellIs" dxfId="8029" priority="22873" operator="equal">
      <formula>"value일 미도래"</formula>
    </cfRule>
  </conditionalFormatting>
  <conditionalFormatting sqref="M148:M149">
    <cfRule type="cellIs" dxfId="8028" priority="22871" operator="equal">
      <formula>"value일 미도래"</formula>
    </cfRule>
  </conditionalFormatting>
  <conditionalFormatting sqref="M148:M149">
    <cfRule type="cellIs" dxfId="8027" priority="22870" operator="equal">
      <formula>"value일 미도래"</formula>
    </cfRule>
  </conditionalFormatting>
  <conditionalFormatting sqref="M148:M149">
    <cfRule type="cellIs" dxfId="8026" priority="22869" operator="equal">
      <formula>"value일 미도래"</formula>
    </cfRule>
  </conditionalFormatting>
  <conditionalFormatting sqref="M148:M149">
    <cfRule type="cellIs" dxfId="8025" priority="22868" operator="equal">
      <formula>"value일 미도래"</formula>
    </cfRule>
  </conditionalFormatting>
  <conditionalFormatting sqref="M148:M149">
    <cfRule type="cellIs" dxfId="8024" priority="22867" operator="equal">
      <formula>"value일 미도래"</formula>
    </cfRule>
  </conditionalFormatting>
  <conditionalFormatting sqref="M148:M149">
    <cfRule type="cellIs" dxfId="8023" priority="22866" operator="equal">
      <formula>"value일 미도래"</formula>
    </cfRule>
  </conditionalFormatting>
  <conditionalFormatting sqref="M148:M149">
    <cfRule type="cellIs" dxfId="8022" priority="22865" operator="equal">
      <formula>"value일 미도래"</formula>
    </cfRule>
  </conditionalFormatting>
  <conditionalFormatting sqref="M148:M149">
    <cfRule type="cellIs" dxfId="8021" priority="22864" operator="equal">
      <formula>"value일 미도래"</formula>
    </cfRule>
  </conditionalFormatting>
  <conditionalFormatting sqref="M148:M149">
    <cfRule type="cellIs" dxfId="8020" priority="22863" operator="equal">
      <formula>"value일 미도래"</formula>
    </cfRule>
  </conditionalFormatting>
  <conditionalFormatting sqref="M148">
    <cfRule type="cellIs" dxfId="8019" priority="22862" operator="equal">
      <formula>"value일 미도래"</formula>
    </cfRule>
  </conditionalFormatting>
  <conditionalFormatting sqref="M148">
    <cfRule type="cellIs" dxfId="8018" priority="22861" operator="equal">
      <formula>"value일 미도래"</formula>
    </cfRule>
  </conditionalFormatting>
  <conditionalFormatting sqref="M148">
    <cfRule type="cellIs" dxfId="8017" priority="22860" operator="equal">
      <formula>"value일 미도래"</formula>
    </cfRule>
  </conditionalFormatting>
  <conditionalFormatting sqref="M148">
    <cfRule type="cellIs" dxfId="8016" priority="22859" operator="equal">
      <formula>"value일 미도래"</formula>
    </cfRule>
  </conditionalFormatting>
  <conditionalFormatting sqref="M148">
    <cfRule type="cellIs" dxfId="8015" priority="22858" operator="equal">
      <formula>"value일 미도래"</formula>
    </cfRule>
  </conditionalFormatting>
  <conditionalFormatting sqref="M148">
    <cfRule type="cellIs" dxfId="8014" priority="22857" operator="equal">
      <formula>"value일 미도래"</formula>
    </cfRule>
  </conditionalFormatting>
  <conditionalFormatting sqref="M148">
    <cfRule type="cellIs" dxfId="8013" priority="22855" operator="equal">
      <formula>"value일 미도래"</formula>
    </cfRule>
  </conditionalFormatting>
  <conditionalFormatting sqref="M148">
    <cfRule type="cellIs" dxfId="8012" priority="22854" operator="equal">
      <formula>"value일 미도래"</formula>
    </cfRule>
  </conditionalFormatting>
  <conditionalFormatting sqref="M148">
    <cfRule type="cellIs" dxfId="8011" priority="22853" operator="equal">
      <formula>"value일 미도래"</formula>
    </cfRule>
  </conditionalFormatting>
  <conditionalFormatting sqref="M148">
    <cfRule type="cellIs" dxfId="8010" priority="22852" operator="equal">
      <formula>"value일 미도래"</formula>
    </cfRule>
  </conditionalFormatting>
  <conditionalFormatting sqref="M148">
    <cfRule type="cellIs" dxfId="8009" priority="22851" operator="equal">
      <formula>"value일 미도래"</formula>
    </cfRule>
  </conditionalFormatting>
  <conditionalFormatting sqref="M148">
    <cfRule type="cellIs" dxfId="8008" priority="22850" operator="equal">
      <formula>"value일 미도래"</formula>
    </cfRule>
  </conditionalFormatting>
  <conditionalFormatting sqref="M148">
    <cfRule type="cellIs" dxfId="8007" priority="22849" operator="equal">
      <formula>"value일 미도래"</formula>
    </cfRule>
  </conditionalFormatting>
  <conditionalFormatting sqref="M148">
    <cfRule type="cellIs" dxfId="8006" priority="22848" operator="equal">
      <formula>"value일 미도래"</formula>
    </cfRule>
  </conditionalFormatting>
  <conditionalFormatting sqref="M148">
    <cfRule type="cellIs" dxfId="8005" priority="22846" operator="equal">
      <formula>"value일 미도래"</formula>
    </cfRule>
  </conditionalFormatting>
  <conditionalFormatting sqref="M148">
    <cfRule type="cellIs" dxfId="8004" priority="22845" operator="equal">
      <formula>"value일 미도래"</formula>
    </cfRule>
  </conditionalFormatting>
  <conditionalFormatting sqref="M148">
    <cfRule type="cellIs" dxfId="8003" priority="22844" operator="equal">
      <formula>"value일 미도래"</formula>
    </cfRule>
  </conditionalFormatting>
  <conditionalFormatting sqref="M148">
    <cfRule type="cellIs" dxfId="8002" priority="22843" operator="equal">
      <formula>"value일 미도래"</formula>
    </cfRule>
  </conditionalFormatting>
  <conditionalFormatting sqref="M148">
    <cfRule type="cellIs" dxfId="8001" priority="22842" operator="equal">
      <formula>"value일 미도래"</formula>
    </cfRule>
  </conditionalFormatting>
  <conditionalFormatting sqref="M148">
    <cfRule type="cellIs" dxfId="8000" priority="22841" operator="equal">
      <formula>"value일 미도래"</formula>
    </cfRule>
  </conditionalFormatting>
  <conditionalFormatting sqref="M148">
    <cfRule type="cellIs" dxfId="7999" priority="22840" operator="equal">
      <formula>"value일 미도래"</formula>
    </cfRule>
  </conditionalFormatting>
  <conditionalFormatting sqref="M148">
    <cfRule type="cellIs" dxfId="7998" priority="22839" operator="equal">
      <formula>"value일 미도래"</formula>
    </cfRule>
  </conditionalFormatting>
  <conditionalFormatting sqref="M148">
    <cfRule type="cellIs" dxfId="7997" priority="22838" operator="equal">
      <formula>"value일 미도래"</formula>
    </cfRule>
  </conditionalFormatting>
  <conditionalFormatting sqref="M148">
    <cfRule type="cellIs" dxfId="7996" priority="22837" operator="equal">
      <formula>"value일 미도래"</formula>
    </cfRule>
  </conditionalFormatting>
  <conditionalFormatting sqref="M148">
    <cfRule type="cellIs" dxfId="7995" priority="22836" operator="equal">
      <formula>"value일 미도래"</formula>
    </cfRule>
  </conditionalFormatting>
  <conditionalFormatting sqref="M148">
    <cfRule type="cellIs" dxfId="7994" priority="22834" operator="equal">
      <formula>"value일 미도래"</formula>
    </cfRule>
  </conditionalFormatting>
  <conditionalFormatting sqref="M148">
    <cfRule type="cellIs" dxfId="7993" priority="22833" operator="equal">
      <formula>"value일 미도래"</formula>
    </cfRule>
  </conditionalFormatting>
  <conditionalFormatting sqref="M148">
    <cfRule type="cellIs" dxfId="7992" priority="22832" operator="equal">
      <formula>"value일 미도래"</formula>
    </cfRule>
  </conditionalFormatting>
  <conditionalFormatting sqref="M148">
    <cfRule type="cellIs" dxfId="7991" priority="22831" operator="equal">
      <formula>"value일 미도래"</formula>
    </cfRule>
  </conditionalFormatting>
  <conditionalFormatting sqref="M148">
    <cfRule type="cellIs" dxfId="7990" priority="22830" operator="equal">
      <formula>"value일 미도래"</formula>
    </cfRule>
  </conditionalFormatting>
  <conditionalFormatting sqref="M148">
    <cfRule type="cellIs" dxfId="7989" priority="22829" operator="equal">
      <formula>"value일 미도래"</formula>
    </cfRule>
  </conditionalFormatting>
  <conditionalFormatting sqref="M148">
    <cfRule type="cellIs" dxfId="7988" priority="22828" operator="equal">
      <formula>"value일 미도래"</formula>
    </cfRule>
  </conditionalFormatting>
  <conditionalFormatting sqref="M148">
    <cfRule type="cellIs" dxfId="7987" priority="22827" operator="equal">
      <formula>"value일 미도래"</formula>
    </cfRule>
  </conditionalFormatting>
  <conditionalFormatting sqref="M148">
    <cfRule type="cellIs" dxfId="7986" priority="22826" operator="equal">
      <formula>"value일 미도래"</formula>
    </cfRule>
  </conditionalFormatting>
  <conditionalFormatting sqref="M148">
    <cfRule type="cellIs" dxfId="7985" priority="22825" operator="equal">
      <formula>"value일 미도래"</formula>
    </cfRule>
  </conditionalFormatting>
  <conditionalFormatting sqref="M148">
    <cfRule type="cellIs" dxfId="7984" priority="22824" operator="equal">
      <formula>"value일 미도래"</formula>
    </cfRule>
  </conditionalFormatting>
  <conditionalFormatting sqref="M148">
    <cfRule type="cellIs" dxfId="7983" priority="22822" operator="equal">
      <formula>"value일 미도래"</formula>
    </cfRule>
  </conditionalFormatting>
  <conditionalFormatting sqref="M148">
    <cfRule type="cellIs" dxfId="7982" priority="22821" operator="equal">
      <formula>"value일 미도래"</formula>
    </cfRule>
  </conditionalFormatting>
  <conditionalFormatting sqref="M148">
    <cfRule type="cellIs" dxfId="7981" priority="22820" operator="equal">
      <formula>"value일 미도래"</formula>
    </cfRule>
  </conditionalFormatting>
  <conditionalFormatting sqref="M148">
    <cfRule type="cellIs" dxfId="7980" priority="22819" operator="equal">
      <formula>"value일 미도래"</formula>
    </cfRule>
  </conditionalFormatting>
  <conditionalFormatting sqref="M148">
    <cfRule type="cellIs" dxfId="7979" priority="22818" operator="equal">
      <formula>"value일 미도래"</formula>
    </cfRule>
  </conditionalFormatting>
  <conditionalFormatting sqref="M148">
    <cfRule type="cellIs" dxfId="7978" priority="22817" operator="equal">
      <formula>"value일 미도래"</formula>
    </cfRule>
  </conditionalFormatting>
  <conditionalFormatting sqref="M148:M149">
    <cfRule type="cellIs" dxfId="7977" priority="22816" operator="equal">
      <formula>"value일 미도래"</formula>
    </cfRule>
  </conditionalFormatting>
  <conditionalFormatting sqref="M148:M149">
    <cfRule type="cellIs" dxfId="7976" priority="22815" operator="equal">
      <formula>"value일 미도래"</formula>
    </cfRule>
  </conditionalFormatting>
  <conditionalFormatting sqref="M148:M149">
    <cfRule type="cellIs" dxfId="7975" priority="22814" operator="equal">
      <formula>"value일 미도래"</formula>
    </cfRule>
  </conditionalFormatting>
  <conditionalFormatting sqref="M148">
    <cfRule type="cellIs" dxfId="7974" priority="22813" operator="equal">
      <formula>"value일 미도래"</formula>
    </cfRule>
  </conditionalFormatting>
  <conditionalFormatting sqref="M148">
    <cfRule type="cellIs" dxfId="7973" priority="22812" operator="equal">
      <formula>"value일 미도래"</formula>
    </cfRule>
  </conditionalFormatting>
  <conditionalFormatting sqref="M148">
    <cfRule type="cellIs" dxfId="7972" priority="22811" operator="equal">
      <formula>"value일 미도래"</formula>
    </cfRule>
  </conditionalFormatting>
  <conditionalFormatting sqref="M148">
    <cfRule type="cellIs" dxfId="7971" priority="22810" operator="equal">
      <formula>"value일 미도래"</formula>
    </cfRule>
  </conditionalFormatting>
  <conditionalFormatting sqref="M148">
    <cfRule type="cellIs" dxfId="7970" priority="22809" operator="equal">
      <formula>"value일 미도래"</formula>
    </cfRule>
  </conditionalFormatting>
  <conditionalFormatting sqref="M148">
    <cfRule type="cellIs" dxfId="7969" priority="22808" operator="equal">
      <formula>"value일 미도래"</formula>
    </cfRule>
  </conditionalFormatting>
  <conditionalFormatting sqref="M148">
    <cfRule type="cellIs" dxfId="7968" priority="22807" operator="equal">
      <formula>"value일 미도래"</formula>
    </cfRule>
  </conditionalFormatting>
  <conditionalFormatting sqref="M148">
    <cfRule type="cellIs" dxfId="7967" priority="22806" operator="equal">
      <formula>"value일 미도래"</formula>
    </cfRule>
  </conditionalFormatting>
  <conditionalFormatting sqref="M148">
    <cfRule type="cellIs" dxfId="7966" priority="22805" operator="equal">
      <formula>"value일 미도래"</formula>
    </cfRule>
  </conditionalFormatting>
  <conditionalFormatting sqref="M148:M149">
    <cfRule type="cellIs" dxfId="7965" priority="22804" operator="equal">
      <formula>"value일 미도래"</formula>
    </cfRule>
  </conditionalFormatting>
  <conditionalFormatting sqref="M148:M149">
    <cfRule type="cellIs" dxfId="7964" priority="22803" operator="equal">
      <formula>"value일 미도래"</formula>
    </cfRule>
  </conditionalFormatting>
  <conditionalFormatting sqref="M148:M149">
    <cfRule type="cellIs" dxfId="7963" priority="22802" operator="equal">
      <formula>"value일 미도래"</formula>
    </cfRule>
  </conditionalFormatting>
  <conditionalFormatting sqref="M148">
    <cfRule type="cellIs" dxfId="7962" priority="22801" operator="equal">
      <formula>"value일 미도래"</formula>
    </cfRule>
  </conditionalFormatting>
  <conditionalFormatting sqref="M148">
    <cfRule type="cellIs" dxfId="7961" priority="22800" operator="equal">
      <formula>"value일 미도래"</formula>
    </cfRule>
  </conditionalFormatting>
  <conditionalFormatting sqref="M148">
    <cfRule type="cellIs" dxfId="7960" priority="22799" operator="equal">
      <formula>"value일 미도래"</formula>
    </cfRule>
  </conditionalFormatting>
  <conditionalFormatting sqref="M148">
    <cfRule type="cellIs" dxfId="7959" priority="22798" operator="equal">
      <formula>"value일 미도래"</formula>
    </cfRule>
  </conditionalFormatting>
  <conditionalFormatting sqref="M148">
    <cfRule type="cellIs" dxfId="7958" priority="22797" operator="equal">
      <formula>"value일 미도래"</formula>
    </cfRule>
  </conditionalFormatting>
  <conditionalFormatting sqref="M148">
    <cfRule type="cellIs" dxfId="7957" priority="22796" operator="equal">
      <formula>"value일 미도래"</formula>
    </cfRule>
  </conditionalFormatting>
  <conditionalFormatting sqref="M148:M149">
    <cfRule type="cellIs" dxfId="7956" priority="22795" operator="equal">
      <formula>"value일 미도래"</formula>
    </cfRule>
  </conditionalFormatting>
  <conditionalFormatting sqref="M148:M149">
    <cfRule type="cellIs" dxfId="7955" priority="22794" operator="equal">
      <formula>"value일 미도래"</formula>
    </cfRule>
  </conditionalFormatting>
  <conditionalFormatting sqref="M148:M149">
    <cfRule type="cellIs" dxfId="7954" priority="22793" operator="equal">
      <formula>"value일 미도래"</formula>
    </cfRule>
  </conditionalFormatting>
  <conditionalFormatting sqref="M148:M149">
    <cfRule type="cellIs" dxfId="7953" priority="22792" operator="equal">
      <formula>"value일 미도래"</formula>
    </cfRule>
  </conditionalFormatting>
  <conditionalFormatting sqref="M149:M150">
    <cfRule type="cellIs" dxfId="7952" priority="22791" operator="equal">
      <formula>"value일 미도래"</formula>
    </cfRule>
  </conditionalFormatting>
  <conditionalFormatting sqref="M149:M150">
    <cfRule type="cellIs" dxfId="7951" priority="22790" operator="equal">
      <formula>"value일 미도래"</formula>
    </cfRule>
  </conditionalFormatting>
  <conditionalFormatting sqref="M149:M150">
    <cfRule type="cellIs" dxfId="7950" priority="22789" operator="equal">
      <formula>"value일 미도래"</formula>
    </cfRule>
  </conditionalFormatting>
  <conditionalFormatting sqref="M149:M150">
    <cfRule type="cellIs" dxfId="7949" priority="22788" operator="equal">
      <formula>"value일 미도래"</formula>
    </cfRule>
  </conditionalFormatting>
  <conditionalFormatting sqref="M149:M150">
    <cfRule type="cellIs" dxfId="7948" priority="22787" operator="equal">
      <formula>"value일 미도래"</formula>
    </cfRule>
  </conditionalFormatting>
  <conditionalFormatting sqref="M149:M150">
    <cfRule type="cellIs" dxfId="7947" priority="22786" operator="equal">
      <formula>"value일 미도래"</formula>
    </cfRule>
  </conditionalFormatting>
  <conditionalFormatting sqref="M149:M150">
    <cfRule type="cellIs" dxfId="7946" priority="22784" operator="equal">
      <formula>"value일 미도래"</formula>
    </cfRule>
  </conditionalFormatting>
  <conditionalFormatting sqref="M149:M150">
    <cfRule type="cellIs" dxfId="7945" priority="22783" operator="equal">
      <formula>"value일 미도래"</formula>
    </cfRule>
  </conditionalFormatting>
  <conditionalFormatting sqref="M149:M150">
    <cfRule type="cellIs" dxfId="7944" priority="22782" operator="equal">
      <formula>"value일 미도래"</formula>
    </cfRule>
  </conditionalFormatting>
  <conditionalFormatting sqref="M149:M150">
    <cfRule type="cellIs" dxfId="7943" priority="22781" operator="equal">
      <formula>"value일 미도래"</formula>
    </cfRule>
  </conditionalFormatting>
  <conditionalFormatting sqref="M149:M150">
    <cfRule type="cellIs" dxfId="7942" priority="22780" operator="equal">
      <formula>"value일 미도래"</formula>
    </cfRule>
  </conditionalFormatting>
  <conditionalFormatting sqref="M149:M150">
    <cfRule type="cellIs" dxfId="7941" priority="22779" operator="equal">
      <formula>"value일 미도래"</formula>
    </cfRule>
  </conditionalFormatting>
  <conditionalFormatting sqref="M149:M150">
    <cfRule type="cellIs" dxfId="7940" priority="22778" operator="equal">
      <formula>"value일 미도래"</formula>
    </cfRule>
  </conditionalFormatting>
  <conditionalFormatting sqref="M149:M150">
    <cfRule type="cellIs" dxfId="7939" priority="22777" operator="equal">
      <formula>"value일 미도래"</formula>
    </cfRule>
  </conditionalFormatting>
  <conditionalFormatting sqref="M149:M150">
    <cfRule type="cellIs" dxfId="7938" priority="22775" operator="equal">
      <formula>"value일 미도래"</formula>
    </cfRule>
  </conditionalFormatting>
  <conditionalFormatting sqref="M149:M150">
    <cfRule type="cellIs" dxfId="7937" priority="22774" operator="equal">
      <formula>"value일 미도래"</formula>
    </cfRule>
  </conditionalFormatting>
  <conditionalFormatting sqref="M149:M150">
    <cfRule type="cellIs" dxfId="7936" priority="22773" operator="equal">
      <formula>"value일 미도래"</formula>
    </cfRule>
  </conditionalFormatting>
  <conditionalFormatting sqref="M149:M150">
    <cfRule type="cellIs" dxfId="7935" priority="22772" operator="equal">
      <formula>"value일 미도래"</formula>
    </cfRule>
  </conditionalFormatting>
  <conditionalFormatting sqref="M149:M150">
    <cfRule type="cellIs" dxfId="7934" priority="22771" operator="equal">
      <formula>"value일 미도래"</formula>
    </cfRule>
  </conditionalFormatting>
  <conditionalFormatting sqref="M149:M150">
    <cfRule type="cellIs" dxfId="7933" priority="22770" operator="equal">
      <formula>"value일 미도래"</formula>
    </cfRule>
  </conditionalFormatting>
  <conditionalFormatting sqref="M149:M150">
    <cfRule type="cellIs" dxfId="7932" priority="22769" operator="equal">
      <formula>"value일 미도래"</formula>
    </cfRule>
  </conditionalFormatting>
  <conditionalFormatting sqref="M149:M150">
    <cfRule type="cellIs" dxfId="7931" priority="22768" operator="equal">
      <formula>"value일 미도래"</formula>
    </cfRule>
  </conditionalFormatting>
  <conditionalFormatting sqref="M149:M150">
    <cfRule type="cellIs" dxfId="7930" priority="22767" operator="equal">
      <formula>"value일 미도래"</formula>
    </cfRule>
  </conditionalFormatting>
  <conditionalFormatting sqref="M149:M150">
    <cfRule type="cellIs" dxfId="7929" priority="22766" operator="equal">
      <formula>"value일 미도래"</formula>
    </cfRule>
  </conditionalFormatting>
  <conditionalFormatting sqref="M149:M150">
    <cfRule type="cellIs" dxfId="7928" priority="22765" operator="equal">
      <formula>"value일 미도래"</formula>
    </cfRule>
  </conditionalFormatting>
  <conditionalFormatting sqref="M149:M150">
    <cfRule type="cellIs" dxfId="7927" priority="22763" operator="equal">
      <formula>"value일 미도래"</formula>
    </cfRule>
  </conditionalFormatting>
  <conditionalFormatting sqref="M149:M150">
    <cfRule type="cellIs" dxfId="7926" priority="22762" operator="equal">
      <formula>"value일 미도래"</formula>
    </cfRule>
  </conditionalFormatting>
  <conditionalFormatting sqref="M149:M150">
    <cfRule type="cellIs" dxfId="7925" priority="22761" operator="equal">
      <formula>"value일 미도래"</formula>
    </cfRule>
  </conditionalFormatting>
  <conditionalFormatting sqref="M149:M150">
    <cfRule type="cellIs" dxfId="7924" priority="22760" operator="equal">
      <formula>"value일 미도래"</formula>
    </cfRule>
  </conditionalFormatting>
  <conditionalFormatting sqref="M149:M150">
    <cfRule type="cellIs" dxfId="7923" priority="22759" operator="equal">
      <formula>"value일 미도래"</formula>
    </cfRule>
  </conditionalFormatting>
  <conditionalFormatting sqref="M149:M150">
    <cfRule type="cellIs" dxfId="7922" priority="22758" operator="equal">
      <formula>"value일 미도래"</formula>
    </cfRule>
  </conditionalFormatting>
  <conditionalFormatting sqref="M149:M150">
    <cfRule type="cellIs" dxfId="7921" priority="22757" operator="equal">
      <formula>"value일 미도래"</formula>
    </cfRule>
  </conditionalFormatting>
  <conditionalFormatting sqref="M149:M150">
    <cfRule type="cellIs" dxfId="7920" priority="22756" operator="equal">
      <formula>"value일 미도래"</formula>
    </cfRule>
  </conditionalFormatting>
  <conditionalFormatting sqref="M149:M150">
    <cfRule type="cellIs" dxfId="7919" priority="22755" operator="equal">
      <formula>"value일 미도래"</formula>
    </cfRule>
  </conditionalFormatting>
  <conditionalFormatting sqref="M149:M150">
    <cfRule type="cellIs" dxfId="7918" priority="22754" operator="equal">
      <formula>"value일 미도래"</formula>
    </cfRule>
  </conditionalFormatting>
  <conditionalFormatting sqref="M149:M150">
    <cfRule type="cellIs" dxfId="7917" priority="22753" operator="equal">
      <formula>"value일 미도래"</formula>
    </cfRule>
  </conditionalFormatting>
  <conditionalFormatting sqref="M149:M150">
    <cfRule type="cellIs" dxfId="7916" priority="22751" operator="equal">
      <formula>"value일 미도래"</formula>
    </cfRule>
  </conditionalFormatting>
  <conditionalFormatting sqref="M149:M150">
    <cfRule type="cellIs" dxfId="7915" priority="22750" operator="equal">
      <formula>"value일 미도래"</formula>
    </cfRule>
  </conditionalFormatting>
  <conditionalFormatting sqref="M149:M150">
    <cfRule type="cellIs" dxfId="7914" priority="22749" operator="equal">
      <formula>"value일 미도래"</formula>
    </cfRule>
  </conditionalFormatting>
  <conditionalFormatting sqref="M149:M150">
    <cfRule type="cellIs" dxfId="7913" priority="22748" operator="equal">
      <formula>"value일 미도래"</formula>
    </cfRule>
  </conditionalFormatting>
  <conditionalFormatting sqref="M149:M150">
    <cfRule type="cellIs" dxfId="7912" priority="22747" operator="equal">
      <formula>"value일 미도래"</formula>
    </cfRule>
  </conditionalFormatting>
  <conditionalFormatting sqref="M149:M150">
    <cfRule type="cellIs" dxfId="7911" priority="22746" operator="equal">
      <formula>"value일 미도래"</formula>
    </cfRule>
  </conditionalFormatting>
  <conditionalFormatting sqref="M149:M150">
    <cfRule type="cellIs" dxfId="7910" priority="22745" operator="equal">
      <formula>"value일 미도래"</formula>
    </cfRule>
  </conditionalFormatting>
  <conditionalFormatting sqref="M149:M150">
    <cfRule type="cellIs" dxfId="7909" priority="22744" operator="equal">
      <formula>"value일 미도래"</formula>
    </cfRule>
  </conditionalFormatting>
  <conditionalFormatting sqref="M149:M150">
    <cfRule type="cellIs" dxfId="7908" priority="22743" operator="equal">
      <formula>"value일 미도래"</formula>
    </cfRule>
  </conditionalFormatting>
  <conditionalFormatting sqref="M149:M150">
    <cfRule type="cellIs" dxfId="7907" priority="22742" operator="equal">
      <formula>"value일 미도래"</formula>
    </cfRule>
  </conditionalFormatting>
  <conditionalFormatting sqref="M149:M150">
    <cfRule type="cellIs" dxfId="7906" priority="22741" operator="equal">
      <formula>"value일 미도래"</formula>
    </cfRule>
  </conditionalFormatting>
  <conditionalFormatting sqref="M149:M150">
    <cfRule type="cellIs" dxfId="7905" priority="22740" operator="equal">
      <formula>"value일 미도래"</formula>
    </cfRule>
  </conditionalFormatting>
  <conditionalFormatting sqref="M149:M150">
    <cfRule type="cellIs" dxfId="7904" priority="22739" operator="equal">
      <formula>"value일 미도래"</formula>
    </cfRule>
  </conditionalFormatting>
  <conditionalFormatting sqref="M149:M150">
    <cfRule type="cellIs" dxfId="7903" priority="22738" operator="equal">
      <formula>"value일 미도래"</formula>
    </cfRule>
  </conditionalFormatting>
  <conditionalFormatting sqref="M149:M150">
    <cfRule type="cellIs" dxfId="7902" priority="22736" operator="equal">
      <formula>"value일 미도래"</formula>
    </cfRule>
  </conditionalFormatting>
  <conditionalFormatting sqref="M149:M150">
    <cfRule type="cellIs" dxfId="7901" priority="22735" operator="equal">
      <formula>"value일 미도래"</formula>
    </cfRule>
  </conditionalFormatting>
  <conditionalFormatting sqref="M149:M150">
    <cfRule type="cellIs" dxfId="7900" priority="22734" operator="equal">
      <formula>"value일 미도래"</formula>
    </cfRule>
  </conditionalFormatting>
  <conditionalFormatting sqref="M149:M150">
    <cfRule type="cellIs" dxfId="7899" priority="22733" operator="equal">
      <formula>"value일 미도래"</formula>
    </cfRule>
  </conditionalFormatting>
  <conditionalFormatting sqref="M149:M150">
    <cfRule type="cellIs" dxfId="7898" priority="22732" operator="equal">
      <formula>"value일 미도래"</formula>
    </cfRule>
  </conditionalFormatting>
  <conditionalFormatting sqref="M149:M150">
    <cfRule type="cellIs" dxfId="7897" priority="22731" operator="equal">
      <formula>"value일 미도래"</formula>
    </cfRule>
  </conditionalFormatting>
  <conditionalFormatting sqref="M149:M150">
    <cfRule type="cellIs" dxfId="7896" priority="22730" operator="equal">
      <formula>"value일 미도래"</formula>
    </cfRule>
  </conditionalFormatting>
  <conditionalFormatting sqref="M149:M150">
    <cfRule type="cellIs" dxfId="7895" priority="22729" operator="equal">
      <formula>"value일 미도래"</formula>
    </cfRule>
  </conditionalFormatting>
  <conditionalFormatting sqref="M149:M150">
    <cfRule type="cellIs" dxfId="7894" priority="22728" operator="equal">
      <formula>"value일 미도래"</formula>
    </cfRule>
  </conditionalFormatting>
  <conditionalFormatting sqref="M149:M150">
    <cfRule type="cellIs" dxfId="7893" priority="22727" operator="equal">
      <formula>"value일 미도래"</formula>
    </cfRule>
  </conditionalFormatting>
  <conditionalFormatting sqref="M149:M150">
    <cfRule type="cellIs" dxfId="7892" priority="22726" operator="equal">
      <formula>"value일 미도래"</formula>
    </cfRule>
  </conditionalFormatting>
  <conditionalFormatting sqref="M149:M150">
    <cfRule type="cellIs" dxfId="7891" priority="22725" operator="equal">
      <formula>"value일 미도래"</formula>
    </cfRule>
  </conditionalFormatting>
  <conditionalFormatting sqref="M149:M150">
    <cfRule type="cellIs" dxfId="7890" priority="22724" operator="equal">
      <formula>"value일 미도래"</formula>
    </cfRule>
  </conditionalFormatting>
  <conditionalFormatting sqref="M149:M150">
    <cfRule type="cellIs" dxfId="7889" priority="22723" operator="equal">
      <formula>"value일 미도래"</formula>
    </cfRule>
  </conditionalFormatting>
  <conditionalFormatting sqref="M149:M150">
    <cfRule type="cellIs" dxfId="7888" priority="22722" operator="equal">
      <formula>"value일 미도래"</formula>
    </cfRule>
  </conditionalFormatting>
  <conditionalFormatting sqref="M149:M150">
    <cfRule type="cellIs" dxfId="7887" priority="22721" operator="equal">
      <formula>"value일 미도래"</formula>
    </cfRule>
  </conditionalFormatting>
  <conditionalFormatting sqref="M149:M150">
    <cfRule type="cellIs" dxfId="7886" priority="22720" operator="equal">
      <formula>"value일 미도래"</formula>
    </cfRule>
  </conditionalFormatting>
  <conditionalFormatting sqref="M149:M150">
    <cfRule type="cellIs" dxfId="7885" priority="22719" operator="equal">
      <formula>"value일 미도래"</formula>
    </cfRule>
  </conditionalFormatting>
  <conditionalFormatting sqref="M149:M150">
    <cfRule type="cellIs" dxfId="7884" priority="22718" operator="equal">
      <formula>"value일 미도래"</formula>
    </cfRule>
  </conditionalFormatting>
  <conditionalFormatting sqref="M149:M150">
    <cfRule type="cellIs" dxfId="7883" priority="22717" operator="equal">
      <formula>"value일 미도래"</formula>
    </cfRule>
  </conditionalFormatting>
  <conditionalFormatting sqref="M149:M150">
    <cfRule type="cellIs" dxfId="7882" priority="22715" operator="equal">
      <formula>"value일 미도래"</formula>
    </cfRule>
  </conditionalFormatting>
  <conditionalFormatting sqref="M149:M150">
    <cfRule type="cellIs" dxfId="7881" priority="22714" operator="equal">
      <formula>"value일 미도래"</formula>
    </cfRule>
  </conditionalFormatting>
  <conditionalFormatting sqref="M149:M150">
    <cfRule type="cellIs" dxfId="7880" priority="22713" operator="equal">
      <formula>"value일 미도래"</formula>
    </cfRule>
  </conditionalFormatting>
  <conditionalFormatting sqref="M149:M150">
    <cfRule type="cellIs" dxfId="7879" priority="22712" operator="equal">
      <formula>"value일 미도래"</formula>
    </cfRule>
  </conditionalFormatting>
  <conditionalFormatting sqref="M149:M150">
    <cfRule type="cellIs" dxfId="7878" priority="22711" operator="equal">
      <formula>"value일 미도래"</formula>
    </cfRule>
  </conditionalFormatting>
  <conditionalFormatting sqref="M149:M150">
    <cfRule type="cellIs" dxfId="7877" priority="22710" operator="equal">
      <formula>"value일 미도래"</formula>
    </cfRule>
  </conditionalFormatting>
  <conditionalFormatting sqref="M149:M150">
    <cfRule type="cellIs" dxfId="7876" priority="22709" operator="equal">
      <formula>"value일 미도래"</formula>
    </cfRule>
  </conditionalFormatting>
  <conditionalFormatting sqref="M149:M150">
    <cfRule type="cellIs" dxfId="7875" priority="22708" operator="equal">
      <formula>"value일 미도래"</formula>
    </cfRule>
  </conditionalFormatting>
  <conditionalFormatting sqref="M149:M150">
    <cfRule type="cellIs" dxfId="7874" priority="22707" operator="equal">
      <formula>"value일 미도래"</formula>
    </cfRule>
  </conditionalFormatting>
  <conditionalFormatting sqref="M149:M150">
    <cfRule type="cellIs" dxfId="7873" priority="22706" operator="equal">
      <formula>"value일 미도래"</formula>
    </cfRule>
  </conditionalFormatting>
  <conditionalFormatting sqref="M149:M150">
    <cfRule type="cellIs" dxfId="7872" priority="22705" operator="equal">
      <formula>"value일 미도래"</formula>
    </cfRule>
  </conditionalFormatting>
  <conditionalFormatting sqref="M149:M150">
    <cfRule type="cellIs" dxfId="7871" priority="22704" operator="equal">
      <formula>"value일 미도래"</formula>
    </cfRule>
  </conditionalFormatting>
  <conditionalFormatting sqref="M148">
    <cfRule type="cellIs" dxfId="7870" priority="22703" operator="equal">
      <formula>"value일 미도래"</formula>
    </cfRule>
  </conditionalFormatting>
  <conditionalFormatting sqref="M148">
    <cfRule type="cellIs" dxfId="7869" priority="22702" operator="equal">
      <formula>"value일 미도래"</formula>
    </cfRule>
  </conditionalFormatting>
  <conditionalFormatting sqref="M148">
    <cfRule type="cellIs" dxfId="7868" priority="22701" operator="equal">
      <formula>"value일 미도래"</formula>
    </cfRule>
  </conditionalFormatting>
  <conditionalFormatting sqref="M148">
    <cfRule type="cellIs" dxfId="7867" priority="22700" operator="equal">
      <formula>"value일 미도래"</formula>
    </cfRule>
  </conditionalFormatting>
  <conditionalFormatting sqref="M148">
    <cfRule type="cellIs" dxfId="7866" priority="22699" operator="equal">
      <formula>"value일 미도래"</formula>
    </cfRule>
  </conditionalFormatting>
  <conditionalFormatting sqref="M148">
    <cfRule type="cellIs" dxfId="7865" priority="22698" operator="equal">
      <formula>"value일 미도래"</formula>
    </cfRule>
  </conditionalFormatting>
  <conditionalFormatting sqref="M148">
    <cfRule type="cellIs" dxfId="7864" priority="22697" operator="equal">
      <formula>"value일 미도래"</formula>
    </cfRule>
  </conditionalFormatting>
  <conditionalFormatting sqref="M148">
    <cfRule type="cellIs" dxfId="7863" priority="22696" operator="equal">
      <formula>"value일 미도래"</formula>
    </cfRule>
  </conditionalFormatting>
  <conditionalFormatting sqref="M148">
    <cfRule type="cellIs" dxfId="7862" priority="22695" operator="equal">
      <formula>"value일 미도래"</formula>
    </cfRule>
  </conditionalFormatting>
  <conditionalFormatting sqref="M148">
    <cfRule type="cellIs" dxfId="7861" priority="22694" operator="equal">
      <formula>"value일 미도래"</formula>
    </cfRule>
  </conditionalFormatting>
  <conditionalFormatting sqref="M148">
    <cfRule type="cellIs" dxfId="7860" priority="22693" operator="equal">
      <formula>"value일 미도래"</formula>
    </cfRule>
  </conditionalFormatting>
  <conditionalFormatting sqref="M148">
    <cfRule type="cellIs" dxfId="7859" priority="22692" operator="equal">
      <formula>"value일 미도래"</formula>
    </cfRule>
  </conditionalFormatting>
  <conditionalFormatting sqref="M148">
    <cfRule type="cellIs" dxfId="7858" priority="22691" operator="equal">
      <formula>"value일 미도래"</formula>
    </cfRule>
  </conditionalFormatting>
  <conditionalFormatting sqref="M148">
    <cfRule type="cellIs" dxfId="7857" priority="22689" operator="equal">
      <formula>"value일 미도래"</formula>
    </cfRule>
  </conditionalFormatting>
  <conditionalFormatting sqref="M148">
    <cfRule type="cellIs" dxfId="7856" priority="22688" operator="equal">
      <formula>"value일 미도래"</formula>
    </cfRule>
  </conditionalFormatting>
  <conditionalFormatting sqref="M148">
    <cfRule type="cellIs" dxfId="7855" priority="22687" operator="equal">
      <formula>"value일 미도래"</formula>
    </cfRule>
  </conditionalFormatting>
  <conditionalFormatting sqref="M148">
    <cfRule type="cellIs" dxfId="7854" priority="22686" operator="equal">
      <formula>"value일 미도래"</formula>
    </cfRule>
  </conditionalFormatting>
  <conditionalFormatting sqref="M148">
    <cfRule type="cellIs" dxfId="7853" priority="22685" operator="equal">
      <formula>"value일 미도래"</formula>
    </cfRule>
  </conditionalFormatting>
  <conditionalFormatting sqref="M148">
    <cfRule type="cellIs" dxfId="7852" priority="22684" operator="equal">
      <formula>"value일 미도래"</formula>
    </cfRule>
  </conditionalFormatting>
  <conditionalFormatting sqref="M148">
    <cfRule type="cellIs" dxfId="7851" priority="22683" operator="equal">
      <formula>"value일 미도래"</formula>
    </cfRule>
  </conditionalFormatting>
  <conditionalFormatting sqref="M148">
    <cfRule type="cellIs" dxfId="7850" priority="22682" operator="equal">
      <formula>"value일 미도래"</formula>
    </cfRule>
  </conditionalFormatting>
  <conditionalFormatting sqref="M148">
    <cfRule type="cellIs" dxfId="7849" priority="22681" operator="equal">
      <formula>"value일 미도래"</formula>
    </cfRule>
  </conditionalFormatting>
  <conditionalFormatting sqref="M148">
    <cfRule type="cellIs" dxfId="7848" priority="22680" operator="equal">
      <formula>"value일 미도래"</formula>
    </cfRule>
  </conditionalFormatting>
  <conditionalFormatting sqref="M148">
    <cfRule type="cellIs" dxfId="7847" priority="22679" operator="equal">
      <formula>"value일 미도래"</formula>
    </cfRule>
  </conditionalFormatting>
  <conditionalFormatting sqref="M148">
    <cfRule type="cellIs" dxfId="7846" priority="22677" operator="equal">
      <formula>"value일 미도래"</formula>
    </cfRule>
  </conditionalFormatting>
  <conditionalFormatting sqref="M148">
    <cfRule type="cellIs" dxfId="7845" priority="22676" operator="equal">
      <formula>"value일 미도래"</formula>
    </cfRule>
  </conditionalFormatting>
  <conditionalFormatting sqref="M148">
    <cfRule type="cellIs" dxfId="7844" priority="22675" operator="equal">
      <formula>"value일 미도래"</formula>
    </cfRule>
  </conditionalFormatting>
  <conditionalFormatting sqref="M148">
    <cfRule type="cellIs" dxfId="7843" priority="22674" operator="equal">
      <formula>"value일 미도래"</formula>
    </cfRule>
  </conditionalFormatting>
  <conditionalFormatting sqref="M148">
    <cfRule type="cellIs" dxfId="7842" priority="22673" operator="equal">
      <formula>"value일 미도래"</formula>
    </cfRule>
  </conditionalFormatting>
  <conditionalFormatting sqref="M148">
    <cfRule type="cellIs" dxfId="7841" priority="22672" operator="equal">
      <formula>"value일 미도래"</formula>
    </cfRule>
  </conditionalFormatting>
  <conditionalFormatting sqref="M148">
    <cfRule type="cellIs" dxfId="7840" priority="22671" operator="equal">
      <formula>"value일 미도래"</formula>
    </cfRule>
  </conditionalFormatting>
  <conditionalFormatting sqref="M148">
    <cfRule type="cellIs" dxfId="7839" priority="22670" operator="equal">
      <formula>"value일 미도래"</formula>
    </cfRule>
  </conditionalFormatting>
  <conditionalFormatting sqref="M148">
    <cfRule type="cellIs" dxfId="7838" priority="22669" operator="equal">
      <formula>"value일 미도래"</formula>
    </cfRule>
  </conditionalFormatting>
  <conditionalFormatting sqref="M148">
    <cfRule type="cellIs" dxfId="7837" priority="22668" operator="equal">
      <formula>"value일 미도래"</formula>
    </cfRule>
  </conditionalFormatting>
  <conditionalFormatting sqref="M148">
    <cfRule type="cellIs" dxfId="7836" priority="22667" operator="equal">
      <formula>"value일 미도래"</formula>
    </cfRule>
  </conditionalFormatting>
  <conditionalFormatting sqref="M148">
    <cfRule type="cellIs" dxfId="7835" priority="22665" operator="equal">
      <formula>"value일 미도래"</formula>
    </cfRule>
  </conditionalFormatting>
  <conditionalFormatting sqref="M148">
    <cfRule type="cellIs" dxfId="7834" priority="22664" operator="equal">
      <formula>"value일 미도래"</formula>
    </cfRule>
  </conditionalFormatting>
  <conditionalFormatting sqref="M148">
    <cfRule type="cellIs" dxfId="7833" priority="22663" operator="equal">
      <formula>"value일 미도래"</formula>
    </cfRule>
  </conditionalFormatting>
  <conditionalFormatting sqref="M148:M149">
    <cfRule type="cellIs" dxfId="7832" priority="22662" operator="equal">
      <formula>"value일 미도래"</formula>
    </cfRule>
  </conditionalFormatting>
  <conditionalFormatting sqref="M148:M149">
    <cfRule type="cellIs" dxfId="7831" priority="22661" operator="equal">
      <formula>"value일 미도래"</formula>
    </cfRule>
  </conditionalFormatting>
  <conditionalFormatting sqref="M148:M149">
    <cfRule type="cellIs" dxfId="7830" priority="22660" operator="equal">
      <formula>"value일 미도래"</formula>
    </cfRule>
  </conditionalFormatting>
  <conditionalFormatting sqref="M148:M149">
    <cfRule type="cellIs" dxfId="7829" priority="22659" operator="equal">
      <formula>"value일 미도래"</formula>
    </cfRule>
  </conditionalFormatting>
  <conditionalFormatting sqref="M148:M149">
    <cfRule type="cellIs" dxfId="7828" priority="22658" operator="equal">
      <formula>"value일 미도래"</formula>
    </cfRule>
  </conditionalFormatting>
  <conditionalFormatting sqref="M148:M149">
    <cfRule type="cellIs" dxfId="7827" priority="22657" operator="equal">
      <formula>"value일 미도래"</formula>
    </cfRule>
  </conditionalFormatting>
  <conditionalFormatting sqref="M148:M149">
    <cfRule type="cellIs" dxfId="7826" priority="22655" operator="equal">
      <formula>"value일 미도래"</formula>
    </cfRule>
  </conditionalFormatting>
  <conditionalFormatting sqref="M148:M149">
    <cfRule type="cellIs" dxfId="7825" priority="22654" operator="equal">
      <formula>"value일 미도래"</formula>
    </cfRule>
  </conditionalFormatting>
  <conditionalFormatting sqref="M148:M149">
    <cfRule type="cellIs" dxfId="7824" priority="22653" operator="equal">
      <formula>"value일 미도래"</formula>
    </cfRule>
  </conditionalFormatting>
  <conditionalFormatting sqref="M148:M149">
    <cfRule type="cellIs" dxfId="7823" priority="22652" operator="equal">
      <formula>"value일 미도래"</formula>
    </cfRule>
  </conditionalFormatting>
  <conditionalFormatting sqref="M148:M149">
    <cfRule type="cellIs" dxfId="7822" priority="22651" operator="equal">
      <formula>"value일 미도래"</formula>
    </cfRule>
  </conditionalFormatting>
  <conditionalFormatting sqref="M148:M149">
    <cfRule type="cellIs" dxfId="7821" priority="22650" operator="equal">
      <formula>"value일 미도래"</formula>
    </cfRule>
  </conditionalFormatting>
  <conditionalFormatting sqref="M148:M149">
    <cfRule type="cellIs" dxfId="7820" priority="22649" operator="equal">
      <formula>"value일 미도래"</formula>
    </cfRule>
  </conditionalFormatting>
  <conditionalFormatting sqref="M148:M149">
    <cfRule type="cellIs" dxfId="7819" priority="22648" operator="equal">
      <formula>"value일 미도래"</formula>
    </cfRule>
  </conditionalFormatting>
  <conditionalFormatting sqref="M148:M149">
    <cfRule type="cellIs" dxfId="7818" priority="22646" operator="equal">
      <formula>"value일 미도래"</formula>
    </cfRule>
  </conditionalFormatting>
  <conditionalFormatting sqref="M148:M149">
    <cfRule type="cellIs" dxfId="7817" priority="22645" operator="equal">
      <formula>"value일 미도래"</formula>
    </cfRule>
  </conditionalFormatting>
  <conditionalFormatting sqref="M148:M149">
    <cfRule type="cellIs" dxfId="7816" priority="22644" operator="equal">
      <formula>"value일 미도래"</formula>
    </cfRule>
  </conditionalFormatting>
  <conditionalFormatting sqref="M148:M149">
    <cfRule type="cellIs" dxfId="7815" priority="22643" operator="equal">
      <formula>"value일 미도래"</formula>
    </cfRule>
  </conditionalFormatting>
  <conditionalFormatting sqref="M148:M149">
    <cfRule type="cellIs" dxfId="7814" priority="22642" operator="equal">
      <formula>"value일 미도래"</formula>
    </cfRule>
  </conditionalFormatting>
  <conditionalFormatting sqref="M148:M149">
    <cfRule type="cellIs" dxfId="7813" priority="22641" operator="equal">
      <formula>"value일 미도래"</formula>
    </cfRule>
  </conditionalFormatting>
  <conditionalFormatting sqref="M148:M149">
    <cfRule type="cellIs" dxfId="7812" priority="22640" operator="equal">
      <formula>"value일 미도래"</formula>
    </cfRule>
  </conditionalFormatting>
  <conditionalFormatting sqref="M148:M149">
    <cfRule type="cellIs" dxfId="7811" priority="22639" operator="equal">
      <formula>"value일 미도래"</formula>
    </cfRule>
  </conditionalFormatting>
  <conditionalFormatting sqref="M148:M149">
    <cfRule type="cellIs" dxfId="7810" priority="22638" operator="equal">
      <formula>"value일 미도래"</formula>
    </cfRule>
  </conditionalFormatting>
  <conditionalFormatting sqref="M148:M149">
    <cfRule type="cellIs" dxfId="7809" priority="22637" operator="equal">
      <formula>"value일 미도래"</formula>
    </cfRule>
  </conditionalFormatting>
  <conditionalFormatting sqref="M148:M149">
    <cfRule type="cellIs" dxfId="7808" priority="22636" operator="equal">
      <formula>"value일 미도래"</formula>
    </cfRule>
  </conditionalFormatting>
  <conditionalFormatting sqref="M148:M149">
    <cfRule type="cellIs" dxfId="7807" priority="22634" operator="equal">
      <formula>"value일 미도래"</formula>
    </cfRule>
  </conditionalFormatting>
  <conditionalFormatting sqref="M148:M149">
    <cfRule type="cellIs" dxfId="7806" priority="22633" operator="equal">
      <formula>"value일 미도래"</formula>
    </cfRule>
  </conditionalFormatting>
  <conditionalFormatting sqref="M148:M149">
    <cfRule type="cellIs" dxfId="7805" priority="22632" operator="equal">
      <formula>"value일 미도래"</formula>
    </cfRule>
  </conditionalFormatting>
  <conditionalFormatting sqref="M148:M149">
    <cfRule type="cellIs" dxfId="7804" priority="22631" operator="equal">
      <formula>"value일 미도래"</formula>
    </cfRule>
  </conditionalFormatting>
  <conditionalFormatting sqref="M148:M149">
    <cfRule type="cellIs" dxfId="7803" priority="22630" operator="equal">
      <formula>"value일 미도래"</formula>
    </cfRule>
  </conditionalFormatting>
  <conditionalFormatting sqref="M148:M149">
    <cfRule type="cellIs" dxfId="7802" priority="22629" operator="equal">
      <formula>"value일 미도래"</formula>
    </cfRule>
  </conditionalFormatting>
  <conditionalFormatting sqref="M148:M149">
    <cfRule type="cellIs" dxfId="7801" priority="22628" operator="equal">
      <formula>"value일 미도래"</formula>
    </cfRule>
  </conditionalFormatting>
  <conditionalFormatting sqref="M148:M149">
    <cfRule type="cellIs" dxfId="7800" priority="22627" operator="equal">
      <formula>"value일 미도래"</formula>
    </cfRule>
  </conditionalFormatting>
  <conditionalFormatting sqref="M148:M149">
    <cfRule type="cellIs" dxfId="7799" priority="22626" operator="equal">
      <formula>"value일 미도래"</formula>
    </cfRule>
  </conditionalFormatting>
  <conditionalFormatting sqref="M148:M149">
    <cfRule type="cellIs" dxfId="7798" priority="22625" operator="equal">
      <formula>"value일 미도래"</formula>
    </cfRule>
  </conditionalFormatting>
  <conditionalFormatting sqref="M148:M149">
    <cfRule type="cellIs" dxfId="7797" priority="22624" operator="equal">
      <formula>"value일 미도래"</formula>
    </cfRule>
  </conditionalFormatting>
  <conditionalFormatting sqref="M148:M149">
    <cfRule type="cellIs" dxfId="7796" priority="22622" operator="equal">
      <formula>"value일 미도래"</formula>
    </cfRule>
  </conditionalFormatting>
  <conditionalFormatting sqref="M148:M149">
    <cfRule type="cellIs" dxfId="7795" priority="22621" operator="equal">
      <formula>"value일 미도래"</formula>
    </cfRule>
  </conditionalFormatting>
  <conditionalFormatting sqref="M148:M149">
    <cfRule type="cellIs" dxfId="7794" priority="22620" operator="equal">
      <formula>"value일 미도래"</formula>
    </cfRule>
  </conditionalFormatting>
  <conditionalFormatting sqref="M148">
    <cfRule type="cellIs" dxfId="7793" priority="22619" operator="equal">
      <formula>"value일 미도래"</formula>
    </cfRule>
  </conditionalFormatting>
  <conditionalFormatting sqref="M148">
    <cfRule type="cellIs" dxfId="7792" priority="22618" operator="equal">
      <formula>"value일 미도래"</formula>
    </cfRule>
  </conditionalFormatting>
  <conditionalFormatting sqref="M148:M149">
    <cfRule type="cellIs" dxfId="7791" priority="22617" operator="equal">
      <formula>"value일 미도래"</formula>
    </cfRule>
  </conditionalFormatting>
  <conditionalFormatting sqref="M148:M149">
    <cfRule type="cellIs" dxfId="7790" priority="22616" operator="equal">
      <formula>"value일 미도래"</formula>
    </cfRule>
  </conditionalFormatting>
  <conditionalFormatting sqref="M148:M149">
    <cfRule type="cellIs" dxfId="7789" priority="22615" operator="equal">
      <formula>"value일 미도래"</formula>
    </cfRule>
  </conditionalFormatting>
  <conditionalFormatting sqref="M148">
    <cfRule type="cellIs" dxfId="7788" priority="22614" operator="equal">
      <formula>"value일 미도래"</formula>
    </cfRule>
  </conditionalFormatting>
  <conditionalFormatting sqref="M148">
    <cfRule type="cellIs" dxfId="7787" priority="22613" operator="equal">
      <formula>"value일 미도래"</formula>
    </cfRule>
  </conditionalFormatting>
  <conditionalFormatting sqref="M148">
    <cfRule type="cellIs" dxfId="7786" priority="22612" operator="equal">
      <formula>"value일 미도래"</formula>
    </cfRule>
  </conditionalFormatting>
  <conditionalFormatting sqref="M148">
    <cfRule type="cellIs" dxfId="7785" priority="22611" operator="equal">
      <formula>"value일 미도래"</formula>
    </cfRule>
  </conditionalFormatting>
  <conditionalFormatting sqref="M148">
    <cfRule type="cellIs" dxfId="7784" priority="22610" operator="equal">
      <formula>"value일 미도래"</formula>
    </cfRule>
  </conditionalFormatting>
  <conditionalFormatting sqref="M148">
    <cfRule type="cellIs" dxfId="7783" priority="22609" operator="equal">
      <formula>"value일 미도래"</formula>
    </cfRule>
  </conditionalFormatting>
  <conditionalFormatting sqref="M148">
    <cfRule type="cellIs" dxfId="7782" priority="22608" operator="equal">
      <formula>"value일 미도래"</formula>
    </cfRule>
  </conditionalFormatting>
  <conditionalFormatting sqref="M148">
    <cfRule type="cellIs" dxfId="7781" priority="22607" operator="equal">
      <formula>"value일 미도래"</formula>
    </cfRule>
  </conditionalFormatting>
  <conditionalFormatting sqref="M148">
    <cfRule type="cellIs" dxfId="7780" priority="22606" operator="equal">
      <formula>"value일 미도래"</formula>
    </cfRule>
  </conditionalFormatting>
  <conditionalFormatting sqref="M148">
    <cfRule type="cellIs" dxfId="7779" priority="22604" operator="equal">
      <formula>"value일 미도래"</formula>
    </cfRule>
  </conditionalFormatting>
  <conditionalFormatting sqref="M148">
    <cfRule type="cellIs" dxfId="7778" priority="22603" operator="equal">
      <formula>"value일 미도래"</formula>
    </cfRule>
  </conditionalFormatting>
  <conditionalFormatting sqref="M148">
    <cfRule type="cellIs" dxfId="7777" priority="22602" operator="equal">
      <formula>"value일 미도래"</formula>
    </cfRule>
  </conditionalFormatting>
  <conditionalFormatting sqref="M148:M149">
    <cfRule type="cellIs" dxfId="7776" priority="22601" operator="equal">
      <formula>"value일 미도래"</formula>
    </cfRule>
  </conditionalFormatting>
  <conditionalFormatting sqref="M148:M149">
    <cfRule type="cellIs" dxfId="7775" priority="22600" operator="equal">
      <formula>"value일 미도래"</formula>
    </cfRule>
  </conditionalFormatting>
  <conditionalFormatting sqref="M148:M149">
    <cfRule type="cellIs" dxfId="7774" priority="22599" operator="equal">
      <formula>"value일 미도래"</formula>
    </cfRule>
  </conditionalFormatting>
  <conditionalFormatting sqref="M148">
    <cfRule type="cellIs" dxfId="7773" priority="22598" operator="equal">
      <formula>"value일 미도래"</formula>
    </cfRule>
  </conditionalFormatting>
  <conditionalFormatting sqref="M148">
    <cfRule type="cellIs" dxfId="7772" priority="22597" operator="equal">
      <formula>"value일 미도래"</formula>
    </cfRule>
  </conditionalFormatting>
  <conditionalFormatting sqref="M148">
    <cfRule type="cellIs" dxfId="7771" priority="22596" operator="equal">
      <formula>"value일 미도래"</formula>
    </cfRule>
  </conditionalFormatting>
  <conditionalFormatting sqref="M148:M149">
    <cfRule type="cellIs" dxfId="7770" priority="22595" operator="equal">
      <formula>"value일 미도래"</formula>
    </cfRule>
  </conditionalFormatting>
  <conditionalFormatting sqref="M148:M149">
    <cfRule type="cellIs" dxfId="7769" priority="22594" operator="equal">
      <formula>"value일 미도래"</formula>
    </cfRule>
  </conditionalFormatting>
  <conditionalFormatting sqref="M148:M149">
    <cfRule type="cellIs" dxfId="7768" priority="22593" operator="equal">
      <formula>"value일 미도래"</formula>
    </cfRule>
  </conditionalFormatting>
  <conditionalFormatting sqref="M148">
    <cfRule type="cellIs" dxfId="7767" priority="22592" operator="equal">
      <formula>"value일 미도래"</formula>
    </cfRule>
  </conditionalFormatting>
  <conditionalFormatting sqref="M148">
    <cfRule type="cellIs" dxfId="7766" priority="22591" operator="equal">
      <formula>"value일 미도래"</formula>
    </cfRule>
  </conditionalFormatting>
  <conditionalFormatting sqref="M148">
    <cfRule type="cellIs" dxfId="7765" priority="22590" operator="equal">
      <formula>"value일 미도래"</formula>
    </cfRule>
  </conditionalFormatting>
  <conditionalFormatting sqref="M148">
    <cfRule type="cellIs" dxfId="7764" priority="22589" operator="equal">
      <formula>"value일 미도래"</formula>
    </cfRule>
  </conditionalFormatting>
  <conditionalFormatting sqref="M148">
    <cfRule type="cellIs" dxfId="7763" priority="22588" operator="equal">
      <formula>"value일 미도래"</formula>
    </cfRule>
  </conditionalFormatting>
  <conditionalFormatting sqref="M148:M149">
    <cfRule type="cellIs" dxfId="7762" priority="22587" operator="equal">
      <formula>"value일 미도래"</formula>
    </cfRule>
  </conditionalFormatting>
  <conditionalFormatting sqref="M148:M149">
    <cfRule type="cellIs" dxfId="7761" priority="22586" operator="equal">
      <formula>"value일 미도래"</formula>
    </cfRule>
  </conditionalFormatting>
  <conditionalFormatting sqref="M148:M149">
    <cfRule type="cellIs" dxfId="7760" priority="22585" operator="equal">
      <formula>"value일 미도래"</formula>
    </cfRule>
  </conditionalFormatting>
  <conditionalFormatting sqref="M148">
    <cfRule type="cellIs" dxfId="7759" priority="22584" operator="equal">
      <formula>"value일 미도래"</formula>
    </cfRule>
  </conditionalFormatting>
  <conditionalFormatting sqref="M148">
    <cfRule type="cellIs" dxfId="7758" priority="22583" operator="equal">
      <formula>"value일 미도래"</formula>
    </cfRule>
  </conditionalFormatting>
  <conditionalFormatting sqref="M148">
    <cfRule type="cellIs" dxfId="7757" priority="22582" operator="equal">
      <formula>"value일 미도래"</formula>
    </cfRule>
  </conditionalFormatting>
  <conditionalFormatting sqref="M148">
    <cfRule type="cellIs" dxfId="7756" priority="22581" operator="equal">
      <formula>"value일 미도래"</formula>
    </cfRule>
  </conditionalFormatting>
  <conditionalFormatting sqref="M148">
    <cfRule type="cellIs" dxfId="7755" priority="22580" operator="equal">
      <formula>"value일 미도래"</formula>
    </cfRule>
  </conditionalFormatting>
  <conditionalFormatting sqref="M148">
    <cfRule type="cellIs" dxfId="7754" priority="22579" operator="equal">
      <formula>"value일 미도래"</formula>
    </cfRule>
  </conditionalFormatting>
  <conditionalFormatting sqref="M148">
    <cfRule type="cellIs" dxfId="7753" priority="22578" operator="equal">
      <formula>"value일 미도래"</formula>
    </cfRule>
  </conditionalFormatting>
  <conditionalFormatting sqref="M148">
    <cfRule type="cellIs" dxfId="7752" priority="22577" operator="equal">
      <formula>"value일 미도래"</formula>
    </cfRule>
  </conditionalFormatting>
  <conditionalFormatting sqref="M148">
    <cfRule type="cellIs" dxfId="7751" priority="22576" operator="equal">
      <formula>"value일 미도래"</formula>
    </cfRule>
  </conditionalFormatting>
  <conditionalFormatting sqref="M148">
    <cfRule type="cellIs" dxfId="7750" priority="22574" operator="equal">
      <formula>"value일 미도래"</formula>
    </cfRule>
  </conditionalFormatting>
  <conditionalFormatting sqref="M148">
    <cfRule type="cellIs" dxfId="7749" priority="22573" operator="equal">
      <formula>"value일 미도래"</formula>
    </cfRule>
  </conditionalFormatting>
  <conditionalFormatting sqref="M148">
    <cfRule type="cellIs" dxfId="7748" priority="22572" operator="equal">
      <formula>"value일 미도래"</formula>
    </cfRule>
  </conditionalFormatting>
  <conditionalFormatting sqref="M148:M149">
    <cfRule type="cellIs" dxfId="7747" priority="22571" operator="equal">
      <formula>"value일 미도래"</formula>
    </cfRule>
  </conditionalFormatting>
  <conditionalFormatting sqref="M148:M149">
    <cfRule type="cellIs" dxfId="7746" priority="22570" operator="equal">
      <formula>"value일 미도래"</formula>
    </cfRule>
  </conditionalFormatting>
  <conditionalFormatting sqref="M148:M149">
    <cfRule type="cellIs" dxfId="7745" priority="22569" operator="equal">
      <formula>"value일 미도래"</formula>
    </cfRule>
  </conditionalFormatting>
  <conditionalFormatting sqref="M148">
    <cfRule type="cellIs" dxfId="7744" priority="22568" operator="equal">
      <formula>"value일 미도래"</formula>
    </cfRule>
  </conditionalFormatting>
  <conditionalFormatting sqref="M148">
    <cfRule type="cellIs" dxfId="7743" priority="22567" operator="equal">
      <formula>"value일 미도래"</formula>
    </cfRule>
  </conditionalFormatting>
  <conditionalFormatting sqref="M148">
    <cfRule type="cellIs" dxfId="7742" priority="22566" operator="equal">
      <formula>"value일 미도래"</formula>
    </cfRule>
  </conditionalFormatting>
  <conditionalFormatting sqref="M148:M149">
    <cfRule type="cellIs" dxfId="7741" priority="22565" operator="equal">
      <formula>"value일 미도래"</formula>
    </cfRule>
  </conditionalFormatting>
  <conditionalFormatting sqref="M148:M149">
    <cfRule type="cellIs" dxfId="7740" priority="22564" operator="equal">
      <formula>"value일 미도래"</formula>
    </cfRule>
  </conditionalFormatting>
  <conditionalFormatting sqref="M148:M149">
    <cfRule type="cellIs" dxfId="7739" priority="22563" operator="equal">
      <formula>"value일 미도래"</formula>
    </cfRule>
  </conditionalFormatting>
  <conditionalFormatting sqref="M148">
    <cfRule type="cellIs" dxfId="7738" priority="22562" operator="equal">
      <formula>"value일 미도래"</formula>
    </cfRule>
  </conditionalFormatting>
  <conditionalFormatting sqref="M148">
    <cfRule type="cellIs" dxfId="7737" priority="22561" operator="equal">
      <formula>"value일 미도래"</formula>
    </cfRule>
  </conditionalFormatting>
  <conditionalFormatting sqref="M148">
    <cfRule type="cellIs" dxfId="7736" priority="22560" operator="equal">
      <formula>"value일 미도래"</formula>
    </cfRule>
  </conditionalFormatting>
  <conditionalFormatting sqref="M148">
    <cfRule type="cellIs" dxfId="7735" priority="22559" operator="equal">
      <formula>"value일 미도래"</formula>
    </cfRule>
  </conditionalFormatting>
  <conditionalFormatting sqref="M148">
    <cfRule type="cellIs" dxfId="7734" priority="22558" operator="equal">
      <formula>"value일 미도래"</formula>
    </cfRule>
  </conditionalFormatting>
  <conditionalFormatting sqref="M148">
    <cfRule type="cellIs" dxfId="7733" priority="22557" operator="equal">
      <formula>"value일 미도래"</formula>
    </cfRule>
  </conditionalFormatting>
  <conditionalFormatting sqref="M148">
    <cfRule type="cellIs" dxfId="7732" priority="22556" operator="equal">
      <formula>"value일 미도래"</formula>
    </cfRule>
  </conditionalFormatting>
  <conditionalFormatting sqref="M148">
    <cfRule type="cellIs" dxfId="7731" priority="22555" operator="equal">
      <formula>"value일 미도래"</formula>
    </cfRule>
  </conditionalFormatting>
  <conditionalFormatting sqref="M148">
    <cfRule type="cellIs" dxfId="7730" priority="22554" operator="equal">
      <formula>"value일 미도래"</formula>
    </cfRule>
  </conditionalFormatting>
  <conditionalFormatting sqref="M148">
    <cfRule type="cellIs" dxfId="7729" priority="22553" operator="equal">
      <formula>"value일 미도래"</formula>
    </cfRule>
  </conditionalFormatting>
  <conditionalFormatting sqref="M148">
    <cfRule type="cellIs" dxfId="7728" priority="22552" operator="equal">
      <formula>"value일 미도래"</formula>
    </cfRule>
  </conditionalFormatting>
  <conditionalFormatting sqref="M148">
    <cfRule type="cellIs" dxfId="7727" priority="22551" operator="equal">
      <formula>"value일 미도래"</formula>
    </cfRule>
  </conditionalFormatting>
  <conditionalFormatting sqref="M148">
    <cfRule type="cellIs" dxfId="7726" priority="22550" operator="equal">
      <formula>"value일 미도래"</formula>
    </cfRule>
  </conditionalFormatting>
  <conditionalFormatting sqref="M148">
    <cfRule type="cellIs" dxfId="7725" priority="22549" operator="equal">
      <formula>"value일 미도래"</formula>
    </cfRule>
  </conditionalFormatting>
  <conditionalFormatting sqref="M148">
    <cfRule type="cellIs" dxfId="7724" priority="22548" operator="equal">
      <formula>"value일 미도래"</formula>
    </cfRule>
  </conditionalFormatting>
  <conditionalFormatting sqref="M148">
    <cfRule type="cellIs" dxfId="7723" priority="22547" operator="equal">
      <formula>"value일 미도래"</formula>
    </cfRule>
  </conditionalFormatting>
  <conditionalFormatting sqref="M148">
    <cfRule type="cellIs" dxfId="7722" priority="22546" operator="equal">
      <formula>"value일 미도래"</formula>
    </cfRule>
  </conditionalFormatting>
  <conditionalFormatting sqref="M148">
    <cfRule type="cellIs" dxfId="7721" priority="22544" operator="equal">
      <formula>"value일 미도래"</formula>
    </cfRule>
  </conditionalFormatting>
  <conditionalFormatting sqref="M148">
    <cfRule type="cellIs" dxfId="7720" priority="22543" operator="equal">
      <formula>"value일 미도래"</formula>
    </cfRule>
  </conditionalFormatting>
  <conditionalFormatting sqref="M148">
    <cfRule type="cellIs" dxfId="7719" priority="22542" operator="equal">
      <formula>"value일 미도래"</formula>
    </cfRule>
  </conditionalFormatting>
  <conditionalFormatting sqref="M148">
    <cfRule type="cellIs" dxfId="7718" priority="22541" operator="equal">
      <formula>"value일 미도래"</formula>
    </cfRule>
  </conditionalFormatting>
  <conditionalFormatting sqref="M148">
    <cfRule type="cellIs" dxfId="7717" priority="22540" operator="equal">
      <formula>"value일 미도래"</formula>
    </cfRule>
  </conditionalFormatting>
  <conditionalFormatting sqref="M148">
    <cfRule type="cellIs" dxfId="7716" priority="22539" operator="equal">
      <formula>"value일 미도래"</formula>
    </cfRule>
  </conditionalFormatting>
  <conditionalFormatting sqref="M148">
    <cfRule type="cellIs" dxfId="7715" priority="22538" operator="equal">
      <formula>"value일 미도래"</formula>
    </cfRule>
  </conditionalFormatting>
  <conditionalFormatting sqref="M148">
    <cfRule type="cellIs" dxfId="7714" priority="22537" operator="equal">
      <formula>"value일 미도래"</formula>
    </cfRule>
  </conditionalFormatting>
  <conditionalFormatting sqref="M148">
    <cfRule type="cellIs" dxfId="7713" priority="22536" operator="equal">
      <formula>"value일 미도래"</formula>
    </cfRule>
  </conditionalFormatting>
  <conditionalFormatting sqref="M148">
    <cfRule type="cellIs" dxfId="7712" priority="22535" operator="equal">
      <formula>"value일 미도래"</formula>
    </cfRule>
  </conditionalFormatting>
  <conditionalFormatting sqref="M148">
    <cfRule type="cellIs" dxfId="7711" priority="22534" operator="equal">
      <formula>"value일 미도래"</formula>
    </cfRule>
  </conditionalFormatting>
  <conditionalFormatting sqref="M148">
    <cfRule type="cellIs" dxfId="7710" priority="22533" operator="equal">
      <formula>"value일 미도래"</formula>
    </cfRule>
  </conditionalFormatting>
  <conditionalFormatting sqref="M148">
    <cfRule type="cellIs" dxfId="7709" priority="22532" operator="equal">
      <formula>"value일 미도래"</formula>
    </cfRule>
  </conditionalFormatting>
  <conditionalFormatting sqref="M148">
    <cfRule type="cellIs" dxfId="7708" priority="22531" operator="equal">
      <formula>"value일 미도래"</formula>
    </cfRule>
  </conditionalFormatting>
  <conditionalFormatting sqref="M148">
    <cfRule type="cellIs" dxfId="7707" priority="22530" operator="equal">
      <formula>"value일 미도래"</formula>
    </cfRule>
  </conditionalFormatting>
  <conditionalFormatting sqref="M148">
    <cfRule type="cellIs" dxfId="7706" priority="22529" operator="equal">
      <formula>"value일 미도래"</formula>
    </cfRule>
  </conditionalFormatting>
  <conditionalFormatting sqref="M148">
    <cfRule type="cellIs" dxfId="7705" priority="22528" operator="equal">
      <formula>"value일 미도래"</formula>
    </cfRule>
  </conditionalFormatting>
  <conditionalFormatting sqref="M148">
    <cfRule type="cellIs" dxfId="7704" priority="22527" operator="equal">
      <formula>"value일 미도래"</formula>
    </cfRule>
  </conditionalFormatting>
  <conditionalFormatting sqref="M148">
    <cfRule type="cellIs" dxfId="7703" priority="22526" operator="equal">
      <formula>"value일 미도래"</formula>
    </cfRule>
  </conditionalFormatting>
  <conditionalFormatting sqref="M148:M149">
    <cfRule type="cellIs" dxfId="7702" priority="22525" operator="equal">
      <formula>"value일 미도래"</formula>
    </cfRule>
  </conditionalFormatting>
  <conditionalFormatting sqref="M148:M149">
    <cfRule type="cellIs" dxfId="7701" priority="22524" operator="equal">
      <formula>"value일 미도래"</formula>
    </cfRule>
  </conditionalFormatting>
  <conditionalFormatting sqref="M148:M149">
    <cfRule type="cellIs" dxfId="7700" priority="22523" operator="equal">
      <formula>"value일 미도래"</formula>
    </cfRule>
  </conditionalFormatting>
  <conditionalFormatting sqref="M148:M149">
    <cfRule type="cellIs" dxfId="7699" priority="22522" operator="equal">
      <formula>"value일 미도래"</formula>
    </cfRule>
  </conditionalFormatting>
  <conditionalFormatting sqref="M148:M149">
    <cfRule type="cellIs" dxfId="7698" priority="22521" operator="equal">
      <formula>"value일 미도래"</formula>
    </cfRule>
  </conditionalFormatting>
  <conditionalFormatting sqref="M148:M149">
    <cfRule type="cellIs" dxfId="7697" priority="22520" operator="equal">
      <formula>"value일 미도래"</formula>
    </cfRule>
  </conditionalFormatting>
  <conditionalFormatting sqref="M148:M149">
    <cfRule type="cellIs" dxfId="7696" priority="22518" operator="equal">
      <formula>"value일 미도래"</formula>
    </cfRule>
  </conditionalFormatting>
  <conditionalFormatting sqref="M148:M149">
    <cfRule type="cellIs" dxfId="7695" priority="22517" operator="equal">
      <formula>"value일 미도래"</formula>
    </cfRule>
  </conditionalFormatting>
  <conditionalFormatting sqref="M148:M149">
    <cfRule type="cellIs" dxfId="7694" priority="22516" operator="equal">
      <formula>"value일 미도래"</formula>
    </cfRule>
  </conditionalFormatting>
  <conditionalFormatting sqref="M148:M149">
    <cfRule type="cellIs" dxfId="7693" priority="22515" operator="equal">
      <formula>"value일 미도래"</formula>
    </cfRule>
  </conditionalFormatting>
  <conditionalFormatting sqref="M148:M149">
    <cfRule type="cellIs" dxfId="7692" priority="22514" operator="equal">
      <formula>"value일 미도래"</formula>
    </cfRule>
  </conditionalFormatting>
  <conditionalFormatting sqref="M148:M149">
    <cfRule type="cellIs" dxfId="7691" priority="22513" operator="equal">
      <formula>"value일 미도래"</formula>
    </cfRule>
  </conditionalFormatting>
  <conditionalFormatting sqref="M148:M149">
    <cfRule type="cellIs" dxfId="7690" priority="22512" operator="equal">
      <formula>"value일 미도래"</formula>
    </cfRule>
  </conditionalFormatting>
  <conditionalFormatting sqref="M148:M149">
    <cfRule type="cellIs" dxfId="7689" priority="22511" operator="equal">
      <formula>"value일 미도래"</formula>
    </cfRule>
  </conditionalFormatting>
  <conditionalFormatting sqref="M148:M149">
    <cfRule type="cellIs" dxfId="7688" priority="22509" operator="equal">
      <formula>"value일 미도래"</formula>
    </cfRule>
  </conditionalFormatting>
  <conditionalFormatting sqref="M148:M149">
    <cfRule type="cellIs" dxfId="7687" priority="22508" operator="equal">
      <formula>"value일 미도래"</formula>
    </cfRule>
  </conditionalFormatting>
  <conditionalFormatting sqref="M148:M149">
    <cfRule type="cellIs" dxfId="7686" priority="22507" operator="equal">
      <formula>"value일 미도래"</formula>
    </cfRule>
  </conditionalFormatting>
  <conditionalFormatting sqref="M148:M149">
    <cfRule type="cellIs" dxfId="7685" priority="22506" operator="equal">
      <formula>"value일 미도래"</formula>
    </cfRule>
  </conditionalFormatting>
  <conditionalFormatting sqref="M148:M149">
    <cfRule type="cellIs" dxfId="7684" priority="22505" operator="equal">
      <formula>"value일 미도래"</formula>
    </cfRule>
  </conditionalFormatting>
  <conditionalFormatting sqref="M148:M149">
    <cfRule type="cellIs" dxfId="7683" priority="22504" operator="equal">
      <formula>"value일 미도래"</formula>
    </cfRule>
  </conditionalFormatting>
  <conditionalFormatting sqref="M148:M149">
    <cfRule type="cellIs" dxfId="7682" priority="22503" operator="equal">
      <formula>"value일 미도래"</formula>
    </cfRule>
  </conditionalFormatting>
  <conditionalFormatting sqref="M148:M149">
    <cfRule type="cellIs" dxfId="7681" priority="22502" operator="equal">
      <formula>"value일 미도래"</formula>
    </cfRule>
  </conditionalFormatting>
  <conditionalFormatting sqref="M148:M149">
    <cfRule type="cellIs" dxfId="7680" priority="22501" operator="equal">
      <formula>"value일 미도래"</formula>
    </cfRule>
  </conditionalFormatting>
  <conditionalFormatting sqref="M148:M149">
    <cfRule type="cellIs" dxfId="7679" priority="22500" operator="equal">
      <formula>"value일 미도래"</formula>
    </cfRule>
  </conditionalFormatting>
  <conditionalFormatting sqref="M148:M149">
    <cfRule type="cellIs" dxfId="7678" priority="22499" operator="equal">
      <formula>"value일 미도래"</formula>
    </cfRule>
  </conditionalFormatting>
  <conditionalFormatting sqref="M148:M149">
    <cfRule type="cellIs" dxfId="7677" priority="22497" operator="equal">
      <formula>"value일 미도래"</formula>
    </cfRule>
  </conditionalFormatting>
  <conditionalFormatting sqref="M148:M149">
    <cfRule type="cellIs" dxfId="7676" priority="22496" operator="equal">
      <formula>"value일 미도래"</formula>
    </cfRule>
  </conditionalFormatting>
  <conditionalFormatting sqref="M148:M149">
    <cfRule type="cellIs" dxfId="7675" priority="22495" operator="equal">
      <formula>"value일 미도래"</formula>
    </cfRule>
  </conditionalFormatting>
  <conditionalFormatting sqref="M148:M149">
    <cfRule type="cellIs" dxfId="7674" priority="22494" operator="equal">
      <formula>"value일 미도래"</formula>
    </cfRule>
  </conditionalFormatting>
  <conditionalFormatting sqref="M148:M149">
    <cfRule type="cellIs" dxfId="7673" priority="22493" operator="equal">
      <formula>"value일 미도래"</formula>
    </cfRule>
  </conditionalFormatting>
  <conditionalFormatting sqref="M148:M149">
    <cfRule type="cellIs" dxfId="7672" priority="22492" operator="equal">
      <formula>"value일 미도래"</formula>
    </cfRule>
  </conditionalFormatting>
  <conditionalFormatting sqref="M148:M149">
    <cfRule type="cellIs" dxfId="7671" priority="22491" operator="equal">
      <formula>"value일 미도래"</formula>
    </cfRule>
  </conditionalFormatting>
  <conditionalFormatting sqref="M148:M149">
    <cfRule type="cellIs" dxfId="7670" priority="22490" operator="equal">
      <formula>"value일 미도래"</formula>
    </cfRule>
  </conditionalFormatting>
  <conditionalFormatting sqref="M148:M149">
    <cfRule type="cellIs" dxfId="7669" priority="22489" operator="equal">
      <formula>"value일 미도래"</formula>
    </cfRule>
  </conditionalFormatting>
  <conditionalFormatting sqref="M148:M149">
    <cfRule type="cellIs" dxfId="7668" priority="22488" operator="equal">
      <formula>"value일 미도래"</formula>
    </cfRule>
  </conditionalFormatting>
  <conditionalFormatting sqref="M148:M149">
    <cfRule type="cellIs" dxfId="7667" priority="22487" operator="equal">
      <formula>"value일 미도래"</formula>
    </cfRule>
  </conditionalFormatting>
  <conditionalFormatting sqref="M148:M149">
    <cfRule type="cellIs" dxfId="7666" priority="22485" operator="equal">
      <formula>"value일 미도래"</formula>
    </cfRule>
  </conditionalFormatting>
  <conditionalFormatting sqref="M148:M149">
    <cfRule type="cellIs" dxfId="7665" priority="22484" operator="equal">
      <formula>"value일 미도래"</formula>
    </cfRule>
  </conditionalFormatting>
  <conditionalFormatting sqref="M148:M149">
    <cfRule type="cellIs" dxfId="7664" priority="22483" operator="equal">
      <formula>"value일 미도래"</formula>
    </cfRule>
  </conditionalFormatting>
  <conditionalFormatting sqref="M148:M149">
    <cfRule type="cellIs" dxfId="7663" priority="22482" operator="equal">
      <formula>"value일 미도래"</formula>
    </cfRule>
  </conditionalFormatting>
  <conditionalFormatting sqref="M148:M149">
    <cfRule type="cellIs" dxfId="7662" priority="22481" operator="equal">
      <formula>"value일 미도래"</formula>
    </cfRule>
  </conditionalFormatting>
  <conditionalFormatting sqref="M148:M149">
    <cfRule type="cellIs" dxfId="7661" priority="22480" operator="equal">
      <formula>"value일 미도래"</formula>
    </cfRule>
  </conditionalFormatting>
  <conditionalFormatting sqref="M148:M149">
    <cfRule type="cellIs" dxfId="7660" priority="22479" operator="equal">
      <formula>"value일 미도래"</formula>
    </cfRule>
  </conditionalFormatting>
  <conditionalFormatting sqref="M148:M149">
    <cfRule type="cellIs" dxfId="7659" priority="22478" operator="equal">
      <formula>"value일 미도래"</formula>
    </cfRule>
  </conditionalFormatting>
  <conditionalFormatting sqref="M148:M149">
    <cfRule type="cellIs" dxfId="7658" priority="22477" operator="equal">
      <formula>"value일 미도래"</formula>
    </cfRule>
  </conditionalFormatting>
  <conditionalFormatting sqref="M148:M149">
    <cfRule type="cellIs" dxfId="7657" priority="22476" operator="equal">
      <formula>"value일 미도래"</formula>
    </cfRule>
  </conditionalFormatting>
  <conditionalFormatting sqref="M148:M149">
    <cfRule type="cellIs" dxfId="7656" priority="22475" operator="equal">
      <formula>"value일 미도래"</formula>
    </cfRule>
  </conditionalFormatting>
  <conditionalFormatting sqref="M148:M149">
    <cfRule type="cellIs" dxfId="7655" priority="22474" operator="equal">
      <formula>"value일 미도래"</formula>
    </cfRule>
  </conditionalFormatting>
  <conditionalFormatting sqref="M148:M149">
    <cfRule type="cellIs" dxfId="7654" priority="22473" operator="equal">
      <formula>"value일 미도래"</formula>
    </cfRule>
  </conditionalFormatting>
  <conditionalFormatting sqref="M148:M149">
    <cfRule type="cellIs" dxfId="7653" priority="22472" operator="equal">
      <formula>"value일 미도래"</formula>
    </cfRule>
  </conditionalFormatting>
  <conditionalFormatting sqref="M148:M149">
    <cfRule type="cellIs" dxfId="7652" priority="22470" operator="equal">
      <formula>"value일 미도래"</formula>
    </cfRule>
  </conditionalFormatting>
  <conditionalFormatting sqref="M148:M149">
    <cfRule type="cellIs" dxfId="7651" priority="22469" operator="equal">
      <formula>"value일 미도래"</formula>
    </cfRule>
  </conditionalFormatting>
  <conditionalFormatting sqref="M148:M149">
    <cfRule type="cellIs" dxfId="7650" priority="22468" operator="equal">
      <formula>"value일 미도래"</formula>
    </cfRule>
  </conditionalFormatting>
  <conditionalFormatting sqref="M148:M149">
    <cfRule type="cellIs" dxfId="7649" priority="22467" operator="equal">
      <formula>"value일 미도래"</formula>
    </cfRule>
  </conditionalFormatting>
  <conditionalFormatting sqref="M148:M149">
    <cfRule type="cellIs" dxfId="7648" priority="22466" operator="equal">
      <formula>"value일 미도래"</formula>
    </cfRule>
  </conditionalFormatting>
  <conditionalFormatting sqref="M148:M149">
    <cfRule type="cellIs" dxfId="7647" priority="22465" operator="equal">
      <formula>"value일 미도래"</formula>
    </cfRule>
  </conditionalFormatting>
  <conditionalFormatting sqref="M148:M149">
    <cfRule type="cellIs" dxfId="7646" priority="22464" operator="equal">
      <formula>"value일 미도래"</formula>
    </cfRule>
  </conditionalFormatting>
  <conditionalFormatting sqref="M148:M149">
    <cfRule type="cellIs" dxfId="7645" priority="22463" operator="equal">
      <formula>"value일 미도래"</formula>
    </cfRule>
  </conditionalFormatting>
  <conditionalFormatting sqref="M148:M149">
    <cfRule type="cellIs" dxfId="7644" priority="22462" operator="equal">
      <formula>"value일 미도래"</formula>
    </cfRule>
  </conditionalFormatting>
  <conditionalFormatting sqref="M148:M149">
    <cfRule type="cellIs" dxfId="7643" priority="22461" operator="equal">
      <formula>"value일 미도래"</formula>
    </cfRule>
  </conditionalFormatting>
  <conditionalFormatting sqref="M148:M149">
    <cfRule type="cellIs" dxfId="7642" priority="22460" operator="equal">
      <formula>"value일 미도래"</formula>
    </cfRule>
  </conditionalFormatting>
  <conditionalFormatting sqref="M148:M149">
    <cfRule type="cellIs" dxfId="7641" priority="22459" operator="equal">
      <formula>"value일 미도래"</formula>
    </cfRule>
  </conditionalFormatting>
  <conditionalFormatting sqref="M148:M149">
    <cfRule type="cellIs" dxfId="7640" priority="22458" operator="equal">
      <formula>"value일 미도래"</formula>
    </cfRule>
  </conditionalFormatting>
  <conditionalFormatting sqref="M148:M149">
    <cfRule type="cellIs" dxfId="7639" priority="22457" operator="equal">
      <formula>"value일 미도래"</formula>
    </cfRule>
  </conditionalFormatting>
  <conditionalFormatting sqref="M148:M149">
    <cfRule type="cellIs" dxfId="7638" priority="22456" operator="equal">
      <formula>"value일 미도래"</formula>
    </cfRule>
  </conditionalFormatting>
  <conditionalFormatting sqref="M148:M149">
    <cfRule type="cellIs" dxfId="7637" priority="22455" operator="equal">
      <formula>"value일 미도래"</formula>
    </cfRule>
  </conditionalFormatting>
  <conditionalFormatting sqref="M148:M149">
    <cfRule type="cellIs" dxfId="7636" priority="22454" operator="equal">
      <formula>"value일 미도래"</formula>
    </cfRule>
  </conditionalFormatting>
  <conditionalFormatting sqref="M148:M149">
    <cfRule type="cellIs" dxfId="7635" priority="22453" operator="equal">
      <formula>"value일 미도래"</formula>
    </cfRule>
  </conditionalFormatting>
  <conditionalFormatting sqref="M148:M149">
    <cfRule type="cellIs" dxfId="7634" priority="22452" operator="equal">
      <formula>"value일 미도래"</formula>
    </cfRule>
  </conditionalFormatting>
  <conditionalFormatting sqref="M148:M149">
    <cfRule type="cellIs" dxfId="7633" priority="22451" operator="equal">
      <formula>"value일 미도래"</formula>
    </cfRule>
  </conditionalFormatting>
  <conditionalFormatting sqref="M148:M149">
    <cfRule type="cellIs" dxfId="7632" priority="22449" operator="equal">
      <formula>"value일 미도래"</formula>
    </cfRule>
  </conditionalFormatting>
  <conditionalFormatting sqref="M148:M149">
    <cfRule type="cellIs" dxfId="7631" priority="22448" operator="equal">
      <formula>"value일 미도래"</formula>
    </cfRule>
  </conditionalFormatting>
  <conditionalFormatting sqref="M148:M149">
    <cfRule type="cellIs" dxfId="7630" priority="22447" operator="equal">
      <formula>"value일 미도래"</formula>
    </cfRule>
  </conditionalFormatting>
  <conditionalFormatting sqref="M148:M149">
    <cfRule type="cellIs" dxfId="7629" priority="22446" operator="equal">
      <formula>"value일 미도래"</formula>
    </cfRule>
  </conditionalFormatting>
  <conditionalFormatting sqref="M148:M149">
    <cfRule type="cellIs" dxfId="7628" priority="22445" operator="equal">
      <formula>"value일 미도래"</formula>
    </cfRule>
  </conditionalFormatting>
  <conditionalFormatting sqref="M148:M149">
    <cfRule type="cellIs" dxfId="7627" priority="22444" operator="equal">
      <formula>"value일 미도래"</formula>
    </cfRule>
  </conditionalFormatting>
  <conditionalFormatting sqref="M148:M149">
    <cfRule type="cellIs" dxfId="7626" priority="22443" operator="equal">
      <formula>"value일 미도래"</formula>
    </cfRule>
  </conditionalFormatting>
  <conditionalFormatting sqref="M148:M149">
    <cfRule type="cellIs" dxfId="7625" priority="22442" operator="equal">
      <formula>"value일 미도래"</formula>
    </cfRule>
  </conditionalFormatting>
  <conditionalFormatting sqref="M148:M149">
    <cfRule type="cellIs" dxfId="7624" priority="22441" operator="equal">
      <formula>"value일 미도래"</formula>
    </cfRule>
  </conditionalFormatting>
  <conditionalFormatting sqref="M148:M149">
    <cfRule type="cellIs" dxfId="7623" priority="22440" operator="equal">
      <formula>"value일 미도래"</formula>
    </cfRule>
  </conditionalFormatting>
  <conditionalFormatting sqref="M148:M149">
    <cfRule type="cellIs" dxfId="7622" priority="22439" operator="equal">
      <formula>"value일 미도래"</formula>
    </cfRule>
  </conditionalFormatting>
  <conditionalFormatting sqref="M148:M149">
    <cfRule type="cellIs" dxfId="7621" priority="22438" operator="equal">
      <formula>"value일 미도래"</formula>
    </cfRule>
  </conditionalFormatting>
  <conditionalFormatting sqref="M148:M149">
    <cfRule type="cellIs" dxfId="7620" priority="22431" operator="equal">
      <formula>"value일 미도래"</formula>
    </cfRule>
  </conditionalFormatting>
  <conditionalFormatting sqref="M148:M149">
    <cfRule type="cellIs" dxfId="7619" priority="22430" operator="equal">
      <formula>"value일 미도래"</formula>
    </cfRule>
  </conditionalFormatting>
  <conditionalFormatting sqref="M150:M151">
    <cfRule type="cellIs" dxfId="7618" priority="22429" operator="equal">
      <formula>"value일 미도래"</formula>
    </cfRule>
  </conditionalFormatting>
  <conditionalFormatting sqref="M150:M151">
    <cfRule type="cellIs" dxfId="7617" priority="22428" operator="equal">
      <formula>"value일 미도래"</formula>
    </cfRule>
  </conditionalFormatting>
  <conditionalFormatting sqref="M150:M151">
    <cfRule type="cellIs" dxfId="7616" priority="22427" operator="equal">
      <formula>"value일 미도래"</formula>
    </cfRule>
  </conditionalFormatting>
  <conditionalFormatting sqref="M148:M149">
    <cfRule type="cellIs" dxfId="7615" priority="22426" operator="equal">
      <formula>"value일 미도래"</formula>
    </cfRule>
  </conditionalFormatting>
  <conditionalFormatting sqref="M148:M149">
    <cfRule type="cellIs" dxfId="7614" priority="22425" operator="equal">
      <formula>"value일 미도래"</formula>
    </cfRule>
  </conditionalFormatting>
  <conditionalFormatting sqref="M148:M149">
    <cfRule type="cellIs" dxfId="7613" priority="22424" operator="equal">
      <formula>"value일 미도래"</formula>
    </cfRule>
  </conditionalFormatting>
  <conditionalFormatting sqref="M148:M149">
    <cfRule type="cellIs" dxfId="7612" priority="22423" operator="equal">
      <formula>"value일 미도래"</formula>
    </cfRule>
  </conditionalFormatting>
  <conditionalFormatting sqref="M148:M149">
    <cfRule type="cellIs" dxfId="7611" priority="22422" operator="equal">
      <formula>"value일 미도래"</formula>
    </cfRule>
  </conditionalFormatting>
  <conditionalFormatting sqref="M148:M149">
    <cfRule type="cellIs" dxfId="7610" priority="22421" operator="equal">
      <formula>"value일 미도래"</formula>
    </cfRule>
  </conditionalFormatting>
  <conditionalFormatting sqref="M148:M149">
    <cfRule type="cellIs" dxfId="7609" priority="22420" operator="equal">
      <formula>"value일 미도래"</formula>
    </cfRule>
  </conditionalFormatting>
  <conditionalFormatting sqref="M148:M149">
    <cfRule type="cellIs" dxfId="7608" priority="22419" operator="equal">
      <formula>"value일 미도래"</formula>
    </cfRule>
  </conditionalFormatting>
  <conditionalFormatting sqref="M148:M149">
    <cfRule type="cellIs" dxfId="7607" priority="22418" operator="equal">
      <formula>"value일 미도래"</formula>
    </cfRule>
  </conditionalFormatting>
  <conditionalFormatting sqref="M148:M149">
    <cfRule type="cellIs" dxfId="7606" priority="22416" operator="equal">
      <formula>"value일 미도래"</formula>
    </cfRule>
  </conditionalFormatting>
  <conditionalFormatting sqref="M148:M149">
    <cfRule type="cellIs" dxfId="7605" priority="22415" operator="equal">
      <formula>"value일 미도래"</formula>
    </cfRule>
  </conditionalFormatting>
  <conditionalFormatting sqref="M148:M149">
    <cfRule type="cellIs" dxfId="7604" priority="22414" operator="equal">
      <formula>"value일 미도래"</formula>
    </cfRule>
  </conditionalFormatting>
  <conditionalFormatting sqref="M148:M149">
    <cfRule type="cellIs" dxfId="7603" priority="22413" operator="equal">
      <formula>"value일 미도래"</formula>
    </cfRule>
  </conditionalFormatting>
  <conditionalFormatting sqref="M148:M149">
    <cfRule type="cellIs" dxfId="7602" priority="22412" operator="equal">
      <formula>"value일 미도래"</formula>
    </cfRule>
  </conditionalFormatting>
  <conditionalFormatting sqref="M148:M149">
    <cfRule type="cellIs" dxfId="7601" priority="22411" operator="equal">
      <formula>"value일 미도래"</formula>
    </cfRule>
  </conditionalFormatting>
  <conditionalFormatting sqref="M148:M149">
    <cfRule type="cellIs" dxfId="7600" priority="22410" operator="equal">
      <formula>"value일 미도래"</formula>
    </cfRule>
  </conditionalFormatting>
  <conditionalFormatting sqref="M148:M149">
    <cfRule type="cellIs" dxfId="7599" priority="22409" operator="equal">
      <formula>"value일 미도래"</formula>
    </cfRule>
  </conditionalFormatting>
  <conditionalFormatting sqref="M148:M149">
    <cfRule type="cellIs" dxfId="7598" priority="22408" operator="equal">
      <formula>"value일 미도래"</formula>
    </cfRule>
  </conditionalFormatting>
  <conditionalFormatting sqref="M148">
    <cfRule type="cellIs" dxfId="7597" priority="22407" operator="equal">
      <formula>"value일 미도래"</formula>
    </cfRule>
  </conditionalFormatting>
  <conditionalFormatting sqref="M148">
    <cfRule type="cellIs" dxfId="7596" priority="22406" operator="equal">
      <formula>"value일 미도래"</formula>
    </cfRule>
  </conditionalFormatting>
  <conditionalFormatting sqref="M148">
    <cfRule type="cellIs" dxfId="7595" priority="22405" operator="equal">
      <formula>"value일 미도래"</formula>
    </cfRule>
  </conditionalFormatting>
  <conditionalFormatting sqref="M148">
    <cfRule type="cellIs" dxfId="7594" priority="22404" operator="equal">
      <formula>"value일 미도래"</formula>
    </cfRule>
  </conditionalFormatting>
  <conditionalFormatting sqref="M148">
    <cfRule type="cellIs" dxfId="7593" priority="22403" operator="equal">
      <formula>"value일 미도래"</formula>
    </cfRule>
  </conditionalFormatting>
  <conditionalFormatting sqref="M148">
    <cfRule type="cellIs" dxfId="7592" priority="22402" operator="equal">
      <formula>"value일 미도래"</formula>
    </cfRule>
  </conditionalFormatting>
  <conditionalFormatting sqref="M148">
    <cfRule type="cellIs" dxfId="7591" priority="22400" operator="equal">
      <formula>"value일 미도래"</formula>
    </cfRule>
  </conditionalFormatting>
  <conditionalFormatting sqref="M148">
    <cfRule type="cellIs" dxfId="7590" priority="22399" operator="equal">
      <formula>"value일 미도래"</formula>
    </cfRule>
  </conditionalFormatting>
  <conditionalFormatting sqref="M148">
    <cfRule type="cellIs" dxfId="7589" priority="22398" operator="equal">
      <formula>"value일 미도래"</formula>
    </cfRule>
  </conditionalFormatting>
  <conditionalFormatting sqref="M148">
    <cfRule type="cellIs" dxfId="7588" priority="22397" operator="equal">
      <formula>"value일 미도래"</formula>
    </cfRule>
  </conditionalFormatting>
  <conditionalFormatting sqref="M148">
    <cfRule type="cellIs" dxfId="7587" priority="22396" operator="equal">
      <formula>"value일 미도래"</formula>
    </cfRule>
  </conditionalFormatting>
  <conditionalFormatting sqref="M148">
    <cfRule type="cellIs" dxfId="7586" priority="22395" operator="equal">
      <formula>"value일 미도래"</formula>
    </cfRule>
  </conditionalFormatting>
  <conditionalFormatting sqref="M148">
    <cfRule type="cellIs" dxfId="7585" priority="22394" operator="equal">
      <formula>"value일 미도래"</formula>
    </cfRule>
  </conditionalFormatting>
  <conditionalFormatting sqref="M148">
    <cfRule type="cellIs" dxfId="7584" priority="22393" operator="equal">
      <formula>"value일 미도래"</formula>
    </cfRule>
  </conditionalFormatting>
  <conditionalFormatting sqref="M148">
    <cfRule type="cellIs" dxfId="7583" priority="22391" operator="equal">
      <formula>"value일 미도래"</formula>
    </cfRule>
  </conditionalFormatting>
  <conditionalFormatting sqref="M148">
    <cfRule type="cellIs" dxfId="7582" priority="22390" operator="equal">
      <formula>"value일 미도래"</formula>
    </cfRule>
  </conditionalFormatting>
  <conditionalFormatting sqref="M148">
    <cfRule type="cellIs" dxfId="7581" priority="22389" operator="equal">
      <formula>"value일 미도래"</formula>
    </cfRule>
  </conditionalFormatting>
  <conditionalFormatting sqref="M148">
    <cfRule type="cellIs" dxfId="7580" priority="22388" operator="equal">
      <formula>"value일 미도래"</formula>
    </cfRule>
  </conditionalFormatting>
  <conditionalFormatting sqref="M148">
    <cfRule type="cellIs" dxfId="7579" priority="22387" operator="equal">
      <formula>"value일 미도래"</formula>
    </cfRule>
  </conditionalFormatting>
  <conditionalFormatting sqref="M148">
    <cfRule type="cellIs" dxfId="7578" priority="22386" operator="equal">
      <formula>"value일 미도래"</formula>
    </cfRule>
  </conditionalFormatting>
  <conditionalFormatting sqref="M148">
    <cfRule type="cellIs" dxfId="7577" priority="22385" operator="equal">
      <formula>"value일 미도래"</formula>
    </cfRule>
  </conditionalFormatting>
  <conditionalFormatting sqref="M148">
    <cfRule type="cellIs" dxfId="7576" priority="22384" operator="equal">
      <formula>"value일 미도래"</formula>
    </cfRule>
  </conditionalFormatting>
  <conditionalFormatting sqref="M148">
    <cfRule type="cellIs" dxfId="7575" priority="22383" operator="equal">
      <formula>"value일 미도래"</formula>
    </cfRule>
  </conditionalFormatting>
  <conditionalFormatting sqref="M148">
    <cfRule type="cellIs" dxfId="7574" priority="22382" operator="equal">
      <formula>"value일 미도래"</formula>
    </cfRule>
  </conditionalFormatting>
  <conditionalFormatting sqref="M148">
    <cfRule type="cellIs" dxfId="7573" priority="22381" operator="equal">
      <formula>"value일 미도래"</formula>
    </cfRule>
  </conditionalFormatting>
  <conditionalFormatting sqref="M148">
    <cfRule type="cellIs" dxfId="7572" priority="22379" operator="equal">
      <formula>"value일 미도래"</formula>
    </cfRule>
  </conditionalFormatting>
  <conditionalFormatting sqref="M148">
    <cfRule type="cellIs" dxfId="7571" priority="22378" operator="equal">
      <formula>"value일 미도래"</formula>
    </cfRule>
  </conditionalFormatting>
  <conditionalFormatting sqref="M148">
    <cfRule type="cellIs" dxfId="7570" priority="22377" operator="equal">
      <formula>"value일 미도래"</formula>
    </cfRule>
  </conditionalFormatting>
  <conditionalFormatting sqref="M148">
    <cfRule type="cellIs" dxfId="7569" priority="22376" operator="equal">
      <formula>"value일 미도래"</formula>
    </cfRule>
  </conditionalFormatting>
  <conditionalFormatting sqref="M148">
    <cfRule type="cellIs" dxfId="7568" priority="22375" operator="equal">
      <formula>"value일 미도래"</formula>
    </cfRule>
  </conditionalFormatting>
  <conditionalFormatting sqref="M148">
    <cfRule type="cellIs" dxfId="7567" priority="22374" operator="equal">
      <formula>"value일 미도래"</formula>
    </cfRule>
  </conditionalFormatting>
  <conditionalFormatting sqref="M148">
    <cfRule type="cellIs" dxfId="7566" priority="22373" operator="equal">
      <formula>"value일 미도래"</formula>
    </cfRule>
  </conditionalFormatting>
  <conditionalFormatting sqref="M148">
    <cfRule type="cellIs" dxfId="7565" priority="22372" operator="equal">
      <formula>"value일 미도래"</formula>
    </cfRule>
  </conditionalFormatting>
  <conditionalFormatting sqref="M148">
    <cfRule type="cellIs" dxfId="7564" priority="22371" operator="equal">
      <formula>"value일 미도래"</formula>
    </cfRule>
  </conditionalFormatting>
  <conditionalFormatting sqref="M148">
    <cfRule type="cellIs" dxfId="7563" priority="22370" operator="equal">
      <formula>"value일 미도래"</formula>
    </cfRule>
  </conditionalFormatting>
  <conditionalFormatting sqref="M148">
    <cfRule type="cellIs" dxfId="7562" priority="22369" operator="equal">
      <formula>"value일 미도래"</formula>
    </cfRule>
  </conditionalFormatting>
  <conditionalFormatting sqref="M148">
    <cfRule type="cellIs" dxfId="7561" priority="22367" operator="equal">
      <formula>"value일 미도래"</formula>
    </cfRule>
  </conditionalFormatting>
  <conditionalFormatting sqref="M148">
    <cfRule type="cellIs" dxfId="7560" priority="22366" operator="equal">
      <formula>"value일 미도래"</formula>
    </cfRule>
  </conditionalFormatting>
  <conditionalFormatting sqref="M148">
    <cfRule type="cellIs" dxfId="7559" priority="22365" operator="equal">
      <formula>"value일 미도래"</formula>
    </cfRule>
  </conditionalFormatting>
  <conditionalFormatting sqref="M150:M151">
    <cfRule type="cellIs" dxfId="7558" priority="22364" operator="equal">
      <formula>"value일 미도래"</formula>
    </cfRule>
  </conditionalFormatting>
  <conditionalFormatting sqref="M150:M151">
    <cfRule type="cellIs" dxfId="7557" priority="22363" operator="equal">
      <formula>"value일 미도래"</formula>
    </cfRule>
  </conditionalFormatting>
  <conditionalFormatting sqref="M150:M151">
    <cfRule type="cellIs" dxfId="7556" priority="22362" operator="equal">
      <formula>"value일 미도래"</formula>
    </cfRule>
  </conditionalFormatting>
  <conditionalFormatting sqref="M150:M151">
    <cfRule type="cellIs" dxfId="7555" priority="22361" operator="equal">
      <formula>"value일 미도래"</formula>
    </cfRule>
  </conditionalFormatting>
  <conditionalFormatting sqref="M148">
    <cfRule type="cellIs" dxfId="7554" priority="22360" operator="equal">
      <formula>"value일 미도래"</formula>
    </cfRule>
  </conditionalFormatting>
  <conditionalFormatting sqref="M148">
    <cfRule type="cellIs" dxfId="7553" priority="22359" operator="equal">
      <formula>"value일 미도래"</formula>
    </cfRule>
  </conditionalFormatting>
  <conditionalFormatting sqref="M148">
    <cfRule type="cellIs" dxfId="7552" priority="22358" operator="equal">
      <formula>"value일 미도래"</formula>
    </cfRule>
  </conditionalFormatting>
  <conditionalFormatting sqref="M148:M149">
    <cfRule type="cellIs" dxfId="7551" priority="22357" operator="equal">
      <formula>"value일 미도래"</formula>
    </cfRule>
  </conditionalFormatting>
  <conditionalFormatting sqref="M148:M149">
    <cfRule type="cellIs" dxfId="7550" priority="22356" operator="equal">
      <formula>"value일 미도래"</formula>
    </cfRule>
  </conditionalFormatting>
  <conditionalFormatting sqref="M148:M149">
    <cfRule type="cellIs" dxfId="7549" priority="22355" operator="equal">
      <formula>"value일 미도래"</formula>
    </cfRule>
  </conditionalFormatting>
  <conditionalFormatting sqref="M148">
    <cfRule type="cellIs" dxfId="7548" priority="22354" operator="equal">
      <formula>"value일 미도래"</formula>
    </cfRule>
  </conditionalFormatting>
  <conditionalFormatting sqref="M148">
    <cfRule type="cellIs" dxfId="7547" priority="22353" operator="equal">
      <formula>"value일 미도래"</formula>
    </cfRule>
  </conditionalFormatting>
  <conditionalFormatting sqref="M148">
    <cfRule type="cellIs" dxfId="7546" priority="22352" operator="equal">
      <formula>"value일 미도래"</formula>
    </cfRule>
  </conditionalFormatting>
  <conditionalFormatting sqref="M148">
    <cfRule type="cellIs" dxfId="7545" priority="22351" operator="equal">
      <formula>"value일 미도래"</formula>
    </cfRule>
  </conditionalFormatting>
  <conditionalFormatting sqref="M148">
    <cfRule type="cellIs" dxfId="7544" priority="22350" operator="equal">
      <formula>"value일 미도래"</formula>
    </cfRule>
  </conditionalFormatting>
  <conditionalFormatting sqref="M148">
    <cfRule type="cellIs" dxfId="7543" priority="22349" operator="equal">
      <formula>"value일 미도래"</formula>
    </cfRule>
  </conditionalFormatting>
  <conditionalFormatting sqref="M148">
    <cfRule type="cellIs" dxfId="7542" priority="22348" operator="equal">
      <formula>"value일 미도래"</formula>
    </cfRule>
  </conditionalFormatting>
  <conditionalFormatting sqref="M148">
    <cfRule type="cellIs" dxfId="7541" priority="22347" operator="equal">
      <formula>"value일 미도래"</formula>
    </cfRule>
  </conditionalFormatting>
  <conditionalFormatting sqref="M148">
    <cfRule type="cellIs" dxfId="7540" priority="22346" operator="equal">
      <formula>"value일 미도래"</formula>
    </cfRule>
  </conditionalFormatting>
  <conditionalFormatting sqref="M148:M149">
    <cfRule type="cellIs" dxfId="7539" priority="22345" operator="equal">
      <formula>"value일 미도래"</formula>
    </cfRule>
  </conditionalFormatting>
  <conditionalFormatting sqref="M148:M149">
    <cfRule type="cellIs" dxfId="7538" priority="22344" operator="equal">
      <formula>"value일 미도래"</formula>
    </cfRule>
  </conditionalFormatting>
  <conditionalFormatting sqref="M148:M149">
    <cfRule type="cellIs" dxfId="7537" priority="22343" operator="equal">
      <formula>"value일 미도래"</formula>
    </cfRule>
  </conditionalFormatting>
  <conditionalFormatting sqref="M148">
    <cfRule type="cellIs" dxfId="7536" priority="22342" operator="equal">
      <formula>"value일 미도래"</formula>
    </cfRule>
  </conditionalFormatting>
  <conditionalFormatting sqref="M148">
    <cfRule type="cellIs" dxfId="7535" priority="22341" operator="equal">
      <formula>"value일 미도래"</formula>
    </cfRule>
  </conditionalFormatting>
  <conditionalFormatting sqref="M148">
    <cfRule type="cellIs" dxfId="7534" priority="22340" operator="equal">
      <formula>"value일 미도래"</formula>
    </cfRule>
  </conditionalFormatting>
  <conditionalFormatting sqref="M148">
    <cfRule type="cellIs" dxfId="7533" priority="22339" operator="equal">
      <formula>"value일 미도래"</formula>
    </cfRule>
  </conditionalFormatting>
  <conditionalFormatting sqref="M148">
    <cfRule type="cellIs" dxfId="7532" priority="22338" operator="equal">
      <formula>"value일 미도래"</formula>
    </cfRule>
  </conditionalFormatting>
  <conditionalFormatting sqref="M148">
    <cfRule type="cellIs" dxfId="7531" priority="22337" operator="equal">
      <formula>"value일 미도래"</formula>
    </cfRule>
  </conditionalFormatting>
  <conditionalFormatting sqref="M148:M149">
    <cfRule type="cellIs" dxfId="7530" priority="22336" operator="equal">
      <formula>"value일 미도래"</formula>
    </cfRule>
  </conditionalFormatting>
  <conditionalFormatting sqref="M148:M149">
    <cfRule type="cellIs" dxfId="7529" priority="22335" operator="equal">
      <formula>"value일 미도래"</formula>
    </cfRule>
  </conditionalFormatting>
  <conditionalFormatting sqref="M148:M149">
    <cfRule type="cellIs" dxfId="7528" priority="22334" operator="equal">
      <formula>"value일 미도래"</formula>
    </cfRule>
  </conditionalFormatting>
  <conditionalFormatting sqref="M148:M149">
    <cfRule type="cellIs" dxfId="7527" priority="22333" operator="equal">
      <formula>"value일 미도래"</formula>
    </cfRule>
  </conditionalFormatting>
  <conditionalFormatting sqref="M149:M150">
    <cfRule type="cellIs" dxfId="7526" priority="22332" operator="equal">
      <formula>"value일 미도래"</formula>
    </cfRule>
  </conditionalFormatting>
  <conditionalFormatting sqref="M149:M150">
    <cfRule type="cellIs" dxfId="7525" priority="22331" operator="equal">
      <formula>"value일 미도래"</formula>
    </cfRule>
  </conditionalFormatting>
  <conditionalFormatting sqref="M149:M150">
    <cfRule type="cellIs" dxfId="7524" priority="22330" operator="equal">
      <formula>"value일 미도래"</formula>
    </cfRule>
  </conditionalFormatting>
  <conditionalFormatting sqref="M149:M150">
    <cfRule type="cellIs" dxfId="7523" priority="22329" operator="equal">
      <formula>"value일 미도래"</formula>
    </cfRule>
  </conditionalFormatting>
  <conditionalFormatting sqref="M149:M150">
    <cfRule type="cellIs" dxfId="7522" priority="22328" operator="equal">
      <formula>"value일 미도래"</formula>
    </cfRule>
  </conditionalFormatting>
  <conditionalFormatting sqref="M149:M150">
    <cfRule type="cellIs" dxfId="7521" priority="22327" operator="equal">
      <formula>"value일 미도래"</formula>
    </cfRule>
  </conditionalFormatting>
  <conditionalFormatting sqref="M149:M150">
    <cfRule type="cellIs" dxfId="7520" priority="22325" operator="equal">
      <formula>"value일 미도래"</formula>
    </cfRule>
  </conditionalFormatting>
  <conditionalFormatting sqref="M149:M150">
    <cfRule type="cellIs" dxfId="7519" priority="22324" operator="equal">
      <formula>"value일 미도래"</formula>
    </cfRule>
  </conditionalFormatting>
  <conditionalFormatting sqref="M149:M150">
    <cfRule type="cellIs" dxfId="7518" priority="22323" operator="equal">
      <formula>"value일 미도래"</formula>
    </cfRule>
  </conditionalFormatting>
  <conditionalFormatting sqref="M149:M150">
    <cfRule type="cellIs" dxfId="7517" priority="22322" operator="equal">
      <formula>"value일 미도래"</formula>
    </cfRule>
  </conditionalFormatting>
  <conditionalFormatting sqref="M149:M150">
    <cfRule type="cellIs" dxfId="7516" priority="22321" operator="equal">
      <formula>"value일 미도래"</formula>
    </cfRule>
  </conditionalFormatting>
  <conditionalFormatting sqref="M149:M150">
    <cfRule type="cellIs" dxfId="7515" priority="22320" operator="equal">
      <formula>"value일 미도래"</formula>
    </cfRule>
  </conditionalFormatting>
  <conditionalFormatting sqref="M149:M150">
    <cfRule type="cellIs" dxfId="7514" priority="22319" operator="equal">
      <formula>"value일 미도래"</formula>
    </cfRule>
  </conditionalFormatting>
  <conditionalFormatting sqref="M149:M150">
    <cfRule type="cellIs" dxfId="7513" priority="22318" operator="equal">
      <formula>"value일 미도래"</formula>
    </cfRule>
  </conditionalFormatting>
  <conditionalFormatting sqref="M149:M150">
    <cfRule type="cellIs" dxfId="7512" priority="22316" operator="equal">
      <formula>"value일 미도래"</formula>
    </cfRule>
  </conditionalFormatting>
  <conditionalFormatting sqref="M149:M150">
    <cfRule type="cellIs" dxfId="7511" priority="22315" operator="equal">
      <formula>"value일 미도래"</formula>
    </cfRule>
  </conditionalFormatting>
  <conditionalFormatting sqref="M149:M150">
    <cfRule type="cellIs" dxfId="7510" priority="22314" operator="equal">
      <formula>"value일 미도래"</formula>
    </cfRule>
  </conditionalFormatting>
  <conditionalFormatting sqref="M149:M150">
    <cfRule type="cellIs" dxfId="7509" priority="22313" operator="equal">
      <formula>"value일 미도래"</formula>
    </cfRule>
  </conditionalFormatting>
  <conditionalFormatting sqref="M149:M150">
    <cfRule type="cellIs" dxfId="7508" priority="22312" operator="equal">
      <formula>"value일 미도래"</formula>
    </cfRule>
  </conditionalFormatting>
  <conditionalFormatting sqref="M149:M150">
    <cfRule type="cellIs" dxfId="7507" priority="22311" operator="equal">
      <formula>"value일 미도래"</formula>
    </cfRule>
  </conditionalFormatting>
  <conditionalFormatting sqref="M149:M150">
    <cfRule type="cellIs" dxfId="7506" priority="22310" operator="equal">
      <formula>"value일 미도래"</formula>
    </cfRule>
  </conditionalFormatting>
  <conditionalFormatting sqref="M149:M150">
    <cfRule type="cellIs" dxfId="7505" priority="22309" operator="equal">
      <formula>"value일 미도래"</formula>
    </cfRule>
  </conditionalFormatting>
  <conditionalFormatting sqref="M149:M150">
    <cfRule type="cellIs" dxfId="7504" priority="22308" operator="equal">
      <formula>"value일 미도래"</formula>
    </cfRule>
  </conditionalFormatting>
  <conditionalFormatting sqref="M149:M150">
    <cfRule type="cellIs" dxfId="7503" priority="22307" operator="equal">
      <formula>"value일 미도래"</formula>
    </cfRule>
  </conditionalFormatting>
  <conditionalFormatting sqref="M149:M150">
    <cfRule type="cellIs" dxfId="7502" priority="22306" operator="equal">
      <formula>"value일 미도래"</formula>
    </cfRule>
  </conditionalFormatting>
  <conditionalFormatting sqref="M149:M150">
    <cfRule type="cellIs" dxfId="7501" priority="22304" operator="equal">
      <formula>"value일 미도래"</formula>
    </cfRule>
  </conditionalFormatting>
  <conditionalFormatting sqref="M149:M150">
    <cfRule type="cellIs" dxfId="7500" priority="22303" operator="equal">
      <formula>"value일 미도래"</formula>
    </cfRule>
  </conditionalFormatting>
  <conditionalFormatting sqref="M149:M150">
    <cfRule type="cellIs" dxfId="7499" priority="22302" operator="equal">
      <formula>"value일 미도래"</formula>
    </cfRule>
  </conditionalFormatting>
  <conditionalFormatting sqref="M149:M150">
    <cfRule type="cellIs" dxfId="7498" priority="22301" operator="equal">
      <formula>"value일 미도래"</formula>
    </cfRule>
  </conditionalFormatting>
  <conditionalFormatting sqref="M149:M150">
    <cfRule type="cellIs" dxfId="7497" priority="22300" operator="equal">
      <formula>"value일 미도래"</formula>
    </cfRule>
  </conditionalFormatting>
  <conditionalFormatting sqref="M149:M150">
    <cfRule type="cellIs" dxfId="7496" priority="22299" operator="equal">
      <formula>"value일 미도래"</formula>
    </cfRule>
  </conditionalFormatting>
  <conditionalFormatting sqref="M149:M150">
    <cfRule type="cellIs" dxfId="7495" priority="22298" operator="equal">
      <formula>"value일 미도래"</formula>
    </cfRule>
  </conditionalFormatting>
  <conditionalFormatting sqref="M149:M150">
    <cfRule type="cellIs" dxfId="7494" priority="22297" operator="equal">
      <formula>"value일 미도래"</formula>
    </cfRule>
  </conditionalFormatting>
  <conditionalFormatting sqref="M149:M150">
    <cfRule type="cellIs" dxfId="7493" priority="22296" operator="equal">
      <formula>"value일 미도래"</formula>
    </cfRule>
  </conditionalFormatting>
  <conditionalFormatting sqref="M149:M150">
    <cfRule type="cellIs" dxfId="7492" priority="22295" operator="equal">
      <formula>"value일 미도래"</formula>
    </cfRule>
  </conditionalFormatting>
  <conditionalFormatting sqref="M149:M150">
    <cfRule type="cellIs" dxfId="7491" priority="22294" operator="equal">
      <formula>"value일 미도래"</formula>
    </cfRule>
  </conditionalFormatting>
  <conditionalFormatting sqref="M149:M150">
    <cfRule type="cellIs" dxfId="7490" priority="22292" operator="equal">
      <formula>"value일 미도래"</formula>
    </cfRule>
  </conditionalFormatting>
  <conditionalFormatting sqref="M149:M150">
    <cfRule type="cellIs" dxfId="7489" priority="22291" operator="equal">
      <formula>"value일 미도래"</formula>
    </cfRule>
  </conditionalFormatting>
  <conditionalFormatting sqref="M149:M150">
    <cfRule type="cellIs" dxfId="7488" priority="22290" operator="equal">
      <formula>"value일 미도래"</formula>
    </cfRule>
  </conditionalFormatting>
  <conditionalFormatting sqref="M149:M150">
    <cfRule type="cellIs" dxfId="7487" priority="22289" operator="equal">
      <formula>"value일 미도래"</formula>
    </cfRule>
  </conditionalFormatting>
  <conditionalFormatting sqref="M149:M150">
    <cfRule type="cellIs" dxfId="7486" priority="22288" operator="equal">
      <formula>"value일 미도래"</formula>
    </cfRule>
  </conditionalFormatting>
  <conditionalFormatting sqref="M149:M150">
    <cfRule type="cellIs" dxfId="7485" priority="22287" operator="equal">
      <formula>"value일 미도래"</formula>
    </cfRule>
  </conditionalFormatting>
  <conditionalFormatting sqref="M149:M150">
    <cfRule type="cellIs" dxfId="7484" priority="22286" operator="equal">
      <formula>"value일 미도래"</formula>
    </cfRule>
  </conditionalFormatting>
  <conditionalFormatting sqref="M149:M150">
    <cfRule type="cellIs" dxfId="7483" priority="22285" operator="equal">
      <formula>"value일 미도래"</formula>
    </cfRule>
  </conditionalFormatting>
  <conditionalFormatting sqref="M149:M150">
    <cfRule type="cellIs" dxfId="7482" priority="22284" operator="equal">
      <formula>"value일 미도래"</formula>
    </cfRule>
  </conditionalFormatting>
  <conditionalFormatting sqref="M149:M150">
    <cfRule type="cellIs" dxfId="7481" priority="22283" operator="equal">
      <formula>"value일 미도래"</formula>
    </cfRule>
  </conditionalFormatting>
  <conditionalFormatting sqref="M149:M150">
    <cfRule type="cellIs" dxfId="7480" priority="22282" operator="equal">
      <formula>"value일 미도래"</formula>
    </cfRule>
  </conditionalFormatting>
  <conditionalFormatting sqref="M149:M150">
    <cfRule type="cellIs" dxfId="7479" priority="22281" operator="equal">
      <formula>"value일 미도래"</formula>
    </cfRule>
  </conditionalFormatting>
  <conditionalFormatting sqref="M149:M150">
    <cfRule type="cellIs" dxfId="7478" priority="22280" operator="equal">
      <formula>"value일 미도래"</formula>
    </cfRule>
  </conditionalFormatting>
  <conditionalFormatting sqref="M149:M150">
    <cfRule type="cellIs" dxfId="7477" priority="22279" operator="equal">
      <formula>"value일 미도래"</formula>
    </cfRule>
  </conditionalFormatting>
  <conditionalFormatting sqref="M149:M150">
    <cfRule type="cellIs" dxfId="7476" priority="22277" operator="equal">
      <formula>"value일 미도래"</formula>
    </cfRule>
  </conditionalFormatting>
  <conditionalFormatting sqref="M149:M150">
    <cfRule type="cellIs" dxfId="7475" priority="22276" operator="equal">
      <formula>"value일 미도래"</formula>
    </cfRule>
  </conditionalFormatting>
  <conditionalFormatting sqref="M149:M150">
    <cfRule type="cellIs" dxfId="7474" priority="22275" operator="equal">
      <formula>"value일 미도래"</formula>
    </cfRule>
  </conditionalFormatting>
  <conditionalFormatting sqref="M149:M150">
    <cfRule type="cellIs" dxfId="7473" priority="22274" operator="equal">
      <formula>"value일 미도래"</formula>
    </cfRule>
  </conditionalFormatting>
  <conditionalFormatting sqref="M149:M150">
    <cfRule type="cellIs" dxfId="7472" priority="22273" operator="equal">
      <formula>"value일 미도래"</formula>
    </cfRule>
  </conditionalFormatting>
  <conditionalFormatting sqref="M149:M150">
    <cfRule type="cellIs" dxfId="7471" priority="22272" operator="equal">
      <formula>"value일 미도래"</formula>
    </cfRule>
  </conditionalFormatting>
  <conditionalFormatting sqref="M149:M150">
    <cfRule type="cellIs" dxfId="7470" priority="22271" operator="equal">
      <formula>"value일 미도래"</formula>
    </cfRule>
  </conditionalFormatting>
  <conditionalFormatting sqref="M149:M150">
    <cfRule type="cellIs" dxfId="7469" priority="22270" operator="equal">
      <formula>"value일 미도래"</formula>
    </cfRule>
  </conditionalFormatting>
  <conditionalFormatting sqref="M149:M150">
    <cfRule type="cellIs" dxfId="7468" priority="22269" operator="equal">
      <formula>"value일 미도래"</formula>
    </cfRule>
  </conditionalFormatting>
  <conditionalFormatting sqref="M149:M150">
    <cfRule type="cellIs" dxfId="7467" priority="22268" operator="equal">
      <formula>"value일 미도래"</formula>
    </cfRule>
  </conditionalFormatting>
  <conditionalFormatting sqref="M149:M150">
    <cfRule type="cellIs" dxfId="7466" priority="22267" operator="equal">
      <formula>"value일 미도래"</formula>
    </cfRule>
  </conditionalFormatting>
  <conditionalFormatting sqref="M149:M150">
    <cfRule type="cellIs" dxfId="7465" priority="22266" operator="equal">
      <formula>"value일 미도래"</formula>
    </cfRule>
  </conditionalFormatting>
  <conditionalFormatting sqref="M149:M150">
    <cfRule type="cellIs" dxfId="7464" priority="22265" operator="equal">
      <formula>"value일 미도래"</formula>
    </cfRule>
  </conditionalFormatting>
  <conditionalFormatting sqref="M149:M150">
    <cfRule type="cellIs" dxfId="7463" priority="22264" operator="equal">
      <formula>"value일 미도래"</formula>
    </cfRule>
  </conditionalFormatting>
  <conditionalFormatting sqref="M149:M150">
    <cfRule type="cellIs" dxfId="7462" priority="22263" operator="equal">
      <formula>"value일 미도래"</formula>
    </cfRule>
  </conditionalFormatting>
  <conditionalFormatting sqref="M149:M150">
    <cfRule type="cellIs" dxfId="7461" priority="22262" operator="equal">
      <formula>"value일 미도래"</formula>
    </cfRule>
  </conditionalFormatting>
  <conditionalFormatting sqref="M149:M150">
    <cfRule type="cellIs" dxfId="7460" priority="22261" operator="equal">
      <formula>"value일 미도래"</formula>
    </cfRule>
  </conditionalFormatting>
  <conditionalFormatting sqref="M149:M150">
    <cfRule type="cellIs" dxfId="7459" priority="22260" operator="equal">
      <formula>"value일 미도래"</formula>
    </cfRule>
  </conditionalFormatting>
  <conditionalFormatting sqref="M149:M150">
    <cfRule type="cellIs" dxfId="7458" priority="22259" operator="equal">
      <formula>"value일 미도래"</formula>
    </cfRule>
  </conditionalFormatting>
  <conditionalFormatting sqref="M149:M150">
    <cfRule type="cellIs" dxfId="7457" priority="22258" operator="equal">
      <formula>"value일 미도래"</formula>
    </cfRule>
  </conditionalFormatting>
  <conditionalFormatting sqref="M149:M150">
    <cfRule type="cellIs" dxfId="7456" priority="22256" operator="equal">
      <formula>"value일 미도래"</formula>
    </cfRule>
  </conditionalFormatting>
  <conditionalFormatting sqref="M149:M150">
    <cfRule type="cellIs" dxfId="7455" priority="22255" operator="equal">
      <formula>"value일 미도래"</formula>
    </cfRule>
  </conditionalFormatting>
  <conditionalFormatting sqref="M149:M150">
    <cfRule type="cellIs" dxfId="7454" priority="22254" operator="equal">
      <formula>"value일 미도래"</formula>
    </cfRule>
  </conditionalFormatting>
  <conditionalFormatting sqref="M149:M150">
    <cfRule type="cellIs" dxfId="7453" priority="22253" operator="equal">
      <formula>"value일 미도래"</formula>
    </cfRule>
  </conditionalFormatting>
  <conditionalFormatting sqref="M149:M150">
    <cfRule type="cellIs" dxfId="7452" priority="22252" operator="equal">
      <formula>"value일 미도래"</formula>
    </cfRule>
  </conditionalFormatting>
  <conditionalFormatting sqref="M149:M150">
    <cfRule type="cellIs" dxfId="7451" priority="22251" operator="equal">
      <formula>"value일 미도래"</formula>
    </cfRule>
  </conditionalFormatting>
  <conditionalFormatting sqref="M149:M150">
    <cfRule type="cellIs" dxfId="7450" priority="22250" operator="equal">
      <formula>"value일 미도래"</formula>
    </cfRule>
  </conditionalFormatting>
  <conditionalFormatting sqref="M149:M150">
    <cfRule type="cellIs" dxfId="7449" priority="22249" operator="equal">
      <formula>"value일 미도래"</formula>
    </cfRule>
  </conditionalFormatting>
  <conditionalFormatting sqref="M149:M150">
    <cfRule type="cellIs" dxfId="7448" priority="22248" operator="equal">
      <formula>"value일 미도래"</formula>
    </cfRule>
  </conditionalFormatting>
  <conditionalFormatting sqref="M149:M150">
    <cfRule type="cellIs" dxfId="7447" priority="22247" operator="equal">
      <formula>"value일 미도래"</formula>
    </cfRule>
  </conditionalFormatting>
  <conditionalFormatting sqref="M149:M150">
    <cfRule type="cellIs" dxfId="7446" priority="22246" operator="equal">
      <formula>"value일 미도래"</formula>
    </cfRule>
  </conditionalFormatting>
  <conditionalFormatting sqref="M149:M150">
    <cfRule type="cellIs" dxfId="7445" priority="22245" operator="equal">
      <formula>"value일 미도래"</formula>
    </cfRule>
  </conditionalFormatting>
  <conditionalFormatting sqref="M148">
    <cfRule type="cellIs" dxfId="7444" priority="22244" operator="equal">
      <formula>"value일 미도래"</formula>
    </cfRule>
  </conditionalFormatting>
  <conditionalFormatting sqref="M148">
    <cfRule type="cellIs" dxfId="7443" priority="22243" operator="equal">
      <formula>"value일 미도래"</formula>
    </cfRule>
  </conditionalFormatting>
  <conditionalFormatting sqref="M148">
    <cfRule type="cellIs" dxfId="7442" priority="22242" operator="equal">
      <formula>"value일 미도래"</formula>
    </cfRule>
  </conditionalFormatting>
  <conditionalFormatting sqref="M148">
    <cfRule type="cellIs" dxfId="7441" priority="22241" operator="equal">
      <formula>"value일 미도래"</formula>
    </cfRule>
  </conditionalFormatting>
  <conditionalFormatting sqref="M148">
    <cfRule type="cellIs" dxfId="7440" priority="22240" operator="equal">
      <formula>"value일 미도래"</formula>
    </cfRule>
  </conditionalFormatting>
  <conditionalFormatting sqref="M148">
    <cfRule type="cellIs" dxfId="7439" priority="22239" operator="equal">
      <formula>"value일 미도래"</formula>
    </cfRule>
  </conditionalFormatting>
  <conditionalFormatting sqref="M148">
    <cfRule type="cellIs" dxfId="7438" priority="22237" operator="equal">
      <formula>"value일 미도래"</formula>
    </cfRule>
  </conditionalFormatting>
  <conditionalFormatting sqref="M148">
    <cfRule type="cellIs" dxfId="7437" priority="22236" operator="equal">
      <formula>"value일 미도래"</formula>
    </cfRule>
  </conditionalFormatting>
  <conditionalFormatting sqref="M148">
    <cfRule type="cellIs" dxfId="7436" priority="22235" operator="equal">
      <formula>"value일 미도래"</formula>
    </cfRule>
  </conditionalFormatting>
  <conditionalFormatting sqref="M148">
    <cfRule type="cellIs" dxfId="7435" priority="22234" operator="equal">
      <formula>"value일 미도래"</formula>
    </cfRule>
  </conditionalFormatting>
  <conditionalFormatting sqref="M148">
    <cfRule type="cellIs" dxfId="7434" priority="22233" operator="equal">
      <formula>"value일 미도래"</formula>
    </cfRule>
  </conditionalFormatting>
  <conditionalFormatting sqref="M148">
    <cfRule type="cellIs" dxfId="7433" priority="22232" operator="equal">
      <formula>"value일 미도래"</formula>
    </cfRule>
  </conditionalFormatting>
  <conditionalFormatting sqref="M148">
    <cfRule type="cellIs" dxfId="7432" priority="22231" operator="equal">
      <formula>"value일 미도래"</formula>
    </cfRule>
  </conditionalFormatting>
  <conditionalFormatting sqref="M148">
    <cfRule type="cellIs" dxfId="7431" priority="22230" operator="equal">
      <formula>"value일 미도래"</formula>
    </cfRule>
  </conditionalFormatting>
  <conditionalFormatting sqref="M148">
    <cfRule type="cellIs" dxfId="7430" priority="22228" operator="equal">
      <formula>"value일 미도래"</formula>
    </cfRule>
  </conditionalFormatting>
  <conditionalFormatting sqref="M148">
    <cfRule type="cellIs" dxfId="7429" priority="22227" operator="equal">
      <formula>"value일 미도래"</formula>
    </cfRule>
  </conditionalFormatting>
  <conditionalFormatting sqref="M148">
    <cfRule type="cellIs" dxfId="7428" priority="22226" operator="equal">
      <formula>"value일 미도래"</formula>
    </cfRule>
  </conditionalFormatting>
  <conditionalFormatting sqref="M148">
    <cfRule type="cellIs" dxfId="7427" priority="22225" operator="equal">
      <formula>"value일 미도래"</formula>
    </cfRule>
  </conditionalFormatting>
  <conditionalFormatting sqref="M148">
    <cfRule type="cellIs" dxfId="7426" priority="22224" operator="equal">
      <formula>"value일 미도래"</formula>
    </cfRule>
  </conditionalFormatting>
  <conditionalFormatting sqref="M148">
    <cfRule type="cellIs" dxfId="7425" priority="22223" operator="equal">
      <formula>"value일 미도래"</formula>
    </cfRule>
  </conditionalFormatting>
  <conditionalFormatting sqref="M148">
    <cfRule type="cellIs" dxfId="7424" priority="22222" operator="equal">
      <formula>"value일 미도래"</formula>
    </cfRule>
  </conditionalFormatting>
  <conditionalFormatting sqref="M148">
    <cfRule type="cellIs" dxfId="7423" priority="22221" operator="equal">
      <formula>"value일 미도래"</formula>
    </cfRule>
  </conditionalFormatting>
  <conditionalFormatting sqref="M148">
    <cfRule type="cellIs" dxfId="7422" priority="22220" operator="equal">
      <formula>"value일 미도래"</formula>
    </cfRule>
  </conditionalFormatting>
  <conditionalFormatting sqref="M148">
    <cfRule type="cellIs" dxfId="7421" priority="22219" operator="equal">
      <formula>"value일 미도래"</formula>
    </cfRule>
  </conditionalFormatting>
  <conditionalFormatting sqref="M148">
    <cfRule type="cellIs" dxfId="7420" priority="22218" operator="equal">
      <formula>"value일 미도래"</formula>
    </cfRule>
  </conditionalFormatting>
  <conditionalFormatting sqref="M148">
    <cfRule type="cellIs" dxfId="7419" priority="22216" operator="equal">
      <formula>"value일 미도래"</formula>
    </cfRule>
  </conditionalFormatting>
  <conditionalFormatting sqref="M148">
    <cfRule type="cellIs" dxfId="7418" priority="22215" operator="equal">
      <formula>"value일 미도래"</formula>
    </cfRule>
  </conditionalFormatting>
  <conditionalFormatting sqref="M148">
    <cfRule type="cellIs" dxfId="7417" priority="22214" operator="equal">
      <formula>"value일 미도래"</formula>
    </cfRule>
  </conditionalFormatting>
  <conditionalFormatting sqref="M148">
    <cfRule type="cellIs" dxfId="7416" priority="22213" operator="equal">
      <formula>"value일 미도래"</formula>
    </cfRule>
  </conditionalFormatting>
  <conditionalFormatting sqref="M148">
    <cfRule type="cellIs" dxfId="7415" priority="22212" operator="equal">
      <formula>"value일 미도래"</formula>
    </cfRule>
  </conditionalFormatting>
  <conditionalFormatting sqref="M148">
    <cfRule type="cellIs" dxfId="7414" priority="22211" operator="equal">
      <formula>"value일 미도래"</formula>
    </cfRule>
  </conditionalFormatting>
  <conditionalFormatting sqref="M148">
    <cfRule type="cellIs" dxfId="7413" priority="22210" operator="equal">
      <formula>"value일 미도래"</formula>
    </cfRule>
  </conditionalFormatting>
  <conditionalFormatting sqref="M148">
    <cfRule type="cellIs" dxfId="7412" priority="22209" operator="equal">
      <formula>"value일 미도래"</formula>
    </cfRule>
  </conditionalFormatting>
  <conditionalFormatting sqref="M148">
    <cfRule type="cellIs" dxfId="7411" priority="22208" operator="equal">
      <formula>"value일 미도래"</formula>
    </cfRule>
  </conditionalFormatting>
  <conditionalFormatting sqref="M148">
    <cfRule type="cellIs" dxfId="7410" priority="22207" operator="equal">
      <formula>"value일 미도래"</formula>
    </cfRule>
  </conditionalFormatting>
  <conditionalFormatting sqref="M148">
    <cfRule type="cellIs" dxfId="7409" priority="22206" operator="equal">
      <formula>"value일 미도래"</formula>
    </cfRule>
  </conditionalFormatting>
  <conditionalFormatting sqref="M148">
    <cfRule type="cellIs" dxfId="7408" priority="22204" operator="equal">
      <formula>"value일 미도래"</formula>
    </cfRule>
  </conditionalFormatting>
  <conditionalFormatting sqref="M148">
    <cfRule type="cellIs" dxfId="7407" priority="22203" operator="equal">
      <formula>"value일 미도래"</formula>
    </cfRule>
  </conditionalFormatting>
  <conditionalFormatting sqref="M148">
    <cfRule type="cellIs" dxfId="7406" priority="22202" operator="equal">
      <formula>"value일 미도래"</formula>
    </cfRule>
  </conditionalFormatting>
  <conditionalFormatting sqref="M148">
    <cfRule type="cellIs" dxfId="7405" priority="22201" operator="equal">
      <formula>"value일 미도래"</formula>
    </cfRule>
  </conditionalFormatting>
  <conditionalFormatting sqref="M148">
    <cfRule type="cellIs" dxfId="7404" priority="22200" operator="equal">
      <formula>"value일 미도래"</formula>
    </cfRule>
  </conditionalFormatting>
  <conditionalFormatting sqref="M148">
    <cfRule type="cellIs" dxfId="7403" priority="22199" operator="equal">
      <formula>"value일 미도래"</formula>
    </cfRule>
  </conditionalFormatting>
  <conditionalFormatting sqref="M148">
    <cfRule type="cellIs" dxfId="7402" priority="22198" operator="equal">
      <formula>"value일 미도래"</formula>
    </cfRule>
  </conditionalFormatting>
  <conditionalFormatting sqref="M148">
    <cfRule type="cellIs" dxfId="7401" priority="22197" operator="equal">
      <formula>"value일 미도래"</formula>
    </cfRule>
  </conditionalFormatting>
  <conditionalFormatting sqref="M148">
    <cfRule type="cellIs" dxfId="7400" priority="22196" operator="equal">
      <formula>"value일 미도래"</formula>
    </cfRule>
  </conditionalFormatting>
  <conditionalFormatting sqref="M148">
    <cfRule type="cellIs" dxfId="7399" priority="22195" operator="equal">
      <formula>"value일 미도래"</formula>
    </cfRule>
  </conditionalFormatting>
  <conditionalFormatting sqref="M148">
    <cfRule type="cellIs" dxfId="7398" priority="22194" operator="equal">
      <formula>"value일 미도래"</formula>
    </cfRule>
  </conditionalFormatting>
  <conditionalFormatting sqref="M148">
    <cfRule type="cellIs" dxfId="7397" priority="22193" operator="equal">
      <formula>"value일 미도래"</formula>
    </cfRule>
  </conditionalFormatting>
  <conditionalFormatting sqref="M148">
    <cfRule type="cellIs" dxfId="7396" priority="22192" operator="equal">
      <formula>"value일 미도래"</formula>
    </cfRule>
  </conditionalFormatting>
  <conditionalFormatting sqref="M148">
    <cfRule type="cellIs" dxfId="7395" priority="22191" operator="equal">
      <formula>"value일 미도래"</formula>
    </cfRule>
  </conditionalFormatting>
  <conditionalFormatting sqref="M148">
    <cfRule type="cellIs" dxfId="7394" priority="22189" operator="equal">
      <formula>"value일 미도래"</formula>
    </cfRule>
  </conditionalFormatting>
  <conditionalFormatting sqref="M148">
    <cfRule type="cellIs" dxfId="7393" priority="22188" operator="equal">
      <formula>"value일 미도래"</formula>
    </cfRule>
  </conditionalFormatting>
  <conditionalFormatting sqref="M148">
    <cfRule type="cellIs" dxfId="7392" priority="22187" operator="equal">
      <formula>"value일 미도래"</formula>
    </cfRule>
  </conditionalFormatting>
  <conditionalFormatting sqref="M148">
    <cfRule type="cellIs" dxfId="7391" priority="22186" operator="equal">
      <formula>"value일 미도래"</formula>
    </cfRule>
  </conditionalFormatting>
  <conditionalFormatting sqref="M148">
    <cfRule type="cellIs" dxfId="7390" priority="22185" operator="equal">
      <formula>"value일 미도래"</formula>
    </cfRule>
  </conditionalFormatting>
  <conditionalFormatting sqref="M148">
    <cfRule type="cellIs" dxfId="7389" priority="22184" operator="equal">
      <formula>"value일 미도래"</formula>
    </cfRule>
  </conditionalFormatting>
  <conditionalFormatting sqref="M148">
    <cfRule type="cellIs" dxfId="7388" priority="22183" operator="equal">
      <formula>"value일 미도래"</formula>
    </cfRule>
  </conditionalFormatting>
  <conditionalFormatting sqref="M148">
    <cfRule type="cellIs" dxfId="7387" priority="22182" operator="equal">
      <formula>"value일 미도래"</formula>
    </cfRule>
  </conditionalFormatting>
  <conditionalFormatting sqref="M148">
    <cfRule type="cellIs" dxfId="7386" priority="22181" operator="equal">
      <formula>"value일 미도래"</formula>
    </cfRule>
  </conditionalFormatting>
  <conditionalFormatting sqref="M148">
    <cfRule type="cellIs" dxfId="7385" priority="22180" operator="equal">
      <formula>"value일 미도래"</formula>
    </cfRule>
  </conditionalFormatting>
  <conditionalFormatting sqref="M148">
    <cfRule type="cellIs" dxfId="7384" priority="22179" operator="equal">
      <formula>"value일 미도래"</formula>
    </cfRule>
  </conditionalFormatting>
  <conditionalFormatting sqref="M148">
    <cfRule type="cellIs" dxfId="7383" priority="22178" operator="equal">
      <formula>"value일 미도래"</formula>
    </cfRule>
  </conditionalFormatting>
  <conditionalFormatting sqref="M148">
    <cfRule type="cellIs" dxfId="7382" priority="22177" operator="equal">
      <formula>"value일 미도래"</formula>
    </cfRule>
  </conditionalFormatting>
  <conditionalFormatting sqref="M148">
    <cfRule type="cellIs" dxfId="7381" priority="22176" operator="equal">
      <formula>"value일 미도래"</formula>
    </cfRule>
  </conditionalFormatting>
  <conditionalFormatting sqref="M148">
    <cfRule type="cellIs" dxfId="7380" priority="22175" operator="equal">
      <formula>"value일 미도래"</formula>
    </cfRule>
  </conditionalFormatting>
  <conditionalFormatting sqref="M148">
    <cfRule type="cellIs" dxfId="7379" priority="22174" operator="equal">
      <formula>"value일 미도래"</formula>
    </cfRule>
  </conditionalFormatting>
  <conditionalFormatting sqref="M148">
    <cfRule type="cellIs" dxfId="7378" priority="22173" operator="equal">
      <formula>"value일 미도래"</formula>
    </cfRule>
  </conditionalFormatting>
  <conditionalFormatting sqref="M148">
    <cfRule type="cellIs" dxfId="7377" priority="22172" operator="equal">
      <formula>"value일 미도래"</formula>
    </cfRule>
  </conditionalFormatting>
  <conditionalFormatting sqref="M148">
    <cfRule type="cellIs" dxfId="7376" priority="22171" operator="equal">
      <formula>"value일 미도래"</formula>
    </cfRule>
  </conditionalFormatting>
  <conditionalFormatting sqref="M148">
    <cfRule type="cellIs" dxfId="7375" priority="22170" operator="equal">
      <formula>"value일 미도래"</formula>
    </cfRule>
  </conditionalFormatting>
  <conditionalFormatting sqref="M148">
    <cfRule type="cellIs" dxfId="7374" priority="22168" operator="equal">
      <formula>"value일 미도래"</formula>
    </cfRule>
  </conditionalFormatting>
  <conditionalFormatting sqref="M148">
    <cfRule type="cellIs" dxfId="7373" priority="22167" operator="equal">
      <formula>"value일 미도래"</formula>
    </cfRule>
  </conditionalFormatting>
  <conditionalFormatting sqref="M148">
    <cfRule type="cellIs" dxfId="7372" priority="22166" operator="equal">
      <formula>"value일 미도래"</formula>
    </cfRule>
  </conditionalFormatting>
  <conditionalFormatting sqref="M148">
    <cfRule type="cellIs" dxfId="7371" priority="22165" operator="equal">
      <formula>"value일 미도래"</formula>
    </cfRule>
  </conditionalFormatting>
  <conditionalFormatting sqref="M148">
    <cfRule type="cellIs" dxfId="7370" priority="22164" operator="equal">
      <formula>"value일 미도래"</formula>
    </cfRule>
  </conditionalFormatting>
  <conditionalFormatting sqref="M148">
    <cfRule type="cellIs" dxfId="7369" priority="22163" operator="equal">
      <formula>"value일 미도래"</formula>
    </cfRule>
  </conditionalFormatting>
  <conditionalFormatting sqref="M148">
    <cfRule type="cellIs" dxfId="7368" priority="22162" operator="equal">
      <formula>"value일 미도래"</formula>
    </cfRule>
  </conditionalFormatting>
  <conditionalFormatting sqref="M148">
    <cfRule type="cellIs" dxfId="7367" priority="22161" operator="equal">
      <formula>"value일 미도래"</formula>
    </cfRule>
  </conditionalFormatting>
  <conditionalFormatting sqref="M148">
    <cfRule type="cellIs" dxfId="7366" priority="22160" operator="equal">
      <formula>"value일 미도래"</formula>
    </cfRule>
  </conditionalFormatting>
  <conditionalFormatting sqref="M148">
    <cfRule type="cellIs" dxfId="7365" priority="22159" operator="equal">
      <formula>"value일 미도래"</formula>
    </cfRule>
  </conditionalFormatting>
  <conditionalFormatting sqref="M148">
    <cfRule type="cellIs" dxfId="7364" priority="22158" operator="equal">
      <formula>"value일 미도래"</formula>
    </cfRule>
  </conditionalFormatting>
  <conditionalFormatting sqref="M148">
    <cfRule type="cellIs" dxfId="7363" priority="22157" operator="equal">
      <formula>"value일 미도래"</formula>
    </cfRule>
  </conditionalFormatting>
  <conditionalFormatting sqref="M148">
    <cfRule type="cellIs" dxfId="7362" priority="22045" operator="equal">
      <formula>"value일 미도래"</formula>
    </cfRule>
  </conditionalFormatting>
  <conditionalFormatting sqref="M148">
    <cfRule type="cellIs" dxfId="7361" priority="22044" operator="equal">
      <formula>"value일 미도래"</formula>
    </cfRule>
  </conditionalFormatting>
  <conditionalFormatting sqref="M149:M150">
    <cfRule type="cellIs" dxfId="7360" priority="22043" operator="equal">
      <formula>"value일 미도래"</formula>
    </cfRule>
  </conditionalFormatting>
  <conditionalFormatting sqref="M149:M150">
    <cfRule type="cellIs" dxfId="7359" priority="22042" operator="equal">
      <formula>"value일 미도래"</formula>
    </cfRule>
  </conditionalFormatting>
  <conditionalFormatting sqref="M148">
    <cfRule type="cellIs" dxfId="7358" priority="22041" operator="equal">
      <formula>"value일 미도래"</formula>
    </cfRule>
  </conditionalFormatting>
  <conditionalFormatting sqref="M148">
    <cfRule type="cellIs" dxfId="7357" priority="22040" operator="equal">
      <formula>"value일 미도래"</formula>
    </cfRule>
  </conditionalFormatting>
  <conditionalFormatting sqref="M148">
    <cfRule type="cellIs" dxfId="7356" priority="22039" operator="equal">
      <formula>"value일 미도래"</formula>
    </cfRule>
  </conditionalFormatting>
  <conditionalFormatting sqref="M149:M150">
    <cfRule type="cellIs" dxfId="7355" priority="22038" operator="equal">
      <formula>"value일 미도래"</formula>
    </cfRule>
  </conditionalFormatting>
  <conditionalFormatting sqref="M149:M150">
    <cfRule type="cellIs" dxfId="7354" priority="22037" operator="equal">
      <formula>"value일 미도래"</formula>
    </cfRule>
  </conditionalFormatting>
  <conditionalFormatting sqref="M149:M150">
    <cfRule type="cellIs" dxfId="7353" priority="22036" operator="equal">
      <formula>"value일 미도래"</formula>
    </cfRule>
  </conditionalFormatting>
  <conditionalFormatting sqref="M148">
    <cfRule type="cellIs" dxfId="7352" priority="22035" operator="equal">
      <formula>"value일 미도래"</formula>
    </cfRule>
  </conditionalFormatting>
  <conditionalFormatting sqref="M148">
    <cfRule type="cellIs" dxfId="7351" priority="22034" operator="equal">
      <formula>"value일 미도래"</formula>
    </cfRule>
  </conditionalFormatting>
  <conditionalFormatting sqref="M149:M150">
    <cfRule type="cellIs" dxfId="7350" priority="22033" operator="equal">
      <formula>"value일 미도래"</formula>
    </cfRule>
  </conditionalFormatting>
  <conditionalFormatting sqref="M149:M150">
    <cfRule type="cellIs" dxfId="7349" priority="22032" operator="equal">
      <formula>"value일 미도래"</formula>
    </cfRule>
  </conditionalFormatting>
  <conditionalFormatting sqref="M149:M150">
    <cfRule type="cellIs" dxfId="7348" priority="22031" operator="equal">
      <formula>"value일 미도래"</formula>
    </cfRule>
  </conditionalFormatting>
  <conditionalFormatting sqref="M148">
    <cfRule type="cellIs" dxfId="7347" priority="22030" operator="equal">
      <formula>"value일 미도래"</formula>
    </cfRule>
  </conditionalFormatting>
  <conditionalFormatting sqref="M148">
    <cfRule type="cellIs" dxfId="7346" priority="22029" operator="equal">
      <formula>"value일 미도래"</formula>
    </cfRule>
  </conditionalFormatting>
  <conditionalFormatting sqref="M148">
    <cfRule type="cellIs" dxfId="7345" priority="22028" operator="equal">
      <formula>"value일 미도래"</formula>
    </cfRule>
  </conditionalFormatting>
  <conditionalFormatting sqref="M148">
    <cfRule type="cellIs" dxfId="7344" priority="22027" operator="equal">
      <formula>"value일 미도래"</formula>
    </cfRule>
  </conditionalFormatting>
  <conditionalFormatting sqref="M148">
    <cfRule type="cellIs" dxfId="7343" priority="22026" operator="equal">
      <formula>"value일 미도래"</formula>
    </cfRule>
  </conditionalFormatting>
  <conditionalFormatting sqref="M148">
    <cfRule type="cellIs" dxfId="7342" priority="22025" operator="equal">
      <formula>"value일 미도래"</formula>
    </cfRule>
  </conditionalFormatting>
  <conditionalFormatting sqref="M149:M150">
    <cfRule type="cellIs" dxfId="7341" priority="22024" operator="equal">
      <formula>"value일 미도래"</formula>
    </cfRule>
  </conditionalFormatting>
  <conditionalFormatting sqref="M149:M150">
    <cfRule type="cellIs" dxfId="7340" priority="22023" operator="equal">
      <formula>"value일 미도래"</formula>
    </cfRule>
  </conditionalFormatting>
  <conditionalFormatting sqref="M149:M150">
    <cfRule type="cellIs" dxfId="7339" priority="22022" operator="equal">
      <formula>"value일 미도래"</formula>
    </cfRule>
  </conditionalFormatting>
  <conditionalFormatting sqref="M148">
    <cfRule type="cellIs" dxfId="7338" priority="22019" operator="equal">
      <formula>"value일 미도래"</formula>
    </cfRule>
  </conditionalFormatting>
  <conditionalFormatting sqref="M148">
    <cfRule type="cellIs" dxfId="7337" priority="22018" operator="equal">
      <formula>"value일 미도래"</formula>
    </cfRule>
  </conditionalFormatting>
  <conditionalFormatting sqref="M149:M150">
    <cfRule type="cellIs" dxfId="7336" priority="22017" operator="equal">
      <formula>"value일 미도래"</formula>
    </cfRule>
  </conditionalFormatting>
  <conditionalFormatting sqref="M149:M150">
    <cfRule type="cellIs" dxfId="7335" priority="22016" operator="equal">
      <formula>"value일 미도래"</formula>
    </cfRule>
  </conditionalFormatting>
  <conditionalFormatting sqref="M149:M150">
    <cfRule type="cellIs" dxfId="7334" priority="22015" operator="equal">
      <formula>"value일 미도래"</formula>
    </cfRule>
  </conditionalFormatting>
  <conditionalFormatting sqref="M148">
    <cfRule type="cellIs" dxfId="7333" priority="22014" operator="equal">
      <formula>"value일 미도래"</formula>
    </cfRule>
  </conditionalFormatting>
  <conditionalFormatting sqref="M148">
    <cfRule type="cellIs" dxfId="7332" priority="22013" operator="equal">
      <formula>"value일 미도래"</formula>
    </cfRule>
  </conditionalFormatting>
  <conditionalFormatting sqref="M148">
    <cfRule type="cellIs" dxfId="7331" priority="22012" operator="equal">
      <formula>"value일 미도래"</formula>
    </cfRule>
  </conditionalFormatting>
  <conditionalFormatting sqref="M148">
    <cfRule type="cellIs" dxfId="7330" priority="22011" operator="equal">
      <formula>"value일 미도래"</formula>
    </cfRule>
  </conditionalFormatting>
  <conditionalFormatting sqref="M148">
    <cfRule type="cellIs" dxfId="7329" priority="22010" operator="equal">
      <formula>"value일 미도래"</formula>
    </cfRule>
  </conditionalFormatting>
  <conditionalFormatting sqref="M148">
    <cfRule type="cellIs" dxfId="7328" priority="22009" operator="equal">
      <formula>"value일 미도래"</formula>
    </cfRule>
  </conditionalFormatting>
  <conditionalFormatting sqref="M148">
    <cfRule type="cellIs" dxfId="7327" priority="22008" operator="equal">
      <formula>"value일 미도래"</formula>
    </cfRule>
  </conditionalFormatting>
  <conditionalFormatting sqref="M148">
    <cfRule type="cellIs" dxfId="7326" priority="22007" operator="equal">
      <formula>"value일 미도래"</formula>
    </cfRule>
  </conditionalFormatting>
  <conditionalFormatting sqref="M148">
    <cfRule type="cellIs" dxfId="7325" priority="22006" operator="equal">
      <formula>"value일 미도래"</formula>
    </cfRule>
  </conditionalFormatting>
  <conditionalFormatting sqref="M148">
    <cfRule type="cellIs" dxfId="7324" priority="22004" operator="equal">
      <formula>"value일 미도래"</formula>
    </cfRule>
  </conditionalFormatting>
  <conditionalFormatting sqref="M148">
    <cfRule type="cellIs" dxfId="7323" priority="22003" operator="equal">
      <formula>"value일 미도래"</formula>
    </cfRule>
  </conditionalFormatting>
  <conditionalFormatting sqref="M149:M150">
    <cfRule type="cellIs" dxfId="7322" priority="22002" operator="equal">
      <formula>"value일 미도래"</formula>
    </cfRule>
  </conditionalFormatting>
  <conditionalFormatting sqref="M149:M150">
    <cfRule type="cellIs" dxfId="7321" priority="22001" operator="equal">
      <formula>"value일 미도래"</formula>
    </cfRule>
  </conditionalFormatting>
  <conditionalFormatting sqref="M149:M150">
    <cfRule type="cellIs" dxfId="7320" priority="22000" operator="equal">
      <formula>"value일 미도래"</formula>
    </cfRule>
  </conditionalFormatting>
  <conditionalFormatting sqref="M148">
    <cfRule type="cellIs" dxfId="7319" priority="21999" operator="equal">
      <formula>"value일 미도래"</formula>
    </cfRule>
  </conditionalFormatting>
  <conditionalFormatting sqref="M148">
    <cfRule type="cellIs" dxfId="7318" priority="21998" operator="equal">
      <formula>"value일 미도래"</formula>
    </cfRule>
  </conditionalFormatting>
  <conditionalFormatting sqref="M148">
    <cfRule type="cellIs" dxfId="7317" priority="21997" operator="equal">
      <formula>"value일 미도래"</formula>
    </cfRule>
  </conditionalFormatting>
  <conditionalFormatting sqref="M148">
    <cfRule type="cellIs" dxfId="7316" priority="21996" operator="equal">
      <formula>"value일 미도래"</formula>
    </cfRule>
  </conditionalFormatting>
  <conditionalFormatting sqref="M148">
    <cfRule type="cellIs" dxfId="7315" priority="21995" operator="equal">
      <formula>"value일 미도래"</formula>
    </cfRule>
  </conditionalFormatting>
  <conditionalFormatting sqref="M148">
    <cfRule type="cellIs" dxfId="7314" priority="21994" operator="equal">
      <formula>"value일 미도래"</formula>
    </cfRule>
  </conditionalFormatting>
  <conditionalFormatting sqref="M148">
    <cfRule type="cellIs" dxfId="7313" priority="21993" operator="equal">
      <formula>"value일 미도래"</formula>
    </cfRule>
  </conditionalFormatting>
  <conditionalFormatting sqref="M148">
    <cfRule type="cellIs" dxfId="7312" priority="21992" operator="equal">
      <formula>"value일 미도래"</formula>
    </cfRule>
  </conditionalFormatting>
  <conditionalFormatting sqref="M148">
    <cfRule type="cellIs" dxfId="7311" priority="21991" operator="equal">
      <formula>"value일 미도래"</formula>
    </cfRule>
  </conditionalFormatting>
  <conditionalFormatting sqref="M148">
    <cfRule type="cellIs" dxfId="7310" priority="21989" operator="equal">
      <formula>"value일 미도래"</formula>
    </cfRule>
  </conditionalFormatting>
  <conditionalFormatting sqref="M148">
    <cfRule type="cellIs" dxfId="7309" priority="21988" operator="equal">
      <formula>"value일 미도래"</formula>
    </cfRule>
  </conditionalFormatting>
  <conditionalFormatting sqref="M148">
    <cfRule type="cellIs" dxfId="7308" priority="21987" operator="equal">
      <formula>"value일 미도래"</formula>
    </cfRule>
  </conditionalFormatting>
  <conditionalFormatting sqref="M149:M150">
    <cfRule type="cellIs" dxfId="7307" priority="21986" operator="equal">
      <formula>"value일 미도래"</formula>
    </cfRule>
  </conditionalFormatting>
  <conditionalFormatting sqref="M149:M150">
    <cfRule type="cellIs" dxfId="7306" priority="21985" operator="equal">
      <formula>"value일 미도래"</formula>
    </cfRule>
  </conditionalFormatting>
  <conditionalFormatting sqref="M149:M150">
    <cfRule type="cellIs" dxfId="7305" priority="21984" operator="equal">
      <formula>"value일 미도래"</formula>
    </cfRule>
  </conditionalFormatting>
  <conditionalFormatting sqref="M148:M149">
    <cfRule type="cellIs" dxfId="7304" priority="21983" operator="equal">
      <formula>"value일 미도래"</formula>
    </cfRule>
  </conditionalFormatting>
  <conditionalFormatting sqref="M148:M149">
    <cfRule type="cellIs" dxfId="7303" priority="21982" operator="equal">
      <formula>"value일 미도래"</formula>
    </cfRule>
  </conditionalFormatting>
  <conditionalFormatting sqref="M148:M149">
    <cfRule type="cellIs" dxfId="7302" priority="21981" operator="equal">
      <formula>"value일 미도래"</formula>
    </cfRule>
  </conditionalFormatting>
  <conditionalFormatting sqref="M148:M149">
    <cfRule type="cellIs" dxfId="7301" priority="21980" operator="equal">
      <formula>"value일 미도래"</formula>
    </cfRule>
  </conditionalFormatting>
  <conditionalFormatting sqref="M148:M149">
    <cfRule type="cellIs" dxfId="7300" priority="21979" operator="equal">
      <formula>"value일 미도래"</formula>
    </cfRule>
  </conditionalFormatting>
  <conditionalFormatting sqref="M148:M149">
    <cfRule type="cellIs" dxfId="7299" priority="21978" operator="equal">
      <formula>"value일 미도래"</formula>
    </cfRule>
  </conditionalFormatting>
  <conditionalFormatting sqref="M148:M149">
    <cfRule type="cellIs" dxfId="7298" priority="21976" operator="equal">
      <formula>"value일 미도래"</formula>
    </cfRule>
  </conditionalFormatting>
  <conditionalFormatting sqref="M148:M149">
    <cfRule type="cellIs" dxfId="7297" priority="21975" operator="equal">
      <formula>"value일 미도래"</formula>
    </cfRule>
  </conditionalFormatting>
  <conditionalFormatting sqref="M148:M149">
    <cfRule type="cellIs" dxfId="7296" priority="21974" operator="equal">
      <formula>"value일 미도래"</formula>
    </cfRule>
  </conditionalFormatting>
  <conditionalFormatting sqref="M148:M149">
    <cfRule type="cellIs" dxfId="7295" priority="21973" operator="equal">
      <formula>"value일 미도래"</formula>
    </cfRule>
  </conditionalFormatting>
  <conditionalFormatting sqref="M148:M149">
    <cfRule type="cellIs" dxfId="7294" priority="21972" operator="equal">
      <formula>"value일 미도래"</formula>
    </cfRule>
  </conditionalFormatting>
  <conditionalFormatting sqref="M148:M149">
    <cfRule type="cellIs" dxfId="7293" priority="21971" operator="equal">
      <formula>"value일 미도래"</formula>
    </cfRule>
  </conditionalFormatting>
  <conditionalFormatting sqref="M148:M149">
    <cfRule type="cellIs" dxfId="7292" priority="21970" operator="equal">
      <formula>"value일 미도래"</formula>
    </cfRule>
  </conditionalFormatting>
  <conditionalFormatting sqref="M148:M149">
    <cfRule type="cellIs" dxfId="7291" priority="21969" operator="equal">
      <formula>"value일 미도래"</formula>
    </cfRule>
  </conditionalFormatting>
  <conditionalFormatting sqref="M148:M149">
    <cfRule type="cellIs" dxfId="7290" priority="21967" operator="equal">
      <formula>"value일 미도래"</formula>
    </cfRule>
  </conditionalFormatting>
  <conditionalFormatting sqref="M148:M149">
    <cfRule type="cellIs" dxfId="7289" priority="21966" operator="equal">
      <formula>"value일 미도래"</formula>
    </cfRule>
  </conditionalFormatting>
  <conditionalFormatting sqref="M148:M149">
    <cfRule type="cellIs" dxfId="7288" priority="21965" operator="equal">
      <formula>"value일 미도래"</formula>
    </cfRule>
  </conditionalFormatting>
  <conditionalFormatting sqref="M148:M149">
    <cfRule type="cellIs" dxfId="7287" priority="21964" operator="equal">
      <formula>"value일 미도래"</formula>
    </cfRule>
  </conditionalFormatting>
  <conditionalFormatting sqref="M148:M149">
    <cfRule type="cellIs" dxfId="7286" priority="21963" operator="equal">
      <formula>"value일 미도래"</formula>
    </cfRule>
  </conditionalFormatting>
  <conditionalFormatting sqref="M148:M149">
    <cfRule type="cellIs" dxfId="7285" priority="21962" operator="equal">
      <formula>"value일 미도래"</formula>
    </cfRule>
  </conditionalFormatting>
  <conditionalFormatting sqref="M148:M149">
    <cfRule type="cellIs" dxfId="7284" priority="21961" operator="equal">
      <formula>"value일 미도래"</formula>
    </cfRule>
  </conditionalFormatting>
  <conditionalFormatting sqref="M148:M149">
    <cfRule type="cellIs" dxfId="7283" priority="21960" operator="equal">
      <formula>"value일 미도래"</formula>
    </cfRule>
  </conditionalFormatting>
  <conditionalFormatting sqref="M148:M149">
    <cfRule type="cellIs" dxfId="7282" priority="21959" operator="equal">
      <formula>"value일 미도래"</formula>
    </cfRule>
  </conditionalFormatting>
  <conditionalFormatting sqref="M148:M149">
    <cfRule type="cellIs" dxfId="7281" priority="21958" operator="equal">
      <formula>"value일 미도래"</formula>
    </cfRule>
  </conditionalFormatting>
  <conditionalFormatting sqref="M148:M149">
    <cfRule type="cellIs" dxfId="7280" priority="21957" operator="equal">
      <formula>"value일 미도래"</formula>
    </cfRule>
  </conditionalFormatting>
  <conditionalFormatting sqref="M148:M149">
    <cfRule type="cellIs" dxfId="7279" priority="21955" operator="equal">
      <formula>"value일 미도래"</formula>
    </cfRule>
  </conditionalFormatting>
  <conditionalFormatting sqref="M148:M149">
    <cfRule type="cellIs" dxfId="7278" priority="21954" operator="equal">
      <formula>"value일 미도래"</formula>
    </cfRule>
  </conditionalFormatting>
  <conditionalFormatting sqref="M148:M149">
    <cfRule type="cellIs" dxfId="7277" priority="21953" operator="equal">
      <formula>"value일 미도래"</formula>
    </cfRule>
  </conditionalFormatting>
  <conditionalFormatting sqref="M148:M149">
    <cfRule type="cellIs" dxfId="7276" priority="21952" operator="equal">
      <formula>"value일 미도래"</formula>
    </cfRule>
  </conditionalFormatting>
  <conditionalFormatting sqref="M148:M149">
    <cfRule type="cellIs" dxfId="7275" priority="21951" operator="equal">
      <formula>"value일 미도래"</formula>
    </cfRule>
  </conditionalFormatting>
  <conditionalFormatting sqref="M148:M149">
    <cfRule type="cellIs" dxfId="7274" priority="21950" operator="equal">
      <formula>"value일 미도래"</formula>
    </cfRule>
  </conditionalFormatting>
  <conditionalFormatting sqref="M148:M149">
    <cfRule type="cellIs" dxfId="7273" priority="21949" operator="equal">
      <formula>"value일 미도래"</formula>
    </cfRule>
  </conditionalFormatting>
  <conditionalFormatting sqref="M148:M149">
    <cfRule type="cellIs" dxfId="7272" priority="21948" operator="equal">
      <formula>"value일 미도래"</formula>
    </cfRule>
  </conditionalFormatting>
  <conditionalFormatting sqref="M148:M149">
    <cfRule type="cellIs" dxfId="7271" priority="21947" operator="equal">
      <formula>"value일 미도래"</formula>
    </cfRule>
  </conditionalFormatting>
  <conditionalFormatting sqref="M148:M149">
    <cfRule type="cellIs" dxfId="7270" priority="21946" operator="equal">
      <formula>"value일 미도래"</formula>
    </cfRule>
  </conditionalFormatting>
  <conditionalFormatting sqref="M148:M149">
    <cfRule type="cellIs" dxfId="7269" priority="21945" operator="equal">
      <formula>"value일 미도래"</formula>
    </cfRule>
  </conditionalFormatting>
  <conditionalFormatting sqref="M148:M149">
    <cfRule type="cellIs" dxfId="7268" priority="21943" operator="equal">
      <formula>"value일 미도래"</formula>
    </cfRule>
  </conditionalFormatting>
  <conditionalFormatting sqref="M148:M149">
    <cfRule type="cellIs" dxfId="7267" priority="21942" operator="equal">
      <formula>"value일 미도래"</formula>
    </cfRule>
  </conditionalFormatting>
  <conditionalFormatting sqref="M148:M149">
    <cfRule type="cellIs" dxfId="7266" priority="21941" operator="equal">
      <formula>"value일 미도래"</formula>
    </cfRule>
  </conditionalFormatting>
  <conditionalFormatting sqref="M148">
    <cfRule type="cellIs" dxfId="7265" priority="21940" operator="equal">
      <formula>"value일 미도래"</formula>
    </cfRule>
  </conditionalFormatting>
  <conditionalFormatting sqref="M148">
    <cfRule type="cellIs" dxfId="7264" priority="21939" operator="equal">
      <formula>"value일 미도래"</formula>
    </cfRule>
  </conditionalFormatting>
  <conditionalFormatting sqref="M148:M149">
    <cfRule type="cellIs" dxfId="7263" priority="21938" operator="equal">
      <formula>"value일 미도래"</formula>
    </cfRule>
  </conditionalFormatting>
  <conditionalFormatting sqref="M148:M149">
    <cfRule type="cellIs" dxfId="7262" priority="21937" operator="equal">
      <formula>"value일 미도래"</formula>
    </cfRule>
  </conditionalFormatting>
  <conditionalFormatting sqref="M148:M149">
    <cfRule type="cellIs" dxfId="7261" priority="21936" operator="equal">
      <formula>"value일 미도래"</formula>
    </cfRule>
  </conditionalFormatting>
  <conditionalFormatting sqref="M149:M150">
    <cfRule type="cellIs" dxfId="7260" priority="21935" operator="equal">
      <formula>"value일 미도래"</formula>
    </cfRule>
  </conditionalFormatting>
  <conditionalFormatting sqref="M149:M150">
    <cfRule type="cellIs" dxfId="7259" priority="21934" operator="equal">
      <formula>"value일 미도래"</formula>
    </cfRule>
  </conditionalFormatting>
  <conditionalFormatting sqref="M149:M150">
    <cfRule type="cellIs" dxfId="7258" priority="21933" operator="equal">
      <formula>"value일 미도래"</formula>
    </cfRule>
  </conditionalFormatting>
  <conditionalFormatting sqref="M148">
    <cfRule type="cellIs" dxfId="7257" priority="21932" operator="equal">
      <formula>"value일 미도래"</formula>
    </cfRule>
  </conditionalFormatting>
  <conditionalFormatting sqref="M148">
    <cfRule type="cellIs" dxfId="7256" priority="21931" operator="equal">
      <formula>"value일 미도래"</formula>
    </cfRule>
  </conditionalFormatting>
  <conditionalFormatting sqref="M148">
    <cfRule type="cellIs" dxfId="7255" priority="21930" operator="equal">
      <formula>"value일 미도래"</formula>
    </cfRule>
  </conditionalFormatting>
  <conditionalFormatting sqref="M148">
    <cfRule type="cellIs" dxfId="7254" priority="21929" operator="equal">
      <formula>"value일 미도래"</formula>
    </cfRule>
  </conditionalFormatting>
  <conditionalFormatting sqref="M148">
    <cfRule type="cellIs" dxfId="7253" priority="21928" operator="equal">
      <formula>"value일 미도래"</formula>
    </cfRule>
  </conditionalFormatting>
  <conditionalFormatting sqref="M148">
    <cfRule type="cellIs" dxfId="7252" priority="21927" operator="equal">
      <formula>"value일 미도래"</formula>
    </cfRule>
  </conditionalFormatting>
  <conditionalFormatting sqref="M148">
    <cfRule type="cellIs" dxfId="7251" priority="21926" operator="equal">
      <formula>"value일 미도래"</formula>
    </cfRule>
  </conditionalFormatting>
  <conditionalFormatting sqref="M148">
    <cfRule type="cellIs" dxfId="7250" priority="21925" operator="equal">
      <formula>"value일 미도래"</formula>
    </cfRule>
  </conditionalFormatting>
  <conditionalFormatting sqref="M148">
    <cfRule type="cellIs" dxfId="7249" priority="21924" operator="equal">
      <formula>"value일 미도래"</formula>
    </cfRule>
  </conditionalFormatting>
  <conditionalFormatting sqref="M148">
    <cfRule type="cellIs" dxfId="7248" priority="21922" operator="equal">
      <formula>"value일 미도래"</formula>
    </cfRule>
  </conditionalFormatting>
  <conditionalFormatting sqref="M148">
    <cfRule type="cellIs" dxfId="7247" priority="21921" operator="equal">
      <formula>"value일 미도래"</formula>
    </cfRule>
  </conditionalFormatting>
  <conditionalFormatting sqref="M148">
    <cfRule type="cellIs" dxfId="7246" priority="21920" operator="equal">
      <formula>"value일 미도래"</formula>
    </cfRule>
  </conditionalFormatting>
  <conditionalFormatting sqref="M148:M149">
    <cfRule type="cellIs" dxfId="7245" priority="21919" operator="equal">
      <formula>"value일 미도래"</formula>
    </cfRule>
  </conditionalFormatting>
  <conditionalFormatting sqref="M148:M149">
    <cfRule type="cellIs" dxfId="7244" priority="21918" operator="equal">
      <formula>"value일 미도래"</formula>
    </cfRule>
  </conditionalFormatting>
  <conditionalFormatting sqref="M148:M149">
    <cfRule type="cellIs" dxfId="7243" priority="21917" operator="equal">
      <formula>"value일 미도래"</formula>
    </cfRule>
  </conditionalFormatting>
  <conditionalFormatting sqref="M148">
    <cfRule type="cellIs" dxfId="7242" priority="21916" operator="equal">
      <formula>"value일 미도래"</formula>
    </cfRule>
  </conditionalFormatting>
  <conditionalFormatting sqref="M148">
    <cfRule type="cellIs" dxfId="7241" priority="21915" operator="equal">
      <formula>"value일 미도래"</formula>
    </cfRule>
  </conditionalFormatting>
  <conditionalFormatting sqref="M148">
    <cfRule type="cellIs" dxfId="7240" priority="21914" operator="equal">
      <formula>"value일 미도래"</formula>
    </cfRule>
  </conditionalFormatting>
  <conditionalFormatting sqref="M148:M149">
    <cfRule type="cellIs" dxfId="7239" priority="21913" operator="equal">
      <formula>"value일 미도래"</formula>
    </cfRule>
  </conditionalFormatting>
  <conditionalFormatting sqref="M148:M149">
    <cfRule type="cellIs" dxfId="7238" priority="21912" operator="equal">
      <formula>"value일 미도래"</formula>
    </cfRule>
  </conditionalFormatting>
  <conditionalFormatting sqref="M148:M149">
    <cfRule type="cellIs" dxfId="7237" priority="21911" operator="equal">
      <formula>"value일 미도래"</formula>
    </cfRule>
  </conditionalFormatting>
  <conditionalFormatting sqref="M148">
    <cfRule type="cellIs" dxfId="7236" priority="21910" operator="equal">
      <formula>"value일 미도래"</formula>
    </cfRule>
  </conditionalFormatting>
  <conditionalFormatting sqref="M148">
    <cfRule type="cellIs" dxfId="7235" priority="21909" operator="equal">
      <formula>"value일 미도래"</formula>
    </cfRule>
  </conditionalFormatting>
  <conditionalFormatting sqref="M148">
    <cfRule type="cellIs" dxfId="7234" priority="21908" operator="equal">
      <formula>"value일 미도래"</formula>
    </cfRule>
  </conditionalFormatting>
  <conditionalFormatting sqref="M148">
    <cfRule type="cellIs" dxfId="7233" priority="21907" operator="equal">
      <formula>"value일 미도래"</formula>
    </cfRule>
  </conditionalFormatting>
  <conditionalFormatting sqref="M148">
    <cfRule type="cellIs" dxfId="7232" priority="21906" operator="equal">
      <formula>"value일 미도래"</formula>
    </cfRule>
  </conditionalFormatting>
  <conditionalFormatting sqref="M148:M149">
    <cfRule type="cellIs" dxfId="7231" priority="21905" operator="equal">
      <formula>"value일 미도래"</formula>
    </cfRule>
  </conditionalFormatting>
  <conditionalFormatting sqref="M148:M149">
    <cfRule type="cellIs" dxfId="7230" priority="21904" operator="equal">
      <formula>"value일 미도래"</formula>
    </cfRule>
  </conditionalFormatting>
  <conditionalFormatting sqref="M148:M149">
    <cfRule type="cellIs" dxfId="7229" priority="21903" operator="equal">
      <formula>"value일 미도래"</formula>
    </cfRule>
  </conditionalFormatting>
  <conditionalFormatting sqref="M149:M150">
    <cfRule type="cellIs" dxfId="7228" priority="21902" operator="equal">
      <formula>"value일 미도래"</formula>
    </cfRule>
  </conditionalFormatting>
  <conditionalFormatting sqref="M149:M150">
    <cfRule type="cellIs" dxfId="7227" priority="21901" operator="equal">
      <formula>"value일 미도래"</formula>
    </cfRule>
  </conditionalFormatting>
  <conditionalFormatting sqref="M149:M150">
    <cfRule type="cellIs" dxfId="7226" priority="21900" operator="equal">
      <formula>"value일 미도래"</formula>
    </cfRule>
  </conditionalFormatting>
  <conditionalFormatting sqref="M148">
    <cfRule type="cellIs" dxfId="7225" priority="21899" operator="equal">
      <formula>"value일 미도래"</formula>
    </cfRule>
  </conditionalFormatting>
  <conditionalFormatting sqref="M148">
    <cfRule type="cellIs" dxfId="7224" priority="21898" operator="equal">
      <formula>"value일 미도래"</formula>
    </cfRule>
  </conditionalFormatting>
  <conditionalFormatting sqref="M148">
    <cfRule type="cellIs" dxfId="7223" priority="21897" operator="equal">
      <formula>"value일 미도래"</formula>
    </cfRule>
  </conditionalFormatting>
  <conditionalFormatting sqref="M148">
    <cfRule type="cellIs" dxfId="7222" priority="21896" operator="equal">
      <formula>"value일 미도래"</formula>
    </cfRule>
  </conditionalFormatting>
  <conditionalFormatting sqref="M148">
    <cfRule type="cellIs" dxfId="7221" priority="21895" operator="equal">
      <formula>"value일 미도래"</formula>
    </cfRule>
  </conditionalFormatting>
  <conditionalFormatting sqref="M148">
    <cfRule type="cellIs" dxfId="7220" priority="21894" operator="equal">
      <formula>"value일 미도래"</formula>
    </cfRule>
  </conditionalFormatting>
  <conditionalFormatting sqref="M148">
    <cfRule type="cellIs" dxfId="7219" priority="21893" operator="equal">
      <formula>"value일 미도래"</formula>
    </cfRule>
  </conditionalFormatting>
  <conditionalFormatting sqref="M148">
    <cfRule type="cellIs" dxfId="7218" priority="21892" operator="equal">
      <formula>"value일 미도래"</formula>
    </cfRule>
  </conditionalFormatting>
  <conditionalFormatting sqref="M148">
    <cfRule type="cellIs" dxfId="7217" priority="21891" operator="equal">
      <formula>"value일 미도래"</formula>
    </cfRule>
  </conditionalFormatting>
  <conditionalFormatting sqref="M148">
    <cfRule type="cellIs" dxfId="7216" priority="21889" operator="equal">
      <formula>"value일 미도래"</formula>
    </cfRule>
  </conditionalFormatting>
  <conditionalFormatting sqref="M148">
    <cfRule type="cellIs" dxfId="7215" priority="21888" operator="equal">
      <formula>"value일 미도래"</formula>
    </cfRule>
  </conditionalFormatting>
  <conditionalFormatting sqref="M148">
    <cfRule type="cellIs" dxfId="7214" priority="21887" operator="equal">
      <formula>"value일 미도래"</formula>
    </cfRule>
  </conditionalFormatting>
  <conditionalFormatting sqref="M148:M149">
    <cfRule type="cellIs" dxfId="7213" priority="21886" operator="equal">
      <formula>"value일 미도래"</formula>
    </cfRule>
  </conditionalFormatting>
  <conditionalFormatting sqref="M148:M149">
    <cfRule type="cellIs" dxfId="7212" priority="21885" operator="equal">
      <formula>"value일 미도래"</formula>
    </cfRule>
  </conditionalFormatting>
  <conditionalFormatting sqref="M148:M149">
    <cfRule type="cellIs" dxfId="7211" priority="21884" operator="equal">
      <formula>"value일 미도래"</formula>
    </cfRule>
  </conditionalFormatting>
  <conditionalFormatting sqref="M148">
    <cfRule type="cellIs" dxfId="7210" priority="21883" operator="equal">
      <formula>"value일 미도래"</formula>
    </cfRule>
  </conditionalFormatting>
  <conditionalFormatting sqref="M148">
    <cfRule type="cellIs" dxfId="7209" priority="21882" operator="equal">
      <formula>"value일 미도래"</formula>
    </cfRule>
  </conditionalFormatting>
  <conditionalFormatting sqref="M148">
    <cfRule type="cellIs" dxfId="7208" priority="21881" operator="equal">
      <formula>"value일 미도래"</formula>
    </cfRule>
  </conditionalFormatting>
  <conditionalFormatting sqref="M148:M149">
    <cfRule type="cellIs" dxfId="7207" priority="21880" operator="equal">
      <formula>"value일 미도래"</formula>
    </cfRule>
  </conditionalFormatting>
  <conditionalFormatting sqref="M148:M149">
    <cfRule type="cellIs" dxfId="7206" priority="21879" operator="equal">
      <formula>"value일 미도래"</formula>
    </cfRule>
  </conditionalFormatting>
  <conditionalFormatting sqref="M148:M149">
    <cfRule type="cellIs" dxfId="7205" priority="21878" operator="equal">
      <formula>"value일 미도래"</formula>
    </cfRule>
  </conditionalFormatting>
  <conditionalFormatting sqref="M148">
    <cfRule type="cellIs" dxfId="7204" priority="21877" operator="equal">
      <formula>"value일 미도래"</formula>
    </cfRule>
  </conditionalFormatting>
  <conditionalFormatting sqref="M148">
    <cfRule type="cellIs" dxfId="7203" priority="21876" operator="equal">
      <formula>"value일 미도래"</formula>
    </cfRule>
  </conditionalFormatting>
  <conditionalFormatting sqref="M148">
    <cfRule type="cellIs" dxfId="7202" priority="21875" operator="equal">
      <formula>"value일 미도래"</formula>
    </cfRule>
  </conditionalFormatting>
  <conditionalFormatting sqref="M149:M150">
    <cfRule type="cellIs" dxfId="7201" priority="21874" operator="equal">
      <formula>"value일 미도래"</formula>
    </cfRule>
  </conditionalFormatting>
  <conditionalFormatting sqref="M149:M150">
    <cfRule type="cellIs" dxfId="7200" priority="21873" operator="equal">
      <formula>"value일 미도래"</formula>
    </cfRule>
  </conditionalFormatting>
  <conditionalFormatting sqref="M149:M150">
    <cfRule type="cellIs" dxfId="7199" priority="21872" operator="equal">
      <formula>"value일 미도래"</formula>
    </cfRule>
  </conditionalFormatting>
  <conditionalFormatting sqref="M149:M150">
    <cfRule type="cellIs" dxfId="7198" priority="21871" operator="equal">
      <formula>"value일 미도래"</formula>
    </cfRule>
  </conditionalFormatting>
  <conditionalFormatting sqref="M148">
    <cfRule type="cellIs" dxfId="7197" priority="21870" operator="equal">
      <formula>"value일 미도래"</formula>
    </cfRule>
  </conditionalFormatting>
  <conditionalFormatting sqref="M148">
    <cfRule type="cellIs" dxfId="7196" priority="21869" operator="equal">
      <formula>"value일 미도래"</formula>
    </cfRule>
  </conditionalFormatting>
  <conditionalFormatting sqref="M148">
    <cfRule type="cellIs" dxfId="7195" priority="21868" operator="equal">
      <formula>"value일 미도래"</formula>
    </cfRule>
  </conditionalFormatting>
  <conditionalFormatting sqref="M148">
    <cfRule type="cellIs" dxfId="7194" priority="21867" operator="equal">
      <formula>"value일 미도래"</formula>
    </cfRule>
  </conditionalFormatting>
  <conditionalFormatting sqref="M148">
    <cfRule type="cellIs" dxfId="7193" priority="21866" operator="equal">
      <formula>"value일 미도래"</formula>
    </cfRule>
  </conditionalFormatting>
  <conditionalFormatting sqref="M148">
    <cfRule type="cellIs" dxfId="7192" priority="21865" operator="equal">
      <formula>"value일 미도래"</formula>
    </cfRule>
  </conditionalFormatting>
  <conditionalFormatting sqref="M148">
    <cfRule type="cellIs" dxfId="7191" priority="21864" operator="equal">
      <formula>"value일 미도래"</formula>
    </cfRule>
  </conditionalFormatting>
  <conditionalFormatting sqref="M148">
    <cfRule type="cellIs" dxfId="7190" priority="21863" operator="equal">
      <formula>"value일 미도래"</formula>
    </cfRule>
  </conditionalFormatting>
  <conditionalFormatting sqref="M148">
    <cfRule type="cellIs" dxfId="7189" priority="21862" operator="equal">
      <formula>"value일 미도래"</formula>
    </cfRule>
  </conditionalFormatting>
  <conditionalFormatting sqref="M148">
    <cfRule type="cellIs" dxfId="7188" priority="21861" operator="equal">
      <formula>"value일 미도래"</formula>
    </cfRule>
  </conditionalFormatting>
  <conditionalFormatting sqref="M148">
    <cfRule type="cellIs" dxfId="7187" priority="21860" operator="equal">
      <formula>"value일 미도래"</formula>
    </cfRule>
  </conditionalFormatting>
  <conditionalFormatting sqref="M148">
    <cfRule type="cellIs" dxfId="7186" priority="21859" operator="equal">
      <formula>"value일 미도래"</formula>
    </cfRule>
  </conditionalFormatting>
  <conditionalFormatting sqref="M148">
    <cfRule type="cellIs" dxfId="7185" priority="21858" operator="equal">
      <formula>"value일 미도래"</formula>
    </cfRule>
  </conditionalFormatting>
  <conditionalFormatting sqref="M148">
    <cfRule type="cellIs" dxfId="7184" priority="21857" operator="equal">
      <formula>"value일 미도래"</formula>
    </cfRule>
  </conditionalFormatting>
  <conditionalFormatting sqref="M148">
    <cfRule type="cellIs" dxfId="7183" priority="21855" operator="equal">
      <formula>"value일 미도래"</formula>
    </cfRule>
  </conditionalFormatting>
  <conditionalFormatting sqref="M148">
    <cfRule type="cellIs" dxfId="7182" priority="21854" operator="equal">
      <formula>"value일 미도래"</formula>
    </cfRule>
  </conditionalFormatting>
  <conditionalFormatting sqref="M148">
    <cfRule type="cellIs" dxfId="7181" priority="21853" operator="equal">
      <formula>"value일 미도래"</formula>
    </cfRule>
  </conditionalFormatting>
  <conditionalFormatting sqref="M148">
    <cfRule type="cellIs" dxfId="7180" priority="21852" operator="equal">
      <formula>"value일 미도래"</formula>
    </cfRule>
  </conditionalFormatting>
  <conditionalFormatting sqref="M148">
    <cfRule type="cellIs" dxfId="7179" priority="21851" operator="equal">
      <formula>"value일 미도래"</formula>
    </cfRule>
  </conditionalFormatting>
  <conditionalFormatting sqref="M148">
    <cfRule type="cellIs" dxfId="7178" priority="21850" operator="equal">
      <formula>"value일 미도래"</formula>
    </cfRule>
  </conditionalFormatting>
  <conditionalFormatting sqref="M148">
    <cfRule type="cellIs" dxfId="7177" priority="21849" operator="equal">
      <formula>"value일 미도래"</formula>
    </cfRule>
  </conditionalFormatting>
  <conditionalFormatting sqref="M148">
    <cfRule type="cellIs" dxfId="7176" priority="21848" operator="equal">
      <formula>"value일 미도래"</formula>
    </cfRule>
  </conditionalFormatting>
  <conditionalFormatting sqref="M148">
    <cfRule type="cellIs" dxfId="7175" priority="21847" operator="equal">
      <formula>"value일 미도래"</formula>
    </cfRule>
  </conditionalFormatting>
  <conditionalFormatting sqref="M148">
    <cfRule type="cellIs" dxfId="7174" priority="21846" operator="equal">
      <formula>"value일 미도래"</formula>
    </cfRule>
  </conditionalFormatting>
  <conditionalFormatting sqref="M148">
    <cfRule type="cellIs" dxfId="7173" priority="21845" operator="equal">
      <formula>"value일 미도래"</formula>
    </cfRule>
  </conditionalFormatting>
  <conditionalFormatting sqref="M148">
    <cfRule type="cellIs" dxfId="7172" priority="21844" operator="equal">
      <formula>"value일 미도래"</formula>
    </cfRule>
  </conditionalFormatting>
  <conditionalFormatting sqref="M148">
    <cfRule type="cellIs" dxfId="7171" priority="21843" operator="equal">
      <formula>"value일 미도래"</formula>
    </cfRule>
  </conditionalFormatting>
  <conditionalFormatting sqref="M148">
    <cfRule type="cellIs" dxfId="7170" priority="21842" operator="equal">
      <formula>"value일 미도래"</formula>
    </cfRule>
  </conditionalFormatting>
  <conditionalFormatting sqref="M148">
    <cfRule type="cellIs" dxfId="7169" priority="21841" operator="equal">
      <formula>"value일 미도래"</formula>
    </cfRule>
  </conditionalFormatting>
  <conditionalFormatting sqref="M148">
    <cfRule type="cellIs" dxfId="7168" priority="21840" operator="equal">
      <formula>"value일 미도래"</formula>
    </cfRule>
  </conditionalFormatting>
  <conditionalFormatting sqref="M148">
    <cfRule type="cellIs" dxfId="7167" priority="21839" operator="equal">
      <formula>"value일 미도래"</formula>
    </cfRule>
  </conditionalFormatting>
  <conditionalFormatting sqref="M148">
    <cfRule type="cellIs" dxfId="7166" priority="21838" operator="equal">
      <formula>"value일 미도래"</formula>
    </cfRule>
  </conditionalFormatting>
  <conditionalFormatting sqref="M148">
    <cfRule type="cellIs" dxfId="7165" priority="21837" operator="equal">
      <formula>"value일 미도래"</formula>
    </cfRule>
  </conditionalFormatting>
  <conditionalFormatting sqref="M148:M149">
    <cfRule type="cellIs" dxfId="7164" priority="21836" operator="equal">
      <formula>"value일 미도래"</formula>
    </cfRule>
  </conditionalFormatting>
  <conditionalFormatting sqref="M148:M149">
    <cfRule type="cellIs" dxfId="7163" priority="21835" operator="equal">
      <formula>"value일 미도래"</formula>
    </cfRule>
  </conditionalFormatting>
  <conditionalFormatting sqref="M148:M149">
    <cfRule type="cellIs" dxfId="7162" priority="21834" operator="equal">
      <formula>"value일 미도래"</formula>
    </cfRule>
  </conditionalFormatting>
  <conditionalFormatting sqref="M148:M149">
    <cfRule type="cellIs" dxfId="7161" priority="21833" operator="equal">
      <formula>"value일 미도래"</formula>
    </cfRule>
  </conditionalFormatting>
  <conditionalFormatting sqref="M148:M149">
    <cfRule type="cellIs" dxfId="7160" priority="21832" operator="equal">
      <formula>"value일 미도래"</formula>
    </cfRule>
  </conditionalFormatting>
  <conditionalFormatting sqref="M148:M149">
    <cfRule type="cellIs" dxfId="7159" priority="21831" operator="equal">
      <formula>"value일 미도래"</formula>
    </cfRule>
  </conditionalFormatting>
  <conditionalFormatting sqref="M148:M149">
    <cfRule type="cellIs" dxfId="7158" priority="21829" operator="equal">
      <formula>"value일 미도래"</formula>
    </cfRule>
  </conditionalFormatting>
  <conditionalFormatting sqref="M148:M149">
    <cfRule type="cellIs" dxfId="7157" priority="21828" operator="equal">
      <formula>"value일 미도래"</formula>
    </cfRule>
  </conditionalFormatting>
  <conditionalFormatting sqref="M148:M149">
    <cfRule type="cellIs" dxfId="7156" priority="21827" operator="equal">
      <formula>"value일 미도래"</formula>
    </cfRule>
  </conditionalFormatting>
  <conditionalFormatting sqref="M148:M149">
    <cfRule type="cellIs" dxfId="7155" priority="21826" operator="equal">
      <formula>"value일 미도래"</formula>
    </cfRule>
  </conditionalFormatting>
  <conditionalFormatting sqref="M148:M149">
    <cfRule type="cellIs" dxfId="7154" priority="21825" operator="equal">
      <formula>"value일 미도래"</formula>
    </cfRule>
  </conditionalFormatting>
  <conditionalFormatting sqref="M148:M149">
    <cfRule type="cellIs" dxfId="7153" priority="21824" operator="equal">
      <formula>"value일 미도래"</formula>
    </cfRule>
  </conditionalFormatting>
  <conditionalFormatting sqref="M148:M149">
    <cfRule type="cellIs" dxfId="7152" priority="21823" operator="equal">
      <formula>"value일 미도래"</formula>
    </cfRule>
  </conditionalFormatting>
  <conditionalFormatting sqref="M148:M149">
    <cfRule type="cellIs" dxfId="7151" priority="21822" operator="equal">
      <formula>"value일 미도래"</formula>
    </cfRule>
  </conditionalFormatting>
  <conditionalFormatting sqref="M148:M149">
    <cfRule type="cellIs" dxfId="7150" priority="21820" operator="equal">
      <formula>"value일 미도래"</formula>
    </cfRule>
  </conditionalFormatting>
  <conditionalFormatting sqref="M148:M149">
    <cfRule type="cellIs" dxfId="7149" priority="21819" operator="equal">
      <formula>"value일 미도래"</formula>
    </cfRule>
  </conditionalFormatting>
  <conditionalFormatting sqref="M148:M149">
    <cfRule type="cellIs" dxfId="7148" priority="21818" operator="equal">
      <formula>"value일 미도래"</formula>
    </cfRule>
  </conditionalFormatting>
  <conditionalFormatting sqref="M148:M149">
    <cfRule type="cellIs" dxfId="7147" priority="21817" operator="equal">
      <formula>"value일 미도래"</formula>
    </cfRule>
  </conditionalFormatting>
  <conditionalFormatting sqref="M148:M149">
    <cfRule type="cellIs" dxfId="7146" priority="21816" operator="equal">
      <formula>"value일 미도래"</formula>
    </cfRule>
  </conditionalFormatting>
  <conditionalFormatting sqref="M148:M149">
    <cfRule type="cellIs" dxfId="7145" priority="21815" operator="equal">
      <formula>"value일 미도래"</formula>
    </cfRule>
  </conditionalFormatting>
  <conditionalFormatting sqref="M148:M149">
    <cfRule type="cellIs" dxfId="7144" priority="21814" operator="equal">
      <formula>"value일 미도래"</formula>
    </cfRule>
  </conditionalFormatting>
  <conditionalFormatting sqref="M148:M149">
    <cfRule type="cellIs" dxfId="7143" priority="21813" operator="equal">
      <formula>"value일 미도래"</formula>
    </cfRule>
  </conditionalFormatting>
  <conditionalFormatting sqref="M148:M149">
    <cfRule type="cellIs" dxfId="7142" priority="21812" operator="equal">
      <formula>"value일 미도래"</formula>
    </cfRule>
  </conditionalFormatting>
  <conditionalFormatting sqref="M148:M149">
    <cfRule type="cellIs" dxfId="7141" priority="21811" operator="equal">
      <formula>"value일 미도래"</formula>
    </cfRule>
  </conditionalFormatting>
  <conditionalFormatting sqref="M148:M149">
    <cfRule type="cellIs" dxfId="7140" priority="21810" operator="equal">
      <formula>"value일 미도래"</formula>
    </cfRule>
  </conditionalFormatting>
  <conditionalFormatting sqref="M148:M149">
    <cfRule type="cellIs" dxfId="7139" priority="21808" operator="equal">
      <formula>"value일 미도래"</formula>
    </cfRule>
  </conditionalFormatting>
  <conditionalFormatting sqref="M148:M149">
    <cfRule type="cellIs" dxfId="7138" priority="21807" operator="equal">
      <formula>"value일 미도래"</formula>
    </cfRule>
  </conditionalFormatting>
  <conditionalFormatting sqref="M148:M149">
    <cfRule type="cellIs" dxfId="7137" priority="21806" operator="equal">
      <formula>"value일 미도래"</formula>
    </cfRule>
  </conditionalFormatting>
  <conditionalFormatting sqref="M148:M149">
    <cfRule type="cellIs" dxfId="7136" priority="21805" operator="equal">
      <formula>"value일 미도래"</formula>
    </cfRule>
  </conditionalFormatting>
  <conditionalFormatting sqref="M148:M149">
    <cfRule type="cellIs" dxfId="7135" priority="21804" operator="equal">
      <formula>"value일 미도래"</formula>
    </cfRule>
  </conditionalFormatting>
  <conditionalFormatting sqref="M148:M149">
    <cfRule type="cellIs" dxfId="7134" priority="21803" operator="equal">
      <formula>"value일 미도래"</formula>
    </cfRule>
  </conditionalFormatting>
  <conditionalFormatting sqref="M148:M149">
    <cfRule type="cellIs" dxfId="7133" priority="21802" operator="equal">
      <formula>"value일 미도래"</formula>
    </cfRule>
  </conditionalFormatting>
  <conditionalFormatting sqref="M148:M149">
    <cfRule type="cellIs" dxfId="7132" priority="21801" operator="equal">
      <formula>"value일 미도래"</formula>
    </cfRule>
  </conditionalFormatting>
  <conditionalFormatting sqref="M148:M149">
    <cfRule type="cellIs" dxfId="7131" priority="21800" operator="equal">
      <formula>"value일 미도래"</formula>
    </cfRule>
  </conditionalFormatting>
  <conditionalFormatting sqref="M148:M149">
    <cfRule type="cellIs" dxfId="7130" priority="21799" operator="equal">
      <formula>"value일 미도래"</formula>
    </cfRule>
  </conditionalFormatting>
  <conditionalFormatting sqref="M148:M149">
    <cfRule type="cellIs" dxfId="7129" priority="21798" operator="equal">
      <formula>"value일 미도래"</formula>
    </cfRule>
  </conditionalFormatting>
  <conditionalFormatting sqref="M148:M149">
    <cfRule type="cellIs" dxfId="7128" priority="21796" operator="equal">
      <formula>"value일 미도래"</formula>
    </cfRule>
  </conditionalFormatting>
  <conditionalFormatting sqref="M148:M149">
    <cfRule type="cellIs" dxfId="7127" priority="21795" operator="equal">
      <formula>"value일 미도래"</formula>
    </cfRule>
  </conditionalFormatting>
  <conditionalFormatting sqref="M148:M149">
    <cfRule type="cellIs" dxfId="7126" priority="21794" operator="equal">
      <formula>"value일 미도래"</formula>
    </cfRule>
  </conditionalFormatting>
  <conditionalFormatting sqref="M148:M149">
    <cfRule type="cellIs" dxfId="7125" priority="21793" operator="equal">
      <formula>"value일 미도래"</formula>
    </cfRule>
  </conditionalFormatting>
  <conditionalFormatting sqref="M148:M149">
    <cfRule type="cellIs" dxfId="7124" priority="21792" operator="equal">
      <formula>"value일 미도래"</formula>
    </cfRule>
  </conditionalFormatting>
  <conditionalFormatting sqref="M148:M149">
    <cfRule type="cellIs" dxfId="7123" priority="21791" operator="equal">
      <formula>"value일 미도래"</formula>
    </cfRule>
  </conditionalFormatting>
  <conditionalFormatting sqref="M148:M149">
    <cfRule type="cellIs" dxfId="7122" priority="21790" operator="equal">
      <formula>"value일 미도래"</formula>
    </cfRule>
  </conditionalFormatting>
  <conditionalFormatting sqref="M148:M149">
    <cfRule type="cellIs" dxfId="7121" priority="21789" operator="equal">
      <formula>"value일 미도래"</formula>
    </cfRule>
  </conditionalFormatting>
  <conditionalFormatting sqref="M148:M149">
    <cfRule type="cellIs" dxfId="7120" priority="21788" operator="equal">
      <formula>"value일 미도래"</formula>
    </cfRule>
  </conditionalFormatting>
  <conditionalFormatting sqref="M148:M149">
    <cfRule type="cellIs" dxfId="7119" priority="21787" operator="equal">
      <formula>"value일 미도래"</formula>
    </cfRule>
  </conditionalFormatting>
  <conditionalFormatting sqref="M148:M149">
    <cfRule type="cellIs" dxfId="7118" priority="21786" operator="equal">
      <formula>"value일 미도래"</formula>
    </cfRule>
  </conditionalFormatting>
  <conditionalFormatting sqref="M148:M149">
    <cfRule type="cellIs" dxfId="7117" priority="21785" operator="equal">
      <formula>"value일 미도래"</formula>
    </cfRule>
  </conditionalFormatting>
  <conditionalFormatting sqref="M148:M149">
    <cfRule type="cellIs" dxfId="7116" priority="21784" operator="equal">
      <formula>"value일 미도래"</formula>
    </cfRule>
  </conditionalFormatting>
  <conditionalFormatting sqref="M148:M149">
    <cfRule type="cellIs" dxfId="7115" priority="21783" operator="equal">
      <formula>"value일 미도래"</formula>
    </cfRule>
  </conditionalFormatting>
  <conditionalFormatting sqref="M148:M149">
    <cfRule type="cellIs" dxfId="7114" priority="21781" operator="equal">
      <formula>"value일 미도래"</formula>
    </cfRule>
  </conditionalFormatting>
  <conditionalFormatting sqref="M148:M149">
    <cfRule type="cellIs" dxfId="7113" priority="21780" operator="equal">
      <formula>"value일 미도래"</formula>
    </cfRule>
  </conditionalFormatting>
  <conditionalFormatting sqref="M148:M149">
    <cfRule type="cellIs" dxfId="7112" priority="21779" operator="equal">
      <formula>"value일 미도래"</formula>
    </cfRule>
  </conditionalFormatting>
  <conditionalFormatting sqref="M148:M149">
    <cfRule type="cellIs" dxfId="7111" priority="21778" operator="equal">
      <formula>"value일 미도래"</formula>
    </cfRule>
  </conditionalFormatting>
  <conditionalFormatting sqref="M148:M149">
    <cfRule type="cellIs" dxfId="7110" priority="21777" operator="equal">
      <formula>"value일 미도래"</formula>
    </cfRule>
  </conditionalFormatting>
  <conditionalFormatting sqref="M148:M149">
    <cfRule type="cellIs" dxfId="7109" priority="21776" operator="equal">
      <formula>"value일 미도래"</formula>
    </cfRule>
  </conditionalFormatting>
  <conditionalFormatting sqref="M148:M149">
    <cfRule type="cellIs" dxfId="7108" priority="21775" operator="equal">
      <formula>"value일 미도래"</formula>
    </cfRule>
  </conditionalFormatting>
  <conditionalFormatting sqref="M148:M149">
    <cfRule type="cellIs" dxfId="7107" priority="21774" operator="equal">
      <formula>"value일 미도래"</formula>
    </cfRule>
  </conditionalFormatting>
  <conditionalFormatting sqref="M148:M149">
    <cfRule type="cellIs" dxfId="7106" priority="21773" operator="equal">
      <formula>"value일 미도래"</formula>
    </cfRule>
  </conditionalFormatting>
  <conditionalFormatting sqref="M148:M149">
    <cfRule type="cellIs" dxfId="7105" priority="21772" operator="equal">
      <formula>"value일 미도래"</formula>
    </cfRule>
  </conditionalFormatting>
  <conditionalFormatting sqref="M148:M149">
    <cfRule type="cellIs" dxfId="7104" priority="21771" operator="equal">
      <formula>"value일 미도래"</formula>
    </cfRule>
  </conditionalFormatting>
  <conditionalFormatting sqref="M148:M149">
    <cfRule type="cellIs" dxfId="7103" priority="21770" operator="equal">
      <formula>"value일 미도래"</formula>
    </cfRule>
  </conditionalFormatting>
  <conditionalFormatting sqref="M148:M149">
    <cfRule type="cellIs" dxfId="7102" priority="21769" operator="equal">
      <formula>"value일 미도래"</formula>
    </cfRule>
  </conditionalFormatting>
  <conditionalFormatting sqref="M148:M149">
    <cfRule type="cellIs" dxfId="7101" priority="21768" operator="equal">
      <formula>"value일 미도래"</formula>
    </cfRule>
  </conditionalFormatting>
  <conditionalFormatting sqref="M148:M149">
    <cfRule type="cellIs" dxfId="7100" priority="21767" operator="equal">
      <formula>"value일 미도래"</formula>
    </cfRule>
  </conditionalFormatting>
  <conditionalFormatting sqref="M148:M149">
    <cfRule type="cellIs" dxfId="7099" priority="21766" operator="equal">
      <formula>"value일 미도래"</formula>
    </cfRule>
  </conditionalFormatting>
  <conditionalFormatting sqref="M148:M149">
    <cfRule type="cellIs" dxfId="7098" priority="21765" operator="equal">
      <formula>"value일 미도래"</formula>
    </cfRule>
  </conditionalFormatting>
  <conditionalFormatting sqref="M148:M149">
    <cfRule type="cellIs" dxfId="7097" priority="21764" operator="equal">
      <formula>"value일 미도래"</formula>
    </cfRule>
  </conditionalFormatting>
  <conditionalFormatting sqref="M148:M149">
    <cfRule type="cellIs" dxfId="7096" priority="21763" operator="equal">
      <formula>"value일 미도래"</formula>
    </cfRule>
  </conditionalFormatting>
  <conditionalFormatting sqref="M148:M149">
    <cfRule type="cellIs" dxfId="7095" priority="21762" operator="equal">
      <formula>"value일 미도래"</formula>
    </cfRule>
  </conditionalFormatting>
  <conditionalFormatting sqref="M148:M149">
    <cfRule type="cellIs" dxfId="7094" priority="21760" operator="equal">
      <formula>"value일 미도래"</formula>
    </cfRule>
  </conditionalFormatting>
  <conditionalFormatting sqref="M148:M149">
    <cfRule type="cellIs" dxfId="7093" priority="21759" operator="equal">
      <formula>"value일 미도래"</formula>
    </cfRule>
  </conditionalFormatting>
  <conditionalFormatting sqref="M148:M149">
    <cfRule type="cellIs" dxfId="7092" priority="21758" operator="equal">
      <formula>"value일 미도래"</formula>
    </cfRule>
  </conditionalFormatting>
  <conditionalFormatting sqref="M148:M149">
    <cfRule type="cellIs" dxfId="7091" priority="21757" operator="equal">
      <formula>"value일 미도래"</formula>
    </cfRule>
  </conditionalFormatting>
  <conditionalFormatting sqref="M148:M149">
    <cfRule type="cellIs" dxfId="7090" priority="21756" operator="equal">
      <formula>"value일 미도래"</formula>
    </cfRule>
  </conditionalFormatting>
  <conditionalFormatting sqref="M148:M149">
    <cfRule type="cellIs" dxfId="7089" priority="21755" operator="equal">
      <formula>"value일 미도래"</formula>
    </cfRule>
  </conditionalFormatting>
  <conditionalFormatting sqref="M148:M149">
    <cfRule type="cellIs" dxfId="7088" priority="21754" operator="equal">
      <formula>"value일 미도래"</formula>
    </cfRule>
  </conditionalFormatting>
  <conditionalFormatting sqref="M148:M149">
    <cfRule type="cellIs" dxfId="7087" priority="21753" operator="equal">
      <formula>"value일 미도래"</formula>
    </cfRule>
  </conditionalFormatting>
  <conditionalFormatting sqref="M148:M149">
    <cfRule type="cellIs" dxfId="7086" priority="21752" operator="equal">
      <formula>"value일 미도래"</formula>
    </cfRule>
  </conditionalFormatting>
  <conditionalFormatting sqref="M148:M149">
    <cfRule type="cellIs" dxfId="7085" priority="21751" operator="equal">
      <formula>"value일 미도래"</formula>
    </cfRule>
  </conditionalFormatting>
  <conditionalFormatting sqref="M148:M149">
    <cfRule type="cellIs" dxfId="7084" priority="21750" operator="equal">
      <formula>"value일 미도래"</formula>
    </cfRule>
  </conditionalFormatting>
  <conditionalFormatting sqref="M148:M149">
    <cfRule type="cellIs" dxfId="7083" priority="21749" operator="equal">
      <formula>"value일 미도래"</formula>
    </cfRule>
  </conditionalFormatting>
  <conditionalFormatting sqref="M148">
    <cfRule type="cellIs" dxfId="7082" priority="21748" operator="equal">
      <formula>"value일 미도래"</formula>
    </cfRule>
  </conditionalFormatting>
  <conditionalFormatting sqref="M148">
    <cfRule type="cellIs" dxfId="7081" priority="21747" operator="equal">
      <formula>"value일 미도래"</formula>
    </cfRule>
  </conditionalFormatting>
  <conditionalFormatting sqref="M148">
    <cfRule type="cellIs" dxfId="7080" priority="21746" operator="equal">
      <formula>"value일 미도래"</formula>
    </cfRule>
  </conditionalFormatting>
  <conditionalFormatting sqref="M148">
    <cfRule type="cellIs" dxfId="7079" priority="21745" operator="equal">
      <formula>"value일 미도래"</formula>
    </cfRule>
  </conditionalFormatting>
  <conditionalFormatting sqref="M148">
    <cfRule type="cellIs" dxfId="7078" priority="21744" operator="equal">
      <formula>"value일 미도래"</formula>
    </cfRule>
  </conditionalFormatting>
  <conditionalFormatting sqref="M148">
    <cfRule type="cellIs" dxfId="7077" priority="21743" operator="equal">
      <formula>"value일 미도래"</formula>
    </cfRule>
  </conditionalFormatting>
  <conditionalFormatting sqref="M148">
    <cfRule type="cellIs" dxfId="7076" priority="21741" operator="equal">
      <formula>"value일 미도래"</formula>
    </cfRule>
  </conditionalFormatting>
  <conditionalFormatting sqref="M148">
    <cfRule type="cellIs" dxfId="7075" priority="21740" operator="equal">
      <formula>"value일 미도래"</formula>
    </cfRule>
  </conditionalFormatting>
  <conditionalFormatting sqref="M148">
    <cfRule type="cellIs" dxfId="7074" priority="21739" operator="equal">
      <formula>"value일 미도래"</formula>
    </cfRule>
  </conditionalFormatting>
  <conditionalFormatting sqref="M148">
    <cfRule type="cellIs" dxfId="7073" priority="21738" operator="equal">
      <formula>"value일 미도래"</formula>
    </cfRule>
  </conditionalFormatting>
  <conditionalFormatting sqref="M148">
    <cfRule type="cellIs" dxfId="7072" priority="21737" operator="equal">
      <formula>"value일 미도래"</formula>
    </cfRule>
  </conditionalFormatting>
  <conditionalFormatting sqref="M148">
    <cfRule type="cellIs" dxfId="7071" priority="21736" operator="equal">
      <formula>"value일 미도래"</formula>
    </cfRule>
  </conditionalFormatting>
  <conditionalFormatting sqref="M148">
    <cfRule type="cellIs" dxfId="7070" priority="21735" operator="equal">
      <formula>"value일 미도래"</formula>
    </cfRule>
  </conditionalFormatting>
  <conditionalFormatting sqref="M148">
    <cfRule type="cellIs" dxfId="7069" priority="21734" operator="equal">
      <formula>"value일 미도래"</formula>
    </cfRule>
  </conditionalFormatting>
  <conditionalFormatting sqref="M148">
    <cfRule type="cellIs" dxfId="7068" priority="21732" operator="equal">
      <formula>"value일 미도래"</formula>
    </cfRule>
  </conditionalFormatting>
  <conditionalFormatting sqref="M148">
    <cfRule type="cellIs" dxfId="7067" priority="21731" operator="equal">
      <formula>"value일 미도래"</formula>
    </cfRule>
  </conditionalFormatting>
  <conditionalFormatting sqref="M148">
    <cfRule type="cellIs" dxfId="7066" priority="21730" operator="equal">
      <formula>"value일 미도래"</formula>
    </cfRule>
  </conditionalFormatting>
  <conditionalFormatting sqref="M148">
    <cfRule type="cellIs" dxfId="7065" priority="21729" operator="equal">
      <formula>"value일 미도래"</formula>
    </cfRule>
  </conditionalFormatting>
  <conditionalFormatting sqref="M148">
    <cfRule type="cellIs" dxfId="7064" priority="21728" operator="equal">
      <formula>"value일 미도래"</formula>
    </cfRule>
  </conditionalFormatting>
  <conditionalFormatting sqref="M148">
    <cfRule type="cellIs" dxfId="7063" priority="21727" operator="equal">
      <formula>"value일 미도래"</formula>
    </cfRule>
  </conditionalFormatting>
  <conditionalFormatting sqref="M148">
    <cfRule type="cellIs" dxfId="7062" priority="21726" operator="equal">
      <formula>"value일 미도래"</formula>
    </cfRule>
  </conditionalFormatting>
  <conditionalFormatting sqref="M148">
    <cfRule type="cellIs" dxfId="7061" priority="21725" operator="equal">
      <formula>"value일 미도래"</formula>
    </cfRule>
  </conditionalFormatting>
  <conditionalFormatting sqref="M148">
    <cfRule type="cellIs" dxfId="7060" priority="21724" operator="equal">
      <formula>"value일 미도래"</formula>
    </cfRule>
  </conditionalFormatting>
  <conditionalFormatting sqref="M148">
    <cfRule type="cellIs" dxfId="7059" priority="21723" operator="equal">
      <formula>"value일 미도래"</formula>
    </cfRule>
  </conditionalFormatting>
  <conditionalFormatting sqref="M148">
    <cfRule type="cellIs" dxfId="7058" priority="21722" operator="equal">
      <formula>"value일 미도래"</formula>
    </cfRule>
  </conditionalFormatting>
  <conditionalFormatting sqref="M148">
    <cfRule type="cellIs" dxfId="7057" priority="21720" operator="equal">
      <formula>"value일 미도래"</formula>
    </cfRule>
  </conditionalFormatting>
  <conditionalFormatting sqref="M148">
    <cfRule type="cellIs" dxfId="7056" priority="21719" operator="equal">
      <formula>"value일 미도래"</formula>
    </cfRule>
  </conditionalFormatting>
  <conditionalFormatting sqref="M148">
    <cfRule type="cellIs" dxfId="7055" priority="21718" operator="equal">
      <formula>"value일 미도래"</formula>
    </cfRule>
  </conditionalFormatting>
  <conditionalFormatting sqref="M148">
    <cfRule type="cellIs" dxfId="7054" priority="21717" operator="equal">
      <formula>"value일 미도래"</formula>
    </cfRule>
  </conditionalFormatting>
  <conditionalFormatting sqref="M148">
    <cfRule type="cellIs" dxfId="7053" priority="21716" operator="equal">
      <formula>"value일 미도래"</formula>
    </cfRule>
  </conditionalFormatting>
  <conditionalFormatting sqref="M148">
    <cfRule type="cellIs" dxfId="7052" priority="21715" operator="equal">
      <formula>"value일 미도래"</formula>
    </cfRule>
  </conditionalFormatting>
  <conditionalFormatting sqref="M148">
    <cfRule type="cellIs" dxfId="7051" priority="21714" operator="equal">
      <formula>"value일 미도래"</formula>
    </cfRule>
  </conditionalFormatting>
  <conditionalFormatting sqref="M148">
    <cfRule type="cellIs" dxfId="7050" priority="21713" operator="equal">
      <formula>"value일 미도래"</formula>
    </cfRule>
  </conditionalFormatting>
  <conditionalFormatting sqref="M148">
    <cfRule type="cellIs" dxfId="7049" priority="21712" operator="equal">
      <formula>"value일 미도래"</formula>
    </cfRule>
  </conditionalFormatting>
  <conditionalFormatting sqref="M148">
    <cfRule type="cellIs" dxfId="7048" priority="21711" operator="equal">
      <formula>"value일 미도래"</formula>
    </cfRule>
  </conditionalFormatting>
  <conditionalFormatting sqref="M148">
    <cfRule type="cellIs" dxfId="7047" priority="21710" operator="equal">
      <formula>"value일 미도래"</formula>
    </cfRule>
  </conditionalFormatting>
  <conditionalFormatting sqref="M148">
    <cfRule type="cellIs" dxfId="7046" priority="21708" operator="equal">
      <formula>"value일 미도래"</formula>
    </cfRule>
  </conditionalFormatting>
  <conditionalFormatting sqref="M148">
    <cfRule type="cellIs" dxfId="7045" priority="21707" operator="equal">
      <formula>"value일 미도래"</formula>
    </cfRule>
  </conditionalFormatting>
  <conditionalFormatting sqref="M148">
    <cfRule type="cellIs" dxfId="7044" priority="21706" operator="equal">
      <formula>"value일 미도래"</formula>
    </cfRule>
  </conditionalFormatting>
  <conditionalFormatting sqref="M148">
    <cfRule type="cellIs" dxfId="7043" priority="21705" operator="equal">
      <formula>"value일 미도래"</formula>
    </cfRule>
  </conditionalFormatting>
  <conditionalFormatting sqref="M148">
    <cfRule type="cellIs" dxfId="7042" priority="21704" operator="equal">
      <formula>"value일 미도래"</formula>
    </cfRule>
  </conditionalFormatting>
  <conditionalFormatting sqref="M148">
    <cfRule type="cellIs" dxfId="7041" priority="21703" operator="equal">
      <formula>"value일 미도래"</formula>
    </cfRule>
  </conditionalFormatting>
  <conditionalFormatting sqref="M148">
    <cfRule type="cellIs" dxfId="7040" priority="21702" operator="equal">
      <formula>"value일 미도래"</formula>
    </cfRule>
  </conditionalFormatting>
  <conditionalFormatting sqref="M148">
    <cfRule type="cellIs" dxfId="7039" priority="21701" operator="equal">
      <formula>"value일 미도래"</formula>
    </cfRule>
  </conditionalFormatting>
  <conditionalFormatting sqref="M148">
    <cfRule type="cellIs" dxfId="7038" priority="21700" operator="equal">
      <formula>"value일 미도래"</formula>
    </cfRule>
  </conditionalFormatting>
  <conditionalFormatting sqref="M148">
    <cfRule type="cellIs" dxfId="7037" priority="21699" operator="equal">
      <formula>"value일 미도래"</formula>
    </cfRule>
  </conditionalFormatting>
  <conditionalFormatting sqref="M148">
    <cfRule type="cellIs" dxfId="7036" priority="21698" operator="equal">
      <formula>"value일 미도래"</formula>
    </cfRule>
  </conditionalFormatting>
  <conditionalFormatting sqref="M148">
    <cfRule type="cellIs" dxfId="7035" priority="21697" operator="equal">
      <formula>"value일 미도래"</formula>
    </cfRule>
  </conditionalFormatting>
  <conditionalFormatting sqref="M148">
    <cfRule type="cellIs" dxfId="7034" priority="21696" operator="equal">
      <formula>"value일 미도래"</formula>
    </cfRule>
  </conditionalFormatting>
  <conditionalFormatting sqref="M148">
    <cfRule type="cellIs" dxfId="7033" priority="21695" operator="equal">
      <formula>"value일 미도래"</formula>
    </cfRule>
  </conditionalFormatting>
  <conditionalFormatting sqref="M148">
    <cfRule type="cellIs" dxfId="7032" priority="21694" operator="equal">
      <formula>"value일 미도래"</formula>
    </cfRule>
  </conditionalFormatting>
  <conditionalFormatting sqref="M148">
    <cfRule type="cellIs" dxfId="7031" priority="21693" operator="equal">
      <formula>"value일 미도래"</formula>
    </cfRule>
  </conditionalFormatting>
  <conditionalFormatting sqref="M148">
    <cfRule type="cellIs" dxfId="7030" priority="21692" operator="equal">
      <formula>"value일 미도래"</formula>
    </cfRule>
  </conditionalFormatting>
  <conditionalFormatting sqref="M148">
    <cfRule type="cellIs" dxfId="7029" priority="21691" operator="equal">
      <formula>"value일 미도래"</formula>
    </cfRule>
  </conditionalFormatting>
  <conditionalFormatting sqref="M148">
    <cfRule type="cellIs" dxfId="7028" priority="21690" operator="equal">
      <formula>"value일 미도래"</formula>
    </cfRule>
  </conditionalFormatting>
  <conditionalFormatting sqref="M148">
    <cfRule type="cellIs" dxfId="7027" priority="21689" operator="equal">
      <formula>"value일 미도래"</formula>
    </cfRule>
  </conditionalFormatting>
  <conditionalFormatting sqref="M148">
    <cfRule type="cellIs" dxfId="7026" priority="21688" operator="equal">
      <formula>"value일 미도래"</formula>
    </cfRule>
  </conditionalFormatting>
  <conditionalFormatting sqref="M148">
    <cfRule type="cellIs" dxfId="7025" priority="21687" operator="equal">
      <formula>"value일 미도래"</formula>
    </cfRule>
  </conditionalFormatting>
  <conditionalFormatting sqref="M148">
    <cfRule type="cellIs" dxfId="7024" priority="21686" operator="equal">
      <formula>"value일 미도래"</formula>
    </cfRule>
  </conditionalFormatting>
  <conditionalFormatting sqref="M148">
    <cfRule type="cellIs" dxfId="7023" priority="21685" operator="equal">
      <formula>"value일 미도래"</formula>
    </cfRule>
  </conditionalFormatting>
  <conditionalFormatting sqref="M148">
    <cfRule type="cellIs" dxfId="7022" priority="21684" operator="equal">
      <formula>"value일 미도래"</formula>
    </cfRule>
  </conditionalFormatting>
  <conditionalFormatting sqref="M148">
    <cfRule type="cellIs" dxfId="7021" priority="21683" operator="equal">
      <formula>"value일 미도래"</formula>
    </cfRule>
  </conditionalFormatting>
  <conditionalFormatting sqref="M148">
    <cfRule type="cellIs" dxfId="7020" priority="21682" operator="equal">
      <formula>"value일 미도래"</formula>
    </cfRule>
  </conditionalFormatting>
  <conditionalFormatting sqref="M148">
    <cfRule type="cellIs" dxfId="7019" priority="21680" operator="equal">
      <formula>"value일 미도래"</formula>
    </cfRule>
  </conditionalFormatting>
  <conditionalFormatting sqref="M148">
    <cfRule type="cellIs" dxfId="7018" priority="21679" operator="equal">
      <formula>"value일 미도래"</formula>
    </cfRule>
  </conditionalFormatting>
  <conditionalFormatting sqref="M148">
    <cfRule type="cellIs" dxfId="7017" priority="21678" operator="equal">
      <formula>"value일 미도래"</formula>
    </cfRule>
  </conditionalFormatting>
  <conditionalFormatting sqref="M148">
    <cfRule type="cellIs" dxfId="7016" priority="21677" operator="equal">
      <formula>"value일 미도래"</formula>
    </cfRule>
  </conditionalFormatting>
  <conditionalFormatting sqref="M148">
    <cfRule type="cellIs" dxfId="7015" priority="21676" operator="equal">
      <formula>"value일 미도래"</formula>
    </cfRule>
  </conditionalFormatting>
  <conditionalFormatting sqref="M148">
    <cfRule type="cellIs" dxfId="7014" priority="21675" operator="equal">
      <formula>"value일 미도래"</formula>
    </cfRule>
  </conditionalFormatting>
  <conditionalFormatting sqref="M148">
    <cfRule type="cellIs" dxfId="7013" priority="21674" operator="equal">
      <formula>"value일 미도래"</formula>
    </cfRule>
  </conditionalFormatting>
  <conditionalFormatting sqref="M148">
    <cfRule type="cellIs" dxfId="7012" priority="21673" operator="equal">
      <formula>"value일 미도래"</formula>
    </cfRule>
  </conditionalFormatting>
  <conditionalFormatting sqref="M148">
    <cfRule type="cellIs" dxfId="7011" priority="21671" operator="equal">
      <formula>"value일 미도래"</formula>
    </cfRule>
  </conditionalFormatting>
  <conditionalFormatting sqref="M148">
    <cfRule type="cellIs" dxfId="7010" priority="21670" operator="equal">
      <formula>"value일 미도래"</formula>
    </cfRule>
  </conditionalFormatting>
  <conditionalFormatting sqref="M148">
    <cfRule type="cellIs" dxfId="7009" priority="21669" operator="equal">
      <formula>"value일 미도래"</formula>
    </cfRule>
  </conditionalFormatting>
  <conditionalFormatting sqref="M148">
    <cfRule type="cellIs" dxfId="7008" priority="21668" operator="equal">
      <formula>"value일 미도래"</formula>
    </cfRule>
  </conditionalFormatting>
  <conditionalFormatting sqref="M148">
    <cfRule type="cellIs" dxfId="7007" priority="21667" operator="equal">
      <formula>"value일 미도래"</formula>
    </cfRule>
  </conditionalFormatting>
  <conditionalFormatting sqref="M148">
    <cfRule type="cellIs" dxfId="7006" priority="21666" operator="equal">
      <formula>"value일 미도래"</formula>
    </cfRule>
  </conditionalFormatting>
  <conditionalFormatting sqref="M148">
    <cfRule type="cellIs" dxfId="7005" priority="21665" operator="equal">
      <formula>"value일 미도래"</formula>
    </cfRule>
  </conditionalFormatting>
  <conditionalFormatting sqref="M148">
    <cfRule type="cellIs" dxfId="7004" priority="21664" operator="equal">
      <formula>"value일 미도래"</formula>
    </cfRule>
  </conditionalFormatting>
  <conditionalFormatting sqref="M148">
    <cfRule type="cellIs" dxfId="7003" priority="21663" operator="equal">
      <formula>"value일 미도래"</formula>
    </cfRule>
  </conditionalFormatting>
  <conditionalFormatting sqref="M148">
    <cfRule type="cellIs" dxfId="7002" priority="21662" operator="equal">
      <formula>"value일 미도래"</formula>
    </cfRule>
  </conditionalFormatting>
  <conditionalFormatting sqref="M148">
    <cfRule type="cellIs" dxfId="7001" priority="21661" operator="equal">
      <formula>"value일 미도래"</formula>
    </cfRule>
  </conditionalFormatting>
  <conditionalFormatting sqref="M148">
    <cfRule type="cellIs" dxfId="7000" priority="21659" operator="equal">
      <formula>"value일 미도래"</formula>
    </cfRule>
  </conditionalFormatting>
  <conditionalFormatting sqref="M148">
    <cfRule type="cellIs" dxfId="6999" priority="21658" operator="equal">
      <formula>"value일 미도래"</formula>
    </cfRule>
  </conditionalFormatting>
  <conditionalFormatting sqref="M148">
    <cfRule type="cellIs" dxfId="6998" priority="21657" operator="equal">
      <formula>"value일 미도래"</formula>
    </cfRule>
  </conditionalFormatting>
  <conditionalFormatting sqref="M148">
    <cfRule type="cellIs" dxfId="6997" priority="21656" operator="equal">
      <formula>"value일 미도래"</formula>
    </cfRule>
  </conditionalFormatting>
  <conditionalFormatting sqref="M148">
    <cfRule type="cellIs" dxfId="6996" priority="21655" operator="equal">
      <formula>"value일 미도래"</formula>
    </cfRule>
  </conditionalFormatting>
  <conditionalFormatting sqref="M148">
    <cfRule type="cellIs" dxfId="6995" priority="21654" operator="equal">
      <formula>"value일 미도래"</formula>
    </cfRule>
  </conditionalFormatting>
  <conditionalFormatting sqref="M148">
    <cfRule type="cellIs" dxfId="6994" priority="21653" operator="equal">
      <formula>"value일 미도래"</formula>
    </cfRule>
  </conditionalFormatting>
  <conditionalFormatting sqref="M148">
    <cfRule type="cellIs" dxfId="6993" priority="21652" operator="equal">
      <formula>"value일 미도래"</formula>
    </cfRule>
  </conditionalFormatting>
  <conditionalFormatting sqref="M148">
    <cfRule type="cellIs" dxfId="6992" priority="21651" operator="equal">
      <formula>"value일 미도래"</formula>
    </cfRule>
  </conditionalFormatting>
  <conditionalFormatting sqref="M148">
    <cfRule type="cellIs" dxfId="6991" priority="21650" operator="equal">
      <formula>"value일 미도래"</formula>
    </cfRule>
  </conditionalFormatting>
  <conditionalFormatting sqref="M148">
    <cfRule type="cellIs" dxfId="6990" priority="21649" operator="equal">
      <formula>"value일 미도래"</formula>
    </cfRule>
  </conditionalFormatting>
  <conditionalFormatting sqref="M148">
    <cfRule type="cellIs" dxfId="6989" priority="21647" operator="equal">
      <formula>"value일 미도래"</formula>
    </cfRule>
  </conditionalFormatting>
  <conditionalFormatting sqref="M148">
    <cfRule type="cellIs" dxfId="6988" priority="21646" operator="equal">
      <formula>"value일 미도래"</formula>
    </cfRule>
  </conditionalFormatting>
  <conditionalFormatting sqref="M148">
    <cfRule type="cellIs" dxfId="6987" priority="21645" operator="equal">
      <formula>"value일 미도래"</formula>
    </cfRule>
  </conditionalFormatting>
  <conditionalFormatting sqref="M148">
    <cfRule type="cellIs" dxfId="6986" priority="21644" operator="equal">
      <formula>"value일 미도래"</formula>
    </cfRule>
  </conditionalFormatting>
  <conditionalFormatting sqref="M148">
    <cfRule type="cellIs" dxfId="6985" priority="21643" operator="equal">
      <formula>"value일 미도래"</formula>
    </cfRule>
  </conditionalFormatting>
  <conditionalFormatting sqref="M148">
    <cfRule type="cellIs" dxfId="6984" priority="21642" operator="equal">
      <formula>"value일 미도래"</formula>
    </cfRule>
  </conditionalFormatting>
  <conditionalFormatting sqref="M148">
    <cfRule type="cellIs" dxfId="6983" priority="21641" operator="equal">
      <formula>"value일 미도래"</formula>
    </cfRule>
  </conditionalFormatting>
  <conditionalFormatting sqref="M148">
    <cfRule type="cellIs" dxfId="6982" priority="21640" operator="equal">
      <formula>"value일 미도래"</formula>
    </cfRule>
  </conditionalFormatting>
  <conditionalFormatting sqref="M148">
    <cfRule type="cellIs" dxfId="6981" priority="21639" operator="equal">
      <formula>"value일 미도래"</formula>
    </cfRule>
  </conditionalFormatting>
  <conditionalFormatting sqref="M148">
    <cfRule type="cellIs" dxfId="6980" priority="21638" operator="equal">
      <formula>"value일 미도래"</formula>
    </cfRule>
  </conditionalFormatting>
  <conditionalFormatting sqref="M148">
    <cfRule type="cellIs" dxfId="6979" priority="21637" operator="equal">
      <formula>"value일 미도래"</formula>
    </cfRule>
  </conditionalFormatting>
  <conditionalFormatting sqref="M148">
    <cfRule type="cellIs" dxfId="6978" priority="21636" operator="equal">
      <formula>"value일 미도래"</formula>
    </cfRule>
  </conditionalFormatting>
  <conditionalFormatting sqref="M148">
    <cfRule type="cellIs" dxfId="6977" priority="21635" operator="equal">
      <formula>"value일 미도래"</formula>
    </cfRule>
  </conditionalFormatting>
  <conditionalFormatting sqref="M148">
    <cfRule type="cellIs" dxfId="6976" priority="21634" operator="equal">
      <formula>"value일 미도래"</formula>
    </cfRule>
  </conditionalFormatting>
  <conditionalFormatting sqref="M148">
    <cfRule type="cellIs" dxfId="6975" priority="21632" operator="equal">
      <formula>"value일 미도래"</formula>
    </cfRule>
  </conditionalFormatting>
  <conditionalFormatting sqref="M148">
    <cfRule type="cellIs" dxfId="6974" priority="21631" operator="equal">
      <formula>"value일 미도래"</formula>
    </cfRule>
  </conditionalFormatting>
  <conditionalFormatting sqref="M148">
    <cfRule type="cellIs" dxfId="6973" priority="21630" operator="equal">
      <formula>"value일 미도래"</formula>
    </cfRule>
  </conditionalFormatting>
  <conditionalFormatting sqref="M148">
    <cfRule type="cellIs" dxfId="6972" priority="21629" operator="equal">
      <formula>"value일 미도래"</formula>
    </cfRule>
  </conditionalFormatting>
  <conditionalFormatting sqref="M148">
    <cfRule type="cellIs" dxfId="6971" priority="21628" operator="equal">
      <formula>"value일 미도래"</formula>
    </cfRule>
  </conditionalFormatting>
  <conditionalFormatting sqref="M148">
    <cfRule type="cellIs" dxfId="6970" priority="21627" operator="equal">
      <formula>"value일 미도래"</formula>
    </cfRule>
  </conditionalFormatting>
  <conditionalFormatting sqref="M148">
    <cfRule type="cellIs" dxfId="6969" priority="21626" operator="equal">
      <formula>"value일 미도래"</formula>
    </cfRule>
  </conditionalFormatting>
  <conditionalFormatting sqref="M148">
    <cfRule type="cellIs" dxfId="6968" priority="21625" operator="equal">
      <formula>"value일 미도래"</formula>
    </cfRule>
  </conditionalFormatting>
  <conditionalFormatting sqref="M148">
    <cfRule type="cellIs" dxfId="6967" priority="21624" operator="equal">
      <formula>"value일 미도래"</formula>
    </cfRule>
  </conditionalFormatting>
  <conditionalFormatting sqref="M148">
    <cfRule type="cellIs" dxfId="6966" priority="21623" operator="equal">
      <formula>"value일 미도래"</formula>
    </cfRule>
  </conditionalFormatting>
  <conditionalFormatting sqref="M148">
    <cfRule type="cellIs" dxfId="6965" priority="21622" operator="equal">
      <formula>"value일 미도래"</formula>
    </cfRule>
  </conditionalFormatting>
  <conditionalFormatting sqref="M148">
    <cfRule type="cellIs" dxfId="6964" priority="21621" operator="equal">
      <formula>"value일 미도래"</formula>
    </cfRule>
  </conditionalFormatting>
  <conditionalFormatting sqref="M148">
    <cfRule type="cellIs" dxfId="6963" priority="21620" operator="equal">
      <formula>"value일 미도래"</formula>
    </cfRule>
  </conditionalFormatting>
  <conditionalFormatting sqref="M148">
    <cfRule type="cellIs" dxfId="6962" priority="21619" operator="equal">
      <formula>"value일 미도래"</formula>
    </cfRule>
  </conditionalFormatting>
  <conditionalFormatting sqref="M148">
    <cfRule type="cellIs" dxfId="6961" priority="21618" operator="equal">
      <formula>"value일 미도래"</formula>
    </cfRule>
  </conditionalFormatting>
  <conditionalFormatting sqref="M148">
    <cfRule type="cellIs" dxfId="6960" priority="21617" operator="equal">
      <formula>"value일 미도래"</formula>
    </cfRule>
  </conditionalFormatting>
  <conditionalFormatting sqref="M148">
    <cfRule type="cellIs" dxfId="6959" priority="21616" operator="equal">
      <formula>"value일 미도래"</formula>
    </cfRule>
  </conditionalFormatting>
  <conditionalFormatting sqref="M148">
    <cfRule type="cellIs" dxfId="6958" priority="21615" operator="equal">
      <formula>"value일 미도래"</formula>
    </cfRule>
  </conditionalFormatting>
  <conditionalFormatting sqref="M148">
    <cfRule type="cellIs" dxfId="6957" priority="21614" operator="equal">
      <formula>"value일 미도래"</formula>
    </cfRule>
  </conditionalFormatting>
  <conditionalFormatting sqref="M148">
    <cfRule type="cellIs" dxfId="6956" priority="21613" operator="equal">
      <formula>"value일 미도래"</formula>
    </cfRule>
  </conditionalFormatting>
  <conditionalFormatting sqref="M148">
    <cfRule type="cellIs" dxfId="6955" priority="21611" operator="equal">
      <formula>"value일 미도래"</formula>
    </cfRule>
  </conditionalFormatting>
  <conditionalFormatting sqref="M148">
    <cfRule type="cellIs" dxfId="6954" priority="21610" operator="equal">
      <formula>"value일 미도래"</formula>
    </cfRule>
  </conditionalFormatting>
  <conditionalFormatting sqref="M148">
    <cfRule type="cellIs" dxfId="6953" priority="21609" operator="equal">
      <formula>"value일 미도래"</formula>
    </cfRule>
  </conditionalFormatting>
  <conditionalFormatting sqref="M148">
    <cfRule type="cellIs" dxfId="6952" priority="21608" operator="equal">
      <formula>"value일 미도래"</formula>
    </cfRule>
  </conditionalFormatting>
  <conditionalFormatting sqref="M148">
    <cfRule type="cellIs" dxfId="6951" priority="21607" operator="equal">
      <formula>"value일 미도래"</formula>
    </cfRule>
  </conditionalFormatting>
  <conditionalFormatting sqref="M148">
    <cfRule type="cellIs" dxfId="6950" priority="21606" operator="equal">
      <formula>"value일 미도래"</formula>
    </cfRule>
  </conditionalFormatting>
  <conditionalFormatting sqref="M148">
    <cfRule type="cellIs" dxfId="6949" priority="21605" operator="equal">
      <formula>"value일 미도래"</formula>
    </cfRule>
  </conditionalFormatting>
  <conditionalFormatting sqref="M148">
    <cfRule type="cellIs" dxfId="6948" priority="21604" operator="equal">
      <formula>"value일 미도래"</formula>
    </cfRule>
  </conditionalFormatting>
  <conditionalFormatting sqref="M148">
    <cfRule type="cellIs" dxfId="6947" priority="21603" operator="equal">
      <formula>"value일 미도래"</formula>
    </cfRule>
  </conditionalFormatting>
  <conditionalFormatting sqref="M148">
    <cfRule type="cellIs" dxfId="6946" priority="21602" operator="equal">
      <formula>"value일 미도래"</formula>
    </cfRule>
  </conditionalFormatting>
  <conditionalFormatting sqref="M148">
    <cfRule type="cellIs" dxfId="6945" priority="21601" operator="equal">
      <formula>"value일 미도래"</formula>
    </cfRule>
  </conditionalFormatting>
  <conditionalFormatting sqref="M148">
    <cfRule type="cellIs" dxfId="6944" priority="21600" operator="equal">
      <formula>"value일 미도래"</formula>
    </cfRule>
  </conditionalFormatting>
  <conditionalFormatting sqref="M148">
    <cfRule type="cellIs" dxfId="6943" priority="21599" operator="equal">
      <formula>"value일 미도래"</formula>
    </cfRule>
  </conditionalFormatting>
  <conditionalFormatting sqref="M148">
    <cfRule type="cellIs" dxfId="6942" priority="21598" operator="equal">
      <formula>"value일 미도래"</formula>
    </cfRule>
  </conditionalFormatting>
  <conditionalFormatting sqref="M149:M150">
    <cfRule type="cellIs" dxfId="6941" priority="21597" operator="equal">
      <formula>"value일 미도래"</formula>
    </cfRule>
  </conditionalFormatting>
  <conditionalFormatting sqref="M149:M150">
    <cfRule type="cellIs" dxfId="6940" priority="21596" operator="equal">
      <formula>"value일 미도래"</formula>
    </cfRule>
  </conditionalFormatting>
  <conditionalFormatting sqref="M149:M150">
    <cfRule type="cellIs" dxfId="6939" priority="21595" operator="equal">
      <formula>"value일 미도래"</formula>
    </cfRule>
  </conditionalFormatting>
  <conditionalFormatting sqref="M148">
    <cfRule type="cellIs" dxfId="6938" priority="21594" operator="equal">
      <formula>"value일 미도래"</formula>
    </cfRule>
  </conditionalFormatting>
  <conditionalFormatting sqref="M148">
    <cfRule type="cellIs" dxfId="6937" priority="21593" operator="equal">
      <formula>"value일 미도래"</formula>
    </cfRule>
  </conditionalFormatting>
  <conditionalFormatting sqref="M148">
    <cfRule type="cellIs" dxfId="6936" priority="21592" operator="equal">
      <formula>"value일 미도래"</formula>
    </cfRule>
  </conditionalFormatting>
  <conditionalFormatting sqref="M148">
    <cfRule type="cellIs" dxfId="6935" priority="21591" operator="equal">
      <formula>"value일 미도래"</formula>
    </cfRule>
  </conditionalFormatting>
  <conditionalFormatting sqref="M148">
    <cfRule type="cellIs" dxfId="6934" priority="21590" operator="equal">
      <formula>"value일 미도래"</formula>
    </cfRule>
  </conditionalFormatting>
  <conditionalFormatting sqref="M148">
    <cfRule type="cellIs" dxfId="6933" priority="21589" operator="equal">
      <formula>"value일 미도래"</formula>
    </cfRule>
  </conditionalFormatting>
  <conditionalFormatting sqref="M148">
    <cfRule type="cellIs" dxfId="6932" priority="21588" operator="equal">
      <formula>"value일 미도래"</formula>
    </cfRule>
  </conditionalFormatting>
  <conditionalFormatting sqref="M148">
    <cfRule type="cellIs" dxfId="6931" priority="21587" operator="equal">
      <formula>"value일 미도래"</formula>
    </cfRule>
  </conditionalFormatting>
  <conditionalFormatting sqref="M148">
    <cfRule type="cellIs" dxfId="6930" priority="21586" operator="equal">
      <formula>"value일 미도래"</formula>
    </cfRule>
  </conditionalFormatting>
  <conditionalFormatting sqref="M148">
    <cfRule type="cellIs" dxfId="6929" priority="21584" operator="equal">
      <formula>"value일 미도래"</formula>
    </cfRule>
  </conditionalFormatting>
  <conditionalFormatting sqref="M148">
    <cfRule type="cellIs" dxfId="6928" priority="21583" operator="equal">
      <formula>"value일 미도래"</formula>
    </cfRule>
  </conditionalFormatting>
  <conditionalFormatting sqref="M148">
    <cfRule type="cellIs" dxfId="6927" priority="21582" operator="equal">
      <formula>"value일 미도래"</formula>
    </cfRule>
  </conditionalFormatting>
  <conditionalFormatting sqref="M148">
    <cfRule type="cellIs" dxfId="6926" priority="21581" operator="equal">
      <formula>"value일 미도래"</formula>
    </cfRule>
  </conditionalFormatting>
  <conditionalFormatting sqref="M148">
    <cfRule type="cellIs" dxfId="6925" priority="21580" operator="equal">
      <formula>"value일 미도래"</formula>
    </cfRule>
  </conditionalFormatting>
  <conditionalFormatting sqref="M148">
    <cfRule type="cellIs" dxfId="6924" priority="21579" operator="equal">
      <formula>"value일 미도래"</formula>
    </cfRule>
  </conditionalFormatting>
  <conditionalFormatting sqref="M148">
    <cfRule type="cellIs" dxfId="6923" priority="21578" operator="equal">
      <formula>"value일 미도래"</formula>
    </cfRule>
  </conditionalFormatting>
  <conditionalFormatting sqref="M148">
    <cfRule type="cellIs" dxfId="6922" priority="21577" operator="equal">
      <formula>"value일 미도래"</formula>
    </cfRule>
  </conditionalFormatting>
  <conditionalFormatting sqref="M148">
    <cfRule type="cellIs" dxfId="6921" priority="21576" operator="equal">
      <formula>"value일 미도래"</formula>
    </cfRule>
  </conditionalFormatting>
  <conditionalFormatting sqref="M149:M150">
    <cfRule type="cellIs" dxfId="6920" priority="21575" operator="equal">
      <formula>"value일 미도래"</formula>
    </cfRule>
  </conditionalFormatting>
  <conditionalFormatting sqref="M149:M150">
    <cfRule type="cellIs" dxfId="6919" priority="21574" operator="equal">
      <formula>"value일 미도래"</formula>
    </cfRule>
  </conditionalFormatting>
  <conditionalFormatting sqref="M149:M150">
    <cfRule type="cellIs" dxfId="6918" priority="21573" operator="equal">
      <formula>"value일 미도래"</formula>
    </cfRule>
  </conditionalFormatting>
  <conditionalFormatting sqref="M149:M150">
    <cfRule type="cellIs" dxfId="6917" priority="21572" operator="equal">
      <formula>"value일 미도래"</formula>
    </cfRule>
  </conditionalFormatting>
  <conditionalFormatting sqref="M148">
    <cfRule type="cellIs" dxfId="6916" priority="21571" operator="equal">
      <formula>"value일 미도래"</formula>
    </cfRule>
  </conditionalFormatting>
  <conditionalFormatting sqref="M148">
    <cfRule type="cellIs" dxfId="6915" priority="21570" operator="equal">
      <formula>"value일 미도래"</formula>
    </cfRule>
  </conditionalFormatting>
  <conditionalFormatting sqref="M148">
    <cfRule type="cellIs" dxfId="6914" priority="21569" operator="equal">
      <formula>"value일 미도래"</formula>
    </cfRule>
  </conditionalFormatting>
  <conditionalFormatting sqref="M148">
    <cfRule type="cellIs" dxfId="6913" priority="21568" operator="equal">
      <formula>"value일 미도래"</formula>
    </cfRule>
  </conditionalFormatting>
  <conditionalFormatting sqref="M148">
    <cfRule type="cellIs" dxfId="6912" priority="21567" operator="equal">
      <formula>"value일 미도래"</formula>
    </cfRule>
  </conditionalFormatting>
  <conditionalFormatting sqref="M148">
    <cfRule type="cellIs" dxfId="6911" priority="21566" operator="equal">
      <formula>"value일 미도래"</formula>
    </cfRule>
  </conditionalFormatting>
  <conditionalFormatting sqref="M148">
    <cfRule type="cellIs" dxfId="6910" priority="21565" operator="equal">
      <formula>"value일 미도래"</formula>
    </cfRule>
  </conditionalFormatting>
  <conditionalFormatting sqref="M148">
    <cfRule type="cellIs" dxfId="6909" priority="21564" operator="equal">
      <formula>"value일 미도래"</formula>
    </cfRule>
  </conditionalFormatting>
  <conditionalFormatting sqref="M148">
    <cfRule type="cellIs" dxfId="6908" priority="21563" operator="equal">
      <formula>"value일 미도래"</formula>
    </cfRule>
  </conditionalFormatting>
  <conditionalFormatting sqref="M148">
    <cfRule type="cellIs" dxfId="6907" priority="21562" operator="equal">
      <formula>"value일 미도래"</formula>
    </cfRule>
  </conditionalFormatting>
  <conditionalFormatting sqref="M148:M149">
    <cfRule type="cellIs" dxfId="6906" priority="21561" operator="equal">
      <formula>"value일 미도래"</formula>
    </cfRule>
  </conditionalFormatting>
  <conditionalFormatting sqref="M148:M149">
    <cfRule type="cellIs" dxfId="6905" priority="21560" operator="equal">
      <formula>"value일 미도래"</formula>
    </cfRule>
  </conditionalFormatting>
  <conditionalFormatting sqref="M148:M149">
    <cfRule type="cellIs" dxfId="6904" priority="21559" operator="equal">
      <formula>"value일 미도래"</formula>
    </cfRule>
  </conditionalFormatting>
  <conditionalFormatting sqref="M148:M149">
    <cfRule type="cellIs" dxfId="6903" priority="21558" operator="equal">
      <formula>"value일 미도래"</formula>
    </cfRule>
  </conditionalFormatting>
  <conditionalFormatting sqref="M148:M149">
    <cfRule type="cellIs" dxfId="6902" priority="21557" operator="equal">
      <formula>"value일 미도래"</formula>
    </cfRule>
  </conditionalFormatting>
  <conditionalFormatting sqref="M148:M149">
    <cfRule type="cellIs" dxfId="6901" priority="21556" operator="equal">
      <formula>"value일 미도래"</formula>
    </cfRule>
  </conditionalFormatting>
  <conditionalFormatting sqref="M148:M149">
    <cfRule type="cellIs" dxfId="6900" priority="21554" operator="equal">
      <formula>"value일 미도래"</formula>
    </cfRule>
  </conditionalFormatting>
  <conditionalFormatting sqref="M148:M149">
    <cfRule type="cellIs" dxfId="6899" priority="21553" operator="equal">
      <formula>"value일 미도래"</formula>
    </cfRule>
  </conditionalFormatting>
  <conditionalFormatting sqref="M148:M149">
    <cfRule type="cellIs" dxfId="6898" priority="21552" operator="equal">
      <formula>"value일 미도래"</formula>
    </cfRule>
  </conditionalFormatting>
  <conditionalFormatting sqref="M148:M149">
    <cfRule type="cellIs" dxfId="6897" priority="21551" operator="equal">
      <formula>"value일 미도래"</formula>
    </cfRule>
  </conditionalFormatting>
  <conditionalFormatting sqref="M148:M149">
    <cfRule type="cellIs" dxfId="6896" priority="21550" operator="equal">
      <formula>"value일 미도래"</formula>
    </cfRule>
  </conditionalFormatting>
  <conditionalFormatting sqref="M148:M149">
    <cfRule type="cellIs" dxfId="6895" priority="21549" operator="equal">
      <formula>"value일 미도래"</formula>
    </cfRule>
  </conditionalFormatting>
  <conditionalFormatting sqref="M148:M149">
    <cfRule type="cellIs" dxfId="6894" priority="21548" operator="equal">
      <formula>"value일 미도래"</formula>
    </cfRule>
  </conditionalFormatting>
  <conditionalFormatting sqref="M148:M149">
    <cfRule type="cellIs" dxfId="6893" priority="21547" operator="equal">
      <formula>"value일 미도래"</formula>
    </cfRule>
  </conditionalFormatting>
  <conditionalFormatting sqref="M148:M149">
    <cfRule type="cellIs" dxfId="6892" priority="21545" operator="equal">
      <formula>"value일 미도래"</formula>
    </cfRule>
  </conditionalFormatting>
  <conditionalFormatting sqref="M148:M149">
    <cfRule type="cellIs" dxfId="6891" priority="21544" operator="equal">
      <formula>"value일 미도래"</formula>
    </cfRule>
  </conditionalFormatting>
  <conditionalFormatting sqref="M148:M149">
    <cfRule type="cellIs" dxfId="6890" priority="21543" operator="equal">
      <formula>"value일 미도래"</formula>
    </cfRule>
  </conditionalFormatting>
  <conditionalFormatting sqref="M148:M149">
    <cfRule type="cellIs" dxfId="6889" priority="21542" operator="equal">
      <formula>"value일 미도래"</formula>
    </cfRule>
  </conditionalFormatting>
  <conditionalFormatting sqref="M148:M149">
    <cfRule type="cellIs" dxfId="6888" priority="21541" operator="equal">
      <formula>"value일 미도래"</formula>
    </cfRule>
  </conditionalFormatting>
  <conditionalFormatting sqref="M148:M149">
    <cfRule type="cellIs" dxfId="6887" priority="21540" operator="equal">
      <formula>"value일 미도래"</formula>
    </cfRule>
  </conditionalFormatting>
  <conditionalFormatting sqref="M148:M149">
    <cfRule type="cellIs" dxfId="6886" priority="21539" operator="equal">
      <formula>"value일 미도래"</formula>
    </cfRule>
  </conditionalFormatting>
  <conditionalFormatting sqref="M148:M149">
    <cfRule type="cellIs" dxfId="6885" priority="21538" operator="equal">
      <formula>"value일 미도래"</formula>
    </cfRule>
  </conditionalFormatting>
  <conditionalFormatting sqref="M148:M149">
    <cfRule type="cellIs" dxfId="6884" priority="21537" operator="equal">
      <formula>"value일 미도래"</formula>
    </cfRule>
  </conditionalFormatting>
  <conditionalFormatting sqref="M148:M149">
    <cfRule type="cellIs" dxfId="6883" priority="21536" operator="equal">
      <formula>"value일 미도래"</formula>
    </cfRule>
  </conditionalFormatting>
  <conditionalFormatting sqref="M148:M149">
    <cfRule type="cellIs" dxfId="6882" priority="21535" operator="equal">
      <formula>"value일 미도래"</formula>
    </cfRule>
  </conditionalFormatting>
  <conditionalFormatting sqref="M148:M149">
    <cfRule type="cellIs" dxfId="6881" priority="21533" operator="equal">
      <formula>"value일 미도래"</formula>
    </cfRule>
  </conditionalFormatting>
  <conditionalFormatting sqref="M148:M149">
    <cfRule type="cellIs" dxfId="6880" priority="21532" operator="equal">
      <formula>"value일 미도래"</formula>
    </cfRule>
  </conditionalFormatting>
  <conditionalFormatting sqref="M148:M149">
    <cfRule type="cellIs" dxfId="6879" priority="21531" operator="equal">
      <formula>"value일 미도래"</formula>
    </cfRule>
  </conditionalFormatting>
  <conditionalFormatting sqref="M148:M149">
    <cfRule type="cellIs" dxfId="6878" priority="21530" operator="equal">
      <formula>"value일 미도래"</formula>
    </cfRule>
  </conditionalFormatting>
  <conditionalFormatting sqref="M148:M149">
    <cfRule type="cellIs" dxfId="6877" priority="21529" operator="equal">
      <formula>"value일 미도래"</formula>
    </cfRule>
  </conditionalFormatting>
  <conditionalFormatting sqref="M148:M149">
    <cfRule type="cellIs" dxfId="6876" priority="21528" operator="equal">
      <formula>"value일 미도래"</formula>
    </cfRule>
  </conditionalFormatting>
  <conditionalFormatting sqref="M148:M149">
    <cfRule type="cellIs" dxfId="6875" priority="21527" operator="equal">
      <formula>"value일 미도래"</formula>
    </cfRule>
  </conditionalFormatting>
  <conditionalFormatting sqref="M148:M149">
    <cfRule type="cellIs" dxfId="6874" priority="21526" operator="equal">
      <formula>"value일 미도래"</formula>
    </cfRule>
  </conditionalFormatting>
  <conditionalFormatting sqref="M148:M149">
    <cfRule type="cellIs" dxfId="6873" priority="21525" operator="equal">
      <formula>"value일 미도래"</formula>
    </cfRule>
  </conditionalFormatting>
  <conditionalFormatting sqref="M148:M149">
    <cfRule type="cellIs" dxfId="6872" priority="21524" operator="equal">
      <formula>"value일 미도래"</formula>
    </cfRule>
  </conditionalFormatting>
  <conditionalFormatting sqref="M148:M149">
    <cfRule type="cellIs" dxfId="6871" priority="21523" operator="equal">
      <formula>"value일 미도래"</formula>
    </cfRule>
  </conditionalFormatting>
  <conditionalFormatting sqref="M148:M149">
    <cfRule type="cellIs" dxfId="6870" priority="21521" operator="equal">
      <formula>"value일 미도래"</formula>
    </cfRule>
  </conditionalFormatting>
  <conditionalFormatting sqref="M148:M149">
    <cfRule type="cellIs" dxfId="6869" priority="21520" operator="equal">
      <formula>"value일 미도래"</formula>
    </cfRule>
  </conditionalFormatting>
  <conditionalFormatting sqref="M148:M149">
    <cfRule type="cellIs" dxfId="6868" priority="21519" operator="equal">
      <formula>"value일 미도래"</formula>
    </cfRule>
  </conditionalFormatting>
  <conditionalFormatting sqref="M148:M149">
    <cfRule type="cellIs" dxfId="6867" priority="21518" operator="equal">
      <formula>"value일 미도래"</formula>
    </cfRule>
  </conditionalFormatting>
  <conditionalFormatting sqref="M148:M149">
    <cfRule type="cellIs" dxfId="6866" priority="21517" operator="equal">
      <formula>"value일 미도래"</formula>
    </cfRule>
  </conditionalFormatting>
  <conditionalFormatting sqref="M148:M149">
    <cfRule type="cellIs" dxfId="6865" priority="21516" operator="equal">
      <formula>"value일 미도래"</formula>
    </cfRule>
  </conditionalFormatting>
  <conditionalFormatting sqref="M148:M149">
    <cfRule type="cellIs" dxfId="6864" priority="21515" operator="equal">
      <formula>"value일 미도래"</formula>
    </cfRule>
  </conditionalFormatting>
  <conditionalFormatting sqref="M148:M149">
    <cfRule type="cellIs" dxfId="6863" priority="21514" operator="equal">
      <formula>"value일 미도래"</formula>
    </cfRule>
  </conditionalFormatting>
  <conditionalFormatting sqref="M148:M149">
    <cfRule type="cellIs" dxfId="6862" priority="21513" operator="equal">
      <formula>"value일 미도래"</formula>
    </cfRule>
  </conditionalFormatting>
  <conditionalFormatting sqref="M148:M149">
    <cfRule type="cellIs" dxfId="6861" priority="21512" operator="equal">
      <formula>"value일 미도래"</formula>
    </cfRule>
  </conditionalFormatting>
  <conditionalFormatting sqref="M148:M149">
    <cfRule type="cellIs" dxfId="6860" priority="21511" operator="equal">
      <formula>"value일 미도래"</formula>
    </cfRule>
  </conditionalFormatting>
  <conditionalFormatting sqref="M148:M149">
    <cfRule type="cellIs" dxfId="6859" priority="21510" operator="equal">
      <formula>"value일 미도래"</formula>
    </cfRule>
  </conditionalFormatting>
  <conditionalFormatting sqref="M148:M149">
    <cfRule type="cellIs" dxfId="6858" priority="21509" operator="equal">
      <formula>"value일 미도래"</formula>
    </cfRule>
  </conditionalFormatting>
  <conditionalFormatting sqref="M148:M149">
    <cfRule type="cellIs" dxfId="6857" priority="21508" operator="equal">
      <formula>"value일 미도래"</formula>
    </cfRule>
  </conditionalFormatting>
  <conditionalFormatting sqref="M148:M149">
    <cfRule type="cellIs" dxfId="6856" priority="21506" operator="equal">
      <formula>"value일 미도래"</formula>
    </cfRule>
  </conditionalFormatting>
  <conditionalFormatting sqref="M148:M149">
    <cfRule type="cellIs" dxfId="6855" priority="21505" operator="equal">
      <formula>"value일 미도래"</formula>
    </cfRule>
  </conditionalFormatting>
  <conditionalFormatting sqref="M148:M149">
    <cfRule type="cellIs" dxfId="6854" priority="21504" operator="equal">
      <formula>"value일 미도래"</formula>
    </cfRule>
  </conditionalFormatting>
  <conditionalFormatting sqref="M148:M149">
    <cfRule type="cellIs" dxfId="6853" priority="21503" operator="equal">
      <formula>"value일 미도래"</formula>
    </cfRule>
  </conditionalFormatting>
  <conditionalFormatting sqref="M148:M149">
    <cfRule type="cellIs" dxfId="6852" priority="21502" operator="equal">
      <formula>"value일 미도래"</formula>
    </cfRule>
  </conditionalFormatting>
  <conditionalFormatting sqref="M148:M149">
    <cfRule type="cellIs" dxfId="6851" priority="21501" operator="equal">
      <formula>"value일 미도래"</formula>
    </cfRule>
  </conditionalFormatting>
  <conditionalFormatting sqref="M148:M149">
    <cfRule type="cellIs" dxfId="6850" priority="21500" operator="equal">
      <formula>"value일 미도래"</formula>
    </cfRule>
  </conditionalFormatting>
  <conditionalFormatting sqref="M148:M149">
    <cfRule type="cellIs" dxfId="6849" priority="21499" operator="equal">
      <formula>"value일 미도래"</formula>
    </cfRule>
  </conditionalFormatting>
  <conditionalFormatting sqref="M148:M149">
    <cfRule type="cellIs" dxfId="6848" priority="21498" operator="equal">
      <formula>"value일 미도래"</formula>
    </cfRule>
  </conditionalFormatting>
  <conditionalFormatting sqref="M148:M149">
    <cfRule type="cellIs" dxfId="6847" priority="21497" operator="equal">
      <formula>"value일 미도래"</formula>
    </cfRule>
  </conditionalFormatting>
  <conditionalFormatting sqref="M148:M149">
    <cfRule type="cellIs" dxfId="6846" priority="21496" operator="equal">
      <formula>"value일 미도래"</formula>
    </cfRule>
  </conditionalFormatting>
  <conditionalFormatting sqref="M148:M149">
    <cfRule type="cellIs" dxfId="6845" priority="21495" operator="equal">
      <formula>"value일 미도래"</formula>
    </cfRule>
  </conditionalFormatting>
  <conditionalFormatting sqref="M148:M149">
    <cfRule type="cellIs" dxfId="6844" priority="21494" operator="equal">
      <formula>"value일 미도래"</formula>
    </cfRule>
  </conditionalFormatting>
  <conditionalFormatting sqref="M148:M149">
    <cfRule type="cellIs" dxfId="6843" priority="21493" operator="equal">
      <formula>"value일 미도래"</formula>
    </cfRule>
  </conditionalFormatting>
  <conditionalFormatting sqref="M148:M149">
    <cfRule type="cellIs" dxfId="6842" priority="21492" operator="equal">
      <formula>"value일 미도래"</formula>
    </cfRule>
  </conditionalFormatting>
  <conditionalFormatting sqref="M148:M149">
    <cfRule type="cellIs" dxfId="6841" priority="21491" operator="equal">
      <formula>"value일 미도래"</formula>
    </cfRule>
  </conditionalFormatting>
  <conditionalFormatting sqref="M148:M149">
    <cfRule type="cellIs" dxfId="6840" priority="21490" operator="equal">
      <formula>"value일 미도래"</formula>
    </cfRule>
  </conditionalFormatting>
  <conditionalFormatting sqref="M148:M149">
    <cfRule type="cellIs" dxfId="6839" priority="21489" operator="equal">
      <formula>"value일 미도래"</formula>
    </cfRule>
  </conditionalFormatting>
  <conditionalFormatting sqref="M148:M149">
    <cfRule type="cellIs" dxfId="6838" priority="21488" operator="equal">
      <formula>"value일 미도래"</formula>
    </cfRule>
  </conditionalFormatting>
  <conditionalFormatting sqref="M148:M149">
    <cfRule type="cellIs" dxfId="6837" priority="21487" operator="equal">
      <formula>"value일 미도래"</formula>
    </cfRule>
  </conditionalFormatting>
  <conditionalFormatting sqref="M148:M149">
    <cfRule type="cellIs" dxfId="6836" priority="21485" operator="equal">
      <formula>"value일 미도래"</formula>
    </cfRule>
  </conditionalFormatting>
  <conditionalFormatting sqref="M148:M149">
    <cfRule type="cellIs" dxfId="6835" priority="21484" operator="equal">
      <formula>"value일 미도래"</formula>
    </cfRule>
  </conditionalFormatting>
  <conditionalFormatting sqref="M148:M149">
    <cfRule type="cellIs" dxfId="6834" priority="21483" operator="equal">
      <formula>"value일 미도래"</formula>
    </cfRule>
  </conditionalFormatting>
  <conditionalFormatting sqref="M148:M149">
    <cfRule type="cellIs" dxfId="6833" priority="21482" operator="equal">
      <formula>"value일 미도래"</formula>
    </cfRule>
  </conditionalFormatting>
  <conditionalFormatting sqref="M148:M149">
    <cfRule type="cellIs" dxfId="6832" priority="21481" operator="equal">
      <formula>"value일 미도래"</formula>
    </cfRule>
  </conditionalFormatting>
  <conditionalFormatting sqref="M148:M149">
    <cfRule type="cellIs" dxfId="6831" priority="21480" operator="equal">
      <formula>"value일 미도래"</formula>
    </cfRule>
  </conditionalFormatting>
  <conditionalFormatting sqref="M148:M149">
    <cfRule type="cellIs" dxfId="6830" priority="21479" operator="equal">
      <formula>"value일 미도래"</formula>
    </cfRule>
  </conditionalFormatting>
  <conditionalFormatting sqref="M148:M149">
    <cfRule type="cellIs" dxfId="6829" priority="21478" operator="equal">
      <formula>"value일 미도래"</formula>
    </cfRule>
  </conditionalFormatting>
  <conditionalFormatting sqref="M148:M149">
    <cfRule type="cellIs" dxfId="6828" priority="21477" operator="equal">
      <formula>"value일 미도래"</formula>
    </cfRule>
  </conditionalFormatting>
  <conditionalFormatting sqref="M148:M149">
    <cfRule type="cellIs" dxfId="6827" priority="21476" operator="equal">
      <formula>"value일 미도래"</formula>
    </cfRule>
  </conditionalFormatting>
  <conditionalFormatting sqref="M148:M149">
    <cfRule type="cellIs" dxfId="6826" priority="21475" operator="equal">
      <formula>"value일 미도래"</formula>
    </cfRule>
  </conditionalFormatting>
  <conditionalFormatting sqref="M148:M149">
    <cfRule type="cellIs" dxfId="6825" priority="21474" operator="equal">
      <formula>"value일 미도래"</formula>
    </cfRule>
  </conditionalFormatting>
  <conditionalFormatting sqref="M148:M149">
    <cfRule type="cellIs" dxfId="6824" priority="21448" operator="equal">
      <formula>"value일 미도래"</formula>
    </cfRule>
  </conditionalFormatting>
  <conditionalFormatting sqref="M148:M149">
    <cfRule type="cellIs" dxfId="6823" priority="21447" operator="equal">
      <formula>"value일 미도래"</formula>
    </cfRule>
  </conditionalFormatting>
  <conditionalFormatting sqref="M148:M149">
    <cfRule type="cellIs" dxfId="6822" priority="21446" operator="equal">
      <formula>"value일 미도래"</formula>
    </cfRule>
  </conditionalFormatting>
  <conditionalFormatting sqref="M148:M149">
    <cfRule type="cellIs" dxfId="6821" priority="21445" operator="equal">
      <formula>"value일 미도래"</formula>
    </cfRule>
  </conditionalFormatting>
  <conditionalFormatting sqref="M148:M149">
    <cfRule type="cellIs" dxfId="6820" priority="21444" operator="equal">
      <formula>"value일 미도래"</formula>
    </cfRule>
  </conditionalFormatting>
  <conditionalFormatting sqref="M148:M149">
    <cfRule type="cellIs" dxfId="6819" priority="21443" operator="equal">
      <formula>"value일 미도래"</formula>
    </cfRule>
  </conditionalFormatting>
  <conditionalFormatting sqref="M148:M149">
    <cfRule type="cellIs" dxfId="6818" priority="21442" operator="equal">
      <formula>"value일 미도래"</formula>
    </cfRule>
  </conditionalFormatting>
  <conditionalFormatting sqref="M148:M149">
    <cfRule type="cellIs" dxfId="6817" priority="21441" operator="equal">
      <formula>"value일 미도래"</formula>
    </cfRule>
  </conditionalFormatting>
  <conditionalFormatting sqref="M148:M149">
    <cfRule type="cellIs" dxfId="6816" priority="21440" operator="equal">
      <formula>"value일 미도래"</formula>
    </cfRule>
  </conditionalFormatting>
  <conditionalFormatting sqref="M148:M149">
    <cfRule type="cellIs" dxfId="6815" priority="21439" operator="equal">
      <formula>"value일 미도래"</formula>
    </cfRule>
  </conditionalFormatting>
  <conditionalFormatting sqref="M148:M149">
    <cfRule type="cellIs" dxfId="6814" priority="21438" operator="equal">
      <formula>"value일 미도래"</formula>
    </cfRule>
  </conditionalFormatting>
  <conditionalFormatting sqref="M148:M149">
    <cfRule type="cellIs" dxfId="6813" priority="21436" operator="equal">
      <formula>"value일 미도래"</formula>
    </cfRule>
  </conditionalFormatting>
  <conditionalFormatting sqref="M148:M149">
    <cfRule type="cellIs" dxfId="6812" priority="21435" operator="equal">
      <formula>"value일 미도래"</formula>
    </cfRule>
  </conditionalFormatting>
  <conditionalFormatting sqref="M148:M149">
    <cfRule type="cellIs" dxfId="6811" priority="21434" operator="equal">
      <formula>"value일 미도래"</formula>
    </cfRule>
  </conditionalFormatting>
  <conditionalFormatting sqref="M148:M149">
    <cfRule type="cellIs" dxfId="6810" priority="21433" operator="equal">
      <formula>"value일 미도래"</formula>
    </cfRule>
  </conditionalFormatting>
  <conditionalFormatting sqref="M148:M149">
    <cfRule type="cellIs" dxfId="6809" priority="21432" operator="equal">
      <formula>"value일 미도래"</formula>
    </cfRule>
  </conditionalFormatting>
  <conditionalFormatting sqref="M148:M149">
    <cfRule type="cellIs" dxfId="6808" priority="21431" operator="equal">
      <formula>"value일 미도래"</formula>
    </cfRule>
  </conditionalFormatting>
  <conditionalFormatting sqref="M148:M149">
    <cfRule type="cellIs" dxfId="6807" priority="21430" operator="equal">
      <formula>"value일 미도래"</formula>
    </cfRule>
  </conditionalFormatting>
  <conditionalFormatting sqref="M148:M149">
    <cfRule type="cellIs" dxfId="6806" priority="21429" operator="equal">
      <formula>"value일 미도래"</formula>
    </cfRule>
  </conditionalFormatting>
  <conditionalFormatting sqref="M148:M149">
    <cfRule type="cellIs" dxfId="6805" priority="21428" operator="equal">
      <formula>"value일 미도래"</formula>
    </cfRule>
  </conditionalFormatting>
  <conditionalFormatting sqref="M148">
    <cfRule type="cellIs" dxfId="6804" priority="21427" operator="equal">
      <formula>"value일 미도래"</formula>
    </cfRule>
  </conditionalFormatting>
  <conditionalFormatting sqref="M148">
    <cfRule type="cellIs" dxfId="6803" priority="21426" operator="equal">
      <formula>"value일 미도래"</formula>
    </cfRule>
  </conditionalFormatting>
  <conditionalFormatting sqref="M148">
    <cfRule type="cellIs" dxfId="6802" priority="21425" operator="equal">
      <formula>"value일 미도래"</formula>
    </cfRule>
  </conditionalFormatting>
  <conditionalFormatting sqref="M148">
    <cfRule type="cellIs" dxfId="6801" priority="21424" operator="equal">
      <formula>"value일 미도래"</formula>
    </cfRule>
  </conditionalFormatting>
  <conditionalFormatting sqref="M148">
    <cfRule type="cellIs" dxfId="6800" priority="21423" operator="equal">
      <formula>"value일 미도래"</formula>
    </cfRule>
  </conditionalFormatting>
  <conditionalFormatting sqref="M148">
    <cfRule type="cellIs" dxfId="6799" priority="21422" operator="equal">
      <formula>"value일 미도래"</formula>
    </cfRule>
  </conditionalFormatting>
  <conditionalFormatting sqref="M148">
    <cfRule type="cellIs" dxfId="6798" priority="21420" operator="equal">
      <formula>"value일 미도래"</formula>
    </cfRule>
  </conditionalFormatting>
  <conditionalFormatting sqref="M148">
    <cfRule type="cellIs" dxfId="6797" priority="21419" operator="equal">
      <formula>"value일 미도래"</formula>
    </cfRule>
  </conditionalFormatting>
  <conditionalFormatting sqref="M148">
    <cfRule type="cellIs" dxfId="6796" priority="21418" operator="equal">
      <formula>"value일 미도래"</formula>
    </cfRule>
  </conditionalFormatting>
  <conditionalFormatting sqref="M148">
    <cfRule type="cellIs" dxfId="6795" priority="21417" operator="equal">
      <formula>"value일 미도래"</formula>
    </cfRule>
  </conditionalFormatting>
  <conditionalFormatting sqref="M148">
    <cfRule type="cellIs" dxfId="6794" priority="21416" operator="equal">
      <formula>"value일 미도래"</formula>
    </cfRule>
  </conditionalFormatting>
  <conditionalFormatting sqref="M148">
    <cfRule type="cellIs" dxfId="6793" priority="21415" operator="equal">
      <formula>"value일 미도래"</formula>
    </cfRule>
  </conditionalFormatting>
  <conditionalFormatting sqref="M148">
    <cfRule type="cellIs" dxfId="6792" priority="21414" operator="equal">
      <formula>"value일 미도래"</formula>
    </cfRule>
  </conditionalFormatting>
  <conditionalFormatting sqref="M148">
    <cfRule type="cellIs" dxfId="6791" priority="21413" operator="equal">
      <formula>"value일 미도래"</formula>
    </cfRule>
  </conditionalFormatting>
  <conditionalFormatting sqref="M148">
    <cfRule type="cellIs" dxfId="6790" priority="21411" operator="equal">
      <formula>"value일 미도래"</formula>
    </cfRule>
  </conditionalFormatting>
  <conditionalFormatting sqref="M148">
    <cfRule type="cellIs" dxfId="6789" priority="21410" operator="equal">
      <formula>"value일 미도래"</formula>
    </cfRule>
  </conditionalFormatting>
  <conditionalFormatting sqref="M148">
    <cfRule type="cellIs" dxfId="6788" priority="21409" operator="equal">
      <formula>"value일 미도래"</formula>
    </cfRule>
  </conditionalFormatting>
  <conditionalFormatting sqref="M148">
    <cfRule type="cellIs" dxfId="6787" priority="21408" operator="equal">
      <formula>"value일 미도래"</formula>
    </cfRule>
  </conditionalFormatting>
  <conditionalFormatting sqref="M148">
    <cfRule type="cellIs" dxfId="6786" priority="21407" operator="equal">
      <formula>"value일 미도래"</formula>
    </cfRule>
  </conditionalFormatting>
  <conditionalFormatting sqref="M148">
    <cfRule type="cellIs" dxfId="6785" priority="21406" operator="equal">
      <formula>"value일 미도래"</formula>
    </cfRule>
  </conditionalFormatting>
  <conditionalFormatting sqref="M148">
    <cfRule type="cellIs" dxfId="6784" priority="21405" operator="equal">
      <formula>"value일 미도래"</formula>
    </cfRule>
  </conditionalFormatting>
  <conditionalFormatting sqref="M148">
    <cfRule type="cellIs" dxfId="6783" priority="21404" operator="equal">
      <formula>"value일 미도래"</formula>
    </cfRule>
  </conditionalFormatting>
  <conditionalFormatting sqref="M148">
    <cfRule type="cellIs" dxfId="6782" priority="21403" operator="equal">
      <formula>"value일 미도래"</formula>
    </cfRule>
  </conditionalFormatting>
  <conditionalFormatting sqref="M148">
    <cfRule type="cellIs" dxfId="6781" priority="21402" operator="equal">
      <formula>"value일 미도래"</formula>
    </cfRule>
  </conditionalFormatting>
  <conditionalFormatting sqref="M148">
    <cfRule type="cellIs" dxfId="6780" priority="21401" operator="equal">
      <formula>"value일 미도래"</formula>
    </cfRule>
  </conditionalFormatting>
  <conditionalFormatting sqref="M148">
    <cfRule type="cellIs" dxfId="6779" priority="21399" operator="equal">
      <formula>"value일 미도래"</formula>
    </cfRule>
  </conditionalFormatting>
  <conditionalFormatting sqref="M148">
    <cfRule type="cellIs" dxfId="6778" priority="21398" operator="equal">
      <formula>"value일 미도래"</formula>
    </cfRule>
  </conditionalFormatting>
  <conditionalFormatting sqref="M148">
    <cfRule type="cellIs" dxfId="6777" priority="21397" operator="equal">
      <formula>"value일 미도래"</formula>
    </cfRule>
  </conditionalFormatting>
  <conditionalFormatting sqref="M148">
    <cfRule type="cellIs" dxfId="6776" priority="21396" operator="equal">
      <formula>"value일 미도래"</formula>
    </cfRule>
  </conditionalFormatting>
  <conditionalFormatting sqref="M148">
    <cfRule type="cellIs" dxfId="6775" priority="21395" operator="equal">
      <formula>"value일 미도래"</formula>
    </cfRule>
  </conditionalFormatting>
  <conditionalFormatting sqref="M148">
    <cfRule type="cellIs" dxfId="6774" priority="21394" operator="equal">
      <formula>"value일 미도래"</formula>
    </cfRule>
  </conditionalFormatting>
  <conditionalFormatting sqref="M148">
    <cfRule type="cellIs" dxfId="6773" priority="21393" operator="equal">
      <formula>"value일 미도래"</formula>
    </cfRule>
  </conditionalFormatting>
  <conditionalFormatting sqref="M148">
    <cfRule type="cellIs" dxfId="6772" priority="21392" operator="equal">
      <formula>"value일 미도래"</formula>
    </cfRule>
  </conditionalFormatting>
  <conditionalFormatting sqref="M148">
    <cfRule type="cellIs" dxfId="6771" priority="21391" operator="equal">
      <formula>"value일 미도래"</formula>
    </cfRule>
  </conditionalFormatting>
  <conditionalFormatting sqref="M148">
    <cfRule type="cellIs" dxfId="6770" priority="21390" operator="equal">
      <formula>"value일 미도래"</formula>
    </cfRule>
  </conditionalFormatting>
  <conditionalFormatting sqref="M148">
    <cfRule type="cellIs" dxfId="6769" priority="21389" operator="equal">
      <formula>"value일 미도래"</formula>
    </cfRule>
  </conditionalFormatting>
  <conditionalFormatting sqref="M148">
    <cfRule type="cellIs" dxfId="6768" priority="21387" operator="equal">
      <formula>"value일 미도래"</formula>
    </cfRule>
  </conditionalFormatting>
  <conditionalFormatting sqref="M148">
    <cfRule type="cellIs" dxfId="6767" priority="21386" operator="equal">
      <formula>"value일 미도래"</formula>
    </cfRule>
  </conditionalFormatting>
  <conditionalFormatting sqref="M148">
    <cfRule type="cellIs" dxfId="6766" priority="21385" operator="equal">
      <formula>"value일 미도래"</formula>
    </cfRule>
  </conditionalFormatting>
  <conditionalFormatting sqref="M148">
    <cfRule type="cellIs" dxfId="6765" priority="21384" operator="equal">
      <formula>"value일 미도래"</formula>
    </cfRule>
  </conditionalFormatting>
  <conditionalFormatting sqref="M148">
    <cfRule type="cellIs" dxfId="6764" priority="21383" operator="equal">
      <formula>"value일 미도래"</formula>
    </cfRule>
  </conditionalFormatting>
  <conditionalFormatting sqref="M148">
    <cfRule type="cellIs" dxfId="6763" priority="21382" operator="equal">
      <formula>"value일 미도래"</formula>
    </cfRule>
  </conditionalFormatting>
  <conditionalFormatting sqref="M148:M149">
    <cfRule type="cellIs" dxfId="6762" priority="21381" operator="equal">
      <formula>"value일 미도래"</formula>
    </cfRule>
  </conditionalFormatting>
  <conditionalFormatting sqref="M148:M149">
    <cfRule type="cellIs" dxfId="6761" priority="21380" operator="equal">
      <formula>"value일 미도래"</formula>
    </cfRule>
  </conditionalFormatting>
  <conditionalFormatting sqref="M148:M149">
    <cfRule type="cellIs" dxfId="6760" priority="21379" operator="equal">
      <formula>"value일 미도래"</formula>
    </cfRule>
  </conditionalFormatting>
  <conditionalFormatting sqref="M148">
    <cfRule type="cellIs" dxfId="6759" priority="21378" operator="equal">
      <formula>"value일 미도래"</formula>
    </cfRule>
  </conditionalFormatting>
  <conditionalFormatting sqref="M148">
    <cfRule type="cellIs" dxfId="6758" priority="21377" operator="equal">
      <formula>"value일 미도래"</formula>
    </cfRule>
  </conditionalFormatting>
  <conditionalFormatting sqref="M148">
    <cfRule type="cellIs" dxfId="6757" priority="21376" operator="equal">
      <formula>"value일 미도래"</formula>
    </cfRule>
  </conditionalFormatting>
  <conditionalFormatting sqref="M148">
    <cfRule type="cellIs" dxfId="6756" priority="21375" operator="equal">
      <formula>"value일 미도래"</formula>
    </cfRule>
  </conditionalFormatting>
  <conditionalFormatting sqref="M148">
    <cfRule type="cellIs" dxfId="6755" priority="21374" operator="equal">
      <formula>"value일 미도래"</formula>
    </cfRule>
  </conditionalFormatting>
  <conditionalFormatting sqref="M148">
    <cfRule type="cellIs" dxfId="6754" priority="21373" operator="equal">
      <formula>"value일 미도래"</formula>
    </cfRule>
  </conditionalFormatting>
  <conditionalFormatting sqref="M148">
    <cfRule type="cellIs" dxfId="6753" priority="21372" operator="equal">
      <formula>"value일 미도래"</formula>
    </cfRule>
  </conditionalFormatting>
  <conditionalFormatting sqref="M148">
    <cfRule type="cellIs" dxfId="6752" priority="21371" operator="equal">
      <formula>"value일 미도래"</formula>
    </cfRule>
  </conditionalFormatting>
  <conditionalFormatting sqref="M148">
    <cfRule type="cellIs" dxfId="6751" priority="21370" operator="equal">
      <formula>"value일 미도래"</formula>
    </cfRule>
  </conditionalFormatting>
  <conditionalFormatting sqref="M148:M149">
    <cfRule type="cellIs" dxfId="6750" priority="21369" operator="equal">
      <formula>"value일 미도래"</formula>
    </cfRule>
  </conditionalFormatting>
  <conditionalFormatting sqref="M148:M149">
    <cfRule type="cellIs" dxfId="6749" priority="21368" operator="equal">
      <formula>"value일 미도래"</formula>
    </cfRule>
  </conditionalFormatting>
  <conditionalFormatting sqref="M148:M149">
    <cfRule type="cellIs" dxfId="6748" priority="21367" operator="equal">
      <formula>"value일 미도래"</formula>
    </cfRule>
  </conditionalFormatting>
  <conditionalFormatting sqref="M148">
    <cfRule type="cellIs" dxfId="6747" priority="21366" operator="equal">
      <formula>"value일 미도래"</formula>
    </cfRule>
  </conditionalFormatting>
  <conditionalFormatting sqref="M148">
    <cfRule type="cellIs" dxfId="6746" priority="21365" operator="equal">
      <formula>"value일 미도래"</formula>
    </cfRule>
  </conditionalFormatting>
  <conditionalFormatting sqref="M148">
    <cfRule type="cellIs" dxfId="6745" priority="21364" operator="equal">
      <formula>"value일 미도래"</formula>
    </cfRule>
  </conditionalFormatting>
  <conditionalFormatting sqref="M148">
    <cfRule type="cellIs" dxfId="6744" priority="21363" operator="equal">
      <formula>"value일 미도래"</formula>
    </cfRule>
  </conditionalFormatting>
  <conditionalFormatting sqref="M148">
    <cfRule type="cellIs" dxfId="6743" priority="21362" operator="equal">
      <formula>"value일 미도래"</formula>
    </cfRule>
  </conditionalFormatting>
  <conditionalFormatting sqref="M148">
    <cfRule type="cellIs" dxfId="6742" priority="21361" operator="equal">
      <formula>"value일 미도래"</formula>
    </cfRule>
  </conditionalFormatting>
  <conditionalFormatting sqref="M148:M149">
    <cfRule type="cellIs" dxfId="6741" priority="21360" operator="equal">
      <formula>"value일 미도래"</formula>
    </cfRule>
  </conditionalFormatting>
  <conditionalFormatting sqref="M148:M149">
    <cfRule type="cellIs" dxfId="6740" priority="21359" operator="equal">
      <formula>"value일 미도래"</formula>
    </cfRule>
  </conditionalFormatting>
  <conditionalFormatting sqref="M148:M149">
    <cfRule type="cellIs" dxfId="6739" priority="21358" operator="equal">
      <formula>"value일 미도래"</formula>
    </cfRule>
  </conditionalFormatting>
  <conditionalFormatting sqref="M148:M149">
    <cfRule type="cellIs" dxfId="6738" priority="21357" operator="equal">
      <formula>"value일 미도래"</formula>
    </cfRule>
  </conditionalFormatting>
  <conditionalFormatting sqref="M149:M150">
    <cfRule type="cellIs" dxfId="6737" priority="21356" operator="equal">
      <formula>"value일 미도래"</formula>
    </cfRule>
  </conditionalFormatting>
  <conditionalFormatting sqref="M149:M150">
    <cfRule type="cellIs" dxfId="6736" priority="21355" operator="equal">
      <formula>"value일 미도래"</formula>
    </cfRule>
  </conditionalFormatting>
  <conditionalFormatting sqref="M149:M150">
    <cfRule type="cellIs" dxfId="6735" priority="21354" operator="equal">
      <formula>"value일 미도래"</formula>
    </cfRule>
  </conditionalFormatting>
  <conditionalFormatting sqref="M149:M150">
    <cfRule type="cellIs" dxfId="6734" priority="21353" operator="equal">
      <formula>"value일 미도래"</formula>
    </cfRule>
  </conditionalFormatting>
  <conditionalFormatting sqref="M149:M150">
    <cfRule type="cellIs" dxfId="6733" priority="21352" operator="equal">
      <formula>"value일 미도래"</formula>
    </cfRule>
  </conditionalFormatting>
  <conditionalFormatting sqref="M149:M150">
    <cfRule type="cellIs" dxfId="6732" priority="21351" operator="equal">
      <formula>"value일 미도래"</formula>
    </cfRule>
  </conditionalFormatting>
  <conditionalFormatting sqref="M149:M150">
    <cfRule type="cellIs" dxfId="6731" priority="21349" operator="equal">
      <formula>"value일 미도래"</formula>
    </cfRule>
  </conditionalFormatting>
  <conditionalFormatting sqref="M149:M150">
    <cfRule type="cellIs" dxfId="6730" priority="21348" operator="equal">
      <formula>"value일 미도래"</formula>
    </cfRule>
  </conditionalFormatting>
  <conditionalFormatting sqref="M149:M150">
    <cfRule type="cellIs" dxfId="6729" priority="21347" operator="equal">
      <formula>"value일 미도래"</formula>
    </cfRule>
  </conditionalFormatting>
  <conditionalFormatting sqref="M149:M150">
    <cfRule type="cellIs" dxfId="6728" priority="21346" operator="equal">
      <formula>"value일 미도래"</formula>
    </cfRule>
  </conditionalFormatting>
  <conditionalFormatting sqref="M149:M150">
    <cfRule type="cellIs" dxfId="6727" priority="21345" operator="equal">
      <formula>"value일 미도래"</formula>
    </cfRule>
  </conditionalFormatting>
  <conditionalFormatting sqref="M149:M150">
    <cfRule type="cellIs" dxfId="6726" priority="21344" operator="equal">
      <formula>"value일 미도래"</formula>
    </cfRule>
  </conditionalFormatting>
  <conditionalFormatting sqref="M149:M150">
    <cfRule type="cellIs" dxfId="6725" priority="21343" operator="equal">
      <formula>"value일 미도래"</formula>
    </cfRule>
  </conditionalFormatting>
  <conditionalFormatting sqref="M149:M150">
    <cfRule type="cellIs" dxfId="6724" priority="21342" operator="equal">
      <formula>"value일 미도래"</formula>
    </cfRule>
  </conditionalFormatting>
  <conditionalFormatting sqref="M149:M150">
    <cfRule type="cellIs" dxfId="6723" priority="21340" operator="equal">
      <formula>"value일 미도래"</formula>
    </cfRule>
  </conditionalFormatting>
  <conditionalFormatting sqref="M149:M150">
    <cfRule type="cellIs" dxfId="6722" priority="21339" operator="equal">
      <formula>"value일 미도래"</formula>
    </cfRule>
  </conditionalFormatting>
  <conditionalFormatting sqref="M149:M150">
    <cfRule type="cellIs" dxfId="6721" priority="21338" operator="equal">
      <formula>"value일 미도래"</formula>
    </cfRule>
  </conditionalFormatting>
  <conditionalFormatting sqref="M149:M150">
    <cfRule type="cellIs" dxfId="6720" priority="21337" operator="equal">
      <formula>"value일 미도래"</formula>
    </cfRule>
  </conditionalFormatting>
  <conditionalFormatting sqref="M149:M150">
    <cfRule type="cellIs" dxfId="6719" priority="21336" operator="equal">
      <formula>"value일 미도래"</formula>
    </cfRule>
  </conditionalFormatting>
  <conditionalFormatting sqref="M149:M150">
    <cfRule type="cellIs" dxfId="6718" priority="21335" operator="equal">
      <formula>"value일 미도래"</formula>
    </cfRule>
  </conditionalFormatting>
  <conditionalFormatting sqref="M149:M150">
    <cfRule type="cellIs" dxfId="6717" priority="21334" operator="equal">
      <formula>"value일 미도래"</formula>
    </cfRule>
  </conditionalFormatting>
  <conditionalFormatting sqref="M149:M150">
    <cfRule type="cellIs" dxfId="6716" priority="21333" operator="equal">
      <formula>"value일 미도래"</formula>
    </cfRule>
  </conditionalFormatting>
  <conditionalFormatting sqref="M149:M150">
    <cfRule type="cellIs" dxfId="6715" priority="21332" operator="equal">
      <formula>"value일 미도래"</formula>
    </cfRule>
  </conditionalFormatting>
  <conditionalFormatting sqref="M149:M150">
    <cfRule type="cellIs" dxfId="6714" priority="21331" operator="equal">
      <formula>"value일 미도래"</formula>
    </cfRule>
  </conditionalFormatting>
  <conditionalFormatting sqref="M149:M150">
    <cfRule type="cellIs" dxfId="6713" priority="21330" operator="equal">
      <formula>"value일 미도래"</formula>
    </cfRule>
  </conditionalFormatting>
  <conditionalFormatting sqref="M149:M150">
    <cfRule type="cellIs" dxfId="6712" priority="21328" operator="equal">
      <formula>"value일 미도래"</formula>
    </cfRule>
  </conditionalFormatting>
  <conditionalFormatting sqref="M149:M150">
    <cfRule type="cellIs" dxfId="6711" priority="21327" operator="equal">
      <formula>"value일 미도래"</formula>
    </cfRule>
  </conditionalFormatting>
  <conditionalFormatting sqref="M149:M150">
    <cfRule type="cellIs" dxfId="6710" priority="21326" operator="equal">
      <formula>"value일 미도래"</formula>
    </cfRule>
  </conditionalFormatting>
  <conditionalFormatting sqref="M149:M150">
    <cfRule type="cellIs" dxfId="6709" priority="21325" operator="equal">
      <formula>"value일 미도래"</formula>
    </cfRule>
  </conditionalFormatting>
  <conditionalFormatting sqref="M149:M150">
    <cfRule type="cellIs" dxfId="6708" priority="21324" operator="equal">
      <formula>"value일 미도래"</formula>
    </cfRule>
  </conditionalFormatting>
  <conditionalFormatting sqref="M149:M150">
    <cfRule type="cellIs" dxfId="6707" priority="21323" operator="equal">
      <formula>"value일 미도래"</formula>
    </cfRule>
  </conditionalFormatting>
  <conditionalFormatting sqref="M149:M150">
    <cfRule type="cellIs" dxfId="6706" priority="21322" operator="equal">
      <formula>"value일 미도래"</formula>
    </cfRule>
  </conditionalFormatting>
  <conditionalFormatting sqref="M149:M150">
    <cfRule type="cellIs" dxfId="6705" priority="21321" operator="equal">
      <formula>"value일 미도래"</formula>
    </cfRule>
  </conditionalFormatting>
  <conditionalFormatting sqref="M149:M150">
    <cfRule type="cellIs" dxfId="6704" priority="21320" operator="equal">
      <formula>"value일 미도래"</formula>
    </cfRule>
  </conditionalFormatting>
  <conditionalFormatting sqref="M149:M150">
    <cfRule type="cellIs" dxfId="6703" priority="21319" operator="equal">
      <formula>"value일 미도래"</formula>
    </cfRule>
  </conditionalFormatting>
  <conditionalFormatting sqref="M149:M150">
    <cfRule type="cellIs" dxfId="6702" priority="21318" operator="equal">
      <formula>"value일 미도래"</formula>
    </cfRule>
  </conditionalFormatting>
  <conditionalFormatting sqref="M149:M150">
    <cfRule type="cellIs" dxfId="6701" priority="21316" operator="equal">
      <formula>"value일 미도래"</formula>
    </cfRule>
  </conditionalFormatting>
  <conditionalFormatting sqref="M149:M150">
    <cfRule type="cellIs" dxfId="6700" priority="21315" operator="equal">
      <formula>"value일 미도래"</formula>
    </cfRule>
  </conditionalFormatting>
  <conditionalFormatting sqref="M149:M150">
    <cfRule type="cellIs" dxfId="6699" priority="21314" operator="equal">
      <formula>"value일 미도래"</formula>
    </cfRule>
  </conditionalFormatting>
  <conditionalFormatting sqref="M149:M150">
    <cfRule type="cellIs" dxfId="6698" priority="21313" operator="equal">
      <formula>"value일 미도래"</formula>
    </cfRule>
  </conditionalFormatting>
  <conditionalFormatting sqref="M149:M150">
    <cfRule type="cellIs" dxfId="6697" priority="21312" operator="equal">
      <formula>"value일 미도래"</formula>
    </cfRule>
  </conditionalFormatting>
  <conditionalFormatting sqref="M149:M150">
    <cfRule type="cellIs" dxfId="6696" priority="21311" operator="equal">
      <formula>"value일 미도래"</formula>
    </cfRule>
  </conditionalFormatting>
  <conditionalFormatting sqref="M149:M150">
    <cfRule type="cellIs" dxfId="6695" priority="21310" operator="equal">
      <formula>"value일 미도래"</formula>
    </cfRule>
  </conditionalFormatting>
  <conditionalFormatting sqref="M149:M150">
    <cfRule type="cellIs" dxfId="6694" priority="21309" operator="equal">
      <formula>"value일 미도래"</formula>
    </cfRule>
  </conditionalFormatting>
  <conditionalFormatting sqref="M149:M150">
    <cfRule type="cellIs" dxfId="6693" priority="21308" operator="equal">
      <formula>"value일 미도래"</formula>
    </cfRule>
  </conditionalFormatting>
  <conditionalFormatting sqref="M149:M150">
    <cfRule type="cellIs" dxfId="6692" priority="21307" operator="equal">
      <formula>"value일 미도래"</formula>
    </cfRule>
  </conditionalFormatting>
  <conditionalFormatting sqref="M149:M150">
    <cfRule type="cellIs" dxfId="6691" priority="21306" operator="equal">
      <formula>"value일 미도래"</formula>
    </cfRule>
  </conditionalFormatting>
  <conditionalFormatting sqref="M149:M150">
    <cfRule type="cellIs" dxfId="6690" priority="21305" operator="equal">
      <formula>"value일 미도래"</formula>
    </cfRule>
  </conditionalFormatting>
  <conditionalFormatting sqref="M149:M150">
    <cfRule type="cellIs" dxfId="6689" priority="21304" operator="equal">
      <formula>"value일 미도래"</formula>
    </cfRule>
  </conditionalFormatting>
  <conditionalFormatting sqref="M149:M150">
    <cfRule type="cellIs" dxfId="6688" priority="21303" operator="equal">
      <formula>"value일 미도래"</formula>
    </cfRule>
  </conditionalFormatting>
  <conditionalFormatting sqref="M149:M150">
    <cfRule type="cellIs" dxfId="6687" priority="21301" operator="equal">
      <formula>"value일 미도래"</formula>
    </cfRule>
  </conditionalFormatting>
  <conditionalFormatting sqref="M149:M150">
    <cfRule type="cellIs" dxfId="6686" priority="21300" operator="equal">
      <formula>"value일 미도래"</formula>
    </cfRule>
  </conditionalFormatting>
  <conditionalFormatting sqref="M149:M150">
    <cfRule type="cellIs" dxfId="6685" priority="21299" operator="equal">
      <formula>"value일 미도래"</formula>
    </cfRule>
  </conditionalFormatting>
  <conditionalFormatting sqref="M149:M150">
    <cfRule type="cellIs" dxfId="6684" priority="21298" operator="equal">
      <formula>"value일 미도래"</formula>
    </cfRule>
  </conditionalFormatting>
  <conditionalFormatting sqref="M149:M150">
    <cfRule type="cellIs" dxfId="6683" priority="21297" operator="equal">
      <formula>"value일 미도래"</formula>
    </cfRule>
  </conditionalFormatting>
  <conditionalFormatting sqref="M149:M150">
    <cfRule type="cellIs" dxfId="6682" priority="21296" operator="equal">
      <formula>"value일 미도래"</formula>
    </cfRule>
  </conditionalFormatting>
  <conditionalFormatting sqref="M149:M150">
    <cfRule type="cellIs" dxfId="6681" priority="21295" operator="equal">
      <formula>"value일 미도래"</formula>
    </cfRule>
  </conditionalFormatting>
  <conditionalFormatting sqref="M149:M150">
    <cfRule type="cellIs" dxfId="6680" priority="21294" operator="equal">
      <formula>"value일 미도래"</formula>
    </cfRule>
  </conditionalFormatting>
  <conditionalFormatting sqref="M149:M150">
    <cfRule type="cellIs" dxfId="6679" priority="21293" operator="equal">
      <formula>"value일 미도래"</formula>
    </cfRule>
  </conditionalFormatting>
  <conditionalFormatting sqref="M149:M150">
    <cfRule type="cellIs" dxfId="6678" priority="21292" operator="equal">
      <formula>"value일 미도래"</formula>
    </cfRule>
  </conditionalFormatting>
  <conditionalFormatting sqref="M149:M150">
    <cfRule type="cellIs" dxfId="6677" priority="21291" operator="equal">
      <formula>"value일 미도래"</formula>
    </cfRule>
  </conditionalFormatting>
  <conditionalFormatting sqref="M149:M150">
    <cfRule type="cellIs" dxfId="6676" priority="21290" operator="equal">
      <formula>"value일 미도래"</formula>
    </cfRule>
  </conditionalFormatting>
  <conditionalFormatting sqref="M149:M150">
    <cfRule type="cellIs" dxfId="6675" priority="21289" operator="equal">
      <formula>"value일 미도래"</formula>
    </cfRule>
  </conditionalFormatting>
  <conditionalFormatting sqref="M149:M150">
    <cfRule type="cellIs" dxfId="6674" priority="21288" operator="equal">
      <formula>"value일 미도래"</formula>
    </cfRule>
  </conditionalFormatting>
  <conditionalFormatting sqref="M149:M150">
    <cfRule type="cellIs" dxfId="6673" priority="21287" operator="equal">
      <formula>"value일 미도래"</formula>
    </cfRule>
  </conditionalFormatting>
  <conditionalFormatting sqref="M149:M150">
    <cfRule type="cellIs" dxfId="6672" priority="21286" operator="equal">
      <formula>"value일 미도래"</formula>
    </cfRule>
  </conditionalFormatting>
  <conditionalFormatting sqref="M149:M150">
    <cfRule type="cellIs" dxfId="6671" priority="21285" operator="equal">
      <formula>"value일 미도래"</formula>
    </cfRule>
  </conditionalFormatting>
  <conditionalFormatting sqref="M149:M150">
    <cfRule type="cellIs" dxfId="6670" priority="21284" operator="equal">
      <formula>"value일 미도래"</formula>
    </cfRule>
  </conditionalFormatting>
  <conditionalFormatting sqref="M149:M150">
    <cfRule type="cellIs" dxfId="6669" priority="21283" operator="equal">
      <formula>"value일 미도래"</formula>
    </cfRule>
  </conditionalFormatting>
  <conditionalFormatting sqref="M149:M150">
    <cfRule type="cellIs" dxfId="6668" priority="21282" operator="equal">
      <formula>"value일 미도래"</formula>
    </cfRule>
  </conditionalFormatting>
  <conditionalFormatting sqref="M149:M150">
    <cfRule type="cellIs" dxfId="6667" priority="21280" operator="equal">
      <formula>"value일 미도래"</formula>
    </cfRule>
  </conditionalFormatting>
  <conditionalFormatting sqref="M149:M150">
    <cfRule type="cellIs" dxfId="6666" priority="21279" operator="equal">
      <formula>"value일 미도래"</formula>
    </cfRule>
  </conditionalFormatting>
  <conditionalFormatting sqref="M149:M150">
    <cfRule type="cellIs" dxfId="6665" priority="21278" operator="equal">
      <formula>"value일 미도래"</formula>
    </cfRule>
  </conditionalFormatting>
  <conditionalFormatting sqref="M149:M150">
    <cfRule type="cellIs" dxfId="6664" priority="21277" operator="equal">
      <formula>"value일 미도래"</formula>
    </cfRule>
  </conditionalFormatting>
  <conditionalFormatting sqref="M149:M150">
    <cfRule type="cellIs" dxfId="6663" priority="21276" operator="equal">
      <formula>"value일 미도래"</formula>
    </cfRule>
  </conditionalFormatting>
  <conditionalFormatting sqref="M149:M150">
    <cfRule type="cellIs" dxfId="6662" priority="21275" operator="equal">
      <formula>"value일 미도래"</formula>
    </cfRule>
  </conditionalFormatting>
  <conditionalFormatting sqref="M149:M150">
    <cfRule type="cellIs" dxfId="6661" priority="21274" operator="equal">
      <formula>"value일 미도래"</formula>
    </cfRule>
  </conditionalFormatting>
  <conditionalFormatting sqref="M149:M150">
    <cfRule type="cellIs" dxfId="6660" priority="21273" operator="equal">
      <formula>"value일 미도래"</formula>
    </cfRule>
  </conditionalFormatting>
  <conditionalFormatting sqref="M149:M150">
    <cfRule type="cellIs" dxfId="6659" priority="21272" operator="equal">
      <formula>"value일 미도래"</formula>
    </cfRule>
  </conditionalFormatting>
  <conditionalFormatting sqref="M149:M150">
    <cfRule type="cellIs" dxfId="6658" priority="21271" operator="equal">
      <formula>"value일 미도래"</formula>
    </cfRule>
  </conditionalFormatting>
  <conditionalFormatting sqref="M149:M150">
    <cfRule type="cellIs" dxfId="6657" priority="21270" operator="equal">
      <formula>"value일 미도래"</formula>
    </cfRule>
  </conditionalFormatting>
  <conditionalFormatting sqref="M149:M150">
    <cfRule type="cellIs" dxfId="6656" priority="21269" operator="equal">
      <formula>"value일 미도래"</formula>
    </cfRule>
  </conditionalFormatting>
  <conditionalFormatting sqref="M148">
    <cfRule type="cellIs" dxfId="6655" priority="21268" operator="equal">
      <formula>"value일 미도래"</formula>
    </cfRule>
  </conditionalFormatting>
  <conditionalFormatting sqref="M148">
    <cfRule type="cellIs" dxfId="6654" priority="21267" operator="equal">
      <formula>"value일 미도래"</formula>
    </cfRule>
  </conditionalFormatting>
  <conditionalFormatting sqref="M148">
    <cfRule type="cellIs" dxfId="6653" priority="21266" operator="equal">
      <formula>"value일 미도래"</formula>
    </cfRule>
  </conditionalFormatting>
  <conditionalFormatting sqref="M148">
    <cfRule type="cellIs" dxfId="6652" priority="21265" operator="equal">
      <formula>"value일 미도래"</formula>
    </cfRule>
  </conditionalFormatting>
  <conditionalFormatting sqref="M148">
    <cfRule type="cellIs" dxfId="6651" priority="21264" operator="equal">
      <formula>"value일 미도래"</formula>
    </cfRule>
  </conditionalFormatting>
  <conditionalFormatting sqref="M148">
    <cfRule type="cellIs" dxfId="6650" priority="21263" operator="equal">
      <formula>"value일 미도래"</formula>
    </cfRule>
  </conditionalFormatting>
  <conditionalFormatting sqref="M148">
    <cfRule type="cellIs" dxfId="6649" priority="21261" operator="equal">
      <formula>"value일 미도래"</formula>
    </cfRule>
  </conditionalFormatting>
  <conditionalFormatting sqref="M148">
    <cfRule type="cellIs" dxfId="6648" priority="21260" operator="equal">
      <formula>"value일 미도래"</formula>
    </cfRule>
  </conditionalFormatting>
  <conditionalFormatting sqref="M148">
    <cfRule type="cellIs" dxfId="6647" priority="21259" operator="equal">
      <formula>"value일 미도래"</formula>
    </cfRule>
  </conditionalFormatting>
  <conditionalFormatting sqref="M148">
    <cfRule type="cellIs" dxfId="6646" priority="21258" operator="equal">
      <formula>"value일 미도래"</formula>
    </cfRule>
  </conditionalFormatting>
  <conditionalFormatting sqref="M148">
    <cfRule type="cellIs" dxfId="6645" priority="21257" operator="equal">
      <formula>"value일 미도래"</formula>
    </cfRule>
  </conditionalFormatting>
  <conditionalFormatting sqref="M148">
    <cfRule type="cellIs" dxfId="6644" priority="21256" operator="equal">
      <formula>"value일 미도래"</formula>
    </cfRule>
  </conditionalFormatting>
  <conditionalFormatting sqref="M148">
    <cfRule type="cellIs" dxfId="6643" priority="21255" operator="equal">
      <formula>"value일 미도래"</formula>
    </cfRule>
  </conditionalFormatting>
  <conditionalFormatting sqref="M148">
    <cfRule type="cellIs" dxfId="6642" priority="21254" operator="equal">
      <formula>"value일 미도래"</formula>
    </cfRule>
  </conditionalFormatting>
  <conditionalFormatting sqref="M148">
    <cfRule type="cellIs" dxfId="6641" priority="21252" operator="equal">
      <formula>"value일 미도래"</formula>
    </cfRule>
  </conditionalFormatting>
  <conditionalFormatting sqref="M148">
    <cfRule type="cellIs" dxfId="6640" priority="21251" operator="equal">
      <formula>"value일 미도래"</formula>
    </cfRule>
  </conditionalFormatting>
  <conditionalFormatting sqref="M148">
    <cfRule type="cellIs" dxfId="6639" priority="21250" operator="equal">
      <formula>"value일 미도래"</formula>
    </cfRule>
  </conditionalFormatting>
  <conditionalFormatting sqref="M148">
    <cfRule type="cellIs" dxfId="6638" priority="21249" operator="equal">
      <formula>"value일 미도래"</formula>
    </cfRule>
  </conditionalFormatting>
  <conditionalFormatting sqref="M148">
    <cfRule type="cellIs" dxfId="6637" priority="21248" operator="equal">
      <formula>"value일 미도래"</formula>
    </cfRule>
  </conditionalFormatting>
  <conditionalFormatting sqref="M148">
    <cfRule type="cellIs" dxfId="6636" priority="21247" operator="equal">
      <formula>"value일 미도래"</formula>
    </cfRule>
  </conditionalFormatting>
  <conditionalFormatting sqref="M148">
    <cfRule type="cellIs" dxfId="6635" priority="21246" operator="equal">
      <formula>"value일 미도래"</formula>
    </cfRule>
  </conditionalFormatting>
  <conditionalFormatting sqref="M148">
    <cfRule type="cellIs" dxfId="6634" priority="21245" operator="equal">
      <formula>"value일 미도래"</formula>
    </cfRule>
  </conditionalFormatting>
  <conditionalFormatting sqref="M148">
    <cfRule type="cellIs" dxfId="6633" priority="21244" operator="equal">
      <formula>"value일 미도래"</formula>
    </cfRule>
  </conditionalFormatting>
  <conditionalFormatting sqref="M148">
    <cfRule type="cellIs" dxfId="6632" priority="21243" operator="equal">
      <formula>"value일 미도래"</formula>
    </cfRule>
  </conditionalFormatting>
  <conditionalFormatting sqref="M148">
    <cfRule type="cellIs" dxfId="6631" priority="21242" operator="equal">
      <formula>"value일 미도래"</formula>
    </cfRule>
  </conditionalFormatting>
  <conditionalFormatting sqref="M148">
    <cfRule type="cellIs" dxfId="6630" priority="21240" operator="equal">
      <formula>"value일 미도래"</formula>
    </cfRule>
  </conditionalFormatting>
  <conditionalFormatting sqref="M148">
    <cfRule type="cellIs" dxfId="6629" priority="21239" operator="equal">
      <formula>"value일 미도래"</formula>
    </cfRule>
  </conditionalFormatting>
  <conditionalFormatting sqref="M148">
    <cfRule type="cellIs" dxfId="6628" priority="21238" operator="equal">
      <formula>"value일 미도래"</formula>
    </cfRule>
  </conditionalFormatting>
  <conditionalFormatting sqref="M148">
    <cfRule type="cellIs" dxfId="6627" priority="21237" operator="equal">
      <formula>"value일 미도래"</formula>
    </cfRule>
  </conditionalFormatting>
  <conditionalFormatting sqref="M148">
    <cfRule type="cellIs" dxfId="6626" priority="21236" operator="equal">
      <formula>"value일 미도래"</formula>
    </cfRule>
  </conditionalFormatting>
  <conditionalFormatting sqref="M148">
    <cfRule type="cellIs" dxfId="6625" priority="21235" operator="equal">
      <formula>"value일 미도래"</formula>
    </cfRule>
  </conditionalFormatting>
  <conditionalFormatting sqref="M148">
    <cfRule type="cellIs" dxfId="6624" priority="21234" operator="equal">
      <formula>"value일 미도래"</formula>
    </cfRule>
  </conditionalFormatting>
  <conditionalFormatting sqref="M148">
    <cfRule type="cellIs" dxfId="6623" priority="21233" operator="equal">
      <formula>"value일 미도래"</formula>
    </cfRule>
  </conditionalFormatting>
  <conditionalFormatting sqref="M148">
    <cfRule type="cellIs" dxfId="6622" priority="21232" operator="equal">
      <formula>"value일 미도래"</formula>
    </cfRule>
  </conditionalFormatting>
  <conditionalFormatting sqref="M148">
    <cfRule type="cellIs" dxfId="6621" priority="21231" operator="equal">
      <formula>"value일 미도래"</formula>
    </cfRule>
  </conditionalFormatting>
  <conditionalFormatting sqref="M148">
    <cfRule type="cellIs" dxfId="6620" priority="21230" operator="equal">
      <formula>"value일 미도래"</formula>
    </cfRule>
  </conditionalFormatting>
  <conditionalFormatting sqref="M148">
    <cfRule type="cellIs" dxfId="6619" priority="21228" operator="equal">
      <formula>"value일 미도래"</formula>
    </cfRule>
  </conditionalFormatting>
  <conditionalFormatting sqref="M148">
    <cfRule type="cellIs" dxfId="6618" priority="21227" operator="equal">
      <formula>"value일 미도래"</formula>
    </cfRule>
  </conditionalFormatting>
  <conditionalFormatting sqref="M148">
    <cfRule type="cellIs" dxfId="6617" priority="21226" operator="equal">
      <formula>"value일 미도래"</formula>
    </cfRule>
  </conditionalFormatting>
  <conditionalFormatting sqref="M148">
    <cfRule type="cellIs" dxfId="6616" priority="21225" operator="equal">
      <formula>"value일 미도래"</formula>
    </cfRule>
  </conditionalFormatting>
  <conditionalFormatting sqref="M148">
    <cfRule type="cellIs" dxfId="6615" priority="21224" operator="equal">
      <formula>"value일 미도래"</formula>
    </cfRule>
  </conditionalFormatting>
  <conditionalFormatting sqref="M148">
    <cfRule type="cellIs" dxfId="6614" priority="21223" operator="equal">
      <formula>"value일 미도래"</formula>
    </cfRule>
  </conditionalFormatting>
  <conditionalFormatting sqref="M148">
    <cfRule type="cellIs" dxfId="6613" priority="21222" operator="equal">
      <formula>"value일 미도래"</formula>
    </cfRule>
  </conditionalFormatting>
  <conditionalFormatting sqref="M148">
    <cfRule type="cellIs" dxfId="6612" priority="21221" operator="equal">
      <formula>"value일 미도래"</formula>
    </cfRule>
  </conditionalFormatting>
  <conditionalFormatting sqref="M148">
    <cfRule type="cellIs" dxfId="6611" priority="21220" operator="equal">
      <formula>"value일 미도래"</formula>
    </cfRule>
  </conditionalFormatting>
  <conditionalFormatting sqref="M148">
    <cfRule type="cellIs" dxfId="6610" priority="21219" operator="equal">
      <formula>"value일 미도래"</formula>
    </cfRule>
  </conditionalFormatting>
  <conditionalFormatting sqref="M148">
    <cfRule type="cellIs" dxfId="6609" priority="21218" operator="equal">
      <formula>"value일 미도래"</formula>
    </cfRule>
  </conditionalFormatting>
  <conditionalFormatting sqref="M148">
    <cfRule type="cellIs" dxfId="6608" priority="21217" operator="equal">
      <formula>"value일 미도래"</formula>
    </cfRule>
  </conditionalFormatting>
  <conditionalFormatting sqref="M148">
    <cfRule type="cellIs" dxfId="6607" priority="21216" operator="equal">
      <formula>"value일 미도래"</formula>
    </cfRule>
  </conditionalFormatting>
  <conditionalFormatting sqref="M148">
    <cfRule type="cellIs" dxfId="6606" priority="21215" operator="equal">
      <formula>"value일 미도래"</formula>
    </cfRule>
  </conditionalFormatting>
  <conditionalFormatting sqref="M148">
    <cfRule type="cellIs" dxfId="6605" priority="21213" operator="equal">
      <formula>"value일 미도래"</formula>
    </cfRule>
  </conditionalFormatting>
  <conditionalFormatting sqref="M148">
    <cfRule type="cellIs" dxfId="6604" priority="21212" operator="equal">
      <formula>"value일 미도래"</formula>
    </cfRule>
  </conditionalFormatting>
  <conditionalFormatting sqref="M148">
    <cfRule type="cellIs" dxfId="6603" priority="21211" operator="equal">
      <formula>"value일 미도래"</formula>
    </cfRule>
  </conditionalFormatting>
  <conditionalFormatting sqref="M148">
    <cfRule type="cellIs" dxfId="6602" priority="21210" operator="equal">
      <formula>"value일 미도래"</formula>
    </cfRule>
  </conditionalFormatting>
  <conditionalFormatting sqref="M148">
    <cfRule type="cellIs" dxfId="6601" priority="21209" operator="equal">
      <formula>"value일 미도래"</formula>
    </cfRule>
  </conditionalFormatting>
  <conditionalFormatting sqref="M148">
    <cfRule type="cellIs" dxfId="6600" priority="21208" operator="equal">
      <formula>"value일 미도래"</formula>
    </cfRule>
  </conditionalFormatting>
  <conditionalFormatting sqref="M148">
    <cfRule type="cellIs" dxfId="6599" priority="21207" operator="equal">
      <formula>"value일 미도래"</formula>
    </cfRule>
  </conditionalFormatting>
  <conditionalFormatting sqref="M148">
    <cfRule type="cellIs" dxfId="6598" priority="21206" operator="equal">
      <formula>"value일 미도래"</formula>
    </cfRule>
  </conditionalFormatting>
  <conditionalFormatting sqref="M148">
    <cfRule type="cellIs" dxfId="6597" priority="21205" operator="equal">
      <formula>"value일 미도래"</formula>
    </cfRule>
  </conditionalFormatting>
  <conditionalFormatting sqref="M148">
    <cfRule type="cellIs" dxfId="6596" priority="21204" operator="equal">
      <formula>"value일 미도래"</formula>
    </cfRule>
  </conditionalFormatting>
  <conditionalFormatting sqref="M148">
    <cfRule type="cellIs" dxfId="6595" priority="21203" operator="equal">
      <formula>"value일 미도래"</formula>
    </cfRule>
  </conditionalFormatting>
  <conditionalFormatting sqref="M148">
    <cfRule type="cellIs" dxfId="6594" priority="21202" operator="equal">
      <formula>"value일 미도래"</formula>
    </cfRule>
  </conditionalFormatting>
  <conditionalFormatting sqref="M148">
    <cfRule type="cellIs" dxfId="6593" priority="21201" operator="equal">
      <formula>"value일 미도래"</formula>
    </cfRule>
  </conditionalFormatting>
  <conditionalFormatting sqref="M148">
    <cfRule type="cellIs" dxfId="6592" priority="21200" operator="equal">
      <formula>"value일 미도래"</formula>
    </cfRule>
  </conditionalFormatting>
  <conditionalFormatting sqref="M148">
    <cfRule type="cellIs" dxfId="6591" priority="21199" operator="equal">
      <formula>"value일 미도래"</formula>
    </cfRule>
  </conditionalFormatting>
  <conditionalFormatting sqref="M148">
    <cfRule type="cellIs" dxfId="6590" priority="21198" operator="equal">
      <formula>"value일 미도래"</formula>
    </cfRule>
  </conditionalFormatting>
  <conditionalFormatting sqref="M148">
    <cfRule type="cellIs" dxfId="6589" priority="21197" operator="equal">
      <formula>"value일 미도래"</formula>
    </cfRule>
  </conditionalFormatting>
  <conditionalFormatting sqref="M148">
    <cfRule type="cellIs" dxfId="6588" priority="21196" operator="equal">
      <formula>"value일 미도래"</formula>
    </cfRule>
  </conditionalFormatting>
  <conditionalFormatting sqref="M148">
    <cfRule type="cellIs" dxfId="6587" priority="21195" operator="equal">
      <formula>"value일 미도래"</formula>
    </cfRule>
  </conditionalFormatting>
  <conditionalFormatting sqref="M148">
    <cfRule type="cellIs" dxfId="6586" priority="21194" operator="equal">
      <formula>"value일 미도래"</formula>
    </cfRule>
  </conditionalFormatting>
  <conditionalFormatting sqref="M148">
    <cfRule type="cellIs" dxfId="6585" priority="21192" operator="equal">
      <formula>"value일 미도래"</formula>
    </cfRule>
  </conditionalFormatting>
  <conditionalFormatting sqref="M148">
    <cfRule type="cellIs" dxfId="6584" priority="21191" operator="equal">
      <formula>"value일 미도래"</formula>
    </cfRule>
  </conditionalFormatting>
  <conditionalFormatting sqref="M148">
    <cfRule type="cellIs" dxfId="6583" priority="21190" operator="equal">
      <formula>"value일 미도래"</formula>
    </cfRule>
  </conditionalFormatting>
  <conditionalFormatting sqref="M148">
    <cfRule type="cellIs" dxfId="6582" priority="21189" operator="equal">
      <formula>"value일 미도래"</formula>
    </cfRule>
  </conditionalFormatting>
  <conditionalFormatting sqref="M148">
    <cfRule type="cellIs" dxfId="6581" priority="21188" operator="equal">
      <formula>"value일 미도래"</formula>
    </cfRule>
  </conditionalFormatting>
  <conditionalFormatting sqref="M148">
    <cfRule type="cellIs" dxfId="6580" priority="21187" operator="equal">
      <formula>"value일 미도래"</formula>
    </cfRule>
  </conditionalFormatting>
  <conditionalFormatting sqref="M148">
    <cfRule type="cellIs" dxfId="6579" priority="21186" operator="equal">
      <formula>"value일 미도래"</formula>
    </cfRule>
  </conditionalFormatting>
  <conditionalFormatting sqref="M148">
    <cfRule type="cellIs" dxfId="6578" priority="21185" operator="equal">
      <formula>"value일 미도래"</formula>
    </cfRule>
  </conditionalFormatting>
  <conditionalFormatting sqref="M148">
    <cfRule type="cellIs" dxfId="6577" priority="21184" operator="equal">
      <formula>"value일 미도래"</formula>
    </cfRule>
  </conditionalFormatting>
  <conditionalFormatting sqref="M148">
    <cfRule type="cellIs" dxfId="6576" priority="21183" operator="equal">
      <formula>"value일 미도래"</formula>
    </cfRule>
  </conditionalFormatting>
  <conditionalFormatting sqref="M148">
    <cfRule type="cellIs" dxfId="6575" priority="21182" operator="equal">
      <formula>"value일 미도래"</formula>
    </cfRule>
  </conditionalFormatting>
  <conditionalFormatting sqref="M148">
    <cfRule type="cellIs" dxfId="6574" priority="21181" operator="equal">
      <formula>"value일 미도래"</formula>
    </cfRule>
  </conditionalFormatting>
  <conditionalFormatting sqref="M148:M149">
    <cfRule type="cellIs" dxfId="6573" priority="21180" operator="equal">
      <formula>"value일 미도래"</formula>
    </cfRule>
  </conditionalFormatting>
  <conditionalFormatting sqref="M148:M149">
    <cfRule type="cellIs" dxfId="6572" priority="21179" operator="equal">
      <formula>"value일 미도래"</formula>
    </cfRule>
  </conditionalFormatting>
  <conditionalFormatting sqref="M148:M149">
    <cfRule type="cellIs" dxfId="6571" priority="21178" operator="equal">
      <formula>"value일 미도래"</formula>
    </cfRule>
  </conditionalFormatting>
  <conditionalFormatting sqref="M148:M149">
    <cfRule type="cellIs" dxfId="6570" priority="21177" operator="equal">
      <formula>"value일 미도래"</formula>
    </cfRule>
  </conditionalFormatting>
  <conditionalFormatting sqref="M148:M149">
    <cfRule type="cellIs" dxfId="6569" priority="21176" operator="equal">
      <formula>"value일 미도래"</formula>
    </cfRule>
  </conditionalFormatting>
  <conditionalFormatting sqref="M148:M149">
    <cfRule type="cellIs" dxfId="6568" priority="21175" operator="equal">
      <formula>"value일 미도래"</formula>
    </cfRule>
  </conditionalFormatting>
  <conditionalFormatting sqref="M148:M149">
    <cfRule type="cellIs" dxfId="6567" priority="21174" operator="equal">
      <formula>"value일 미도래"</formula>
    </cfRule>
  </conditionalFormatting>
  <conditionalFormatting sqref="M148">
    <cfRule type="cellIs" dxfId="6566" priority="21173" operator="equal">
      <formula>"value일 미도래"</formula>
    </cfRule>
  </conditionalFormatting>
  <conditionalFormatting sqref="M148">
    <cfRule type="cellIs" dxfId="6565" priority="21172" operator="equal">
      <formula>"value일 미도래"</formula>
    </cfRule>
  </conditionalFormatting>
  <conditionalFormatting sqref="M148">
    <cfRule type="cellIs" dxfId="6564" priority="21171" operator="equal">
      <formula>"value일 미도래"</formula>
    </cfRule>
  </conditionalFormatting>
  <conditionalFormatting sqref="M148">
    <cfRule type="cellIs" dxfId="6563" priority="21170" operator="equal">
      <formula>"value일 미도래"</formula>
    </cfRule>
  </conditionalFormatting>
  <conditionalFormatting sqref="M148">
    <cfRule type="cellIs" dxfId="6562" priority="21169" operator="equal">
      <formula>"value일 미도래"</formula>
    </cfRule>
  </conditionalFormatting>
  <conditionalFormatting sqref="M148">
    <cfRule type="cellIs" dxfId="6561" priority="21168" operator="equal">
      <formula>"value일 미도래"</formula>
    </cfRule>
  </conditionalFormatting>
  <conditionalFormatting sqref="M148">
    <cfRule type="cellIs" dxfId="6560" priority="21166" operator="equal">
      <formula>"value일 미도래"</formula>
    </cfRule>
  </conditionalFormatting>
  <conditionalFormatting sqref="M148">
    <cfRule type="cellIs" dxfId="6559" priority="21165" operator="equal">
      <formula>"value일 미도래"</formula>
    </cfRule>
  </conditionalFormatting>
  <conditionalFormatting sqref="M148">
    <cfRule type="cellIs" dxfId="6558" priority="21164" operator="equal">
      <formula>"value일 미도래"</formula>
    </cfRule>
  </conditionalFormatting>
  <conditionalFormatting sqref="M148">
    <cfRule type="cellIs" dxfId="6557" priority="21163" operator="equal">
      <formula>"value일 미도래"</formula>
    </cfRule>
  </conditionalFormatting>
  <conditionalFormatting sqref="M148">
    <cfRule type="cellIs" dxfId="6556" priority="21162" operator="equal">
      <formula>"value일 미도래"</formula>
    </cfRule>
  </conditionalFormatting>
  <conditionalFormatting sqref="M148">
    <cfRule type="cellIs" dxfId="6555" priority="21161" operator="equal">
      <formula>"value일 미도래"</formula>
    </cfRule>
  </conditionalFormatting>
  <conditionalFormatting sqref="M148">
    <cfRule type="cellIs" dxfId="6554" priority="21160" operator="equal">
      <formula>"value일 미도래"</formula>
    </cfRule>
  </conditionalFormatting>
  <conditionalFormatting sqref="M148">
    <cfRule type="cellIs" dxfId="6553" priority="21159" operator="equal">
      <formula>"value일 미도래"</formula>
    </cfRule>
  </conditionalFormatting>
  <conditionalFormatting sqref="M148">
    <cfRule type="cellIs" dxfId="6552" priority="21157" operator="equal">
      <formula>"value일 미도래"</formula>
    </cfRule>
  </conditionalFormatting>
  <conditionalFormatting sqref="M148">
    <cfRule type="cellIs" dxfId="6551" priority="21156" operator="equal">
      <formula>"value일 미도래"</formula>
    </cfRule>
  </conditionalFormatting>
  <conditionalFormatting sqref="M148">
    <cfRule type="cellIs" dxfId="6550" priority="21155" operator="equal">
      <formula>"value일 미도래"</formula>
    </cfRule>
  </conditionalFormatting>
  <conditionalFormatting sqref="M148">
    <cfRule type="cellIs" dxfId="6549" priority="21154" operator="equal">
      <formula>"value일 미도래"</formula>
    </cfRule>
  </conditionalFormatting>
  <conditionalFormatting sqref="M148">
    <cfRule type="cellIs" dxfId="6548" priority="21153" operator="equal">
      <formula>"value일 미도래"</formula>
    </cfRule>
  </conditionalFormatting>
  <conditionalFormatting sqref="M148">
    <cfRule type="cellIs" dxfId="6547" priority="21152" operator="equal">
      <formula>"value일 미도래"</formula>
    </cfRule>
  </conditionalFormatting>
  <conditionalFormatting sqref="M148">
    <cfRule type="cellIs" dxfId="6546" priority="21151" operator="equal">
      <formula>"value일 미도래"</formula>
    </cfRule>
  </conditionalFormatting>
  <conditionalFormatting sqref="M148">
    <cfRule type="cellIs" dxfId="6545" priority="21150" operator="equal">
      <formula>"value일 미도래"</formula>
    </cfRule>
  </conditionalFormatting>
  <conditionalFormatting sqref="M148">
    <cfRule type="cellIs" dxfId="6544" priority="21149" operator="equal">
      <formula>"value일 미도래"</formula>
    </cfRule>
  </conditionalFormatting>
  <conditionalFormatting sqref="M148">
    <cfRule type="cellIs" dxfId="6543" priority="21148" operator="equal">
      <formula>"value일 미도래"</formula>
    </cfRule>
  </conditionalFormatting>
  <conditionalFormatting sqref="M148">
    <cfRule type="cellIs" dxfId="6542" priority="21147" operator="equal">
      <formula>"value일 미도래"</formula>
    </cfRule>
  </conditionalFormatting>
  <conditionalFormatting sqref="M148">
    <cfRule type="cellIs" dxfId="6541" priority="21145" operator="equal">
      <formula>"value일 미도래"</formula>
    </cfRule>
  </conditionalFormatting>
  <conditionalFormatting sqref="M148">
    <cfRule type="cellIs" dxfId="6540" priority="21144" operator="equal">
      <formula>"value일 미도래"</formula>
    </cfRule>
  </conditionalFormatting>
  <conditionalFormatting sqref="M148">
    <cfRule type="cellIs" dxfId="6539" priority="21143" operator="equal">
      <formula>"value일 미도래"</formula>
    </cfRule>
  </conditionalFormatting>
  <conditionalFormatting sqref="M148">
    <cfRule type="cellIs" dxfId="6538" priority="21142" operator="equal">
      <formula>"value일 미도래"</formula>
    </cfRule>
  </conditionalFormatting>
  <conditionalFormatting sqref="M148">
    <cfRule type="cellIs" dxfId="6537" priority="21141" operator="equal">
      <formula>"value일 미도래"</formula>
    </cfRule>
  </conditionalFormatting>
  <conditionalFormatting sqref="M148">
    <cfRule type="cellIs" dxfId="6536" priority="21140" operator="equal">
      <formula>"value일 미도래"</formula>
    </cfRule>
  </conditionalFormatting>
  <conditionalFormatting sqref="M148">
    <cfRule type="cellIs" dxfId="6535" priority="21139" operator="equal">
      <formula>"value일 미도래"</formula>
    </cfRule>
  </conditionalFormatting>
  <conditionalFormatting sqref="M148">
    <cfRule type="cellIs" dxfId="6534" priority="21138" operator="equal">
      <formula>"value일 미도래"</formula>
    </cfRule>
  </conditionalFormatting>
  <conditionalFormatting sqref="M148">
    <cfRule type="cellIs" dxfId="6533" priority="21137" operator="equal">
      <formula>"value일 미도래"</formula>
    </cfRule>
  </conditionalFormatting>
  <conditionalFormatting sqref="M148">
    <cfRule type="cellIs" dxfId="6532" priority="21136" operator="equal">
      <formula>"value일 미도래"</formula>
    </cfRule>
  </conditionalFormatting>
  <conditionalFormatting sqref="M148">
    <cfRule type="cellIs" dxfId="6531" priority="21135" operator="equal">
      <formula>"value일 미도래"</formula>
    </cfRule>
  </conditionalFormatting>
  <conditionalFormatting sqref="M148">
    <cfRule type="cellIs" dxfId="6530" priority="21133" operator="equal">
      <formula>"value일 미도래"</formula>
    </cfRule>
  </conditionalFormatting>
  <conditionalFormatting sqref="M148">
    <cfRule type="cellIs" dxfId="6529" priority="21132" operator="equal">
      <formula>"value일 미도래"</formula>
    </cfRule>
  </conditionalFormatting>
  <conditionalFormatting sqref="M148">
    <cfRule type="cellIs" dxfId="6528" priority="21131" operator="equal">
      <formula>"value일 미도래"</formula>
    </cfRule>
  </conditionalFormatting>
  <conditionalFormatting sqref="M148">
    <cfRule type="cellIs" dxfId="6527" priority="21130" operator="equal">
      <formula>"value일 미도래"</formula>
    </cfRule>
  </conditionalFormatting>
  <conditionalFormatting sqref="M148">
    <cfRule type="cellIs" dxfId="6526" priority="21129" operator="equal">
      <formula>"value일 미도래"</formula>
    </cfRule>
  </conditionalFormatting>
  <conditionalFormatting sqref="M148">
    <cfRule type="cellIs" dxfId="6525" priority="21128" operator="equal">
      <formula>"value일 미도래"</formula>
    </cfRule>
  </conditionalFormatting>
  <conditionalFormatting sqref="M148">
    <cfRule type="cellIs" dxfId="6524" priority="21127" operator="equal">
      <formula>"value일 미도래"</formula>
    </cfRule>
  </conditionalFormatting>
  <conditionalFormatting sqref="M148">
    <cfRule type="cellIs" dxfId="6523" priority="21126" operator="equal">
      <formula>"value일 미도래"</formula>
    </cfRule>
  </conditionalFormatting>
  <conditionalFormatting sqref="M148">
    <cfRule type="cellIs" dxfId="6522" priority="21125" operator="equal">
      <formula>"value일 미도래"</formula>
    </cfRule>
  </conditionalFormatting>
  <conditionalFormatting sqref="M148">
    <cfRule type="cellIs" dxfId="6521" priority="21124" operator="equal">
      <formula>"value일 미도래"</formula>
    </cfRule>
  </conditionalFormatting>
  <conditionalFormatting sqref="M148">
    <cfRule type="cellIs" dxfId="6520" priority="21123" operator="equal">
      <formula>"value일 미도래"</formula>
    </cfRule>
  </conditionalFormatting>
  <conditionalFormatting sqref="M148">
    <cfRule type="cellIs" dxfId="6519" priority="21122" operator="equal">
      <formula>"value일 미도래"</formula>
    </cfRule>
  </conditionalFormatting>
  <conditionalFormatting sqref="M148">
    <cfRule type="cellIs" dxfId="6518" priority="21121" operator="equal">
      <formula>"value일 미도래"</formula>
    </cfRule>
  </conditionalFormatting>
  <conditionalFormatting sqref="M148">
    <cfRule type="cellIs" dxfId="6517" priority="21120" operator="equal">
      <formula>"value일 미도래"</formula>
    </cfRule>
  </conditionalFormatting>
  <conditionalFormatting sqref="M148">
    <cfRule type="cellIs" dxfId="6516" priority="21118" operator="equal">
      <formula>"value일 미도래"</formula>
    </cfRule>
  </conditionalFormatting>
  <conditionalFormatting sqref="M148">
    <cfRule type="cellIs" dxfId="6515" priority="21117" operator="equal">
      <formula>"value일 미도래"</formula>
    </cfRule>
  </conditionalFormatting>
  <conditionalFormatting sqref="M148">
    <cfRule type="cellIs" dxfId="6514" priority="21116" operator="equal">
      <formula>"value일 미도래"</formula>
    </cfRule>
  </conditionalFormatting>
  <conditionalFormatting sqref="M148">
    <cfRule type="cellIs" dxfId="6513" priority="21115" operator="equal">
      <formula>"value일 미도래"</formula>
    </cfRule>
  </conditionalFormatting>
  <conditionalFormatting sqref="M148">
    <cfRule type="cellIs" dxfId="6512" priority="21114" operator="equal">
      <formula>"value일 미도래"</formula>
    </cfRule>
  </conditionalFormatting>
  <conditionalFormatting sqref="M148">
    <cfRule type="cellIs" dxfId="6511" priority="21113" operator="equal">
      <formula>"value일 미도래"</formula>
    </cfRule>
  </conditionalFormatting>
  <conditionalFormatting sqref="M148">
    <cfRule type="cellIs" dxfId="6510" priority="21112" operator="equal">
      <formula>"value일 미도래"</formula>
    </cfRule>
  </conditionalFormatting>
  <conditionalFormatting sqref="M148">
    <cfRule type="cellIs" dxfId="6509" priority="21111" operator="equal">
      <formula>"value일 미도래"</formula>
    </cfRule>
  </conditionalFormatting>
  <conditionalFormatting sqref="M148">
    <cfRule type="cellIs" dxfId="6508" priority="21110" operator="equal">
      <formula>"value일 미도래"</formula>
    </cfRule>
  </conditionalFormatting>
  <conditionalFormatting sqref="M148">
    <cfRule type="cellIs" dxfId="6507" priority="21109" operator="equal">
      <formula>"value일 미도래"</formula>
    </cfRule>
  </conditionalFormatting>
  <conditionalFormatting sqref="M148">
    <cfRule type="cellIs" dxfId="6506" priority="21108" operator="equal">
      <formula>"value일 미도래"</formula>
    </cfRule>
  </conditionalFormatting>
  <conditionalFormatting sqref="M148">
    <cfRule type="cellIs" dxfId="6505" priority="21107" operator="equal">
      <formula>"value일 미도래"</formula>
    </cfRule>
  </conditionalFormatting>
  <conditionalFormatting sqref="M148">
    <cfRule type="cellIs" dxfId="6504" priority="21106" operator="equal">
      <formula>"value일 미도래"</formula>
    </cfRule>
  </conditionalFormatting>
  <conditionalFormatting sqref="M148">
    <cfRule type="cellIs" dxfId="6503" priority="21105" operator="equal">
      <formula>"value일 미도래"</formula>
    </cfRule>
  </conditionalFormatting>
  <conditionalFormatting sqref="M148">
    <cfRule type="cellIs" dxfId="6502" priority="21104" operator="equal">
      <formula>"value일 미도래"</formula>
    </cfRule>
  </conditionalFormatting>
  <conditionalFormatting sqref="M148">
    <cfRule type="cellIs" dxfId="6501" priority="21103" operator="equal">
      <formula>"value일 미도래"</formula>
    </cfRule>
  </conditionalFormatting>
  <conditionalFormatting sqref="M148">
    <cfRule type="cellIs" dxfId="6500" priority="21102" operator="equal">
      <formula>"value일 미도래"</formula>
    </cfRule>
  </conditionalFormatting>
  <conditionalFormatting sqref="M148">
    <cfRule type="cellIs" dxfId="6499" priority="21101" operator="equal">
      <formula>"value일 미도래"</formula>
    </cfRule>
  </conditionalFormatting>
  <conditionalFormatting sqref="M148">
    <cfRule type="cellIs" dxfId="6498" priority="21100" operator="equal">
      <formula>"value일 미도래"</formula>
    </cfRule>
  </conditionalFormatting>
  <conditionalFormatting sqref="M148">
    <cfRule type="cellIs" dxfId="6497" priority="21099" operator="equal">
      <formula>"value일 미도래"</formula>
    </cfRule>
  </conditionalFormatting>
  <conditionalFormatting sqref="M148">
    <cfRule type="cellIs" dxfId="6496" priority="21097" operator="equal">
      <formula>"value일 미도래"</formula>
    </cfRule>
  </conditionalFormatting>
  <conditionalFormatting sqref="M148">
    <cfRule type="cellIs" dxfId="6495" priority="21096" operator="equal">
      <formula>"value일 미도래"</formula>
    </cfRule>
  </conditionalFormatting>
  <conditionalFormatting sqref="M148">
    <cfRule type="cellIs" dxfId="6494" priority="21095" operator="equal">
      <formula>"value일 미도래"</formula>
    </cfRule>
  </conditionalFormatting>
  <conditionalFormatting sqref="M148">
    <cfRule type="cellIs" dxfId="6493" priority="21094" operator="equal">
      <formula>"value일 미도래"</formula>
    </cfRule>
  </conditionalFormatting>
  <conditionalFormatting sqref="M148">
    <cfRule type="cellIs" dxfId="6492" priority="21093" operator="equal">
      <formula>"value일 미도래"</formula>
    </cfRule>
  </conditionalFormatting>
  <conditionalFormatting sqref="M148">
    <cfRule type="cellIs" dxfId="6491" priority="21092" operator="equal">
      <formula>"value일 미도래"</formula>
    </cfRule>
  </conditionalFormatting>
  <conditionalFormatting sqref="M148">
    <cfRule type="cellIs" dxfId="6490" priority="21091" operator="equal">
      <formula>"value일 미도래"</formula>
    </cfRule>
  </conditionalFormatting>
  <conditionalFormatting sqref="M148">
    <cfRule type="cellIs" dxfId="6489" priority="21090" operator="equal">
      <formula>"value일 미도래"</formula>
    </cfRule>
  </conditionalFormatting>
  <conditionalFormatting sqref="M148">
    <cfRule type="cellIs" dxfId="6488" priority="21089" operator="equal">
      <formula>"value일 미도래"</formula>
    </cfRule>
  </conditionalFormatting>
  <conditionalFormatting sqref="M148">
    <cfRule type="cellIs" dxfId="6487" priority="21088" operator="equal">
      <formula>"value일 미도래"</formula>
    </cfRule>
  </conditionalFormatting>
  <conditionalFormatting sqref="M148">
    <cfRule type="cellIs" dxfId="6486" priority="21087" operator="equal">
      <formula>"value일 미도래"</formula>
    </cfRule>
  </conditionalFormatting>
  <conditionalFormatting sqref="M148">
    <cfRule type="cellIs" dxfId="6485" priority="21086" operator="equal">
      <formula>"value일 미도래"</formula>
    </cfRule>
  </conditionalFormatting>
  <conditionalFormatting sqref="M148">
    <cfRule type="cellIs" dxfId="6484" priority="20917" operator="equal">
      <formula>"value일 미도래"</formula>
    </cfRule>
  </conditionalFormatting>
  <conditionalFormatting sqref="M148:M149">
    <cfRule type="cellIs" dxfId="6483" priority="20916" operator="equal">
      <formula>"value일 미도래"</formula>
    </cfRule>
  </conditionalFormatting>
  <conditionalFormatting sqref="M148:M149">
    <cfRule type="cellIs" dxfId="6482" priority="20915" operator="equal">
      <formula>"value일 미도래"</formula>
    </cfRule>
  </conditionalFormatting>
  <conditionalFormatting sqref="M150:M151">
    <cfRule type="cellIs" dxfId="6481" priority="20914" operator="equal">
      <formula>"value일 미도래"</formula>
    </cfRule>
  </conditionalFormatting>
  <conditionalFormatting sqref="M150:M151">
    <cfRule type="cellIs" dxfId="6480" priority="20913" operator="equal">
      <formula>"value일 미도래"</formula>
    </cfRule>
  </conditionalFormatting>
  <conditionalFormatting sqref="M148">
    <cfRule type="cellIs" dxfId="6479" priority="20912" operator="equal">
      <formula>"value일 미도래"</formula>
    </cfRule>
  </conditionalFormatting>
  <conditionalFormatting sqref="M148">
    <cfRule type="cellIs" dxfId="6478" priority="20911" operator="equal">
      <formula>"value일 미도래"</formula>
    </cfRule>
  </conditionalFormatting>
  <conditionalFormatting sqref="M148">
    <cfRule type="cellIs" dxfId="6477" priority="20910" operator="equal">
      <formula>"value일 미도래"</formula>
    </cfRule>
  </conditionalFormatting>
  <conditionalFormatting sqref="M148">
    <cfRule type="cellIs" dxfId="6476" priority="20909" operator="equal">
      <formula>"value일 미도래"</formula>
    </cfRule>
  </conditionalFormatting>
  <conditionalFormatting sqref="M148:M149">
    <cfRule type="cellIs" dxfId="6475" priority="20908" operator="equal">
      <formula>"value일 미도래"</formula>
    </cfRule>
  </conditionalFormatting>
  <conditionalFormatting sqref="M148:M149">
    <cfRule type="cellIs" dxfId="6474" priority="20907" operator="equal">
      <formula>"value일 미도래"</formula>
    </cfRule>
  </conditionalFormatting>
  <conditionalFormatting sqref="M148:M149">
    <cfRule type="cellIs" dxfId="6473" priority="20906" operator="equal">
      <formula>"value일 미도래"</formula>
    </cfRule>
  </conditionalFormatting>
  <conditionalFormatting sqref="M150:M151">
    <cfRule type="cellIs" dxfId="6472" priority="20905" operator="equal">
      <formula>"value일 미도래"</formula>
    </cfRule>
  </conditionalFormatting>
  <conditionalFormatting sqref="M150:M151">
    <cfRule type="cellIs" dxfId="6471" priority="20904" operator="equal">
      <formula>"value일 미도래"</formula>
    </cfRule>
  </conditionalFormatting>
  <conditionalFormatting sqref="M150:M151">
    <cfRule type="cellIs" dxfId="6470" priority="20903" operator="equal">
      <formula>"value일 미도래"</formula>
    </cfRule>
  </conditionalFormatting>
  <conditionalFormatting sqref="M148">
    <cfRule type="cellIs" dxfId="6469" priority="20902" operator="equal">
      <formula>"value일 미도래"</formula>
    </cfRule>
  </conditionalFormatting>
  <conditionalFormatting sqref="M148">
    <cfRule type="cellIs" dxfId="6468" priority="20901" operator="equal">
      <formula>"value일 미도래"</formula>
    </cfRule>
  </conditionalFormatting>
  <conditionalFormatting sqref="M148:M149">
    <cfRule type="cellIs" dxfId="6467" priority="20900" operator="equal">
      <formula>"value일 미도래"</formula>
    </cfRule>
  </conditionalFormatting>
  <conditionalFormatting sqref="M148:M149">
    <cfRule type="cellIs" dxfId="6466" priority="20899" operator="equal">
      <formula>"value일 미도래"</formula>
    </cfRule>
  </conditionalFormatting>
  <conditionalFormatting sqref="M150:M151">
    <cfRule type="cellIs" dxfId="6465" priority="20898" operator="equal">
      <formula>"value일 미도래"</formula>
    </cfRule>
  </conditionalFormatting>
  <conditionalFormatting sqref="M150:M151">
    <cfRule type="cellIs" dxfId="6464" priority="20897" operator="equal">
      <formula>"value일 미도래"</formula>
    </cfRule>
  </conditionalFormatting>
  <conditionalFormatting sqref="M150:M151">
    <cfRule type="cellIs" dxfId="6463" priority="20896" operator="equal">
      <formula>"value일 미도래"</formula>
    </cfRule>
  </conditionalFormatting>
  <conditionalFormatting sqref="M148">
    <cfRule type="cellIs" dxfId="6462" priority="20895" operator="equal">
      <formula>"value일 미도래"</formula>
    </cfRule>
  </conditionalFormatting>
  <conditionalFormatting sqref="M148">
    <cfRule type="cellIs" dxfId="6461" priority="20894" operator="equal">
      <formula>"value일 미도래"</formula>
    </cfRule>
  </conditionalFormatting>
  <conditionalFormatting sqref="M148">
    <cfRule type="cellIs" dxfId="6460" priority="20893" operator="equal">
      <formula>"value일 미도래"</formula>
    </cfRule>
  </conditionalFormatting>
  <conditionalFormatting sqref="M148:M149">
    <cfRule type="cellIs" dxfId="6459" priority="20892" operator="equal">
      <formula>"value일 미도래"</formula>
    </cfRule>
  </conditionalFormatting>
  <conditionalFormatting sqref="M148:M149">
    <cfRule type="cellIs" dxfId="6458" priority="20891" operator="equal">
      <formula>"value일 미도래"</formula>
    </cfRule>
  </conditionalFormatting>
  <conditionalFormatting sqref="M148:M149">
    <cfRule type="cellIs" dxfId="6457" priority="20890" operator="equal">
      <formula>"value일 미도래"</formula>
    </cfRule>
  </conditionalFormatting>
  <conditionalFormatting sqref="M148">
    <cfRule type="cellIs" dxfId="6456" priority="20889" operator="equal">
      <formula>"value일 미도래"</formula>
    </cfRule>
  </conditionalFormatting>
  <conditionalFormatting sqref="M148">
    <cfRule type="cellIs" dxfId="6455" priority="20888" operator="equal">
      <formula>"value일 미도래"</formula>
    </cfRule>
  </conditionalFormatting>
  <conditionalFormatting sqref="M148:M149">
    <cfRule type="cellIs" dxfId="6454" priority="20887" operator="equal">
      <formula>"value일 미도래"</formula>
    </cfRule>
  </conditionalFormatting>
  <conditionalFormatting sqref="M148:M149">
    <cfRule type="cellIs" dxfId="6453" priority="20886" operator="equal">
      <formula>"value일 미도래"</formula>
    </cfRule>
  </conditionalFormatting>
  <conditionalFormatting sqref="M148:M149">
    <cfRule type="cellIs" dxfId="6452" priority="20885" operator="equal">
      <formula>"value일 미도래"</formula>
    </cfRule>
  </conditionalFormatting>
  <conditionalFormatting sqref="M150:M151">
    <cfRule type="cellIs" dxfId="6451" priority="20884" operator="equal">
      <formula>"value일 미도래"</formula>
    </cfRule>
  </conditionalFormatting>
  <conditionalFormatting sqref="M150:M151">
    <cfRule type="cellIs" dxfId="6450" priority="20883" operator="equal">
      <formula>"value일 미도래"</formula>
    </cfRule>
  </conditionalFormatting>
  <conditionalFormatting sqref="M150:M151">
    <cfRule type="cellIs" dxfId="6449" priority="20882" operator="equal">
      <formula>"value일 미도래"</formula>
    </cfRule>
  </conditionalFormatting>
  <conditionalFormatting sqref="M148">
    <cfRule type="cellIs" dxfId="6448" priority="20881" operator="equal">
      <formula>"value일 미도래"</formula>
    </cfRule>
  </conditionalFormatting>
  <conditionalFormatting sqref="M148">
    <cfRule type="cellIs" dxfId="6447" priority="20880" operator="equal">
      <formula>"value일 미도래"</formula>
    </cfRule>
  </conditionalFormatting>
  <conditionalFormatting sqref="M148">
    <cfRule type="cellIs" dxfId="6446" priority="20879" operator="equal">
      <formula>"value일 미도래"</formula>
    </cfRule>
  </conditionalFormatting>
  <conditionalFormatting sqref="M148">
    <cfRule type="cellIs" dxfId="6445" priority="20878" operator="equal">
      <formula>"value일 미도래"</formula>
    </cfRule>
  </conditionalFormatting>
  <conditionalFormatting sqref="M148">
    <cfRule type="cellIs" dxfId="6444" priority="20877" operator="equal">
      <formula>"value일 미도래"</formula>
    </cfRule>
  </conditionalFormatting>
  <conditionalFormatting sqref="M148">
    <cfRule type="cellIs" dxfId="6443" priority="20876" operator="equal">
      <formula>"value일 미도래"</formula>
    </cfRule>
  </conditionalFormatting>
  <conditionalFormatting sqref="M148">
    <cfRule type="cellIs" dxfId="6442" priority="20873" operator="equal">
      <formula>"value일 미도래"</formula>
    </cfRule>
  </conditionalFormatting>
  <conditionalFormatting sqref="M148">
    <cfRule type="cellIs" dxfId="6441" priority="20872" operator="equal">
      <formula>"value일 미도래"</formula>
    </cfRule>
  </conditionalFormatting>
  <conditionalFormatting sqref="M148:M149">
    <cfRule type="cellIs" dxfId="6440" priority="20871" operator="equal">
      <formula>"value일 미도래"</formula>
    </cfRule>
  </conditionalFormatting>
  <conditionalFormatting sqref="M148:M149">
    <cfRule type="cellIs" dxfId="6439" priority="20870" operator="equal">
      <formula>"value일 미도래"</formula>
    </cfRule>
  </conditionalFormatting>
  <conditionalFormatting sqref="M150:M151">
    <cfRule type="cellIs" dxfId="6438" priority="20869" operator="equal">
      <formula>"value일 미도래"</formula>
    </cfRule>
  </conditionalFormatting>
  <conditionalFormatting sqref="M150:M151">
    <cfRule type="cellIs" dxfId="6437" priority="20868" operator="equal">
      <formula>"value일 미도래"</formula>
    </cfRule>
  </conditionalFormatting>
  <conditionalFormatting sqref="M150:M151">
    <cfRule type="cellIs" dxfId="6436" priority="20867" operator="equal">
      <formula>"value일 미도래"</formula>
    </cfRule>
  </conditionalFormatting>
  <conditionalFormatting sqref="M148">
    <cfRule type="cellIs" dxfId="6435" priority="20866" operator="equal">
      <formula>"value일 미도래"</formula>
    </cfRule>
  </conditionalFormatting>
  <conditionalFormatting sqref="M148">
    <cfRule type="cellIs" dxfId="6434" priority="20865" operator="equal">
      <formula>"value일 미도래"</formula>
    </cfRule>
  </conditionalFormatting>
  <conditionalFormatting sqref="M148">
    <cfRule type="cellIs" dxfId="6433" priority="20864" operator="equal">
      <formula>"value일 미도래"</formula>
    </cfRule>
  </conditionalFormatting>
  <conditionalFormatting sqref="M148:M149">
    <cfRule type="cellIs" dxfId="6432" priority="20863" operator="equal">
      <formula>"value일 미도래"</formula>
    </cfRule>
  </conditionalFormatting>
  <conditionalFormatting sqref="M148:M149">
    <cfRule type="cellIs" dxfId="6431" priority="20862" operator="equal">
      <formula>"value일 미도래"</formula>
    </cfRule>
  </conditionalFormatting>
  <conditionalFormatting sqref="M148:M149">
    <cfRule type="cellIs" dxfId="6430" priority="20861" operator="equal">
      <formula>"value일 미도래"</formula>
    </cfRule>
  </conditionalFormatting>
  <conditionalFormatting sqref="M148">
    <cfRule type="cellIs" dxfId="6429" priority="20860" operator="equal">
      <formula>"value일 미도래"</formula>
    </cfRule>
  </conditionalFormatting>
  <conditionalFormatting sqref="M148">
    <cfRule type="cellIs" dxfId="6428" priority="20859" operator="equal">
      <formula>"value일 미도래"</formula>
    </cfRule>
  </conditionalFormatting>
  <conditionalFormatting sqref="M148:M149">
    <cfRule type="cellIs" dxfId="6427" priority="20858" operator="equal">
      <formula>"value일 미도래"</formula>
    </cfRule>
  </conditionalFormatting>
  <conditionalFormatting sqref="M148:M149">
    <cfRule type="cellIs" dxfId="6426" priority="20857" operator="equal">
      <formula>"value일 미도래"</formula>
    </cfRule>
  </conditionalFormatting>
  <conditionalFormatting sqref="M148:M149">
    <cfRule type="cellIs" dxfId="6425" priority="20856" operator="equal">
      <formula>"value일 미도래"</formula>
    </cfRule>
  </conditionalFormatting>
  <conditionalFormatting sqref="M148">
    <cfRule type="cellIs" dxfId="6424" priority="20855" operator="equal">
      <formula>"value일 미도래"</formula>
    </cfRule>
  </conditionalFormatting>
  <conditionalFormatting sqref="M148">
    <cfRule type="cellIs" dxfId="6423" priority="20854" operator="equal">
      <formula>"value일 미도래"</formula>
    </cfRule>
  </conditionalFormatting>
  <conditionalFormatting sqref="M148">
    <cfRule type="cellIs" dxfId="6422" priority="20853" operator="equal">
      <formula>"value일 미도래"</formula>
    </cfRule>
  </conditionalFormatting>
  <conditionalFormatting sqref="M148">
    <cfRule type="cellIs" dxfId="6421" priority="20852" operator="equal">
      <formula>"value일 미도래"</formula>
    </cfRule>
  </conditionalFormatting>
  <conditionalFormatting sqref="M148">
    <cfRule type="cellIs" dxfId="6420" priority="20851" operator="equal">
      <formula>"value일 미도래"</formula>
    </cfRule>
  </conditionalFormatting>
  <conditionalFormatting sqref="M148">
    <cfRule type="cellIs" dxfId="6419" priority="20850" operator="equal">
      <formula>"value일 미도래"</formula>
    </cfRule>
  </conditionalFormatting>
  <conditionalFormatting sqref="M148:M149">
    <cfRule type="cellIs" dxfId="6418" priority="20849" operator="equal">
      <formula>"value일 미도래"</formula>
    </cfRule>
  </conditionalFormatting>
  <conditionalFormatting sqref="M148:M149">
    <cfRule type="cellIs" dxfId="6417" priority="20848" operator="equal">
      <formula>"value일 미도래"</formula>
    </cfRule>
  </conditionalFormatting>
  <conditionalFormatting sqref="M148:M149">
    <cfRule type="cellIs" dxfId="6416" priority="20847" operator="equal">
      <formula>"value일 미도래"</formula>
    </cfRule>
  </conditionalFormatting>
  <conditionalFormatting sqref="M148">
    <cfRule type="cellIs" dxfId="6415" priority="20844" operator="equal">
      <formula>"value일 미도래"</formula>
    </cfRule>
  </conditionalFormatting>
  <conditionalFormatting sqref="M148">
    <cfRule type="cellIs" dxfId="6414" priority="20843" operator="equal">
      <formula>"value일 미도래"</formula>
    </cfRule>
  </conditionalFormatting>
  <conditionalFormatting sqref="M148:M149">
    <cfRule type="cellIs" dxfId="6413" priority="20842" operator="equal">
      <formula>"value일 미도래"</formula>
    </cfRule>
  </conditionalFormatting>
  <conditionalFormatting sqref="M148:M149">
    <cfRule type="cellIs" dxfId="6412" priority="20841" operator="equal">
      <formula>"value일 미도래"</formula>
    </cfRule>
  </conditionalFormatting>
  <conditionalFormatting sqref="M150:M151">
    <cfRule type="cellIs" dxfId="6411" priority="20840" operator="equal">
      <formula>"value일 미도래"</formula>
    </cfRule>
  </conditionalFormatting>
  <conditionalFormatting sqref="M150:M151">
    <cfRule type="cellIs" dxfId="6410" priority="20839" operator="equal">
      <formula>"value일 미도래"</formula>
    </cfRule>
  </conditionalFormatting>
  <conditionalFormatting sqref="M150:M151">
    <cfRule type="cellIs" dxfId="6409" priority="20838" operator="equal">
      <formula>"value일 미도래"</formula>
    </cfRule>
  </conditionalFormatting>
  <conditionalFormatting sqref="M148">
    <cfRule type="cellIs" dxfId="6408" priority="20837" operator="equal">
      <formula>"value일 미도래"</formula>
    </cfRule>
  </conditionalFormatting>
  <conditionalFormatting sqref="M148">
    <cfRule type="cellIs" dxfId="6407" priority="20836" operator="equal">
      <formula>"value일 미도래"</formula>
    </cfRule>
  </conditionalFormatting>
  <conditionalFormatting sqref="M148">
    <cfRule type="cellIs" dxfId="6406" priority="20835" operator="equal">
      <formula>"value일 미도래"</formula>
    </cfRule>
  </conditionalFormatting>
  <conditionalFormatting sqref="M148:M149">
    <cfRule type="cellIs" dxfId="6405" priority="20834" operator="equal">
      <formula>"value일 미도래"</formula>
    </cfRule>
  </conditionalFormatting>
  <conditionalFormatting sqref="M148:M149">
    <cfRule type="cellIs" dxfId="6404" priority="20833" operator="equal">
      <formula>"value일 미도래"</formula>
    </cfRule>
  </conditionalFormatting>
  <conditionalFormatting sqref="M148:M149">
    <cfRule type="cellIs" dxfId="6403" priority="20832" operator="equal">
      <formula>"value일 미도래"</formula>
    </cfRule>
  </conditionalFormatting>
  <conditionalFormatting sqref="M148">
    <cfRule type="cellIs" dxfId="6402" priority="20831" operator="equal">
      <formula>"value일 미도래"</formula>
    </cfRule>
  </conditionalFormatting>
  <conditionalFormatting sqref="M148">
    <cfRule type="cellIs" dxfId="6401" priority="20830" operator="equal">
      <formula>"value일 미도래"</formula>
    </cfRule>
  </conditionalFormatting>
  <conditionalFormatting sqref="M148:M149">
    <cfRule type="cellIs" dxfId="6400" priority="20829" operator="equal">
      <formula>"value일 미도래"</formula>
    </cfRule>
  </conditionalFormatting>
  <conditionalFormatting sqref="M148:M149">
    <cfRule type="cellIs" dxfId="6399" priority="20828" operator="equal">
      <formula>"value일 미도래"</formula>
    </cfRule>
  </conditionalFormatting>
  <conditionalFormatting sqref="M148:M149">
    <cfRule type="cellIs" dxfId="6398" priority="20827" operator="equal">
      <formula>"value일 미도래"</formula>
    </cfRule>
  </conditionalFormatting>
  <conditionalFormatting sqref="M148">
    <cfRule type="cellIs" dxfId="6397" priority="20826" operator="equal">
      <formula>"value일 미도래"</formula>
    </cfRule>
  </conditionalFormatting>
  <conditionalFormatting sqref="M148">
    <cfRule type="cellIs" dxfId="6396" priority="20825" operator="equal">
      <formula>"value일 미도래"</formula>
    </cfRule>
  </conditionalFormatting>
  <conditionalFormatting sqref="M148">
    <cfRule type="cellIs" dxfId="6395" priority="20824" operator="equal">
      <formula>"value일 미도래"</formula>
    </cfRule>
  </conditionalFormatting>
  <conditionalFormatting sqref="M148">
    <cfRule type="cellIs" dxfId="6394" priority="20823" operator="equal">
      <formula>"value일 미도래"</formula>
    </cfRule>
  </conditionalFormatting>
  <conditionalFormatting sqref="M148">
    <cfRule type="cellIs" dxfId="6393" priority="20822" operator="equal">
      <formula>"value일 미도래"</formula>
    </cfRule>
  </conditionalFormatting>
  <conditionalFormatting sqref="M148">
    <cfRule type="cellIs" dxfId="6392" priority="20821" operator="equal">
      <formula>"value일 미도래"</formula>
    </cfRule>
  </conditionalFormatting>
  <conditionalFormatting sqref="M148:M149">
    <cfRule type="cellIs" dxfId="6391" priority="20820" operator="equal">
      <formula>"value일 미도래"</formula>
    </cfRule>
  </conditionalFormatting>
  <conditionalFormatting sqref="M148:M149">
    <cfRule type="cellIs" dxfId="6390" priority="20819" operator="equal">
      <formula>"value일 미도래"</formula>
    </cfRule>
  </conditionalFormatting>
  <conditionalFormatting sqref="M148:M149">
    <cfRule type="cellIs" dxfId="6389" priority="20818" operator="equal">
      <formula>"value일 미도래"</formula>
    </cfRule>
  </conditionalFormatting>
  <conditionalFormatting sqref="M148">
    <cfRule type="cellIs" dxfId="6388" priority="20815" operator="equal">
      <formula>"value일 미도래"</formula>
    </cfRule>
  </conditionalFormatting>
  <conditionalFormatting sqref="M148">
    <cfRule type="cellIs" dxfId="6387" priority="20814" operator="equal">
      <formula>"value일 미도래"</formula>
    </cfRule>
  </conditionalFormatting>
  <conditionalFormatting sqref="M148:M149">
    <cfRule type="cellIs" dxfId="6386" priority="20813" operator="equal">
      <formula>"value일 미도래"</formula>
    </cfRule>
  </conditionalFormatting>
  <conditionalFormatting sqref="M148:M149">
    <cfRule type="cellIs" dxfId="6385" priority="20812" operator="equal">
      <formula>"value일 미도래"</formula>
    </cfRule>
  </conditionalFormatting>
  <conditionalFormatting sqref="M148:M149">
    <cfRule type="cellIs" dxfId="6384" priority="20811" operator="equal">
      <formula>"value일 미도래"</formula>
    </cfRule>
  </conditionalFormatting>
  <conditionalFormatting sqref="M150:M151">
    <cfRule type="cellIs" dxfId="6383" priority="20810" operator="equal">
      <formula>"value일 미도래"</formula>
    </cfRule>
  </conditionalFormatting>
  <conditionalFormatting sqref="M150:M151">
    <cfRule type="cellIs" dxfId="6382" priority="20809" operator="equal">
      <formula>"value일 미도래"</formula>
    </cfRule>
  </conditionalFormatting>
  <conditionalFormatting sqref="M150:M151">
    <cfRule type="cellIs" dxfId="6381" priority="20808" operator="equal">
      <formula>"value일 미도래"</formula>
    </cfRule>
  </conditionalFormatting>
  <conditionalFormatting sqref="M148">
    <cfRule type="cellIs" dxfId="6380" priority="20807" operator="equal">
      <formula>"value일 미도래"</formula>
    </cfRule>
  </conditionalFormatting>
  <conditionalFormatting sqref="M148">
    <cfRule type="cellIs" dxfId="6379" priority="20806" operator="equal">
      <formula>"value일 미도래"</formula>
    </cfRule>
  </conditionalFormatting>
  <conditionalFormatting sqref="M148">
    <cfRule type="cellIs" dxfId="6378" priority="20805" operator="equal">
      <formula>"value일 미도래"</formula>
    </cfRule>
  </conditionalFormatting>
  <conditionalFormatting sqref="M148">
    <cfRule type="cellIs" dxfId="6377" priority="20804" operator="equal">
      <formula>"value일 미도래"</formula>
    </cfRule>
  </conditionalFormatting>
  <conditionalFormatting sqref="M148">
    <cfRule type="cellIs" dxfId="6376" priority="20803" operator="equal">
      <formula>"value일 미도래"</formula>
    </cfRule>
  </conditionalFormatting>
  <conditionalFormatting sqref="M148">
    <cfRule type="cellIs" dxfId="6375" priority="20802" operator="equal">
      <formula>"value일 미도래"</formula>
    </cfRule>
  </conditionalFormatting>
  <conditionalFormatting sqref="M148">
    <cfRule type="cellIs" dxfId="6374" priority="20801" operator="equal">
      <formula>"value일 미도래"</formula>
    </cfRule>
  </conditionalFormatting>
  <conditionalFormatting sqref="M148">
    <cfRule type="cellIs" dxfId="6373" priority="20800" operator="equal">
      <formula>"value일 미도래"</formula>
    </cfRule>
  </conditionalFormatting>
  <conditionalFormatting sqref="M148">
    <cfRule type="cellIs" dxfId="6372" priority="20799" operator="equal">
      <formula>"value일 미도래"</formula>
    </cfRule>
  </conditionalFormatting>
  <conditionalFormatting sqref="M149:M150">
    <cfRule type="cellIs" dxfId="6371" priority="20797" operator="equal">
      <formula>"value일 미도래"</formula>
    </cfRule>
  </conditionalFormatting>
  <conditionalFormatting sqref="M149:M150">
    <cfRule type="cellIs" dxfId="6370" priority="20796" operator="equal">
      <formula>"value일 미도래"</formula>
    </cfRule>
  </conditionalFormatting>
  <conditionalFormatting sqref="M149:M150">
    <cfRule type="cellIs" dxfId="6369" priority="20795" operator="equal">
      <formula>"value일 미도래"</formula>
    </cfRule>
  </conditionalFormatting>
  <conditionalFormatting sqref="M149:M150">
    <cfRule type="cellIs" dxfId="6368" priority="20794" operator="equal">
      <formula>"value일 미도래"</formula>
    </cfRule>
  </conditionalFormatting>
  <conditionalFormatting sqref="M149:M150">
    <cfRule type="cellIs" dxfId="6367" priority="20793" operator="equal">
      <formula>"value일 미도래"</formula>
    </cfRule>
  </conditionalFormatting>
  <conditionalFormatting sqref="M149:M150">
    <cfRule type="cellIs" dxfId="6366" priority="20792" operator="equal">
      <formula>"value일 미도래"</formula>
    </cfRule>
  </conditionalFormatting>
  <conditionalFormatting sqref="M149:M150">
    <cfRule type="cellIs" dxfId="6365" priority="20790" operator="equal">
      <formula>"value일 미도래"</formula>
    </cfRule>
  </conditionalFormatting>
  <conditionalFormatting sqref="M149:M150">
    <cfRule type="cellIs" dxfId="6364" priority="20789" operator="equal">
      <formula>"value일 미도래"</formula>
    </cfRule>
  </conditionalFormatting>
  <conditionalFormatting sqref="M149:M150">
    <cfRule type="cellIs" dxfId="6363" priority="20788" operator="equal">
      <formula>"value일 미도래"</formula>
    </cfRule>
  </conditionalFormatting>
  <conditionalFormatting sqref="M149:M150">
    <cfRule type="cellIs" dxfId="6362" priority="20787" operator="equal">
      <formula>"value일 미도래"</formula>
    </cfRule>
  </conditionalFormatting>
  <conditionalFormatting sqref="M149:M150">
    <cfRule type="cellIs" dxfId="6361" priority="20786" operator="equal">
      <formula>"value일 미도래"</formula>
    </cfRule>
  </conditionalFormatting>
  <conditionalFormatting sqref="M149:M150">
    <cfRule type="cellIs" dxfId="6360" priority="20785" operator="equal">
      <formula>"value일 미도래"</formula>
    </cfRule>
  </conditionalFormatting>
  <conditionalFormatting sqref="M149:M150">
    <cfRule type="cellIs" dxfId="6359" priority="20784" operator="equal">
      <formula>"value일 미도래"</formula>
    </cfRule>
  </conditionalFormatting>
  <conditionalFormatting sqref="M149:M150">
    <cfRule type="cellIs" dxfId="6358" priority="20783" operator="equal">
      <formula>"value일 미도래"</formula>
    </cfRule>
  </conditionalFormatting>
  <conditionalFormatting sqref="M149:M150">
    <cfRule type="cellIs" dxfId="6357" priority="20781" operator="equal">
      <formula>"value일 미도래"</formula>
    </cfRule>
  </conditionalFormatting>
  <conditionalFormatting sqref="M149:M150">
    <cfRule type="cellIs" dxfId="6356" priority="20780" operator="equal">
      <formula>"value일 미도래"</formula>
    </cfRule>
  </conditionalFormatting>
  <conditionalFormatting sqref="M149:M150">
    <cfRule type="cellIs" dxfId="6355" priority="20779" operator="equal">
      <formula>"value일 미도래"</formula>
    </cfRule>
  </conditionalFormatting>
  <conditionalFormatting sqref="M149:M150">
    <cfRule type="cellIs" dxfId="6354" priority="20778" operator="equal">
      <formula>"value일 미도래"</formula>
    </cfRule>
  </conditionalFormatting>
  <conditionalFormatting sqref="M149:M150">
    <cfRule type="cellIs" dxfId="6353" priority="20777" operator="equal">
      <formula>"value일 미도래"</formula>
    </cfRule>
  </conditionalFormatting>
  <conditionalFormatting sqref="M149:M150">
    <cfRule type="cellIs" dxfId="6352" priority="20776" operator="equal">
      <formula>"value일 미도래"</formula>
    </cfRule>
  </conditionalFormatting>
  <conditionalFormatting sqref="M149:M150">
    <cfRule type="cellIs" dxfId="6351" priority="20775" operator="equal">
      <formula>"value일 미도래"</formula>
    </cfRule>
  </conditionalFormatting>
  <conditionalFormatting sqref="M149:M150">
    <cfRule type="cellIs" dxfId="6350" priority="20774" operator="equal">
      <formula>"value일 미도래"</formula>
    </cfRule>
  </conditionalFormatting>
  <conditionalFormatting sqref="M149:M150">
    <cfRule type="cellIs" dxfId="6349" priority="20773" operator="equal">
      <formula>"value일 미도래"</formula>
    </cfRule>
  </conditionalFormatting>
  <conditionalFormatting sqref="M149:M150">
    <cfRule type="cellIs" dxfId="6348" priority="20772" operator="equal">
      <formula>"value일 미도래"</formula>
    </cfRule>
  </conditionalFormatting>
  <conditionalFormatting sqref="M149:M150">
    <cfRule type="cellIs" dxfId="6347" priority="20771" operator="equal">
      <formula>"value일 미도래"</formula>
    </cfRule>
  </conditionalFormatting>
  <conditionalFormatting sqref="M149:M150">
    <cfRule type="cellIs" dxfId="6346" priority="20769" operator="equal">
      <formula>"value일 미도래"</formula>
    </cfRule>
  </conditionalFormatting>
  <conditionalFormatting sqref="M149:M150">
    <cfRule type="cellIs" dxfId="6345" priority="20768" operator="equal">
      <formula>"value일 미도래"</formula>
    </cfRule>
  </conditionalFormatting>
  <conditionalFormatting sqref="M149:M150">
    <cfRule type="cellIs" dxfId="6344" priority="20767" operator="equal">
      <formula>"value일 미도래"</formula>
    </cfRule>
  </conditionalFormatting>
  <conditionalFormatting sqref="M149:M150">
    <cfRule type="cellIs" dxfId="6343" priority="20766" operator="equal">
      <formula>"value일 미도래"</formula>
    </cfRule>
  </conditionalFormatting>
  <conditionalFormatting sqref="M149:M150">
    <cfRule type="cellIs" dxfId="6342" priority="20765" operator="equal">
      <formula>"value일 미도래"</formula>
    </cfRule>
  </conditionalFormatting>
  <conditionalFormatting sqref="M149:M150">
    <cfRule type="cellIs" dxfId="6341" priority="20764" operator="equal">
      <formula>"value일 미도래"</formula>
    </cfRule>
  </conditionalFormatting>
  <conditionalFormatting sqref="M149:M150">
    <cfRule type="cellIs" dxfId="6340" priority="20763" operator="equal">
      <formula>"value일 미도래"</formula>
    </cfRule>
  </conditionalFormatting>
  <conditionalFormatting sqref="M149:M150">
    <cfRule type="cellIs" dxfId="6339" priority="20762" operator="equal">
      <formula>"value일 미도래"</formula>
    </cfRule>
  </conditionalFormatting>
  <conditionalFormatting sqref="M149:M150">
    <cfRule type="cellIs" dxfId="6338" priority="20761" operator="equal">
      <formula>"value일 미도래"</formula>
    </cfRule>
  </conditionalFormatting>
  <conditionalFormatting sqref="M149:M150">
    <cfRule type="cellIs" dxfId="6337" priority="20760" operator="equal">
      <formula>"value일 미도래"</formula>
    </cfRule>
  </conditionalFormatting>
  <conditionalFormatting sqref="M149:M150">
    <cfRule type="cellIs" dxfId="6336" priority="20759" operator="equal">
      <formula>"value일 미도래"</formula>
    </cfRule>
  </conditionalFormatting>
  <conditionalFormatting sqref="M149:M150">
    <cfRule type="cellIs" dxfId="6335" priority="20757" operator="equal">
      <formula>"value일 미도래"</formula>
    </cfRule>
  </conditionalFormatting>
  <conditionalFormatting sqref="M149:M150">
    <cfRule type="cellIs" dxfId="6334" priority="20756" operator="equal">
      <formula>"value일 미도래"</formula>
    </cfRule>
  </conditionalFormatting>
  <conditionalFormatting sqref="M149:M150">
    <cfRule type="cellIs" dxfId="6333" priority="20755" operator="equal">
      <formula>"value일 미도래"</formula>
    </cfRule>
  </conditionalFormatting>
  <conditionalFormatting sqref="M148:M149">
    <cfRule type="cellIs" dxfId="6332" priority="20754" operator="equal">
      <formula>"value일 미도래"</formula>
    </cfRule>
  </conditionalFormatting>
  <conditionalFormatting sqref="M148:M149">
    <cfRule type="cellIs" dxfId="6331" priority="20753" operator="equal">
      <formula>"value일 미도래"</formula>
    </cfRule>
  </conditionalFormatting>
  <conditionalFormatting sqref="M149:M150">
    <cfRule type="cellIs" dxfId="6330" priority="20752" operator="equal">
      <formula>"value일 미도래"</formula>
    </cfRule>
  </conditionalFormatting>
  <conditionalFormatting sqref="M149:M150">
    <cfRule type="cellIs" dxfId="6329" priority="20751" operator="equal">
      <formula>"value일 미도래"</formula>
    </cfRule>
  </conditionalFormatting>
  <conditionalFormatting sqref="M149:M150">
    <cfRule type="cellIs" dxfId="6328" priority="20750" operator="equal">
      <formula>"value일 미도래"</formula>
    </cfRule>
  </conditionalFormatting>
  <conditionalFormatting sqref="M150:M151">
    <cfRule type="cellIs" dxfId="6327" priority="20749" operator="equal">
      <formula>"value일 미도래"</formula>
    </cfRule>
  </conditionalFormatting>
  <conditionalFormatting sqref="M150:M151">
    <cfRule type="cellIs" dxfId="6326" priority="20748" operator="equal">
      <formula>"value일 미도래"</formula>
    </cfRule>
  </conditionalFormatting>
  <conditionalFormatting sqref="M150:M151">
    <cfRule type="cellIs" dxfId="6325" priority="20747" operator="equal">
      <formula>"value일 미도래"</formula>
    </cfRule>
  </conditionalFormatting>
  <conditionalFormatting sqref="M148:M149">
    <cfRule type="cellIs" dxfId="6324" priority="20746" operator="equal">
      <formula>"value일 미도래"</formula>
    </cfRule>
  </conditionalFormatting>
  <conditionalFormatting sqref="M148:M149">
    <cfRule type="cellIs" dxfId="6323" priority="20745" operator="equal">
      <formula>"value일 미도래"</formula>
    </cfRule>
  </conditionalFormatting>
  <conditionalFormatting sqref="M148:M149">
    <cfRule type="cellIs" dxfId="6322" priority="20744" operator="equal">
      <formula>"value일 미도래"</formula>
    </cfRule>
  </conditionalFormatting>
  <conditionalFormatting sqref="M148:M149">
    <cfRule type="cellIs" dxfId="6321" priority="20743" operator="equal">
      <formula>"value일 미도래"</formula>
    </cfRule>
  </conditionalFormatting>
  <conditionalFormatting sqref="M148:M149">
    <cfRule type="cellIs" dxfId="6320" priority="20742" operator="equal">
      <formula>"value일 미도래"</formula>
    </cfRule>
  </conditionalFormatting>
  <conditionalFormatting sqref="M148:M149">
    <cfRule type="cellIs" dxfId="6319" priority="20741" operator="equal">
      <formula>"value일 미도래"</formula>
    </cfRule>
  </conditionalFormatting>
  <conditionalFormatting sqref="M148:M149">
    <cfRule type="cellIs" dxfId="6318" priority="20740" operator="equal">
      <formula>"value일 미도래"</formula>
    </cfRule>
  </conditionalFormatting>
  <conditionalFormatting sqref="M148:M149">
    <cfRule type="cellIs" dxfId="6317" priority="20739" operator="equal">
      <formula>"value일 미도래"</formula>
    </cfRule>
  </conditionalFormatting>
  <conditionalFormatting sqref="M148:M149">
    <cfRule type="cellIs" dxfId="6316" priority="20738" operator="equal">
      <formula>"value일 미도래"</formula>
    </cfRule>
  </conditionalFormatting>
  <conditionalFormatting sqref="M148:M149">
    <cfRule type="cellIs" dxfId="6315" priority="20736" operator="equal">
      <formula>"value일 미도래"</formula>
    </cfRule>
  </conditionalFormatting>
  <conditionalFormatting sqref="M148:M149">
    <cfRule type="cellIs" dxfId="6314" priority="20735" operator="equal">
      <formula>"value일 미도래"</formula>
    </cfRule>
  </conditionalFormatting>
  <conditionalFormatting sqref="M148:M149">
    <cfRule type="cellIs" dxfId="6313" priority="20734" operator="equal">
      <formula>"value일 미도래"</formula>
    </cfRule>
  </conditionalFormatting>
  <conditionalFormatting sqref="M149:M150">
    <cfRule type="cellIs" dxfId="6312" priority="20733" operator="equal">
      <formula>"value일 미도래"</formula>
    </cfRule>
  </conditionalFormatting>
  <conditionalFormatting sqref="M149:M150">
    <cfRule type="cellIs" dxfId="6311" priority="20732" operator="equal">
      <formula>"value일 미도래"</formula>
    </cfRule>
  </conditionalFormatting>
  <conditionalFormatting sqref="M149:M150">
    <cfRule type="cellIs" dxfId="6310" priority="20731" operator="equal">
      <formula>"value일 미도래"</formula>
    </cfRule>
  </conditionalFormatting>
  <conditionalFormatting sqref="M148:M149">
    <cfRule type="cellIs" dxfId="6309" priority="20730" operator="equal">
      <formula>"value일 미도래"</formula>
    </cfRule>
  </conditionalFormatting>
  <conditionalFormatting sqref="M148:M149">
    <cfRule type="cellIs" dxfId="6308" priority="20729" operator="equal">
      <formula>"value일 미도래"</formula>
    </cfRule>
  </conditionalFormatting>
  <conditionalFormatting sqref="M148:M149">
    <cfRule type="cellIs" dxfId="6307" priority="20728" operator="equal">
      <formula>"value일 미도래"</formula>
    </cfRule>
  </conditionalFormatting>
  <conditionalFormatting sqref="M149:M150">
    <cfRule type="cellIs" dxfId="6306" priority="20727" operator="equal">
      <formula>"value일 미도래"</formula>
    </cfRule>
  </conditionalFormatting>
  <conditionalFormatting sqref="M149:M150">
    <cfRule type="cellIs" dxfId="6305" priority="20726" operator="equal">
      <formula>"value일 미도래"</formula>
    </cfRule>
  </conditionalFormatting>
  <conditionalFormatting sqref="M149:M150">
    <cfRule type="cellIs" dxfId="6304" priority="20725" operator="equal">
      <formula>"value일 미도래"</formula>
    </cfRule>
  </conditionalFormatting>
  <conditionalFormatting sqref="M148:M149">
    <cfRule type="cellIs" dxfId="6303" priority="20724" operator="equal">
      <formula>"value일 미도래"</formula>
    </cfRule>
  </conditionalFormatting>
  <conditionalFormatting sqref="M148:M149">
    <cfRule type="cellIs" dxfId="6302" priority="20723" operator="equal">
      <formula>"value일 미도래"</formula>
    </cfRule>
  </conditionalFormatting>
  <conditionalFormatting sqref="M148:M149">
    <cfRule type="cellIs" dxfId="6301" priority="20722" operator="equal">
      <formula>"value일 미도래"</formula>
    </cfRule>
  </conditionalFormatting>
  <conditionalFormatting sqref="M148">
    <cfRule type="cellIs" dxfId="6300" priority="20721" operator="equal">
      <formula>"value일 미도래"</formula>
    </cfRule>
  </conditionalFormatting>
  <conditionalFormatting sqref="M148">
    <cfRule type="cellIs" dxfId="6299" priority="20720" operator="equal">
      <formula>"value일 미도래"</formula>
    </cfRule>
  </conditionalFormatting>
  <conditionalFormatting sqref="M148">
    <cfRule type="cellIs" dxfId="6298" priority="20719" operator="equal">
      <formula>"value일 미도래"</formula>
    </cfRule>
  </conditionalFormatting>
  <conditionalFormatting sqref="M148">
    <cfRule type="cellIs" dxfId="6297" priority="20718" operator="equal">
      <formula>"value일 미도래"</formula>
    </cfRule>
  </conditionalFormatting>
  <conditionalFormatting sqref="M148">
    <cfRule type="cellIs" dxfId="6296" priority="20717" operator="equal">
      <formula>"value일 미도래"</formula>
    </cfRule>
  </conditionalFormatting>
  <conditionalFormatting sqref="M148">
    <cfRule type="cellIs" dxfId="6295" priority="20716" operator="equal">
      <formula>"value일 미도래"</formula>
    </cfRule>
  </conditionalFormatting>
  <conditionalFormatting sqref="M148">
    <cfRule type="cellIs" dxfId="6294" priority="20714" operator="equal">
      <formula>"value일 미도래"</formula>
    </cfRule>
  </conditionalFormatting>
  <conditionalFormatting sqref="M148">
    <cfRule type="cellIs" dxfId="6293" priority="20713" operator="equal">
      <formula>"value일 미도래"</formula>
    </cfRule>
  </conditionalFormatting>
  <conditionalFormatting sqref="M148">
    <cfRule type="cellIs" dxfId="6292" priority="20712" operator="equal">
      <formula>"value일 미도래"</formula>
    </cfRule>
  </conditionalFormatting>
  <conditionalFormatting sqref="M148">
    <cfRule type="cellIs" dxfId="6291" priority="20711" operator="equal">
      <formula>"value일 미도래"</formula>
    </cfRule>
  </conditionalFormatting>
  <conditionalFormatting sqref="M148">
    <cfRule type="cellIs" dxfId="6290" priority="20710" operator="equal">
      <formula>"value일 미도래"</formula>
    </cfRule>
  </conditionalFormatting>
  <conditionalFormatting sqref="M148">
    <cfRule type="cellIs" dxfId="6289" priority="20709" operator="equal">
      <formula>"value일 미도래"</formula>
    </cfRule>
  </conditionalFormatting>
  <conditionalFormatting sqref="M148">
    <cfRule type="cellIs" dxfId="6288" priority="20708" operator="equal">
      <formula>"value일 미도래"</formula>
    </cfRule>
  </conditionalFormatting>
  <conditionalFormatting sqref="M148">
    <cfRule type="cellIs" dxfId="6287" priority="20707" operator="equal">
      <formula>"value일 미도래"</formula>
    </cfRule>
  </conditionalFormatting>
  <conditionalFormatting sqref="M148">
    <cfRule type="cellIs" dxfId="6286" priority="20705" operator="equal">
      <formula>"value일 미도래"</formula>
    </cfRule>
  </conditionalFormatting>
  <conditionalFormatting sqref="M148">
    <cfRule type="cellIs" dxfId="6285" priority="20704" operator="equal">
      <formula>"value일 미도래"</formula>
    </cfRule>
  </conditionalFormatting>
  <conditionalFormatting sqref="M148">
    <cfRule type="cellIs" dxfId="6284" priority="20703" operator="equal">
      <formula>"value일 미도래"</formula>
    </cfRule>
  </conditionalFormatting>
  <conditionalFormatting sqref="M148">
    <cfRule type="cellIs" dxfId="6283" priority="20702" operator="equal">
      <formula>"value일 미도래"</formula>
    </cfRule>
  </conditionalFormatting>
  <conditionalFormatting sqref="M148">
    <cfRule type="cellIs" dxfId="6282" priority="20701" operator="equal">
      <formula>"value일 미도래"</formula>
    </cfRule>
  </conditionalFormatting>
  <conditionalFormatting sqref="M148">
    <cfRule type="cellIs" dxfId="6281" priority="20700" operator="equal">
      <formula>"value일 미도래"</formula>
    </cfRule>
  </conditionalFormatting>
  <conditionalFormatting sqref="M148">
    <cfRule type="cellIs" dxfId="6280" priority="20699" operator="equal">
      <formula>"value일 미도래"</formula>
    </cfRule>
  </conditionalFormatting>
  <conditionalFormatting sqref="M148">
    <cfRule type="cellIs" dxfId="6279" priority="20698" operator="equal">
      <formula>"value일 미도래"</formula>
    </cfRule>
  </conditionalFormatting>
  <conditionalFormatting sqref="M148">
    <cfRule type="cellIs" dxfId="6278" priority="20697" operator="equal">
      <formula>"value일 미도래"</formula>
    </cfRule>
  </conditionalFormatting>
  <conditionalFormatting sqref="M148">
    <cfRule type="cellIs" dxfId="6277" priority="20696" operator="equal">
      <formula>"value일 미도래"</formula>
    </cfRule>
  </conditionalFormatting>
  <conditionalFormatting sqref="M148">
    <cfRule type="cellIs" dxfId="6276" priority="20695" operator="equal">
      <formula>"value일 미도래"</formula>
    </cfRule>
  </conditionalFormatting>
  <conditionalFormatting sqref="M148">
    <cfRule type="cellIs" dxfId="6275" priority="20693" operator="equal">
      <formula>"value일 미도래"</formula>
    </cfRule>
  </conditionalFormatting>
  <conditionalFormatting sqref="M148">
    <cfRule type="cellIs" dxfId="6274" priority="20692" operator="equal">
      <formula>"value일 미도래"</formula>
    </cfRule>
  </conditionalFormatting>
  <conditionalFormatting sqref="M148">
    <cfRule type="cellIs" dxfId="6273" priority="20691" operator="equal">
      <formula>"value일 미도래"</formula>
    </cfRule>
  </conditionalFormatting>
  <conditionalFormatting sqref="M148">
    <cfRule type="cellIs" dxfId="6272" priority="20690" operator="equal">
      <formula>"value일 미도래"</formula>
    </cfRule>
  </conditionalFormatting>
  <conditionalFormatting sqref="M148">
    <cfRule type="cellIs" dxfId="6271" priority="20689" operator="equal">
      <formula>"value일 미도래"</formula>
    </cfRule>
  </conditionalFormatting>
  <conditionalFormatting sqref="M148">
    <cfRule type="cellIs" dxfId="6270" priority="20688" operator="equal">
      <formula>"value일 미도래"</formula>
    </cfRule>
  </conditionalFormatting>
  <conditionalFormatting sqref="M148">
    <cfRule type="cellIs" dxfId="6269" priority="20687" operator="equal">
      <formula>"value일 미도래"</formula>
    </cfRule>
  </conditionalFormatting>
  <conditionalFormatting sqref="M148">
    <cfRule type="cellIs" dxfId="6268" priority="20686" operator="equal">
      <formula>"value일 미도래"</formula>
    </cfRule>
  </conditionalFormatting>
  <conditionalFormatting sqref="M148">
    <cfRule type="cellIs" dxfId="6267" priority="20685" operator="equal">
      <formula>"value일 미도래"</formula>
    </cfRule>
  </conditionalFormatting>
  <conditionalFormatting sqref="M148">
    <cfRule type="cellIs" dxfId="6266" priority="20684" operator="equal">
      <formula>"value일 미도래"</formula>
    </cfRule>
  </conditionalFormatting>
  <conditionalFormatting sqref="M148">
    <cfRule type="cellIs" dxfId="6265" priority="20683" operator="equal">
      <formula>"value일 미도래"</formula>
    </cfRule>
  </conditionalFormatting>
  <conditionalFormatting sqref="M148">
    <cfRule type="cellIs" dxfId="6264" priority="20681" operator="equal">
      <formula>"value일 미도래"</formula>
    </cfRule>
  </conditionalFormatting>
  <conditionalFormatting sqref="M148">
    <cfRule type="cellIs" dxfId="6263" priority="20680" operator="equal">
      <formula>"value일 미도래"</formula>
    </cfRule>
  </conditionalFormatting>
  <conditionalFormatting sqref="M148">
    <cfRule type="cellIs" dxfId="6262" priority="20679" operator="equal">
      <formula>"value일 미도래"</formula>
    </cfRule>
  </conditionalFormatting>
  <conditionalFormatting sqref="M148:M149">
    <cfRule type="cellIs" dxfId="6261" priority="20678" operator="equal">
      <formula>"value일 미도래"</formula>
    </cfRule>
  </conditionalFormatting>
  <conditionalFormatting sqref="M148:M149">
    <cfRule type="cellIs" dxfId="6260" priority="20677" operator="equal">
      <formula>"value일 미도래"</formula>
    </cfRule>
  </conditionalFormatting>
  <conditionalFormatting sqref="M149:M150">
    <cfRule type="cellIs" dxfId="6259" priority="20676" operator="equal">
      <formula>"value일 미도래"</formula>
    </cfRule>
  </conditionalFormatting>
  <conditionalFormatting sqref="M149:M150">
    <cfRule type="cellIs" dxfId="6258" priority="20675" operator="equal">
      <formula>"value일 미도래"</formula>
    </cfRule>
  </conditionalFormatting>
  <conditionalFormatting sqref="M149:M150">
    <cfRule type="cellIs" dxfId="6257" priority="20674" operator="equal">
      <formula>"value일 미도래"</formula>
    </cfRule>
  </conditionalFormatting>
  <conditionalFormatting sqref="M150:M151">
    <cfRule type="cellIs" dxfId="6256" priority="20673" operator="equal">
      <formula>"value일 미도래"</formula>
    </cfRule>
  </conditionalFormatting>
  <conditionalFormatting sqref="M150:M151">
    <cfRule type="cellIs" dxfId="6255" priority="20672" operator="equal">
      <formula>"value일 미도래"</formula>
    </cfRule>
  </conditionalFormatting>
  <conditionalFormatting sqref="M150:M151">
    <cfRule type="cellIs" dxfId="6254" priority="20671" operator="equal">
      <formula>"value일 미도래"</formula>
    </cfRule>
  </conditionalFormatting>
  <conditionalFormatting sqref="M148:M149">
    <cfRule type="cellIs" dxfId="6253" priority="20670" operator="equal">
      <formula>"value일 미도래"</formula>
    </cfRule>
  </conditionalFormatting>
  <conditionalFormatting sqref="M148:M149">
    <cfRule type="cellIs" dxfId="6252" priority="20669" operator="equal">
      <formula>"value일 미도래"</formula>
    </cfRule>
  </conditionalFormatting>
  <conditionalFormatting sqref="M148:M149">
    <cfRule type="cellIs" dxfId="6251" priority="20668" operator="equal">
      <formula>"value일 미도래"</formula>
    </cfRule>
  </conditionalFormatting>
  <conditionalFormatting sqref="M148:M149">
    <cfRule type="cellIs" dxfId="6250" priority="20667" operator="equal">
      <formula>"value일 미도래"</formula>
    </cfRule>
  </conditionalFormatting>
  <conditionalFormatting sqref="M148:M149">
    <cfRule type="cellIs" dxfId="6249" priority="20666" operator="equal">
      <formula>"value일 미도래"</formula>
    </cfRule>
  </conditionalFormatting>
  <conditionalFormatting sqref="M148:M149">
    <cfRule type="cellIs" dxfId="6248" priority="20665" operator="equal">
      <formula>"value일 미도래"</formula>
    </cfRule>
  </conditionalFormatting>
  <conditionalFormatting sqref="M148:M149">
    <cfRule type="cellIs" dxfId="6247" priority="20664" operator="equal">
      <formula>"value일 미도래"</formula>
    </cfRule>
  </conditionalFormatting>
  <conditionalFormatting sqref="M148:M149">
    <cfRule type="cellIs" dxfId="6246" priority="20663" operator="equal">
      <formula>"value일 미도래"</formula>
    </cfRule>
  </conditionalFormatting>
  <conditionalFormatting sqref="M148:M149">
    <cfRule type="cellIs" dxfId="6245" priority="20662" operator="equal">
      <formula>"value일 미도래"</formula>
    </cfRule>
  </conditionalFormatting>
  <conditionalFormatting sqref="M148:M149">
    <cfRule type="cellIs" dxfId="6244" priority="20660" operator="equal">
      <formula>"value일 미도래"</formula>
    </cfRule>
  </conditionalFormatting>
  <conditionalFormatting sqref="M148:M149">
    <cfRule type="cellIs" dxfId="6243" priority="20659" operator="equal">
      <formula>"value일 미도래"</formula>
    </cfRule>
  </conditionalFormatting>
  <conditionalFormatting sqref="M148:M149">
    <cfRule type="cellIs" dxfId="6242" priority="20658" operator="equal">
      <formula>"value일 미도래"</formula>
    </cfRule>
  </conditionalFormatting>
  <conditionalFormatting sqref="M149:M150">
    <cfRule type="cellIs" dxfId="6241" priority="20657" operator="equal">
      <formula>"value일 미도래"</formula>
    </cfRule>
  </conditionalFormatting>
  <conditionalFormatting sqref="M149:M150">
    <cfRule type="cellIs" dxfId="6240" priority="20656" operator="equal">
      <formula>"value일 미도래"</formula>
    </cfRule>
  </conditionalFormatting>
  <conditionalFormatting sqref="M149:M150">
    <cfRule type="cellIs" dxfId="6239" priority="20655" operator="equal">
      <formula>"value일 미도래"</formula>
    </cfRule>
  </conditionalFormatting>
  <conditionalFormatting sqref="M148:M149">
    <cfRule type="cellIs" dxfId="6238" priority="20654" operator="equal">
      <formula>"value일 미도래"</formula>
    </cfRule>
  </conditionalFormatting>
  <conditionalFormatting sqref="M148:M149">
    <cfRule type="cellIs" dxfId="6237" priority="20653" operator="equal">
      <formula>"value일 미도래"</formula>
    </cfRule>
  </conditionalFormatting>
  <conditionalFormatting sqref="M148:M149">
    <cfRule type="cellIs" dxfId="6236" priority="20652" operator="equal">
      <formula>"value일 미도래"</formula>
    </cfRule>
  </conditionalFormatting>
  <conditionalFormatting sqref="M149:M150">
    <cfRule type="cellIs" dxfId="6235" priority="20651" operator="equal">
      <formula>"value일 미도래"</formula>
    </cfRule>
  </conditionalFormatting>
  <conditionalFormatting sqref="M149:M150">
    <cfRule type="cellIs" dxfId="6234" priority="20650" operator="equal">
      <formula>"value일 미도래"</formula>
    </cfRule>
  </conditionalFormatting>
  <conditionalFormatting sqref="M149:M150">
    <cfRule type="cellIs" dxfId="6233" priority="20649" operator="equal">
      <formula>"value일 미도래"</formula>
    </cfRule>
  </conditionalFormatting>
  <conditionalFormatting sqref="M148:M149">
    <cfRule type="cellIs" dxfId="6232" priority="20648" operator="equal">
      <formula>"value일 미도래"</formula>
    </cfRule>
  </conditionalFormatting>
  <conditionalFormatting sqref="M148:M149">
    <cfRule type="cellIs" dxfId="6231" priority="20647" operator="equal">
      <formula>"value일 미도래"</formula>
    </cfRule>
  </conditionalFormatting>
  <conditionalFormatting sqref="M148:M149">
    <cfRule type="cellIs" dxfId="6230" priority="20646" operator="equal">
      <formula>"value일 미도래"</formula>
    </cfRule>
  </conditionalFormatting>
  <conditionalFormatting sqref="M148">
    <cfRule type="cellIs" dxfId="6229" priority="20645" operator="equal">
      <formula>"value일 미도래"</formula>
    </cfRule>
  </conditionalFormatting>
  <conditionalFormatting sqref="M148">
    <cfRule type="cellIs" dxfId="6228" priority="20644" operator="equal">
      <formula>"value일 미도래"</formula>
    </cfRule>
  </conditionalFormatting>
  <conditionalFormatting sqref="M148">
    <cfRule type="cellIs" dxfId="6227" priority="20643" operator="equal">
      <formula>"value일 미도래"</formula>
    </cfRule>
  </conditionalFormatting>
  <conditionalFormatting sqref="M148">
    <cfRule type="cellIs" dxfId="6226" priority="20642" operator="equal">
      <formula>"value일 미도래"</formula>
    </cfRule>
  </conditionalFormatting>
  <conditionalFormatting sqref="M148">
    <cfRule type="cellIs" dxfId="6225" priority="20641" operator="equal">
      <formula>"value일 미도래"</formula>
    </cfRule>
  </conditionalFormatting>
  <conditionalFormatting sqref="M148">
    <cfRule type="cellIs" dxfId="6224" priority="20640" operator="equal">
      <formula>"value일 미도래"</formula>
    </cfRule>
  </conditionalFormatting>
  <conditionalFormatting sqref="M148">
    <cfRule type="cellIs" dxfId="6223" priority="20638" operator="equal">
      <formula>"value일 미도래"</formula>
    </cfRule>
  </conditionalFormatting>
  <conditionalFormatting sqref="M148">
    <cfRule type="cellIs" dxfId="6222" priority="20637" operator="equal">
      <formula>"value일 미도래"</formula>
    </cfRule>
  </conditionalFormatting>
  <conditionalFormatting sqref="M148">
    <cfRule type="cellIs" dxfId="6221" priority="20636" operator="equal">
      <formula>"value일 미도래"</formula>
    </cfRule>
  </conditionalFormatting>
  <conditionalFormatting sqref="M148">
    <cfRule type="cellIs" dxfId="6220" priority="20635" operator="equal">
      <formula>"value일 미도래"</formula>
    </cfRule>
  </conditionalFormatting>
  <conditionalFormatting sqref="M148">
    <cfRule type="cellIs" dxfId="6219" priority="20634" operator="equal">
      <formula>"value일 미도래"</formula>
    </cfRule>
  </conditionalFormatting>
  <conditionalFormatting sqref="M148">
    <cfRule type="cellIs" dxfId="6218" priority="20633" operator="equal">
      <formula>"value일 미도래"</formula>
    </cfRule>
  </conditionalFormatting>
  <conditionalFormatting sqref="M148">
    <cfRule type="cellIs" dxfId="6217" priority="20632" operator="equal">
      <formula>"value일 미도래"</formula>
    </cfRule>
  </conditionalFormatting>
  <conditionalFormatting sqref="M148">
    <cfRule type="cellIs" dxfId="6216" priority="20631" operator="equal">
      <formula>"value일 미도래"</formula>
    </cfRule>
  </conditionalFormatting>
  <conditionalFormatting sqref="M148">
    <cfRule type="cellIs" dxfId="6215" priority="20629" operator="equal">
      <formula>"value일 미도래"</formula>
    </cfRule>
  </conditionalFormatting>
  <conditionalFormatting sqref="M148">
    <cfRule type="cellIs" dxfId="6214" priority="20628" operator="equal">
      <formula>"value일 미도래"</formula>
    </cfRule>
  </conditionalFormatting>
  <conditionalFormatting sqref="M148">
    <cfRule type="cellIs" dxfId="6213" priority="20627" operator="equal">
      <formula>"value일 미도래"</formula>
    </cfRule>
  </conditionalFormatting>
  <conditionalFormatting sqref="M148">
    <cfRule type="cellIs" dxfId="6212" priority="20626" operator="equal">
      <formula>"value일 미도래"</formula>
    </cfRule>
  </conditionalFormatting>
  <conditionalFormatting sqref="M148">
    <cfRule type="cellIs" dxfId="6211" priority="20625" operator="equal">
      <formula>"value일 미도래"</formula>
    </cfRule>
  </conditionalFormatting>
  <conditionalFormatting sqref="M148">
    <cfRule type="cellIs" dxfId="6210" priority="20624" operator="equal">
      <formula>"value일 미도래"</formula>
    </cfRule>
  </conditionalFormatting>
  <conditionalFormatting sqref="M148">
    <cfRule type="cellIs" dxfId="6209" priority="20623" operator="equal">
      <formula>"value일 미도래"</formula>
    </cfRule>
  </conditionalFormatting>
  <conditionalFormatting sqref="M148">
    <cfRule type="cellIs" dxfId="6208" priority="20622" operator="equal">
      <formula>"value일 미도래"</formula>
    </cfRule>
  </conditionalFormatting>
  <conditionalFormatting sqref="M148">
    <cfRule type="cellIs" dxfId="6207" priority="20621" operator="equal">
      <formula>"value일 미도래"</formula>
    </cfRule>
  </conditionalFormatting>
  <conditionalFormatting sqref="M148">
    <cfRule type="cellIs" dxfId="6206" priority="20620" operator="equal">
      <formula>"value일 미도래"</formula>
    </cfRule>
  </conditionalFormatting>
  <conditionalFormatting sqref="M148">
    <cfRule type="cellIs" dxfId="6205" priority="20619" operator="equal">
      <formula>"value일 미도래"</formula>
    </cfRule>
  </conditionalFormatting>
  <conditionalFormatting sqref="M148">
    <cfRule type="cellIs" dxfId="6204" priority="20617" operator="equal">
      <formula>"value일 미도래"</formula>
    </cfRule>
  </conditionalFormatting>
  <conditionalFormatting sqref="M148">
    <cfRule type="cellIs" dxfId="6203" priority="20616" operator="equal">
      <formula>"value일 미도래"</formula>
    </cfRule>
  </conditionalFormatting>
  <conditionalFormatting sqref="M148">
    <cfRule type="cellIs" dxfId="6202" priority="20615" operator="equal">
      <formula>"value일 미도래"</formula>
    </cfRule>
  </conditionalFormatting>
  <conditionalFormatting sqref="M148">
    <cfRule type="cellIs" dxfId="6201" priority="20614" operator="equal">
      <formula>"value일 미도래"</formula>
    </cfRule>
  </conditionalFormatting>
  <conditionalFormatting sqref="M148">
    <cfRule type="cellIs" dxfId="6200" priority="20613" operator="equal">
      <formula>"value일 미도래"</formula>
    </cfRule>
  </conditionalFormatting>
  <conditionalFormatting sqref="M148">
    <cfRule type="cellIs" dxfId="6199" priority="20612" operator="equal">
      <formula>"value일 미도래"</formula>
    </cfRule>
  </conditionalFormatting>
  <conditionalFormatting sqref="M148">
    <cfRule type="cellIs" dxfId="6198" priority="20611" operator="equal">
      <formula>"value일 미도래"</formula>
    </cfRule>
  </conditionalFormatting>
  <conditionalFormatting sqref="M148">
    <cfRule type="cellIs" dxfId="6197" priority="20610" operator="equal">
      <formula>"value일 미도래"</formula>
    </cfRule>
  </conditionalFormatting>
  <conditionalFormatting sqref="M148">
    <cfRule type="cellIs" dxfId="6196" priority="20609" operator="equal">
      <formula>"value일 미도래"</formula>
    </cfRule>
  </conditionalFormatting>
  <conditionalFormatting sqref="M148">
    <cfRule type="cellIs" dxfId="6195" priority="20608" operator="equal">
      <formula>"value일 미도래"</formula>
    </cfRule>
  </conditionalFormatting>
  <conditionalFormatting sqref="M148">
    <cfRule type="cellIs" dxfId="6194" priority="20607" operator="equal">
      <formula>"value일 미도래"</formula>
    </cfRule>
  </conditionalFormatting>
  <conditionalFormatting sqref="M148">
    <cfRule type="cellIs" dxfId="6193" priority="20605" operator="equal">
      <formula>"value일 미도래"</formula>
    </cfRule>
  </conditionalFormatting>
  <conditionalFormatting sqref="M148">
    <cfRule type="cellIs" dxfId="6192" priority="20604" operator="equal">
      <formula>"value일 미도래"</formula>
    </cfRule>
  </conditionalFormatting>
  <conditionalFormatting sqref="M148">
    <cfRule type="cellIs" dxfId="6191" priority="20603" operator="equal">
      <formula>"value일 미도래"</formula>
    </cfRule>
  </conditionalFormatting>
  <conditionalFormatting sqref="M150:M151">
    <cfRule type="cellIs" dxfId="6190" priority="20602" operator="equal">
      <formula>"value일 미도래"</formula>
    </cfRule>
  </conditionalFormatting>
  <conditionalFormatting sqref="M150:M151">
    <cfRule type="cellIs" dxfId="6189" priority="20601" operator="equal">
      <formula>"value일 미도래"</formula>
    </cfRule>
  </conditionalFormatting>
  <conditionalFormatting sqref="M150:M151">
    <cfRule type="cellIs" dxfId="6188" priority="20600" operator="equal">
      <formula>"value일 미도래"</formula>
    </cfRule>
  </conditionalFormatting>
  <conditionalFormatting sqref="M150:M151">
    <cfRule type="cellIs" dxfId="6187" priority="20599" operator="equal">
      <formula>"value일 미도래"</formula>
    </cfRule>
  </conditionalFormatting>
  <conditionalFormatting sqref="M148">
    <cfRule type="cellIs" dxfId="6186" priority="20598" operator="equal">
      <formula>"value일 미도래"</formula>
    </cfRule>
  </conditionalFormatting>
  <conditionalFormatting sqref="M148">
    <cfRule type="cellIs" dxfId="6185" priority="20597" operator="equal">
      <formula>"value일 미도래"</formula>
    </cfRule>
  </conditionalFormatting>
  <conditionalFormatting sqref="M148">
    <cfRule type="cellIs" dxfId="6184" priority="20596" operator="equal">
      <formula>"value일 미도래"</formula>
    </cfRule>
  </conditionalFormatting>
  <conditionalFormatting sqref="M148:M149">
    <cfRule type="cellIs" dxfId="6183" priority="20595" operator="equal">
      <formula>"value일 미도래"</formula>
    </cfRule>
  </conditionalFormatting>
  <conditionalFormatting sqref="M148:M149">
    <cfRule type="cellIs" dxfId="6182" priority="20594" operator="equal">
      <formula>"value일 미도래"</formula>
    </cfRule>
  </conditionalFormatting>
  <conditionalFormatting sqref="M148:M149">
    <cfRule type="cellIs" dxfId="6181" priority="20593" operator="equal">
      <formula>"value일 미도래"</formula>
    </cfRule>
  </conditionalFormatting>
  <conditionalFormatting sqref="M148">
    <cfRule type="cellIs" dxfId="6180" priority="20592" operator="equal">
      <formula>"value일 미도래"</formula>
    </cfRule>
  </conditionalFormatting>
  <conditionalFormatting sqref="M148">
    <cfRule type="cellIs" dxfId="6179" priority="20591" operator="equal">
      <formula>"value일 미도래"</formula>
    </cfRule>
  </conditionalFormatting>
  <conditionalFormatting sqref="M148">
    <cfRule type="cellIs" dxfId="6178" priority="20590" operator="equal">
      <formula>"value일 미도래"</formula>
    </cfRule>
  </conditionalFormatting>
  <conditionalFormatting sqref="M148">
    <cfRule type="cellIs" dxfId="6177" priority="20589" operator="equal">
      <formula>"value일 미도래"</formula>
    </cfRule>
  </conditionalFormatting>
  <conditionalFormatting sqref="M148">
    <cfRule type="cellIs" dxfId="6176" priority="20588" operator="equal">
      <formula>"value일 미도래"</formula>
    </cfRule>
  </conditionalFormatting>
  <conditionalFormatting sqref="M148">
    <cfRule type="cellIs" dxfId="6175" priority="20587" operator="equal">
      <formula>"value일 미도래"</formula>
    </cfRule>
  </conditionalFormatting>
  <conditionalFormatting sqref="M148:M149">
    <cfRule type="cellIs" dxfId="6174" priority="20586" operator="equal">
      <formula>"value일 미도래"</formula>
    </cfRule>
  </conditionalFormatting>
  <conditionalFormatting sqref="M148:M149">
    <cfRule type="cellIs" dxfId="6173" priority="20585" operator="equal">
      <formula>"value일 미도래"</formula>
    </cfRule>
  </conditionalFormatting>
  <conditionalFormatting sqref="M148:M149">
    <cfRule type="cellIs" dxfId="6172" priority="20584" operator="equal">
      <formula>"value일 미도래"</formula>
    </cfRule>
  </conditionalFormatting>
  <conditionalFormatting sqref="M148:M149">
    <cfRule type="cellIs" dxfId="6171" priority="20583" operator="equal">
      <formula>"value일 미도래"</formula>
    </cfRule>
  </conditionalFormatting>
  <conditionalFormatting sqref="M148:M149">
    <cfRule type="cellIs" dxfId="6170" priority="20582" operator="equal">
      <formula>"value일 미도래"</formula>
    </cfRule>
  </conditionalFormatting>
  <conditionalFormatting sqref="M148:M149">
    <cfRule type="cellIs" dxfId="6169" priority="20581" operator="equal">
      <formula>"value일 미도래"</formula>
    </cfRule>
  </conditionalFormatting>
  <conditionalFormatting sqref="M148:M149">
    <cfRule type="cellIs" dxfId="6168" priority="20580" operator="equal">
      <formula>"value일 미도래"</formula>
    </cfRule>
  </conditionalFormatting>
  <conditionalFormatting sqref="M148:M149">
    <cfRule type="cellIs" dxfId="6167" priority="20579" operator="equal">
      <formula>"value일 미도래"</formula>
    </cfRule>
  </conditionalFormatting>
  <conditionalFormatting sqref="M148:M149">
    <cfRule type="cellIs" dxfId="6166" priority="20578" operator="equal">
      <formula>"value일 미도래"</formula>
    </cfRule>
  </conditionalFormatting>
  <conditionalFormatting sqref="M148:M149">
    <cfRule type="cellIs" dxfId="6165" priority="20577" operator="equal">
      <formula>"value일 미도래"</formula>
    </cfRule>
  </conditionalFormatting>
  <conditionalFormatting sqref="M148:M149">
    <cfRule type="cellIs" dxfId="6164" priority="20576" operator="equal">
      <formula>"value일 미도래"</formula>
    </cfRule>
  </conditionalFormatting>
  <conditionalFormatting sqref="M148:M149">
    <cfRule type="cellIs" dxfId="6163" priority="20574" operator="equal">
      <formula>"value일 미도래"</formula>
    </cfRule>
  </conditionalFormatting>
  <conditionalFormatting sqref="M148:M149">
    <cfRule type="cellIs" dxfId="6162" priority="20573" operator="equal">
      <formula>"value일 미도래"</formula>
    </cfRule>
  </conditionalFormatting>
  <conditionalFormatting sqref="M148:M149">
    <cfRule type="cellIs" dxfId="6161" priority="20572" operator="equal">
      <formula>"value일 미도래"</formula>
    </cfRule>
  </conditionalFormatting>
  <conditionalFormatting sqref="M148:M149">
    <cfRule type="cellIs" dxfId="6160" priority="20571" operator="equal">
      <formula>"value일 미도래"</formula>
    </cfRule>
  </conditionalFormatting>
  <conditionalFormatting sqref="M148:M149">
    <cfRule type="cellIs" dxfId="6159" priority="20570" operator="equal">
      <formula>"value일 미도래"</formula>
    </cfRule>
  </conditionalFormatting>
  <conditionalFormatting sqref="M148:M149">
    <cfRule type="cellIs" dxfId="6158" priority="20569" operator="equal">
      <formula>"value일 미도래"</formula>
    </cfRule>
  </conditionalFormatting>
  <conditionalFormatting sqref="M148:M149">
    <cfRule type="cellIs" dxfId="6157" priority="20568" operator="equal">
      <formula>"value일 미도래"</formula>
    </cfRule>
  </conditionalFormatting>
  <conditionalFormatting sqref="M148:M149">
    <cfRule type="cellIs" dxfId="6156" priority="20567" operator="equal">
      <formula>"value일 미도래"</formula>
    </cfRule>
  </conditionalFormatting>
  <conditionalFormatting sqref="M148:M149">
    <cfRule type="cellIs" dxfId="6155" priority="20566" operator="equal">
      <formula>"value일 미도래"</formula>
    </cfRule>
  </conditionalFormatting>
  <conditionalFormatting sqref="M148">
    <cfRule type="cellIs" dxfId="6154" priority="20565" operator="equal">
      <formula>"value일 미도래"</formula>
    </cfRule>
  </conditionalFormatting>
  <conditionalFormatting sqref="M148">
    <cfRule type="cellIs" dxfId="6153" priority="20564" operator="equal">
      <formula>"value일 미도래"</formula>
    </cfRule>
  </conditionalFormatting>
  <conditionalFormatting sqref="M148">
    <cfRule type="cellIs" dxfId="6152" priority="20563" operator="equal">
      <formula>"value일 미도래"</formula>
    </cfRule>
  </conditionalFormatting>
  <conditionalFormatting sqref="M148">
    <cfRule type="cellIs" dxfId="6151" priority="20562" operator="equal">
      <formula>"value일 미도래"</formula>
    </cfRule>
  </conditionalFormatting>
  <conditionalFormatting sqref="M148">
    <cfRule type="cellIs" dxfId="6150" priority="20561" operator="equal">
      <formula>"value일 미도래"</formula>
    </cfRule>
  </conditionalFormatting>
  <conditionalFormatting sqref="M148">
    <cfRule type="cellIs" dxfId="6149" priority="20560" operator="equal">
      <formula>"value일 미도래"</formula>
    </cfRule>
  </conditionalFormatting>
  <conditionalFormatting sqref="M148">
    <cfRule type="cellIs" dxfId="6148" priority="20558" operator="equal">
      <formula>"value일 미도래"</formula>
    </cfRule>
  </conditionalFormatting>
  <conditionalFormatting sqref="M148">
    <cfRule type="cellIs" dxfId="6147" priority="20557" operator="equal">
      <formula>"value일 미도래"</formula>
    </cfRule>
  </conditionalFormatting>
  <conditionalFormatting sqref="M148">
    <cfRule type="cellIs" dxfId="6146" priority="20556" operator="equal">
      <formula>"value일 미도래"</formula>
    </cfRule>
  </conditionalFormatting>
  <conditionalFormatting sqref="M148">
    <cfRule type="cellIs" dxfId="6145" priority="20555" operator="equal">
      <formula>"value일 미도래"</formula>
    </cfRule>
  </conditionalFormatting>
  <conditionalFormatting sqref="M148">
    <cfRule type="cellIs" dxfId="6144" priority="20554" operator="equal">
      <formula>"value일 미도래"</formula>
    </cfRule>
  </conditionalFormatting>
  <conditionalFormatting sqref="M148">
    <cfRule type="cellIs" dxfId="6143" priority="20553" operator="equal">
      <formula>"value일 미도래"</formula>
    </cfRule>
  </conditionalFormatting>
  <conditionalFormatting sqref="M148">
    <cfRule type="cellIs" dxfId="6142" priority="20552" operator="equal">
      <formula>"value일 미도래"</formula>
    </cfRule>
  </conditionalFormatting>
  <conditionalFormatting sqref="M148">
    <cfRule type="cellIs" dxfId="6141" priority="20551" operator="equal">
      <formula>"value일 미도래"</formula>
    </cfRule>
  </conditionalFormatting>
  <conditionalFormatting sqref="M148">
    <cfRule type="cellIs" dxfId="6140" priority="20549" operator="equal">
      <formula>"value일 미도래"</formula>
    </cfRule>
  </conditionalFormatting>
  <conditionalFormatting sqref="M148">
    <cfRule type="cellIs" dxfId="6139" priority="20548" operator="equal">
      <formula>"value일 미도래"</formula>
    </cfRule>
  </conditionalFormatting>
  <conditionalFormatting sqref="M148">
    <cfRule type="cellIs" dxfId="6138" priority="20547" operator="equal">
      <formula>"value일 미도래"</formula>
    </cfRule>
  </conditionalFormatting>
  <conditionalFormatting sqref="M148">
    <cfRule type="cellIs" dxfId="6137" priority="20546" operator="equal">
      <formula>"value일 미도래"</formula>
    </cfRule>
  </conditionalFormatting>
  <conditionalFormatting sqref="M148">
    <cfRule type="cellIs" dxfId="6136" priority="20545" operator="equal">
      <formula>"value일 미도래"</formula>
    </cfRule>
  </conditionalFormatting>
  <conditionalFormatting sqref="M148">
    <cfRule type="cellIs" dxfId="6135" priority="20544" operator="equal">
      <formula>"value일 미도래"</formula>
    </cfRule>
  </conditionalFormatting>
  <conditionalFormatting sqref="M148">
    <cfRule type="cellIs" dxfId="6134" priority="20543" operator="equal">
      <formula>"value일 미도래"</formula>
    </cfRule>
  </conditionalFormatting>
  <conditionalFormatting sqref="M148">
    <cfRule type="cellIs" dxfId="6133" priority="20542" operator="equal">
      <formula>"value일 미도래"</formula>
    </cfRule>
  </conditionalFormatting>
  <conditionalFormatting sqref="M148">
    <cfRule type="cellIs" dxfId="6132" priority="20541" operator="equal">
      <formula>"value일 미도래"</formula>
    </cfRule>
  </conditionalFormatting>
  <conditionalFormatting sqref="M148">
    <cfRule type="cellIs" dxfId="6131" priority="20540" operator="equal">
      <formula>"value일 미도래"</formula>
    </cfRule>
  </conditionalFormatting>
  <conditionalFormatting sqref="M148">
    <cfRule type="cellIs" dxfId="6130" priority="20539" operator="equal">
      <formula>"value일 미도래"</formula>
    </cfRule>
  </conditionalFormatting>
  <conditionalFormatting sqref="M148">
    <cfRule type="cellIs" dxfId="6129" priority="20537" operator="equal">
      <formula>"value일 미도래"</formula>
    </cfRule>
  </conditionalFormatting>
  <conditionalFormatting sqref="M148">
    <cfRule type="cellIs" dxfId="6128" priority="20536" operator="equal">
      <formula>"value일 미도래"</formula>
    </cfRule>
  </conditionalFormatting>
  <conditionalFormatting sqref="M148">
    <cfRule type="cellIs" dxfId="6127" priority="20535" operator="equal">
      <formula>"value일 미도래"</formula>
    </cfRule>
  </conditionalFormatting>
  <conditionalFormatting sqref="M148">
    <cfRule type="cellIs" dxfId="6126" priority="20534" operator="equal">
      <formula>"value일 미도래"</formula>
    </cfRule>
  </conditionalFormatting>
  <conditionalFormatting sqref="M148">
    <cfRule type="cellIs" dxfId="6125" priority="20533" operator="equal">
      <formula>"value일 미도래"</formula>
    </cfRule>
  </conditionalFormatting>
  <conditionalFormatting sqref="M148">
    <cfRule type="cellIs" dxfId="6124" priority="20532" operator="equal">
      <formula>"value일 미도래"</formula>
    </cfRule>
  </conditionalFormatting>
  <conditionalFormatting sqref="M148">
    <cfRule type="cellIs" dxfId="6123" priority="20531" operator="equal">
      <formula>"value일 미도래"</formula>
    </cfRule>
  </conditionalFormatting>
  <conditionalFormatting sqref="M148">
    <cfRule type="cellIs" dxfId="6122" priority="20530" operator="equal">
      <formula>"value일 미도래"</formula>
    </cfRule>
  </conditionalFormatting>
  <conditionalFormatting sqref="M148">
    <cfRule type="cellIs" dxfId="6121" priority="20529" operator="equal">
      <formula>"value일 미도래"</formula>
    </cfRule>
  </conditionalFormatting>
  <conditionalFormatting sqref="M148">
    <cfRule type="cellIs" dxfId="6120" priority="20528" operator="equal">
      <formula>"value일 미도래"</formula>
    </cfRule>
  </conditionalFormatting>
  <conditionalFormatting sqref="M148">
    <cfRule type="cellIs" dxfId="6119" priority="20527" operator="equal">
      <formula>"value일 미도래"</formula>
    </cfRule>
  </conditionalFormatting>
  <conditionalFormatting sqref="M148">
    <cfRule type="cellIs" dxfId="6118" priority="20525" operator="equal">
      <formula>"value일 미도래"</formula>
    </cfRule>
  </conditionalFormatting>
  <conditionalFormatting sqref="M148">
    <cfRule type="cellIs" dxfId="6117" priority="20524" operator="equal">
      <formula>"value일 미도래"</formula>
    </cfRule>
  </conditionalFormatting>
  <conditionalFormatting sqref="M148">
    <cfRule type="cellIs" dxfId="6116" priority="20523" operator="equal">
      <formula>"value일 미도래"</formula>
    </cfRule>
  </conditionalFormatting>
  <conditionalFormatting sqref="M148">
    <cfRule type="cellIs" dxfId="6115" priority="20522" operator="equal">
      <formula>"value일 미도래"</formula>
    </cfRule>
  </conditionalFormatting>
  <conditionalFormatting sqref="M148">
    <cfRule type="cellIs" dxfId="6114" priority="20521" operator="equal">
      <formula>"value일 미도래"</formula>
    </cfRule>
  </conditionalFormatting>
  <conditionalFormatting sqref="M148">
    <cfRule type="cellIs" dxfId="6113" priority="20520" operator="equal">
      <formula>"value일 미도래"</formula>
    </cfRule>
  </conditionalFormatting>
  <conditionalFormatting sqref="M148:M149">
    <cfRule type="cellIs" dxfId="6112" priority="20519" operator="equal">
      <formula>"value일 미도래"</formula>
    </cfRule>
  </conditionalFormatting>
  <conditionalFormatting sqref="M148:M149">
    <cfRule type="cellIs" dxfId="6111" priority="20518" operator="equal">
      <formula>"value일 미도래"</formula>
    </cfRule>
  </conditionalFormatting>
  <conditionalFormatting sqref="M148:M149">
    <cfRule type="cellIs" dxfId="6110" priority="20517" operator="equal">
      <formula>"value일 미도래"</formula>
    </cfRule>
  </conditionalFormatting>
  <conditionalFormatting sqref="M148">
    <cfRule type="cellIs" dxfId="6109" priority="20516" operator="equal">
      <formula>"value일 미도래"</formula>
    </cfRule>
  </conditionalFormatting>
  <conditionalFormatting sqref="M148">
    <cfRule type="cellIs" dxfId="6108" priority="20515" operator="equal">
      <formula>"value일 미도래"</formula>
    </cfRule>
  </conditionalFormatting>
  <conditionalFormatting sqref="M148">
    <cfRule type="cellIs" dxfId="6107" priority="20514" operator="equal">
      <formula>"value일 미도래"</formula>
    </cfRule>
  </conditionalFormatting>
  <conditionalFormatting sqref="M148">
    <cfRule type="cellIs" dxfId="6106" priority="20513" operator="equal">
      <formula>"value일 미도래"</formula>
    </cfRule>
  </conditionalFormatting>
  <conditionalFormatting sqref="M148">
    <cfRule type="cellIs" dxfId="6105" priority="20512" operator="equal">
      <formula>"value일 미도래"</formula>
    </cfRule>
  </conditionalFormatting>
  <conditionalFormatting sqref="M148">
    <cfRule type="cellIs" dxfId="6104" priority="20511" operator="equal">
      <formula>"value일 미도래"</formula>
    </cfRule>
  </conditionalFormatting>
  <conditionalFormatting sqref="M148">
    <cfRule type="cellIs" dxfId="6103" priority="20510" operator="equal">
      <formula>"value일 미도래"</formula>
    </cfRule>
  </conditionalFormatting>
  <conditionalFormatting sqref="M148">
    <cfRule type="cellIs" dxfId="6102" priority="20509" operator="equal">
      <formula>"value일 미도래"</formula>
    </cfRule>
  </conditionalFormatting>
  <conditionalFormatting sqref="M148">
    <cfRule type="cellIs" dxfId="6101" priority="20508" operator="equal">
      <formula>"value일 미도래"</formula>
    </cfRule>
  </conditionalFormatting>
  <conditionalFormatting sqref="M148:M149">
    <cfRule type="cellIs" dxfId="6100" priority="20507" operator="equal">
      <formula>"value일 미도래"</formula>
    </cfRule>
  </conditionalFormatting>
  <conditionalFormatting sqref="M148:M149">
    <cfRule type="cellIs" dxfId="6099" priority="20506" operator="equal">
      <formula>"value일 미도래"</formula>
    </cfRule>
  </conditionalFormatting>
  <conditionalFormatting sqref="M148:M149">
    <cfRule type="cellIs" dxfId="6098" priority="20505" operator="equal">
      <formula>"value일 미도래"</formula>
    </cfRule>
  </conditionalFormatting>
  <conditionalFormatting sqref="M148">
    <cfRule type="cellIs" dxfId="6097" priority="20504" operator="equal">
      <formula>"value일 미도래"</formula>
    </cfRule>
  </conditionalFormatting>
  <conditionalFormatting sqref="M148">
    <cfRule type="cellIs" dxfId="6096" priority="20503" operator="equal">
      <formula>"value일 미도래"</formula>
    </cfRule>
  </conditionalFormatting>
  <conditionalFormatting sqref="M148">
    <cfRule type="cellIs" dxfId="6095" priority="20502" operator="equal">
      <formula>"value일 미도래"</formula>
    </cfRule>
  </conditionalFormatting>
  <conditionalFormatting sqref="M148">
    <cfRule type="cellIs" dxfId="6094" priority="20501" operator="equal">
      <formula>"value일 미도래"</formula>
    </cfRule>
  </conditionalFormatting>
  <conditionalFormatting sqref="M148">
    <cfRule type="cellIs" dxfId="6093" priority="20500" operator="equal">
      <formula>"value일 미도래"</formula>
    </cfRule>
  </conditionalFormatting>
  <conditionalFormatting sqref="M148">
    <cfRule type="cellIs" dxfId="6092" priority="20499" operator="equal">
      <formula>"value일 미도래"</formula>
    </cfRule>
  </conditionalFormatting>
  <conditionalFormatting sqref="M148:M149">
    <cfRule type="cellIs" dxfId="6091" priority="20498" operator="equal">
      <formula>"value일 미도래"</formula>
    </cfRule>
  </conditionalFormatting>
  <conditionalFormatting sqref="M148:M149">
    <cfRule type="cellIs" dxfId="6090" priority="20497" operator="equal">
      <formula>"value일 미도래"</formula>
    </cfRule>
  </conditionalFormatting>
  <conditionalFormatting sqref="M148:M149">
    <cfRule type="cellIs" dxfId="6089" priority="20496" operator="equal">
      <formula>"value일 미도래"</formula>
    </cfRule>
  </conditionalFormatting>
  <conditionalFormatting sqref="M148:M149">
    <cfRule type="cellIs" dxfId="6088" priority="20495" operator="equal">
      <formula>"value일 미도래"</formula>
    </cfRule>
  </conditionalFormatting>
  <conditionalFormatting sqref="M149:M150">
    <cfRule type="cellIs" dxfId="6087" priority="20494" operator="equal">
      <formula>"value일 미도래"</formula>
    </cfRule>
  </conditionalFormatting>
  <conditionalFormatting sqref="M149:M150">
    <cfRule type="cellIs" dxfId="6086" priority="20493" operator="equal">
      <formula>"value일 미도래"</formula>
    </cfRule>
  </conditionalFormatting>
  <conditionalFormatting sqref="M149:M150">
    <cfRule type="cellIs" dxfId="6085" priority="20492" operator="equal">
      <formula>"value일 미도래"</formula>
    </cfRule>
  </conditionalFormatting>
  <conditionalFormatting sqref="M149:M150">
    <cfRule type="cellIs" dxfId="6084" priority="20491" operator="equal">
      <formula>"value일 미도래"</formula>
    </cfRule>
  </conditionalFormatting>
  <conditionalFormatting sqref="M149:M150">
    <cfRule type="cellIs" dxfId="6083" priority="20490" operator="equal">
      <formula>"value일 미도래"</formula>
    </cfRule>
  </conditionalFormatting>
  <conditionalFormatting sqref="M149:M150">
    <cfRule type="cellIs" dxfId="6082" priority="20489" operator="equal">
      <formula>"value일 미도래"</formula>
    </cfRule>
  </conditionalFormatting>
  <conditionalFormatting sqref="M149:M150">
    <cfRule type="cellIs" dxfId="6081" priority="20487" operator="equal">
      <formula>"value일 미도래"</formula>
    </cfRule>
  </conditionalFormatting>
  <conditionalFormatting sqref="M149:M150">
    <cfRule type="cellIs" dxfId="6080" priority="20486" operator="equal">
      <formula>"value일 미도래"</formula>
    </cfRule>
  </conditionalFormatting>
  <conditionalFormatting sqref="M149:M150">
    <cfRule type="cellIs" dxfId="6079" priority="20485" operator="equal">
      <formula>"value일 미도래"</formula>
    </cfRule>
  </conditionalFormatting>
  <conditionalFormatting sqref="M149:M150">
    <cfRule type="cellIs" dxfId="6078" priority="20484" operator="equal">
      <formula>"value일 미도래"</formula>
    </cfRule>
  </conditionalFormatting>
  <conditionalFormatting sqref="M149:M150">
    <cfRule type="cellIs" dxfId="6077" priority="20483" operator="equal">
      <formula>"value일 미도래"</formula>
    </cfRule>
  </conditionalFormatting>
  <conditionalFormatting sqref="M149:M150">
    <cfRule type="cellIs" dxfId="6076" priority="20482" operator="equal">
      <formula>"value일 미도래"</formula>
    </cfRule>
  </conditionalFormatting>
  <conditionalFormatting sqref="M149:M150">
    <cfRule type="cellIs" dxfId="6075" priority="20481" operator="equal">
      <formula>"value일 미도래"</formula>
    </cfRule>
  </conditionalFormatting>
  <conditionalFormatting sqref="M149:M150">
    <cfRule type="cellIs" dxfId="6074" priority="20480" operator="equal">
      <formula>"value일 미도래"</formula>
    </cfRule>
  </conditionalFormatting>
  <conditionalFormatting sqref="M149:M150">
    <cfRule type="cellIs" dxfId="6073" priority="20478" operator="equal">
      <formula>"value일 미도래"</formula>
    </cfRule>
  </conditionalFormatting>
  <conditionalFormatting sqref="M149:M150">
    <cfRule type="cellIs" dxfId="6072" priority="20477" operator="equal">
      <formula>"value일 미도래"</formula>
    </cfRule>
  </conditionalFormatting>
  <conditionalFormatting sqref="M149:M150">
    <cfRule type="cellIs" dxfId="6071" priority="20476" operator="equal">
      <formula>"value일 미도래"</formula>
    </cfRule>
  </conditionalFormatting>
  <conditionalFormatting sqref="M149:M150">
    <cfRule type="cellIs" dxfId="6070" priority="20475" operator="equal">
      <formula>"value일 미도래"</formula>
    </cfRule>
  </conditionalFormatting>
  <conditionalFormatting sqref="M149:M150">
    <cfRule type="cellIs" dxfId="6069" priority="20474" operator="equal">
      <formula>"value일 미도래"</formula>
    </cfRule>
  </conditionalFormatting>
  <conditionalFormatting sqref="M149:M150">
    <cfRule type="cellIs" dxfId="6068" priority="20473" operator="equal">
      <formula>"value일 미도래"</formula>
    </cfRule>
  </conditionalFormatting>
  <conditionalFormatting sqref="M149:M150">
    <cfRule type="cellIs" dxfId="6067" priority="20472" operator="equal">
      <formula>"value일 미도래"</formula>
    </cfRule>
  </conditionalFormatting>
  <conditionalFormatting sqref="M149:M150">
    <cfRule type="cellIs" dxfId="6066" priority="20471" operator="equal">
      <formula>"value일 미도래"</formula>
    </cfRule>
  </conditionalFormatting>
  <conditionalFormatting sqref="M149:M150">
    <cfRule type="cellIs" dxfId="6065" priority="20470" operator="equal">
      <formula>"value일 미도래"</formula>
    </cfRule>
  </conditionalFormatting>
  <conditionalFormatting sqref="M149:M150">
    <cfRule type="cellIs" dxfId="6064" priority="20469" operator="equal">
      <formula>"value일 미도래"</formula>
    </cfRule>
  </conditionalFormatting>
  <conditionalFormatting sqref="M149:M150">
    <cfRule type="cellIs" dxfId="6063" priority="20468" operator="equal">
      <formula>"value일 미도래"</formula>
    </cfRule>
  </conditionalFormatting>
  <conditionalFormatting sqref="M149:M150">
    <cfRule type="cellIs" dxfId="6062" priority="20466" operator="equal">
      <formula>"value일 미도래"</formula>
    </cfRule>
  </conditionalFormatting>
  <conditionalFormatting sqref="M149:M150">
    <cfRule type="cellIs" dxfId="6061" priority="20465" operator="equal">
      <formula>"value일 미도래"</formula>
    </cfRule>
  </conditionalFormatting>
  <conditionalFormatting sqref="M149:M150">
    <cfRule type="cellIs" dxfId="6060" priority="20464" operator="equal">
      <formula>"value일 미도래"</formula>
    </cfRule>
  </conditionalFormatting>
  <conditionalFormatting sqref="M149:M150">
    <cfRule type="cellIs" dxfId="6059" priority="20463" operator="equal">
      <formula>"value일 미도래"</formula>
    </cfRule>
  </conditionalFormatting>
  <conditionalFormatting sqref="M149:M150">
    <cfRule type="cellIs" dxfId="6058" priority="20462" operator="equal">
      <formula>"value일 미도래"</formula>
    </cfRule>
  </conditionalFormatting>
  <conditionalFormatting sqref="M149:M150">
    <cfRule type="cellIs" dxfId="6057" priority="20461" operator="equal">
      <formula>"value일 미도래"</formula>
    </cfRule>
  </conditionalFormatting>
  <conditionalFormatting sqref="M149:M150">
    <cfRule type="cellIs" dxfId="6056" priority="20460" operator="equal">
      <formula>"value일 미도래"</formula>
    </cfRule>
  </conditionalFormatting>
  <conditionalFormatting sqref="M149:M150">
    <cfRule type="cellIs" dxfId="6055" priority="20459" operator="equal">
      <formula>"value일 미도래"</formula>
    </cfRule>
  </conditionalFormatting>
  <conditionalFormatting sqref="M149:M150">
    <cfRule type="cellIs" dxfId="6054" priority="20458" operator="equal">
      <formula>"value일 미도래"</formula>
    </cfRule>
  </conditionalFormatting>
  <conditionalFormatting sqref="M149:M150">
    <cfRule type="cellIs" dxfId="6053" priority="20457" operator="equal">
      <formula>"value일 미도래"</formula>
    </cfRule>
  </conditionalFormatting>
  <conditionalFormatting sqref="M149:M150">
    <cfRule type="cellIs" dxfId="6052" priority="20456" operator="equal">
      <formula>"value일 미도래"</formula>
    </cfRule>
  </conditionalFormatting>
  <conditionalFormatting sqref="M149:M150">
    <cfRule type="cellIs" dxfId="6051" priority="20454" operator="equal">
      <formula>"value일 미도래"</formula>
    </cfRule>
  </conditionalFormatting>
  <conditionalFormatting sqref="M149:M150">
    <cfRule type="cellIs" dxfId="6050" priority="20453" operator="equal">
      <formula>"value일 미도래"</formula>
    </cfRule>
  </conditionalFormatting>
  <conditionalFormatting sqref="M149:M150">
    <cfRule type="cellIs" dxfId="6049" priority="20452" operator="equal">
      <formula>"value일 미도래"</formula>
    </cfRule>
  </conditionalFormatting>
  <conditionalFormatting sqref="M149:M150">
    <cfRule type="cellIs" dxfId="6048" priority="20451" operator="equal">
      <formula>"value일 미도래"</formula>
    </cfRule>
  </conditionalFormatting>
  <conditionalFormatting sqref="M149:M150">
    <cfRule type="cellIs" dxfId="6047" priority="20450" operator="equal">
      <formula>"value일 미도래"</formula>
    </cfRule>
  </conditionalFormatting>
  <conditionalFormatting sqref="M149:M150">
    <cfRule type="cellIs" dxfId="6046" priority="20449" operator="equal">
      <formula>"value일 미도래"</formula>
    </cfRule>
  </conditionalFormatting>
  <conditionalFormatting sqref="M149:M150">
    <cfRule type="cellIs" dxfId="6045" priority="20448" operator="equal">
      <formula>"value일 미도래"</formula>
    </cfRule>
  </conditionalFormatting>
  <conditionalFormatting sqref="M149:M150">
    <cfRule type="cellIs" dxfId="6044" priority="20447" operator="equal">
      <formula>"value일 미도래"</formula>
    </cfRule>
  </conditionalFormatting>
  <conditionalFormatting sqref="M149:M150">
    <cfRule type="cellIs" dxfId="6043" priority="20446" operator="equal">
      <formula>"value일 미도래"</formula>
    </cfRule>
  </conditionalFormatting>
  <conditionalFormatting sqref="M149:M150">
    <cfRule type="cellIs" dxfId="6042" priority="20445" operator="equal">
      <formula>"value일 미도래"</formula>
    </cfRule>
  </conditionalFormatting>
  <conditionalFormatting sqref="M149:M150">
    <cfRule type="cellIs" dxfId="6041" priority="20444" operator="equal">
      <formula>"value일 미도래"</formula>
    </cfRule>
  </conditionalFormatting>
  <conditionalFormatting sqref="M149:M150">
    <cfRule type="cellIs" dxfId="6040" priority="20443" operator="equal">
      <formula>"value일 미도래"</formula>
    </cfRule>
  </conditionalFormatting>
  <conditionalFormatting sqref="M149:M150">
    <cfRule type="cellIs" dxfId="6039" priority="20442" operator="equal">
      <formula>"value일 미도래"</formula>
    </cfRule>
  </conditionalFormatting>
  <conditionalFormatting sqref="M149:M150">
    <cfRule type="cellIs" dxfId="6038" priority="20441" operator="equal">
      <formula>"value일 미도래"</formula>
    </cfRule>
  </conditionalFormatting>
  <conditionalFormatting sqref="M149:M150">
    <cfRule type="cellIs" dxfId="6037" priority="20439" operator="equal">
      <formula>"value일 미도래"</formula>
    </cfRule>
  </conditionalFormatting>
  <conditionalFormatting sqref="M149:M150">
    <cfRule type="cellIs" dxfId="6036" priority="20438" operator="equal">
      <formula>"value일 미도래"</formula>
    </cfRule>
  </conditionalFormatting>
  <conditionalFormatting sqref="M149:M150">
    <cfRule type="cellIs" dxfId="6035" priority="20437" operator="equal">
      <formula>"value일 미도래"</formula>
    </cfRule>
  </conditionalFormatting>
  <conditionalFormatting sqref="M149:M150">
    <cfRule type="cellIs" dxfId="6034" priority="20436" operator="equal">
      <formula>"value일 미도래"</formula>
    </cfRule>
  </conditionalFormatting>
  <conditionalFormatting sqref="M149:M150">
    <cfRule type="cellIs" dxfId="6033" priority="20435" operator="equal">
      <formula>"value일 미도래"</formula>
    </cfRule>
  </conditionalFormatting>
  <conditionalFormatting sqref="M149:M150">
    <cfRule type="cellIs" dxfId="6032" priority="20434" operator="equal">
      <formula>"value일 미도래"</formula>
    </cfRule>
  </conditionalFormatting>
  <conditionalFormatting sqref="M149:M150">
    <cfRule type="cellIs" dxfId="6031" priority="20433" operator="equal">
      <formula>"value일 미도래"</formula>
    </cfRule>
  </conditionalFormatting>
  <conditionalFormatting sqref="M149:M150">
    <cfRule type="cellIs" dxfId="6030" priority="20432" operator="equal">
      <formula>"value일 미도래"</formula>
    </cfRule>
  </conditionalFormatting>
  <conditionalFormatting sqref="M149:M150">
    <cfRule type="cellIs" dxfId="6029" priority="20431" operator="equal">
      <formula>"value일 미도래"</formula>
    </cfRule>
  </conditionalFormatting>
  <conditionalFormatting sqref="M149:M150">
    <cfRule type="cellIs" dxfId="6028" priority="20430" operator="equal">
      <formula>"value일 미도래"</formula>
    </cfRule>
  </conditionalFormatting>
  <conditionalFormatting sqref="M149:M150">
    <cfRule type="cellIs" dxfId="6027" priority="20429" operator="equal">
      <formula>"value일 미도래"</formula>
    </cfRule>
  </conditionalFormatting>
  <conditionalFormatting sqref="M149:M150">
    <cfRule type="cellIs" dxfId="6026" priority="20428" operator="equal">
      <formula>"value일 미도래"</formula>
    </cfRule>
  </conditionalFormatting>
  <conditionalFormatting sqref="M149:M150">
    <cfRule type="cellIs" dxfId="6025" priority="20427" operator="equal">
      <formula>"value일 미도래"</formula>
    </cfRule>
  </conditionalFormatting>
  <conditionalFormatting sqref="M149:M150">
    <cfRule type="cellIs" dxfId="6024" priority="20426" operator="equal">
      <formula>"value일 미도래"</formula>
    </cfRule>
  </conditionalFormatting>
  <conditionalFormatting sqref="M149:M150">
    <cfRule type="cellIs" dxfId="6023" priority="20425" operator="equal">
      <formula>"value일 미도래"</formula>
    </cfRule>
  </conditionalFormatting>
  <conditionalFormatting sqref="M149:M150">
    <cfRule type="cellIs" dxfId="6022" priority="20424" operator="equal">
      <formula>"value일 미도래"</formula>
    </cfRule>
  </conditionalFormatting>
  <conditionalFormatting sqref="M149:M150">
    <cfRule type="cellIs" dxfId="6021" priority="20423" operator="equal">
      <formula>"value일 미도래"</formula>
    </cfRule>
  </conditionalFormatting>
  <conditionalFormatting sqref="M149:M150">
    <cfRule type="cellIs" dxfId="6020" priority="20422" operator="equal">
      <formula>"value일 미도래"</formula>
    </cfRule>
  </conditionalFormatting>
  <conditionalFormatting sqref="M149:M150">
    <cfRule type="cellIs" dxfId="6019" priority="20421" operator="equal">
      <formula>"value일 미도래"</formula>
    </cfRule>
  </conditionalFormatting>
  <conditionalFormatting sqref="M149:M150">
    <cfRule type="cellIs" dxfId="6018" priority="20420" operator="equal">
      <formula>"value일 미도래"</formula>
    </cfRule>
  </conditionalFormatting>
  <conditionalFormatting sqref="M149:M150">
    <cfRule type="cellIs" dxfId="6017" priority="20418" operator="equal">
      <formula>"value일 미도래"</formula>
    </cfRule>
  </conditionalFormatting>
  <conditionalFormatting sqref="M149:M150">
    <cfRule type="cellIs" dxfId="6016" priority="20417" operator="equal">
      <formula>"value일 미도래"</formula>
    </cfRule>
  </conditionalFormatting>
  <conditionalFormatting sqref="M149:M150">
    <cfRule type="cellIs" dxfId="6015" priority="20416" operator="equal">
      <formula>"value일 미도래"</formula>
    </cfRule>
  </conditionalFormatting>
  <conditionalFormatting sqref="M149:M150">
    <cfRule type="cellIs" dxfId="6014" priority="20415" operator="equal">
      <formula>"value일 미도래"</formula>
    </cfRule>
  </conditionalFormatting>
  <conditionalFormatting sqref="M149:M150">
    <cfRule type="cellIs" dxfId="6013" priority="20414" operator="equal">
      <formula>"value일 미도래"</formula>
    </cfRule>
  </conditionalFormatting>
  <conditionalFormatting sqref="M149:M150">
    <cfRule type="cellIs" dxfId="6012" priority="20413" operator="equal">
      <formula>"value일 미도래"</formula>
    </cfRule>
  </conditionalFormatting>
  <conditionalFormatting sqref="M149:M150">
    <cfRule type="cellIs" dxfId="6011" priority="20412" operator="equal">
      <formula>"value일 미도래"</formula>
    </cfRule>
  </conditionalFormatting>
  <conditionalFormatting sqref="M149:M150">
    <cfRule type="cellIs" dxfId="6010" priority="20411" operator="equal">
      <formula>"value일 미도래"</formula>
    </cfRule>
  </conditionalFormatting>
  <conditionalFormatting sqref="M149:M150">
    <cfRule type="cellIs" dxfId="6009" priority="20410" operator="equal">
      <formula>"value일 미도래"</formula>
    </cfRule>
  </conditionalFormatting>
  <conditionalFormatting sqref="M149:M150">
    <cfRule type="cellIs" dxfId="6008" priority="20409" operator="equal">
      <formula>"value일 미도래"</formula>
    </cfRule>
  </conditionalFormatting>
  <conditionalFormatting sqref="M149:M150">
    <cfRule type="cellIs" dxfId="6007" priority="20408" operator="equal">
      <formula>"value일 미도래"</formula>
    </cfRule>
  </conditionalFormatting>
  <conditionalFormatting sqref="M149:M150">
    <cfRule type="cellIs" dxfId="6006" priority="20407" operator="equal">
      <formula>"value일 미도래"</formula>
    </cfRule>
  </conditionalFormatting>
  <conditionalFormatting sqref="M148">
    <cfRule type="cellIs" dxfId="6005" priority="20406" operator="equal">
      <formula>"value일 미도래"</formula>
    </cfRule>
  </conditionalFormatting>
  <conditionalFormatting sqref="M148">
    <cfRule type="cellIs" dxfId="6004" priority="20405" operator="equal">
      <formula>"value일 미도래"</formula>
    </cfRule>
  </conditionalFormatting>
  <conditionalFormatting sqref="M148">
    <cfRule type="cellIs" dxfId="6003" priority="20404" operator="equal">
      <formula>"value일 미도래"</formula>
    </cfRule>
  </conditionalFormatting>
  <conditionalFormatting sqref="M148">
    <cfRule type="cellIs" dxfId="6002" priority="20403" operator="equal">
      <formula>"value일 미도래"</formula>
    </cfRule>
  </conditionalFormatting>
  <conditionalFormatting sqref="M148">
    <cfRule type="cellIs" dxfId="6001" priority="20402" operator="equal">
      <formula>"value일 미도래"</formula>
    </cfRule>
  </conditionalFormatting>
  <conditionalFormatting sqref="M148">
    <cfRule type="cellIs" dxfId="6000" priority="20401" operator="equal">
      <formula>"value일 미도래"</formula>
    </cfRule>
  </conditionalFormatting>
  <conditionalFormatting sqref="M148">
    <cfRule type="cellIs" dxfId="5999" priority="20400" operator="equal">
      <formula>"value일 미도래"</formula>
    </cfRule>
  </conditionalFormatting>
  <conditionalFormatting sqref="M148">
    <cfRule type="cellIs" dxfId="5998" priority="20399" operator="equal">
      <formula>"value일 미도래"</formula>
    </cfRule>
  </conditionalFormatting>
  <conditionalFormatting sqref="M148">
    <cfRule type="cellIs" dxfId="5997" priority="20398" operator="equal">
      <formula>"value일 미도래"</formula>
    </cfRule>
  </conditionalFormatting>
  <conditionalFormatting sqref="M148">
    <cfRule type="cellIs" dxfId="5996" priority="20397" operator="equal">
      <formula>"value일 미도래"</formula>
    </cfRule>
  </conditionalFormatting>
  <conditionalFormatting sqref="M148">
    <cfRule type="cellIs" dxfId="5995" priority="20396" operator="equal">
      <formula>"value일 미도래"</formula>
    </cfRule>
  </conditionalFormatting>
  <conditionalFormatting sqref="M148">
    <cfRule type="cellIs" dxfId="5994" priority="20395" operator="equal">
      <formula>"value일 미도래"</formula>
    </cfRule>
  </conditionalFormatting>
  <conditionalFormatting sqref="M148">
    <cfRule type="cellIs" dxfId="5993" priority="20394" operator="equal">
      <formula>"value일 미도래"</formula>
    </cfRule>
  </conditionalFormatting>
  <conditionalFormatting sqref="M148">
    <cfRule type="cellIs" dxfId="5992" priority="20392" operator="equal">
      <formula>"value일 미도래"</formula>
    </cfRule>
  </conditionalFormatting>
  <conditionalFormatting sqref="M148">
    <cfRule type="cellIs" dxfId="5991" priority="20391" operator="equal">
      <formula>"value일 미도래"</formula>
    </cfRule>
  </conditionalFormatting>
  <conditionalFormatting sqref="M148">
    <cfRule type="cellIs" dxfId="5990" priority="20390" operator="equal">
      <formula>"value일 미도래"</formula>
    </cfRule>
  </conditionalFormatting>
  <conditionalFormatting sqref="M148">
    <cfRule type="cellIs" dxfId="5989" priority="20389" operator="equal">
      <formula>"value일 미도래"</formula>
    </cfRule>
  </conditionalFormatting>
  <conditionalFormatting sqref="M148">
    <cfRule type="cellIs" dxfId="5988" priority="20388" operator="equal">
      <formula>"value일 미도래"</formula>
    </cfRule>
  </conditionalFormatting>
  <conditionalFormatting sqref="M148">
    <cfRule type="cellIs" dxfId="5987" priority="20387" operator="equal">
      <formula>"value일 미도래"</formula>
    </cfRule>
  </conditionalFormatting>
  <conditionalFormatting sqref="M148">
    <cfRule type="cellIs" dxfId="5986" priority="20386" operator="equal">
      <formula>"value일 미도래"</formula>
    </cfRule>
  </conditionalFormatting>
  <conditionalFormatting sqref="M148">
    <cfRule type="cellIs" dxfId="5985" priority="20385" operator="equal">
      <formula>"value일 미도래"</formula>
    </cfRule>
  </conditionalFormatting>
  <conditionalFormatting sqref="M148">
    <cfRule type="cellIs" dxfId="5984" priority="20384" operator="equal">
      <formula>"value일 미도래"</formula>
    </cfRule>
  </conditionalFormatting>
  <conditionalFormatting sqref="M148">
    <cfRule type="cellIs" dxfId="5983" priority="20383" operator="equal">
      <formula>"value일 미도래"</formula>
    </cfRule>
  </conditionalFormatting>
  <conditionalFormatting sqref="M148">
    <cfRule type="cellIs" dxfId="5982" priority="20382" operator="equal">
      <formula>"value일 미도래"</formula>
    </cfRule>
  </conditionalFormatting>
  <conditionalFormatting sqref="M148">
    <cfRule type="cellIs" dxfId="5981" priority="20380" operator="equal">
      <formula>"value일 미도래"</formula>
    </cfRule>
  </conditionalFormatting>
  <conditionalFormatting sqref="M148">
    <cfRule type="cellIs" dxfId="5980" priority="20379" operator="equal">
      <formula>"value일 미도래"</formula>
    </cfRule>
  </conditionalFormatting>
  <conditionalFormatting sqref="M148">
    <cfRule type="cellIs" dxfId="5979" priority="20378" operator="equal">
      <formula>"value일 미도래"</formula>
    </cfRule>
  </conditionalFormatting>
  <conditionalFormatting sqref="M148">
    <cfRule type="cellIs" dxfId="5978" priority="20377" operator="equal">
      <formula>"value일 미도래"</formula>
    </cfRule>
  </conditionalFormatting>
  <conditionalFormatting sqref="M148">
    <cfRule type="cellIs" dxfId="5977" priority="20376" operator="equal">
      <formula>"value일 미도래"</formula>
    </cfRule>
  </conditionalFormatting>
  <conditionalFormatting sqref="M148">
    <cfRule type="cellIs" dxfId="5976" priority="20375" operator="equal">
      <formula>"value일 미도래"</formula>
    </cfRule>
  </conditionalFormatting>
  <conditionalFormatting sqref="M148">
    <cfRule type="cellIs" dxfId="5975" priority="20374" operator="equal">
      <formula>"value일 미도래"</formula>
    </cfRule>
  </conditionalFormatting>
  <conditionalFormatting sqref="M148">
    <cfRule type="cellIs" dxfId="5974" priority="20373" operator="equal">
      <formula>"value일 미도래"</formula>
    </cfRule>
  </conditionalFormatting>
  <conditionalFormatting sqref="M148">
    <cfRule type="cellIs" dxfId="5973" priority="20372" operator="equal">
      <formula>"value일 미도래"</formula>
    </cfRule>
  </conditionalFormatting>
  <conditionalFormatting sqref="M148">
    <cfRule type="cellIs" dxfId="5972" priority="20371" operator="equal">
      <formula>"value일 미도래"</formula>
    </cfRule>
  </conditionalFormatting>
  <conditionalFormatting sqref="M148">
    <cfRule type="cellIs" dxfId="5971" priority="20370" operator="equal">
      <formula>"value일 미도래"</formula>
    </cfRule>
  </conditionalFormatting>
  <conditionalFormatting sqref="M148">
    <cfRule type="cellIs" dxfId="5970" priority="20368" operator="equal">
      <formula>"value일 미도래"</formula>
    </cfRule>
  </conditionalFormatting>
  <conditionalFormatting sqref="M148">
    <cfRule type="cellIs" dxfId="5969" priority="20367" operator="equal">
      <formula>"value일 미도래"</formula>
    </cfRule>
  </conditionalFormatting>
  <conditionalFormatting sqref="M148">
    <cfRule type="cellIs" dxfId="5968" priority="20366" operator="equal">
      <formula>"value일 미도래"</formula>
    </cfRule>
  </conditionalFormatting>
  <conditionalFormatting sqref="M148:M149">
    <cfRule type="cellIs" dxfId="5967" priority="20365" operator="equal">
      <formula>"value일 미도래"</formula>
    </cfRule>
  </conditionalFormatting>
  <conditionalFormatting sqref="M148:M149">
    <cfRule type="cellIs" dxfId="5966" priority="20364" operator="equal">
      <formula>"value일 미도래"</formula>
    </cfRule>
  </conditionalFormatting>
  <conditionalFormatting sqref="M148:M149">
    <cfRule type="cellIs" dxfId="5965" priority="20363" operator="equal">
      <formula>"value일 미도래"</formula>
    </cfRule>
  </conditionalFormatting>
  <conditionalFormatting sqref="M148:M149">
    <cfRule type="cellIs" dxfId="5964" priority="20362" operator="equal">
      <formula>"value일 미도래"</formula>
    </cfRule>
  </conditionalFormatting>
  <conditionalFormatting sqref="M148:M149">
    <cfRule type="cellIs" dxfId="5963" priority="20361" operator="equal">
      <formula>"value일 미도래"</formula>
    </cfRule>
  </conditionalFormatting>
  <conditionalFormatting sqref="M148:M149">
    <cfRule type="cellIs" dxfId="5962" priority="20360" operator="equal">
      <formula>"value일 미도래"</formula>
    </cfRule>
  </conditionalFormatting>
  <conditionalFormatting sqref="M148:M149">
    <cfRule type="cellIs" dxfId="5961" priority="20358" operator="equal">
      <formula>"value일 미도래"</formula>
    </cfRule>
  </conditionalFormatting>
  <conditionalFormatting sqref="M148:M149">
    <cfRule type="cellIs" dxfId="5960" priority="20357" operator="equal">
      <formula>"value일 미도래"</formula>
    </cfRule>
  </conditionalFormatting>
  <conditionalFormatting sqref="M148:M149">
    <cfRule type="cellIs" dxfId="5959" priority="20356" operator="equal">
      <formula>"value일 미도래"</formula>
    </cfRule>
  </conditionalFormatting>
  <conditionalFormatting sqref="M148:M149">
    <cfRule type="cellIs" dxfId="5958" priority="20355" operator="equal">
      <formula>"value일 미도래"</formula>
    </cfRule>
  </conditionalFormatting>
  <conditionalFormatting sqref="M148:M149">
    <cfRule type="cellIs" dxfId="5957" priority="20354" operator="equal">
      <formula>"value일 미도래"</formula>
    </cfRule>
  </conditionalFormatting>
  <conditionalFormatting sqref="M148:M149">
    <cfRule type="cellIs" dxfId="5956" priority="20353" operator="equal">
      <formula>"value일 미도래"</formula>
    </cfRule>
  </conditionalFormatting>
  <conditionalFormatting sqref="M148:M149">
    <cfRule type="cellIs" dxfId="5955" priority="20352" operator="equal">
      <formula>"value일 미도래"</formula>
    </cfRule>
  </conditionalFormatting>
  <conditionalFormatting sqref="M148:M149">
    <cfRule type="cellIs" dxfId="5954" priority="20351" operator="equal">
      <formula>"value일 미도래"</formula>
    </cfRule>
  </conditionalFormatting>
  <conditionalFormatting sqref="M148:M149">
    <cfRule type="cellIs" dxfId="5953" priority="20349" operator="equal">
      <formula>"value일 미도래"</formula>
    </cfRule>
  </conditionalFormatting>
  <conditionalFormatting sqref="M148:M149">
    <cfRule type="cellIs" dxfId="5952" priority="20348" operator="equal">
      <formula>"value일 미도래"</formula>
    </cfRule>
  </conditionalFormatting>
  <conditionalFormatting sqref="M148:M149">
    <cfRule type="cellIs" dxfId="5951" priority="20347" operator="equal">
      <formula>"value일 미도래"</formula>
    </cfRule>
  </conditionalFormatting>
  <conditionalFormatting sqref="M148:M149">
    <cfRule type="cellIs" dxfId="5950" priority="20346" operator="equal">
      <formula>"value일 미도래"</formula>
    </cfRule>
  </conditionalFormatting>
  <conditionalFormatting sqref="M148:M149">
    <cfRule type="cellIs" dxfId="5949" priority="20345" operator="equal">
      <formula>"value일 미도래"</formula>
    </cfRule>
  </conditionalFormatting>
  <conditionalFormatting sqref="M148:M149">
    <cfRule type="cellIs" dxfId="5948" priority="20344" operator="equal">
      <formula>"value일 미도래"</formula>
    </cfRule>
  </conditionalFormatting>
  <conditionalFormatting sqref="M148:M149">
    <cfRule type="cellIs" dxfId="5947" priority="20343" operator="equal">
      <formula>"value일 미도래"</formula>
    </cfRule>
  </conditionalFormatting>
  <conditionalFormatting sqref="M148:M149">
    <cfRule type="cellIs" dxfId="5946" priority="20342" operator="equal">
      <formula>"value일 미도래"</formula>
    </cfRule>
  </conditionalFormatting>
  <conditionalFormatting sqref="M148:M149">
    <cfRule type="cellIs" dxfId="5945" priority="20341" operator="equal">
      <formula>"value일 미도래"</formula>
    </cfRule>
  </conditionalFormatting>
  <conditionalFormatting sqref="M148:M149">
    <cfRule type="cellIs" dxfId="5944" priority="20340" operator="equal">
      <formula>"value일 미도래"</formula>
    </cfRule>
  </conditionalFormatting>
  <conditionalFormatting sqref="M148:M149">
    <cfRule type="cellIs" dxfId="5943" priority="20339" operator="equal">
      <formula>"value일 미도래"</formula>
    </cfRule>
  </conditionalFormatting>
  <conditionalFormatting sqref="M148:M149">
    <cfRule type="cellIs" dxfId="5942" priority="20337" operator="equal">
      <formula>"value일 미도래"</formula>
    </cfRule>
  </conditionalFormatting>
  <conditionalFormatting sqref="M148:M149">
    <cfRule type="cellIs" dxfId="5941" priority="20336" operator="equal">
      <formula>"value일 미도래"</formula>
    </cfRule>
  </conditionalFormatting>
  <conditionalFormatting sqref="M148:M149">
    <cfRule type="cellIs" dxfId="5940" priority="20335" operator="equal">
      <formula>"value일 미도래"</formula>
    </cfRule>
  </conditionalFormatting>
  <conditionalFormatting sqref="M148:M149">
    <cfRule type="cellIs" dxfId="5939" priority="20334" operator="equal">
      <formula>"value일 미도래"</formula>
    </cfRule>
  </conditionalFormatting>
  <conditionalFormatting sqref="M148:M149">
    <cfRule type="cellIs" dxfId="5938" priority="20333" operator="equal">
      <formula>"value일 미도래"</formula>
    </cfRule>
  </conditionalFormatting>
  <conditionalFormatting sqref="M148:M149">
    <cfRule type="cellIs" dxfId="5937" priority="20332" operator="equal">
      <formula>"value일 미도래"</formula>
    </cfRule>
  </conditionalFormatting>
  <conditionalFormatting sqref="M148:M149">
    <cfRule type="cellIs" dxfId="5936" priority="20331" operator="equal">
      <formula>"value일 미도래"</formula>
    </cfRule>
  </conditionalFormatting>
  <conditionalFormatting sqref="M148:M149">
    <cfRule type="cellIs" dxfId="5935" priority="20330" operator="equal">
      <formula>"value일 미도래"</formula>
    </cfRule>
  </conditionalFormatting>
  <conditionalFormatting sqref="M148:M149">
    <cfRule type="cellIs" dxfId="5934" priority="20329" operator="equal">
      <formula>"value일 미도래"</formula>
    </cfRule>
  </conditionalFormatting>
  <conditionalFormatting sqref="M148:M149">
    <cfRule type="cellIs" dxfId="5933" priority="20328" operator="equal">
      <formula>"value일 미도래"</formula>
    </cfRule>
  </conditionalFormatting>
  <conditionalFormatting sqref="M148:M149">
    <cfRule type="cellIs" dxfId="5932" priority="20327" operator="equal">
      <formula>"value일 미도래"</formula>
    </cfRule>
  </conditionalFormatting>
  <conditionalFormatting sqref="M148:M149">
    <cfRule type="cellIs" dxfId="5931" priority="20325" operator="equal">
      <formula>"value일 미도래"</formula>
    </cfRule>
  </conditionalFormatting>
  <conditionalFormatting sqref="M148:M149">
    <cfRule type="cellIs" dxfId="5930" priority="20324" operator="equal">
      <formula>"value일 미도래"</formula>
    </cfRule>
  </conditionalFormatting>
  <conditionalFormatting sqref="M148:M149">
    <cfRule type="cellIs" dxfId="5929" priority="20323" operator="equal">
      <formula>"value일 미도래"</formula>
    </cfRule>
  </conditionalFormatting>
  <conditionalFormatting sqref="M148">
    <cfRule type="cellIs" dxfId="5928" priority="20322" operator="equal">
      <formula>"value일 미도래"</formula>
    </cfRule>
  </conditionalFormatting>
  <conditionalFormatting sqref="M148">
    <cfRule type="cellIs" dxfId="5927" priority="20321" operator="equal">
      <formula>"value일 미도래"</formula>
    </cfRule>
  </conditionalFormatting>
  <conditionalFormatting sqref="M148:M149">
    <cfRule type="cellIs" dxfId="5926" priority="20320" operator="equal">
      <formula>"value일 미도래"</formula>
    </cfRule>
  </conditionalFormatting>
  <conditionalFormatting sqref="M148:M149">
    <cfRule type="cellIs" dxfId="5925" priority="20319" operator="equal">
      <formula>"value일 미도래"</formula>
    </cfRule>
  </conditionalFormatting>
  <conditionalFormatting sqref="M148:M149">
    <cfRule type="cellIs" dxfId="5924" priority="20318" operator="equal">
      <formula>"value일 미도래"</formula>
    </cfRule>
  </conditionalFormatting>
  <conditionalFormatting sqref="M148">
    <cfRule type="cellIs" dxfId="5923" priority="20317" operator="equal">
      <formula>"value일 미도래"</formula>
    </cfRule>
  </conditionalFormatting>
  <conditionalFormatting sqref="M148">
    <cfRule type="cellIs" dxfId="5922" priority="20316" operator="equal">
      <formula>"value일 미도래"</formula>
    </cfRule>
  </conditionalFormatting>
  <conditionalFormatting sqref="M148">
    <cfRule type="cellIs" dxfId="5921" priority="20315" operator="equal">
      <formula>"value일 미도래"</formula>
    </cfRule>
  </conditionalFormatting>
  <conditionalFormatting sqref="M148">
    <cfRule type="cellIs" dxfId="5920" priority="20314" operator="equal">
      <formula>"value일 미도래"</formula>
    </cfRule>
  </conditionalFormatting>
  <conditionalFormatting sqref="M148">
    <cfRule type="cellIs" dxfId="5919" priority="20313" operator="equal">
      <formula>"value일 미도래"</formula>
    </cfRule>
  </conditionalFormatting>
  <conditionalFormatting sqref="M148">
    <cfRule type="cellIs" dxfId="5918" priority="20312" operator="equal">
      <formula>"value일 미도래"</formula>
    </cfRule>
  </conditionalFormatting>
  <conditionalFormatting sqref="M148">
    <cfRule type="cellIs" dxfId="5917" priority="20311" operator="equal">
      <formula>"value일 미도래"</formula>
    </cfRule>
  </conditionalFormatting>
  <conditionalFormatting sqref="M148">
    <cfRule type="cellIs" dxfId="5916" priority="20310" operator="equal">
      <formula>"value일 미도래"</formula>
    </cfRule>
  </conditionalFormatting>
  <conditionalFormatting sqref="M148">
    <cfRule type="cellIs" dxfId="5915" priority="20309" operator="equal">
      <formula>"value일 미도래"</formula>
    </cfRule>
  </conditionalFormatting>
  <conditionalFormatting sqref="M148">
    <cfRule type="cellIs" dxfId="5914" priority="20307" operator="equal">
      <formula>"value일 미도래"</formula>
    </cfRule>
  </conditionalFormatting>
  <conditionalFormatting sqref="M148">
    <cfRule type="cellIs" dxfId="5913" priority="20306" operator="equal">
      <formula>"value일 미도래"</formula>
    </cfRule>
  </conditionalFormatting>
  <conditionalFormatting sqref="M148">
    <cfRule type="cellIs" dxfId="5912" priority="20305" operator="equal">
      <formula>"value일 미도래"</formula>
    </cfRule>
  </conditionalFormatting>
  <conditionalFormatting sqref="M148:M149">
    <cfRule type="cellIs" dxfId="5911" priority="20304" operator="equal">
      <formula>"value일 미도래"</formula>
    </cfRule>
  </conditionalFormatting>
  <conditionalFormatting sqref="M148:M149">
    <cfRule type="cellIs" dxfId="5910" priority="20303" operator="equal">
      <formula>"value일 미도래"</formula>
    </cfRule>
  </conditionalFormatting>
  <conditionalFormatting sqref="M148:M149">
    <cfRule type="cellIs" dxfId="5909" priority="20302" operator="equal">
      <formula>"value일 미도래"</formula>
    </cfRule>
  </conditionalFormatting>
  <conditionalFormatting sqref="M148">
    <cfRule type="cellIs" dxfId="5908" priority="20301" operator="equal">
      <formula>"value일 미도래"</formula>
    </cfRule>
  </conditionalFormatting>
  <conditionalFormatting sqref="M148">
    <cfRule type="cellIs" dxfId="5907" priority="20300" operator="equal">
      <formula>"value일 미도래"</formula>
    </cfRule>
  </conditionalFormatting>
  <conditionalFormatting sqref="M148">
    <cfRule type="cellIs" dxfId="5906" priority="20299" operator="equal">
      <formula>"value일 미도래"</formula>
    </cfRule>
  </conditionalFormatting>
  <conditionalFormatting sqref="M148:M149">
    <cfRule type="cellIs" dxfId="5905" priority="20298" operator="equal">
      <formula>"value일 미도래"</formula>
    </cfRule>
  </conditionalFormatting>
  <conditionalFormatting sqref="M148:M149">
    <cfRule type="cellIs" dxfId="5904" priority="20297" operator="equal">
      <formula>"value일 미도래"</formula>
    </cfRule>
  </conditionalFormatting>
  <conditionalFormatting sqref="M148:M149">
    <cfRule type="cellIs" dxfId="5903" priority="20296" operator="equal">
      <formula>"value일 미도래"</formula>
    </cfRule>
  </conditionalFormatting>
  <conditionalFormatting sqref="M148">
    <cfRule type="cellIs" dxfId="5902" priority="20295" operator="equal">
      <formula>"value일 미도래"</formula>
    </cfRule>
  </conditionalFormatting>
  <conditionalFormatting sqref="M148">
    <cfRule type="cellIs" dxfId="5901" priority="20294" operator="equal">
      <formula>"value일 미도래"</formula>
    </cfRule>
  </conditionalFormatting>
  <conditionalFormatting sqref="M148">
    <cfRule type="cellIs" dxfId="5900" priority="20293" operator="equal">
      <formula>"value일 미도래"</formula>
    </cfRule>
  </conditionalFormatting>
  <conditionalFormatting sqref="M148">
    <cfRule type="cellIs" dxfId="5899" priority="20292" operator="equal">
      <formula>"value일 미도래"</formula>
    </cfRule>
  </conditionalFormatting>
  <conditionalFormatting sqref="M148">
    <cfRule type="cellIs" dxfId="5898" priority="20291" operator="equal">
      <formula>"value일 미도래"</formula>
    </cfRule>
  </conditionalFormatting>
  <conditionalFormatting sqref="M148:M149">
    <cfRule type="cellIs" dxfId="5897" priority="20290" operator="equal">
      <formula>"value일 미도래"</formula>
    </cfRule>
  </conditionalFormatting>
  <conditionalFormatting sqref="M148:M149">
    <cfRule type="cellIs" dxfId="5896" priority="20289" operator="equal">
      <formula>"value일 미도래"</formula>
    </cfRule>
  </conditionalFormatting>
  <conditionalFormatting sqref="M148:M149">
    <cfRule type="cellIs" dxfId="5895" priority="20288" operator="equal">
      <formula>"value일 미도래"</formula>
    </cfRule>
  </conditionalFormatting>
  <conditionalFormatting sqref="M148">
    <cfRule type="cellIs" dxfId="5894" priority="20287" operator="equal">
      <formula>"value일 미도래"</formula>
    </cfRule>
  </conditionalFormatting>
  <conditionalFormatting sqref="M148">
    <cfRule type="cellIs" dxfId="5893" priority="20286" operator="equal">
      <formula>"value일 미도래"</formula>
    </cfRule>
  </conditionalFormatting>
  <conditionalFormatting sqref="M148">
    <cfRule type="cellIs" dxfId="5892" priority="20285" operator="equal">
      <formula>"value일 미도래"</formula>
    </cfRule>
  </conditionalFormatting>
  <conditionalFormatting sqref="M148">
    <cfRule type="cellIs" dxfId="5891" priority="20284" operator="equal">
      <formula>"value일 미도래"</formula>
    </cfRule>
  </conditionalFormatting>
  <conditionalFormatting sqref="M148">
    <cfRule type="cellIs" dxfId="5890" priority="20283" operator="equal">
      <formula>"value일 미도래"</formula>
    </cfRule>
  </conditionalFormatting>
  <conditionalFormatting sqref="M148">
    <cfRule type="cellIs" dxfId="5889" priority="20282" operator="equal">
      <formula>"value일 미도래"</formula>
    </cfRule>
  </conditionalFormatting>
  <conditionalFormatting sqref="M148">
    <cfRule type="cellIs" dxfId="5888" priority="20281" operator="equal">
      <formula>"value일 미도래"</formula>
    </cfRule>
  </conditionalFormatting>
  <conditionalFormatting sqref="M148">
    <cfRule type="cellIs" dxfId="5887" priority="20280" operator="equal">
      <formula>"value일 미도래"</formula>
    </cfRule>
  </conditionalFormatting>
  <conditionalFormatting sqref="M148">
    <cfRule type="cellIs" dxfId="5886" priority="20279" operator="equal">
      <formula>"value일 미도래"</formula>
    </cfRule>
  </conditionalFormatting>
  <conditionalFormatting sqref="M148">
    <cfRule type="cellIs" dxfId="5885" priority="20277" operator="equal">
      <formula>"value일 미도래"</formula>
    </cfRule>
  </conditionalFormatting>
  <conditionalFormatting sqref="M148">
    <cfRule type="cellIs" dxfId="5884" priority="20276" operator="equal">
      <formula>"value일 미도래"</formula>
    </cfRule>
  </conditionalFormatting>
  <conditionalFormatting sqref="M148">
    <cfRule type="cellIs" dxfId="5883" priority="20275" operator="equal">
      <formula>"value일 미도래"</formula>
    </cfRule>
  </conditionalFormatting>
  <conditionalFormatting sqref="M148:M149">
    <cfRule type="cellIs" dxfId="5882" priority="20274" operator="equal">
      <formula>"value일 미도래"</formula>
    </cfRule>
  </conditionalFormatting>
  <conditionalFormatting sqref="M148:M149">
    <cfRule type="cellIs" dxfId="5881" priority="20273" operator="equal">
      <formula>"value일 미도래"</formula>
    </cfRule>
  </conditionalFormatting>
  <conditionalFormatting sqref="M148:M149">
    <cfRule type="cellIs" dxfId="5880" priority="20272" operator="equal">
      <formula>"value일 미도래"</formula>
    </cfRule>
  </conditionalFormatting>
  <conditionalFormatting sqref="M148">
    <cfRule type="cellIs" dxfId="5879" priority="20271" operator="equal">
      <formula>"value일 미도래"</formula>
    </cfRule>
  </conditionalFormatting>
  <conditionalFormatting sqref="M148">
    <cfRule type="cellIs" dxfId="5878" priority="20270" operator="equal">
      <formula>"value일 미도래"</formula>
    </cfRule>
  </conditionalFormatting>
  <conditionalFormatting sqref="M148">
    <cfRule type="cellIs" dxfId="5877" priority="20269" operator="equal">
      <formula>"value일 미도래"</formula>
    </cfRule>
  </conditionalFormatting>
  <conditionalFormatting sqref="M148:M149">
    <cfRule type="cellIs" dxfId="5876" priority="20268" operator="equal">
      <formula>"value일 미도래"</formula>
    </cfRule>
  </conditionalFormatting>
  <conditionalFormatting sqref="M148:M149">
    <cfRule type="cellIs" dxfId="5875" priority="20267" operator="equal">
      <formula>"value일 미도래"</formula>
    </cfRule>
  </conditionalFormatting>
  <conditionalFormatting sqref="M148:M149">
    <cfRule type="cellIs" dxfId="5874" priority="20266" operator="equal">
      <formula>"value일 미도래"</formula>
    </cfRule>
  </conditionalFormatting>
  <conditionalFormatting sqref="M148">
    <cfRule type="cellIs" dxfId="5873" priority="20265" operator="equal">
      <formula>"value일 미도래"</formula>
    </cfRule>
  </conditionalFormatting>
  <conditionalFormatting sqref="M148">
    <cfRule type="cellIs" dxfId="5872" priority="20264" operator="equal">
      <formula>"value일 미도래"</formula>
    </cfRule>
  </conditionalFormatting>
  <conditionalFormatting sqref="M148">
    <cfRule type="cellIs" dxfId="5871" priority="20263" operator="equal">
      <formula>"value일 미도래"</formula>
    </cfRule>
  </conditionalFormatting>
  <conditionalFormatting sqref="M148">
    <cfRule type="cellIs" dxfId="5870" priority="20262" operator="equal">
      <formula>"value일 미도래"</formula>
    </cfRule>
  </conditionalFormatting>
  <conditionalFormatting sqref="M148">
    <cfRule type="cellIs" dxfId="5869" priority="20261" operator="equal">
      <formula>"value일 미도래"</formula>
    </cfRule>
  </conditionalFormatting>
  <conditionalFormatting sqref="M148">
    <cfRule type="cellIs" dxfId="5868" priority="20260" operator="equal">
      <formula>"value일 미도래"</formula>
    </cfRule>
  </conditionalFormatting>
  <conditionalFormatting sqref="M148">
    <cfRule type="cellIs" dxfId="5867" priority="20259" operator="equal">
      <formula>"value일 미도래"</formula>
    </cfRule>
  </conditionalFormatting>
  <conditionalFormatting sqref="M148">
    <cfRule type="cellIs" dxfId="5866" priority="20258" operator="equal">
      <formula>"value일 미도래"</formula>
    </cfRule>
  </conditionalFormatting>
  <conditionalFormatting sqref="M148">
    <cfRule type="cellIs" dxfId="5865" priority="20257" operator="equal">
      <formula>"value일 미도래"</formula>
    </cfRule>
  </conditionalFormatting>
  <conditionalFormatting sqref="M148">
    <cfRule type="cellIs" dxfId="5864" priority="20256" operator="equal">
      <formula>"value일 미도래"</formula>
    </cfRule>
  </conditionalFormatting>
  <conditionalFormatting sqref="M148">
    <cfRule type="cellIs" dxfId="5863" priority="20255" operator="equal">
      <formula>"value일 미도래"</formula>
    </cfRule>
  </conditionalFormatting>
  <conditionalFormatting sqref="M148">
    <cfRule type="cellIs" dxfId="5862" priority="20254" operator="equal">
      <formula>"value일 미도래"</formula>
    </cfRule>
  </conditionalFormatting>
  <conditionalFormatting sqref="M148">
    <cfRule type="cellIs" dxfId="5861" priority="20253" operator="equal">
      <formula>"value일 미도래"</formula>
    </cfRule>
  </conditionalFormatting>
  <conditionalFormatting sqref="M148">
    <cfRule type="cellIs" dxfId="5860" priority="20252" operator="equal">
      <formula>"value일 미도래"</formula>
    </cfRule>
  </conditionalFormatting>
  <conditionalFormatting sqref="M148">
    <cfRule type="cellIs" dxfId="5859" priority="20251" operator="equal">
      <formula>"value일 미도래"</formula>
    </cfRule>
  </conditionalFormatting>
  <conditionalFormatting sqref="M148">
    <cfRule type="cellIs" dxfId="5858" priority="20250" operator="equal">
      <formula>"value일 미도래"</formula>
    </cfRule>
  </conditionalFormatting>
  <conditionalFormatting sqref="M148">
    <cfRule type="cellIs" dxfId="5857" priority="20249" operator="equal">
      <formula>"value일 미도래"</formula>
    </cfRule>
  </conditionalFormatting>
  <conditionalFormatting sqref="M148">
    <cfRule type="cellIs" dxfId="5856" priority="20247" operator="equal">
      <formula>"value일 미도래"</formula>
    </cfRule>
  </conditionalFormatting>
  <conditionalFormatting sqref="M148">
    <cfRule type="cellIs" dxfId="5855" priority="20246" operator="equal">
      <formula>"value일 미도래"</formula>
    </cfRule>
  </conditionalFormatting>
  <conditionalFormatting sqref="M148">
    <cfRule type="cellIs" dxfId="5854" priority="20245" operator="equal">
      <formula>"value일 미도래"</formula>
    </cfRule>
  </conditionalFormatting>
  <conditionalFormatting sqref="M148">
    <cfRule type="cellIs" dxfId="5853" priority="20244" operator="equal">
      <formula>"value일 미도래"</formula>
    </cfRule>
  </conditionalFormatting>
  <conditionalFormatting sqref="M148">
    <cfRule type="cellIs" dxfId="5852" priority="20243" operator="equal">
      <formula>"value일 미도래"</formula>
    </cfRule>
  </conditionalFormatting>
  <conditionalFormatting sqref="M148">
    <cfRule type="cellIs" dxfId="5851" priority="20242" operator="equal">
      <formula>"value일 미도래"</formula>
    </cfRule>
  </conditionalFormatting>
  <conditionalFormatting sqref="M148">
    <cfRule type="cellIs" dxfId="5850" priority="20241" operator="equal">
      <formula>"value일 미도래"</formula>
    </cfRule>
  </conditionalFormatting>
  <conditionalFormatting sqref="M148">
    <cfRule type="cellIs" dxfId="5849" priority="20240" operator="equal">
      <formula>"value일 미도래"</formula>
    </cfRule>
  </conditionalFormatting>
  <conditionalFormatting sqref="M148">
    <cfRule type="cellIs" dxfId="5848" priority="20239" operator="equal">
      <formula>"value일 미도래"</formula>
    </cfRule>
  </conditionalFormatting>
  <conditionalFormatting sqref="M148">
    <cfRule type="cellIs" dxfId="5847" priority="20238" operator="equal">
      <formula>"value일 미도래"</formula>
    </cfRule>
  </conditionalFormatting>
  <conditionalFormatting sqref="M148">
    <cfRule type="cellIs" dxfId="5846" priority="20237" operator="equal">
      <formula>"value일 미도래"</formula>
    </cfRule>
  </conditionalFormatting>
  <conditionalFormatting sqref="M148">
    <cfRule type="cellIs" dxfId="5845" priority="20236" operator="equal">
      <formula>"value일 미도래"</formula>
    </cfRule>
  </conditionalFormatting>
  <conditionalFormatting sqref="M148">
    <cfRule type="cellIs" dxfId="5844" priority="20235" operator="equal">
      <formula>"value일 미도래"</formula>
    </cfRule>
  </conditionalFormatting>
  <conditionalFormatting sqref="M148">
    <cfRule type="cellIs" dxfId="5843" priority="20234" operator="equal">
      <formula>"value일 미도래"</formula>
    </cfRule>
  </conditionalFormatting>
  <conditionalFormatting sqref="M148">
    <cfRule type="cellIs" dxfId="5842" priority="20233" operator="equal">
      <formula>"value일 미도래"</formula>
    </cfRule>
  </conditionalFormatting>
  <conditionalFormatting sqref="M148">
    <cfRule type="cellIs" dxfId="5841" priority="20232" operator="equal">
      <formula>"value일 미도래"</formula>
    </cfRule>
  </conditionalFormatting>
  <conditionalFormatting sqref="M148">
    <cfRule type="cellIs" dxfId="5840" priority="20231" operator="equal">
      <formula>"value일 미도래"</formula>
    </cfRule>
  </conditionalFormatting>
  <conditionalFormatting sqref="M148">
    <cfRule type="cellIs" dxfId="5839" priority="20230" operator="equal">
      <formula>"value일 미도래"</formula>
    </cfRule>
  </conditionalFormatting>
  <conditionalFormatting sqref="M148">
    <cfRule type="cellIs" dxfId="5838" priority="20229" operator="equal">
      <formula>"value일 미도래"</formula>
    </cfRule>
  </conditionalFormatting>
  <conditionalFormatting sqref="M148:M149">
    <cfRule type="cellIs" dxfId="5837" priority="20228" operator="equal">
      <formula>"value일 미도래"</formula>
    </cfRule>
  </conditionalFormatting>
  <conditionalFormatting sqref="M148:M149">
    <cfRule type="cellIs" dxfId="5836" priority="20227" operator="equal">
      <formula>"value일 미도래"</formula>
    </cfRule>
  </conditionalFormatting>
  <conditionalFormatting sqref="M148:M149">
    <cfRule type="cellIs" dxfId="5835" priority="20226" operator="equal">
      <formula>"value일 미도래"</formula>
    </cfRule>
  </conditionalFormatting>
  <conditionalFormatting sqref="M148:M149">
    <cfRule type="cellIs" dxfId="5834" priority="20225" operator="equal">
      <formula>"value일 미도래"</formula>
    </cfRule>
  </conditionalFormatting>
  <conditionalFormatting sqref="M148:M149">
    <cfRule type="cellIs" dxfId="5833" priority="20224" operator="equal">
      <formula>"value일 미도래"</formula>
    </cfRule>
  </conditionalFormatting>
  <conditionalFormatting sqref="M148:M149">
    <cfRule type="cellIs" dxfId="5832" priority="20223" operator="equal">
      <formula>"value일 미도래"</formula>
    </cfRule>
  </conditionalFormatting>
  <conditionalFormatting sqref="M148:M149">
    <cfRule type="cellIs" dxfId="5831" priority="20221" operator="equal">
      <formula>"value일 미도래"</formula>
    </cfRule>
  </conditionalFormatting>
  <conditionalFormatting sqref="M148:M149">
    <cfRule type="cellIs" dxfId="5830" priority="20220" operator="equal">
      <formula>"value일 미도래"</formula>
    </cfRule>
  </conditionalFormatting>
  <conditionalFormatting sqref="M148:M149">
    <cfRule type="cellIs" dxfId="5829" priority="20219" operator="equal">
      <formula>"value일 미도래"</formula>
    </cfRule>
  </conditionalFormatting>
  <conditionalFormatting sqref="M148:M149">
    <cfRule type="cellIs" dxfId="5828" priority="20218" operator="equal">
      <formula>"value일 미도래"</formula>
    </cfRule>
  </conditionalFormatting>
  <conditionalFormatting sqref="M148:M149">
    <cfRule type="cellIs" dxfId="5827" priority="20217" operator="equal">
      <formula>"value일 미도래"</formula>
    </cfRule>
  </conditionalFormatting>
  <conditionalFormatting sqref="M148:M149">
    <cfRule type="cellIs" dxfId="5826" priority="20216" operator="equal">
      <formula>"value일 미도래"</formula>
    </cfRule>
  </conditionalFormatting>
  <conditionalFormatting sqref="M148:M149">
    <cfRule type="cellIs" dxfId="5825" priority="20215" operator="equal">
      <formula>"value일 미도래"</formula>
    </cfRule>
  </conditionalFormatting>
  <conditionalFormatting sqref="M148:M149">
    <cfRule type="cellIs" dxfId="5824" priority="20214" operator="equal">
      <formula>"value일 미도래"</formula>
    </cfRule>
  </conditionalFormatting>
  <conditionalFormatting sqref="M148:M149">
    <cfRule type="cellIs" dxfId="5823" priority="20212" operator="equal">
      <formula>"value일 미도래"</formula>
    </cfRule>
  </conditionalFormatting>
  <conditionalFormatting sqref="M148:M149">
    <cfRule type="cellIs" dxfId="5822" priority="20211" operator="equal">
      <formula>"value일 미도래"</formula>
    </cfRule>
  </conditionalFormatting>
  <conditionalFormatting sqref="M148:M149">
    <cfRule type="cellIs" dxfId="5821" priority="20210" operator="equal">
      <formula>"value일 미도래"</formula>
    </cfRule>
  </conditionalFormatting>
  <conditionalFormatting sqref="M148:M149">
    <cfRule type="cellIs" dxfId="5820" priority="20209" operator="equal">
      <formula>"value일 미도래"</formula>
    </cfRule>
  </conditionalFormatting>
  <conditionalFormatting sqref="M148:M149">
    <cfRule type="cellIs" dxfId="5819" priority="20208" operator="equal">
      <formula>"value일 미도래"</formula>
    </cfRule>
  </conditionalFormatting>
  <conditionalFormatting sqref="M148:M149">
    <cfRule type="cellIs" dxfId="5818" priority="20207" operator="equal">
      <formula>"value일 미도래"</formula>
    </cfRule>
  </conditionalFormatting>
  <conditionalFormatting sqref="M148:M149">
    <cfRule type="cellIs" dxfId="5817" priority="20206" operator="equal">
      <formula>"value일 미도래"</formula>
    </cfRule>
  </conditionalFormatting>
  <conditionalFormatting sqref="M148:M149">
    <cfRule type="cellIs" dxfId="5816" priority="20205" operator="equal">
      <formula>"value일 미도래"</formula>
    </cfRule>
  </conditionalFormatting>
  <conditionalFormatting sqref="M148:M149">
    <cfRule type="cellIs" dxfId="5815" priority="20204" operator="equal">
      <formula>"value일 미도래"</formula>
    </cfRule>
  </conditionalFormatting>
  <conditionalFormatting sqref="M148:M149">
    <cfRule type="cellIs" dxfId="5814" priority="20203" operator="equal">
      <formula>"value일 미도래"</formula>
    </cfRule>
  </conditionalFormatting>
  <conditionalFormatting sqref="M148:M149">
    <cfRule type="cellIs" dxfId="5813" priority="20202" operator="equal">
      <formula>"value일 미도래"</formula>
    </cfRule>
  </conditionalFormatting>
  <conditionalFormatting sqref="M148:M149">
    <cfRule type="cellIs" dxfId="5812" priority="20200" operator="equal">
      <formula>"value일 미도래"</formula>
    </cfRule>
  </conditionalFormatting>
  <conditionalFormatting sqref="M148:M149">
    <cfRule type="cellIs" dxfId="5811" priority="20199" operator="equal">
      <formula>"value일 미도래"</formula>
    </cfRule>
  </conditionalFormatting>
  <conditionalFormatting sqref="M148:M149">
    <cfRule type="cellIs" dxfId="5810" priority="20198" operator="equal">
      <formula>"value일 미도래"</formula>
    </cfRule>
  </conditionalFormatting>
  <conditionalFormatting sqref="M148:M149">
    <cfRule type="cellIs" dxfId="5809" priority="20197" operator="equal">
      <formula>"value일 미도래"</formula>
    </cfRule>
  </conditionalFormatting>
  <conditionalFormatting sqref="M148:M149">
    <cfRule type="cellIs" dxfId="5808" priority="20196" operator="equal">
      <formula>"value일 미도래"</formula>
    </cfRule>
  </conditionalFormatting>
  <conditionalFormatting sqref="M148:M149">
    <cfRule type="cellIs" dxfId="5807" priority="20195" operator="equal">
      <formula>"value일 미도래"</formula>
    </cfRule>
  </conditionalFormatting>
  <conditionalFormatting sqref="M148:M149">
    <cfRule type="cellIs" dxfId="5806" priority="20194" operator="equal">
      <formula>"value일 미도래"</formula>
    </cfRule>
  </conditionalFormatting>
  <conditionalFormatting sqref="M148:M149">
    <cfRule type="cellIs" dxfId="5805" priority="20193" operator="equal">
      <formula>"value일 미도래"</formula>
    </cfRule>
  </conditionalFormatting>
  <conditionalFormatting sqref="M148:M149">
    <cfRule type="cellIs" dxfId="5804" priority="20192" operator="equal">
      <formula>"value일 미도래"</formula>
    </cfRule>
  </conditionalFormatting>
  <conditionalFormatting sqref="M148:M149">
    <cfRule type="cellIs" dxfId="5803" priority="20191" operator="equal">
      <formula>"value일 미도래"</formula>
    </cfRule>
  </conditionalFormatting>
  <conditionalFormatting sqref="M148:M149">
    <cfRule type="cellIs" dxfId="5802" priority="20190" operator="equal">
      <formula>"value일 미도래"</formula>
    </cfRule>
  </conditionalFormatting>
  <conditionalFormatting sqref="M148:M149">
    <cfRule type="cellIs" dxfId="5801" priority="20188" operator="equal">
      <formula>"value일 미도래"</formula>
    </cfRule>
  </conditionalFormatting>
  <conditionalFormatting sqref="M148:M149">
    <cfRule type="cellIs" dxfId="5800" priority="20187" operator="equal">
      <formula>"value일 미도래"</formula>
    </cfRule>
  </conditionalFormatting>
  <conditionalFormatting sqref="M148:M149">
    <cfRule type="cellIs" dxfId="5799" priority="20186" operator="equal">
      <formula>"value일 미도래"</formula>
    </cfRule>
  </conditionalFormatting>
  <conditionalFormatting sqref="M148:M149">
    <cfRule type="cellIs" dxfId="5798" priority="20185" operator="equal">
      <formula>"value일 미도래"</formula>
    </cfRule>
  </conditionalFormatting>
  <conditionalFormatting sqref="M148:M149">
    <cfRule type="cellIs" dxfId="5797" priority="20184" operator="equal">
      <formula>"value일 미도래"</formula>
    </cfRule>
  </conditionalFormatting>
  <conditionalFormatting sqref="M148:M149">
    <cfRule type="cellIs" dxfId="5796" priority="20183" operator="equal">
      <formula>"value일 미도래"</formula>
    </cfRule>
  </conditionalFormatting>
  <conditionalFormatting sqref="M148:M149">
    <cfRule type="cellIs" dxfId="5795" priority="20182" operator="equal">
      <formula>"value일 미도래"</formula>
    </cfRule>
  </conditionalFormatting>
  <conditionalFormatting sqref="M148:M149">
    <cfRule type="cellIs" dxfId="5794" priority="20181" operator="equal">
      <formula>"value일 미도래"</formula>
    </cfRule>
  </conditionalFormatting>
  <conditionalFormatting sqref="M148:M149">
    <cfRule type="cellIs" dxfId="5793" priority="20180" operator="equal">
      <formula>"value일 미도래"</formula>
    </cfRule>
  </conditionalFormatting>
  <conditionalFormatting sqref="M148:M149">
    <cfRule type="cellIs" dxfId="5792" priority="20179" operator="equal">
      <formula>"value일 미도래"</formula>
    </cfRule>
  </conditionalFormatting>
  <conditionalFormatting sqref="M148:M149">
    <cfRule type="cellIs" dxfId="5791" priority="20178" operator="equal">
      <formula>"value일 미도래"</formula>
    </cfRule>
  </conditionalFormatting>
  <conditionalFormatting sqref="M148:M149">
    <cfRule type="cellIs" dxfId="5790" priority="20177" operator="equal">
      <formula>"value일 미도래"</formula>
    </cfRule>
  </conditionalFormatting>
  <conditionalFormatting sqref="M148:M149">
    <cfRule type="cellIs" dxfId="5789" priority="20176" operator="equal">
      <formula>"value일 미도래"</formula>
    </cfRule>
  </conditionalFormatting>
  <conditionalFormatting sqref="M148:M149">
    <cfRule type="cellIs" dxfId="5788" priority="20175" operator="equal">
      <formula>"value일 미도래"</formula>
    </cfRule>
  </conditionalFormatting>
  <conditionalFormatting sqref="M148:M149">
    <cfRule type="cellIs" dxfId="5787" priority="20173" operator="equal">
      <formula>"value일 미도래"</formula>
    </cfRule>
  </conditionalFormatting>
  <conditionalFormatting sqref="M148:M149">
    <cfRule type="cellIs" dxfId="5786" priority="20172" operator="equal">
      <formula>"value일 미도래"</formula>
    </cfRule>
  </conditionalFormatting>
  <conditionalFormatting sqref="M148:M149">
    <cfRule type="cellIs" dxfId="5785" priority="20171" operator="equal">
      <formula>"value일 미도래"</formula>
    </cfRule>
  </conditionalFormatting>
  <conditionalFormatting sqref="M148:M149">
    <cfRule type="cellIs" dxfId="5784" priority="20170" operator="equal">
      <formula>"value일 미도래"</formula>
    </cfRule>
  </conditionalFormatting>
  <conditionalFormatting sqref="M148:M149">
    <cfRule type="cellIs" dxfId="5783" priority="20169" operator="equal">
      <formula>"value일 미도래"</formula>
    </cfRule>
  </conditionalFormatting>
  <conditionalFormatting sqref="M148:M149">
    <cfRule type="cellIs" dxfId="5782" priority="20168" operator="equal">
      <formula>"value일 미도래"</formula>
    </cfRule>
  </conditionalFormatting>
  <conditionalFormatting sqref="M148:M149">
    <cfRule type="cellIs" dxfId="5781" priority="20167" operator="equal">
      <formula>"value일 미도래"</formula>
    </cfRule>
  </conditionalFormatting>
  <conditionalFormatting sqref="M148:M149">
    <cfRule type="cellIs" dxfId="5780" priority="20166" operator="equal">
      <formula>"value일 미도래"</formula>
    </cfRule>
  </conditionalFormatting>
  <conditionalFormatting sqref="M148:M149">
    <cfRule type="cellIs" dxfId="5779" priority="20165" operator="equal">
      <formula>"value일 미도래"</formula>
    </cfRule>
  </conditionalFormatting>
  <conditionalFormatting sqref="M148:M149">
    <cfRule type="cellIs" dxfId="5778" priority="20164" operator="equal">
      <formula>"value일 미도래"</formula>
    </cfRule>
  </conditionalFormatting>
  <conditionalFormatting sqref="M148:M149">
    <cfRule type="cellIs" dxfId="5777" priority="20163" operator="equal">
      <formula>"value일 미도래"</formula>
    </cfRule>
  </conditionalFormatting>
  <conditionalFormatting sqref="M148:M149">
    <cfRule type="cellIs" dxfId="5776" priority="20162" operator="equal">
      <formula>"value일 미도래"</formula>
    </cfRule>
  </conditionalFormatting>
  <conditionalFormatting sqref="M148:M149">
    <cfRule type="cellIs" dxfId="5775" priority="20161" operator="equal">
      <formula>"value일 미도래"</formula>
    </cfRule>
  </conditionalFormatting>
  <conditionalFormatting sqref="M148:M149">
    <cfRule type="cellIs" dxfId="5774" priority="20160" operator="equal">
      <formula>"value일 미도래"</formula>
    </cfRule>
  </conditionalFormatting>
  <conditionalFormatting sqref="M148:M149">
    <cfRule type="cellIs" dxfId="5773" priority="20159" operator="equal">
      <formula>"value일 미도래"</formula>
    </cfRule>
  </conditionalFormatting>
  <conditionalFormatting sqref="M148:M149">
    <cfRule type="cellIs" dxfId="5772" priority="20158" operator="equal">
      <formula>"value일 미도래"</formula>
    </cfRule>
  </conditionalFormatting>
  <conditionalFormatting sqref="M148:M149">
    <cfRule type="cellIs" dxfId="5771" priority="20157" operator="equal">
      <formula>"value일 미도래"</formula>
    </cfRule>
  </conditionalFormatting>
  <conditionalFormatting sqref="M148:M149">
    <cfRule type="cellIs" dxfId="5770" priority="20156" operator="equal">
      <formula>"value일 미도래"</formula>
    </cfRule>
  </conditionalFormatting>
  <conditionalFormatting sqref="M148:M149">
    <cfRule type="cellIs" dxfId="5769" priority="20155" operator="equal">
      <formula>"value일 미도래"</formula>
    </cfRule>
  </conditionalFormatting>
  <conditionalFormatting sqref="M148:M149">
    <cfRule type="cellIs" dxfId="5768" priority="20154" operator="equal">
      <formula>"value일 미도래"</formula>
    </cfRule>
  </conditionalFormatting>
  <conditionalFormatting sqref="M148:M149">
    <cfRule type="cellIs" dxfId="5767" priority="20152" operator="equal">
      <formula>"value일 미도래"</formula>
    </cfRule>
  </conditionalFormatting>
  <conditionalFormatting sqref="M148:M149">
    <cfRule type="cellIs" dxfId="5766" priority="20151" operator="equal">
      <formula>"value일 미도래"</formula>
    </cfRule>
  </conditionalFormatting>
  <conditionalFormatting sqref="M148:M149">
    <cfRule type="cellIs" dxfId="5765" priority="20150" operator="equal">
      <formula>"value일 미도래"</formula>
    </cfRule>
  </conditionalFormatting>
  <conditionalFormatting sqref="M148:M149">
    <cfRule type="cellIs" dxfId="5764" priority="20149" operator="equal">
      <formula>"value일 미도래"</formula>
    </cfRule>
  </conditionalFormatting>
  <conditionalFormatting sqref="M148:M149">
    <cfRule type="cellIs" dxfId="5763" priority="20148" operator="equal">
      <formula>"value일 미도래"</formula>
    </cfRule>
  </conditionalFormatting>
  <conditionalFormatting sqref="M148:M149">
    <cfRule type="cellIs" dxfId="5762" priority="20147" operator="equal">
      <formula>"value일 미도래"</formula>
    </cfRule>
  </conditionalFormatting>
  <conditionalFormatting sqref="M148:M149">
    <cfRule type="cellIs" dxfId="5761" priority="20146" operator="equal">
      <formula>"value일 미도래"</formula>
    </cfRule>
  </conditionalFormatting>
  <conditionalFormatting sqref="M148:M149">
    <cfRule type="cellIs" dxfId="5760" priority="20145" operator="equal">
      <formula>"value일 미도래"</formula>
    </cfRule>
  </conditionalFormatting>
  <conditionalFormatting sqref="M148:M149">
    <cfRule type="cellIs" dxfId="5759" priority="20144" operator="equal">
      <formula>"value일 미도래"</formula>
    </cfRule>
  </conditionalFormatting>
  <conditionalFormatting sqref="M148:M149">
    <cfRule type="cellIs" dxfId="5758" priority="20143" operator="equal">
      <formula>"value일 미도래"</formula>
    </cfRule>
  </conditionalFormatting>
  <conditionalFormatting sqref="M148:M149">
    <cfRule type="cellIs" dxfId="5757" priority="20142" operator="equal">
      <formula>"value일 미도래"</formula>
    </cfRule>
  </conditionalFormatting>
  <conditionalFormatting sqref="M148:M149">
    <cfRule type="cellIs" dxfId="5756" priority="20141" operator="equal">
      <formula>"value일 미도래"</formula>
    </cfRule>
  </conditionalFormatting>
  <conditionalFormatting sqref="M148:M149">
    <cfRule type="cellIs" dxfId="5755" priority="20140" operator="equal">
      <formula>"value일 미도래"</formula>
    </cfRule>
  </conditionalFormatting>
  <conditionalFormatting sqref="M148:M149">
    <cfRule type="cellIs" dxfId="5754" priority="20139" operator="equal">
      <formula>"value일 미도래"</formula>
    </cfRule>
  </conditionalFormatting>
  <conditionalFormatting sqref="M150:M151">
    <cfRule type="cellIs" dxfId="5753" priority="20138" operator="equal">
      <formula>"value일 미도래"</formula>
    </cfRule>
  </conditionalFormatting>
  <conditionalFormatting sqref="M150:M151">
    <cfRule type="cellIs" dxfId="5752" priority="20137" operator="equal">
      <formula>"value일 미도래"</formula>
    </cfRule>
  </conditionalFormatting>
  <conditionalFormatting sqref="M150:M151">
    <cfRule type="cellIs" dxfId="5751" priority="20136" operator="equal">
      <formula>"value일 미도래"</formula>
    </cfRule>
  </conditionalFormatting>
  <conditionalFormatting sqref="M148:M149">
    <cfRule type="cellIs" dxfId="5750" priority="20135" operator="equal">
      <formula>"value일 미도래"</formula>
    </cfRule>
  </conditionalFormatting>
  <conditionalFormatting sqref="M148:M149">
    <cfRule type="cellIs" dxfId="5749" priority="20134" operator="equal">
      <formula>"value일 미도래"</formula>
    </cfRule>
  </conditionalFormatting>
  <conditionalFormatting sqref="M148:M149">
    <cfRule type="cellIs" dxfId="5748" priority="20133" operator="equal">
      <formula>"value일 미도래"</formula>
    </cfRule>
  </conditionalFormatting>
  <conditionalFormatting sqref="M148:M149">
    <cfRule type="cellIs" dxfId="5747" priority="20132" operator="equal">
      <formula>"value일 미도래"</formula>
    </cfRule>
  </conditionalFormatting>
  <conditionalFormatting sqref="M148:M149">
    <cfRule type="cellIs" dxfId="5746" priority="20131" operator="equal">
      <formula>"value일 미도래"</formula>
    </cfRule>
  </conditionalFormatting>
  <conditionalFormatting sqref="M148:M149">
    <cfRule type="cellIs" dxfId="5745" priority="20130" operator="equal">
      <formula>"value일 미도래"</formula>
    </cfRule>
  </conditionalFormatting>
  <conditionalFormatting sqref="M148:M149">
    <cfRule type="cellIs" dxfId="5744" priority="20129" operator="equal">
      <formula>"value일 미도래"</formula>
    </cfRule>
  </conditionalFormatting>
  <conditionalFormatting sqref="M148:M149">
    <cfRule type="cellIs" dxfId="5743" priority="20128" operator="equal">
      <formula>"value일 미도래"</formula>
    </cfRule>
  </conditionalFormatting>
  <conditionalFormatting sqref="M148:M149">
    <cfRule type="cellIs" dxfId="5742" priority="20127" operator="equal">
      <formula>"value일 미도래"</formula>
    </cfRule>
  </conditionalFormatting>
  <conditionalFormatting sqref="M148:M149">
    <cfRule type="cellIs" dxfId="5741" priority="20125" operator="equal">
      <formula>"value일 미도래"</formula>
    </cfRule>
  </conditionalFormatting>
  <conditionalFormatting sqref="M148:M149">
    <cfRule type="cellIs" dxfId="5740" priority="20124" operator="equal">
      <formula>"value일 미도래"</formula>
    </cfRule>
  </conditionalFormatting>
  <conditionalFormatting sqref="M148:M149">
    <cfRule type="cellIs" dxfId="5739" priority="20123" operator="equal">
      <formula>"value일 미도래"</formula>
    </cfRule>
  </conditionalFormatting>
  <conditionalFormatting sqref="M148:M149">
    <cfRule type="cellIs" dxfId="5738" priority="20122" operator="equal">
      <formula>"value일 미도래"</formula>
    </cfRule>
  </conditionalFormatting>
  <conditionalFormatting sqref="M148:M149">
    <cfRule type="cellIs" dxfId="5737" priority="20121" operator="equal">
      <formula>"value일 미도래"</formula>
    </cfRule>
  </conditionalFormatting>
  <conditionalFormatting sqref="M148:M149">
    <cfRule type="cellIs" dxfId="5736" priority="20120" operator="equal">
      <formula>"value일 미도래"</formula>
    </cfRule>
  </conditionalFormatting>
  <conditionalFormatting sqref="M148:M149">
    <cfRule type="cellIs" dxfId="5735" priority="20119" operator="equal">
      <formula>"value일 미도래"</formula>
    </cfRule>
  </conditionalFormatting>
  <conditionalFormatting sqref="M148:M149">
    <cfRule type="cellIs" dxfId="5734" priority="20118" operator="equal">
      <formula>"value일 미도래"</formula>
    </cfRule>
  </conditionalFormatting>
  <conditionalFormatting sqref="M148:M149">
    <cfRule type="cellIs" dxfId="5733" priority="20117" operator="equal">
      <formula>"value일 미도래"</formula>
    </cfRule>
  </conditionalFormatting>
  <conditionalFormatting sqref="M148">
    <cfRule type="cellIs" dxfId="5732" priority="20116" operator="equal">
      <formula>"value일 미도래"</formula>
    </cfRule>
  </conditionalFormatting>
  <conditionalFormatting sqref="M148">
    <cfRule type="cellIs" dxfId="5731" priority="20115" operator="equal">
      <formula>"value일 미도래"</formula>
    </cfRule>
  </conditionalFormatting>
  <conditionalFormatting sqref="M148">
    <cfRule type="cellIs" dxfId="5730" priority="20114" operator="equal">
      <formula>"value일 미도래"</formula>
    </cfRule>
  </conditionalFormatting>
  <conditionalFormatting sqref="M148">
    <cfRule type="cellIs" dxfId="5729" priority="20113" operator="equal">
      <formula>"value일 미도래"</formula>
    </cfRule>
  </conditionalFormatting>
  <conditionalFormatting sqref="M148">
    <cfRule type="cellIs" dxfId="5728" priority="20112" operator="equal">
      <formula>"value일 미도래"</formula>
    </cfRule>
  </conditionalFormatting>
  <conditionalFormatting sqref="M148">
    <cfRule type="cellIs" dxfId="5727" priority="20111" operator="equal">
      <formula>"value일 미도래"</formula>
    </cfRule>
  </conditionalFormatting>
  <conditionalFormatting sqref="M148">
    <cfRule type="cellIs" dxfId="5726" priority="20109" operator="equal">
      <formula>"value일 미도래"</formula>
    </cfRule>
  </conditionalFormatting>
  <conditionalFormatting sqref="M148">
    <cfRule type="cellIs" dxfId="5725" priority="20108" operator="equal">
      <formula>"value일 미도래"</formula>
    </cfRule>
  </conditionalFormatting>
  <conditionalFormatting sqref="M148">
    <cfRule type="cellIs" dxfId="5724" priority="20107" operator="equal">
      <formula>"value일 미도래"</formula>
    </cfRule>
  </conditionalFormatting>
  <conditionalFormatting sqref="M148">
    <cfRule type="cellIs" dxfId="5723" priority="20106" operator="equal">
      <formula>"value일 미도래"</formula>
    </cfRule>
  </conditionalFormatting>
  <conditionalFormatting sqref="M148">
    <cfRule type="cellIs" dxfId="5722" priority="20105" operator="equal">
      <formula>"value일 미도래"</formula>
    </cfRule>
  </conditionalFormatting>
  <conditionalFormatting sqref="M148">
    <cfRule type="cellIs" dxfId="5721" priority="20104" operator="equal">
      <formula>"value일 미도래"</formula>
    </cfRule>
  </conditionalFormatting>
  <conditionalFormatting sqref="M148">
    <cfRule type="cellIs" dxfId="5720" priority="20103" operator="equal">
      <formula>"value일 미도래"</formula>
    </cfRule>
  </conditionalFormatting>
  <conditionalFormatting sqref="M148">
    <cfRule type="cellIs" dxfId="5719" priority="20102" operator="equal">
      <formula>"value일 미도래"</formula>
    </cfRule>
  </conditionalFormatting>
  <conditionalFormatting sqref="M148">
    <cfRule type="cellIs" dxfId="5718" priority="20100" operator="equal">
      <formula>"value일 미도래"</formula>
    </cfRule>
  </conditionalFormatting>
  <conditionalFormatting sqref="M148">
    <cfRule type="cellIs" dxfId="5717" priority="20099" operator="equal">
      <formula>"value일 미도래"</formula>
    </cfRule>
  </conditionalFormatting>
  <conditionalFormatting sqref="M148">
    <cfRule type="cellIs" dxfId="5716" priority="20098" operator="equal">
      <formula>"value일 미도래"</formula>
    </cfRule>
  </conditionalFormatting>
  <conditionalFormatting sqref="M148">
    <cfRule type="cellIs" dxfId="5715" priority="20097" operator="equal">
      <formula>"value일 미도래"</formula>
    </cfRule>
  </conditionalFormatting>
  <conditionalFormatting sqref="M148">
    <cfRule type="cellIs" dxfId="5714" priority="20096" operator="equal">
      <formula>"value일 미도래"</formula>
    </cfRule>
  </conditionalFormatting>
  <conditionalFormatting sqref="M148">
    <cfRule type="cellIs" dxfId="5713" priority="20095" operator="equal">
      <formula>"value일 미도래"</formula>
    </cfRule>
  </conditionalFormatting>
  <conditionalFormatting sqref="M148">
    <cfRule type="cellIs" dxfId="5712" priority="20094" operator="equal">
      <formula>"value일 미도래"</formula>
    </cfRule>
  </conditionalFormatting>
  <conditionalFormatting sqref="M148">
    <cfRule type="cellIs" dxfId="5711" priority="20093" operator="equal">
      <formula>"value일 미도래"</formula>
    </cfRule>
  </conditionalFormatting>
  <conditionalFormatting sqref="M148">
    <cfRule type="cellIs" dxfId="5710" priority="20092" operator="equal">
      <formula>"value일 미도래"</formula>
    </cfRule>
  </conditionalFormatting>
  <conditionalFormatting sqref="M148">
    <cfRule type="cellIs" dxfId="5709" priority="20091" operator="equal">
      <formula>"value일 미도래"</formula>
    </cfRule>
  </conditionalFormatting>
  <conditionalFormatting sqref="M148">
    <cfRule type="cellIs" dxfId="5708" priority="20090" operator="equal">
      <formula>"value일 미도래"</formula>
    </cfRule>
  </conditionalFormatting>
  <conditionalFormatting sqref="M148">
    <cfRule type="cellIs" dxfId="5707" priority="20088" operator="equal">
      <formula>"value일 미도래"</formula>
    </cfRule>
  </conditionalFormatting>
  <conditionalFormatting sqref="M148">
    <cfRule type="cellIs" dxfId="5706" priority="20087" operator="equal">
      <formula>"value일 미도래"</formula>
    </cfRule>
  </conditionalFormatting>
  <conditionalFormatting sqref="M148">
    <cfRule type="cellIs" dxfId="5705" priority="20086" operator="equal">
      <formula>"value일 미도래"</formula>
    </cfRule>
  </conditionalFormatting>
  <conditionalFormatting sqref="M148">
    <cfRule type="cellIs" dxfId="5704" priority="20085" operator="equal">
      <formula>"value일 미도래"</formula>
    </cfRule>
  </conditionalFormatting>
  <conditionalFormatting sqref="M148">
    <cfRule type="cellIs" dxfId="5703" priority="20084" operator="equal">
      <formula>"value일 미도래"</formula>
    </cfRule>
  </conditionalFormatting>
  <conditionalFormatting sqref="M148">
    <cfRule type="cellIs" dxfId="5702" priority="20083" operator="equal">
      <formula>"value일 미도래"</formula>
    </cfRule>
  </conditionalFormatting>
  <conditionalFormatting sqref="M148">
    <cfRule type="cellIs" dxfId="5701" priority="20082" operator="equal">
      <formula>"value일 미도래"</formula>
    </cfRule>
  </conditionalFormatting>
  <conditionalFormatting sqref="M148">
    <cfRule type="cellIs" dxfId="5700" priority="20081" operator="equal">
      <formula>"value일 미도래"</formula>
    </cfRule>
  </conditionalFormatting>
  <conditionalFormatting sqref="M148">
    <cfRule type="cellIs" dxfId="5699" priority="20080" operator="equal">
      <formula>"value일 미도래"</formula>
    </cfRule>
  </conditionalFormatting>
  <conditionalFormatting sqref="M148">
    <cfRule type="cellIs" dxfId="5698" priority="20079" operator="equal">
      <formula>"value일 미도래"</formula>
    </cfRule>
  </conditionalFormatting>
  <conditionalFormatting sqref="M148">
    <cfRule type="cellIs" dxfId="5697" priority="20078" operator="equal">
      <formula>"value일 미도래"</formula>
    </cfRule>
  </conditionalFormatting>
  <conditionalFormatting sqref="M148">
    <cfRule type="cellIs" dxfId="5696" priority="20076" operator="equal">
      <formula>"value일 미도래"</formula>
    </cfRule>
  </conditionalFormatting>
  <conditionalFormatting sqref="M148">
    <cfRule type="cellIs" dxfId="5695" priority="20075" operator="equal">
      <formula>"value일 미도래"</formula>
    </cfRule>
  </conditionalFormatting>
  <conditionalFormatting sqref="M148">
    <cfRule type="cellIs" dxfId="5694" priority="20074" operator="equal">
      <formula>"value일 미도래"</formula>
    </cfRule>
  </conditionalFormatting>
  <conditionalFormatting sqref="M150:M151">
    <cfRule type="cellIs" dxfId="5693" priority="20073" operator="equal">
      <formula>"value일 미도래"</formula>
    </cfRule>
  </conditionalFormatting>
  <conditionalFormatting sqref="M150:M151">
    <cfRule type="cellIs" dxfId="5692" priority="20072" operator="equal">
      <formula>"value일 미도래"</formula>
    </cfRule>
  </conditionalFormatting>
  <conditionalFormatting sqref="M150:M151">
    <cfRule type="cellIs" dxfId="5691" priority="20071" operator="equal">
      <formula>"value일 미도래"</formula>
    </cfRule>
  </conditionalFormatting>
  <conditionalFormatting sqref="M150:M151">
    <cfRule type="cellIs" dxfId="5690" priority="20070" operator="equal">
      <formula>"value일 미도래"</formula>
    </cfRule>
  </conditionalFormatting>
  <conditionalFormatting sqref="M148">
    <cfRule type="cellIs" dxfId="5689" priority="20069" operator="equal">
      <formula>"value일 미도래"</formula>
    </cfRule>
  </conditionalFormatting>
  <conditionalFormatting sqref="M148">
    <cfRule type="cellIs" dxfId="5688" priority="20068" operator="equal">
      <formula>"value일 미도래"</formula>
    </cfRule>
  </conditionalFormatting>
  <conditionalFormatting sqref="M148">
    <cfRule type="cellIs" dxfId="5687" priority="20067" operator="equal">
      <formula>"value일 미도래"</formula>
    </cfRule>
  </conditionalFormatting>
  <conditionalFormatting sqref="M148:M149">
    <cfRule type="cellIs" dxfId="5686" priority="20066" operator="equal">
      <formula>"value일 미도래"</formula>
    </cfRule>
  </conditionalFormatting>
  <conditionalFormatting sqref="M148:M149">
    <cfRule type="cellIs" dxfId="5685" priority="20065" operator="equal">
      <formula>"value일 미도래"</formula>
    </cfRule>
  </conditionalFormatting>
  <conditionalFormatting sqref="M148:M149">
    <cfRule type="cellIs" dxfId="5684" priority="20064" operator="equal">
      <formula>"value일 미도래"</formula>
    </cfRule>
  </conditionalFormatting>
  <conditionalFormatting sqref="M148">
    <cfRule type="cellIs" dxfId="5683" priority="20063" operator="equal">
      <formula>"value일 미도래"</formula>
    </cfRule>
  </conditionalFormatting>
  <conditionalFormatting sqref="M148">
    <cfRule type="cellIs" dxfId="5682" priority="20062" operator="equal">
      <formula>"value일 미도래"</formula>
    </cfRule>
  </conditionalFormatting>
  <conditionalFormatting sqref="M148">
    <cfRule type="cellIs" dxfId="5681" priority="20061" operator="equal">
      <formula>"value일 미도래"</formula>
    </cfRule>
  </conditionalFormatting>
  <conditionalFormatting sqref="M148">
    <cfRule type="cellIs" dxfId="5680" priority="20060" operator="equal">
      <formula>"value일 미도래"</formula>
    </cfRule>
  </conditionalFormatting>
  <conditionalFormatting sqref="M148">
    <cfRule type="cellIs" dxfId="5679" priority="20059" operator="equal">
      <formula>"value일 미도래"</formula>
    </cfRule>
  </conditionalFormatting>
  <conditionalFormatting sqref="M148">
    <cfRule type="cellIs" dxfId="5678" priority="20058" operator="equal">
      <formula>"value일 미도래"</formula>
    </cfRule>
  </conditionalFormatting>
  <conditionalFormatting sqref="M148">
    <cfRule type="cellIs" dxfId="5677" priority="20057" operator="equal">
      <formula>"value일 미도래"</formula>
    </cfRule>
  </conditionalFormatting>
  <conditionalFormatting sqref="M148">
    <cfRule type="cellIs" dxfId="5676" priority="20056" operator="equal">
      <formula>"value일 미도래"</formula>
    </cfRule>
  </conditionalFormatting>
  <conditionalFormatting sqref="M148">
    <cfRule type="cellIs" dxfId="5675" priority="20055" operator="equal">
      <formula>"value일 미도래"</formula>
    </cfRule>
  </conditionalFormatting>
  <conditionalFormatting sqref="M148:M149">
    <cfRule type="cellIs" dxfId="5674" priority="20054" operator="equal">
      <formula>"value일 미도래"</formula>
    </cfRule>
  </conditionalFormatting>
  <conditionalFormatting sqref="M148:M149">
    <cfRule type="cellIs" dxfId="5673" priority="20053" operator="equal">
      <formula>"value일 미도래"</formula>
    </cfRule>
  </conditionalFormatting>
  <conditionalFormatting sqref="M148:M149">
    <cfRule type="cellIs" dxfId="5672" priority="20052" operator="equal">
      <formula>"value일 미도래"</formula>
    </cfRule>
  </conditionalFormatting>
  <conditionalFormatting sqref="M148">
    <cfRule type="cellIs" dxfId="5671" priority="20051" operator="equal">
      <formula>"value일 미도래"</formula>
    </cfRule>
  </conditionalFormatting>
  <conditionalFormatting sqref="M148">
    <cfRule type="cellIs" dxfId="5670" priority="20050" operator="equal">
      <formula>"value일 미도래"</formula>
    </cfRule>
  </conditionalFormatting>
  <conditionalFormatting sqref="M148">
    <cfRule type="cellIs" dxfId="5669" priority="20049" operator="equal">
      <formula>"value일 미도래"</formula>
    </cfRule>
  </conditionalFormatting>
  <conditionalFormatting sqref="M148">
    <cfRule type="cellIs" dxfId="5668" priority="20048" operator="equal">
      <formula>"value일 미도래"</formula>
    </cfRule>
  </conditionalFormatting>
  <conditionalFormatting sqref="M148">
    <cfRule type="cellIs" dxfId="5667" priority="20047" operator="equal">
      <formula>"value일 미도래"</formula>
    </cfRule>
  </conditionalFormatting>
  <conditionalFormatting sqref="M148">
    <cfRule type="cellIs" dxfId="5666" priority="20046" operator="equal">
      <formula>"value일 미도래"</formula>
    </cfRule>
  </conditionalFormatting>
  <conditionalFormatting sqref="M148:M149">
    <cfRule type="cellIs" dxfId="5665" priority="20045" operator="equal">
      <formula>"value일 미도래"</formula>
    </cfRule>
  </conditionalFormatting>
  <conditionalFormatting sqref="M148:M149">
    <cfRule type="cellIs" dxfId="5664" priority="20044" operator="equal">
      <formula>"value일 미도래"</formula>
    </cfRule>
  </conditionalFormatting>
  <conditionalFormatting sqref="M148:M149">
    <cfRule type="cellIs" dxfId="5663" priority="20043" operator="equal">
      <formula>"value일 미도래"</formula>
    </cfRule>
  </conditionalFormatting>
  <conditionalFormatting sqref="M148:M149">
    <cfRule type="cellIs" dxfId="5662" priority="20042" operator="equal">
      <formula>"value일 미도래"</formula>
    </cfRule>
  </conditionalFormatting>
  <conditionalFormatting sqref="M149:M150">
    <cfRule type="cellIs" dxfId="5661" priority="20041" operator="equal">
      <formula>"value일 미도래"</formula>
    </cfRule>
  </conditionalFormatting>
  <conditionalFormatting sqref="M149:M150">
    <cfRule type="cellIs" dxfId="5660" priority="20040" operator="equal">
      <formula>"value일 미도래"</formula>
    </cfRule>
  </conditionalFormatting>
  <conditionalFormatting sqref="M149:M150">
    <cfRule type="cellIs" dxfId="5659" priority="20039" operator="equal">
      <formula>"value일 미도래"</formula>
    </cfRule>
  </conditionalFormatting>
  <conditionalFormatting sqref="M149:M150">
    <cfRule type="cellIs" dxfId="5658" priority="20038" operator="equal">
      <formula>"value일 미도래"</formula>
    </cfRule>
  </conditionalFormatting>
  <conditionalFormatting sqref="M149:M150">
    <cfRule type="cellIs" dxfId="5657" priority="20037" operator="equal">
      <formula>"value일 미도래"</formula>
    </cfRule>
  </conditionalFormatting>
  <conditionalFormatting sqref="M149:M150">
    <cfRule type="cellIs" dxfId="5656" priority="20036" operator="equal">
      <formula>"value일 미도래"</formula>
    </cfRule>
  </conditionalFormatting>
  <conditionalFormatting sqref="M149:M150">
    <cfRule type="cellIs" dxfId="5655" priority="20034" operator="equal">
      <formula>"value일 미도래"</formula>
    </cfRule>
  </conditionalFormatting>
  <conditionalFormatting sqref="M149:M150">
    <cfRule type="cellIs" dxfId="5654" priority="20033" operator="equal">
      <formula>"value일 미도래"</formula>
    </cfRule>
  </conditionalFormatting>
  <conditionalFormatting sqref="M149:M150">
    <cfRule type="cellIs" dxfId="5653" priority="20032" operator="equal">
      <formula>"value일 미도래"</formula>
    </cfRule>
  </conditionalFormatting>
  <conditionalFormatting sqref="M149:M150">
    <cfRule type="cellIs" dxfId="5652" priority="20031" operator="equal">
      <formula>"value일 미도래"</formula>
    </cfRule>
  </conditionalFormatting>
  <conditionalFormatting sqref="M149:M150">
    <cfRule type="cellIs" dxfId="5651" priority="20030" operator="equal">
      <formula>"value일 미도래"</formula>
    </cfRule>
  </conditionalFormatting>
  <conditionalFormatting sqref="M149:M150">
    <cfRule type="cellIs" dxfId="5650" priority="20029" operator="equal">
      <formula>"value일 미도래"</formula>
    </cfRule>
  </conditionalFormatting>
  <conditionalFormatting sqref="M149:M150">
    <cfRule type="cellIs" dxfId="5649" priority="20028" operator="equal">
      <formula>"value일 미도래"</formula>
    </cfRule>
  </conditionalFormatting>
  <conditionalFormatting sqref="M149:M150">
    <cfRule type="cellIs" dxfId="5648" priority="20027" operator="equal">
      <formula>"value일 미도래"</formula>
    </cfRule>
  </conditionalFormatting>
  <conditionalFormatting sqref="M149:M150">
    <cfRule type="cellIs" dxfId="5647" priority="20025" operator="equal">
      <formula>"value일 미도래"</formula>
    </cfRule>
  </conditionalFormatting>
  <conditionalFormatting sqref="M149:M150">
    <cfRule type="cellIs" dxfId="5646" priority="20024" operator="equal">
      <formula>"value일 미도래"</formula>
    </cfRule>
  </conditionalFormatting>
  <conditionalFormatting sqref="M149:M150">
    <cfRule type="cellIs" dxfId="5645" priority="20023" operator="equal">
      <formula>"value일 미도래"</formula>
    </cfRule>
  </conditionalFormatting>
  <conditionalFormatting sqref="M149:M150">
    <cfRule type="cellIs" dxfId="5644" priority="20022" operator="equal">
      <formula>"value일 미도래"</formula>
    </cfRule>
  </conditionalFormatting>
  <conditionalFormatting sqref="M149:M150">
    <cfRule type="cellIs" dxfId="5643" priority="20021" operator="equal">
      <formula>"value일 미도래"</formula>
    </cfRule>
  </conditionalFormatting>
  <conditionalFormatting sqref="M149:M150">
    <cfRule type="cellIs" dxfId="5642" priority="20020" operator="equal">
      <formula>"value일 미도래"</formula>
    </cfRule>
  </conditionalFormatting>
  <conditionalFormatting sqref="M149:M150">
    <cfRule type="cellIs" dxfId="5641" priority="20019" operator="equal">
      <formula>"value일 미도래"</formula>
    </cfRule>
  </conditionalFormatting>
  <conditionalFormatting sqref="M149:M150">
    <cfRule type="cellIs" dxfId="5640" priority="20018" operator="equal">
      <formula>"value일 미도래"</formula>
    </cfRule>
  </conditionalFormatting>
  <conditionalFormatting sqref="M149:M150">
    <cfRule type="cellIs" dxfId="5639" priority="20017" operator="equal">
      <formula>"value일 미도래"</formula>
    </cfRule>
  </conditionalFormatting>
  <conditionalFormatting sqref="M149:M150">
    <cfRule type="cellIs" dxfId="5638" priority="20016" operator="equal">
      <formula>"value일 미도래"</formula>
    </cfRule>
  </conditionalFormatting>
  <conditionalFormatting sqref="M149:M150">
    <cfRule type="cellIs" dxfId="5637" priority="20015" operator="equal">
      <formula>"value일 미도래"</formula>
    </cfRule>
  </conditionalFormatting>
  <conditionalFormatting sqref="M149:M150">
    <cfRule type="cellIs" dxfId="5636" priority="20013" operator="equal">
      <formula>"value일 미도래"</formula>
    </cfRule>
  </conditionalFormatting>
  <conditionalFormatting sqref="M149:M150">
    <cfRule type="cellIs" dxfId="5635" priority="20012" operator="equal">
      <formula>"value일 미도래"</formula>
    </cfRule>
  </conditionalFormatting>
  <conditionalFormatting sqref="M149:M150">
    <cfRule type="cellIs" dxfId="5634" priority="20011" operator="equal">
      <formula>"value일 미도래"</formula>
    </cfRule>
  </conditionalFormatting>
  <conditionalFormatting sqref="M149:M150">
    <cfRule type="cellIs" dxfId="5633" priority="20010" operator="equal">
      <formula>"value일 미도래"</formula>
    </cfRule>
  </conditionalFormatting>
  <conditionalFormatting sqref="M149:M150">
    <cfRule type="cellIs" dxfId="5632" priority="20009" operator="equal">
      <formula>"value일 미도래"</formula>
    </cfRule>
  </conditionalFormatting>
  <conditionalFormatting sqref="M149:M150">
    <cfRule type="cellIs" dxfId="5631" priority="20008" operator="equal">
      <formula>"value일 미도래"</formula>
    </cfRule>
  </conditionalFormatting>
  <conditionalFormatting sqref="M149:M150">
    <cfRule type="cellIs" dxfId="5630" priority="20007" operator="equal">
      <formula>"value일 미도래"</formula>
    </cfRule>
  </conditionalFormatting>
  <conditionalFormatting sqref="M149:M150">
    <cfRule type="cellIs" dxfId="5629" priority="20006" operator="equal">
      <formula>"value일 미도래"</formula>
    </cfRule>
  </conditionalFormatting>
  <conditionalFormatting sqref="M149:M150">
    <cfRule type="cellIs" dxfId="5628" priority="20005" operator="equal">
      <formula>"value일 미도래"</formula>
    </cfRule>
  </conditionalFormatting>
  <conditionalFormatting sqref="M149:M150">
    <cfRule type="cellIs" dxfId="5627" priority="20004" operator="equal">
      <formula>"value일 미도래"</formula>
    </cfRule>
  </conditionalFormatting>
  <conditionalFormatting sqref="M149:M150">
    <cfRule type="cellIs" dxfId="5626" priority="20003" operator="equal">
      <formula>"value일 미도래"</formula>
    </cfRule>
  </conditionalFormatting>
  <conditionalFormatting sqref="M149:M150">
    <cfRule type="cellIs" dxfId="5625" priority="20001" operator="equal">
      <formula>"value일 미도래"</formula>
    </cfRule>
  </conditionalFormatting>
  <conditionalFormatting sqref="M149:M150">
    <cfRule type="cellIs" dxfId="5624" priority="20000" operator="equal">
      <formula>"value일 미도래"</formula>
    </cfRule>
  </conditionalFormatting>
  <conditionalFormatting sqref="M149:M150">
    <cfRule type="cellIs" dxfId="5623" priority="19999" operator="equal">
      <formula>"value일 미도래"</formula>
    </cfRule>
  </conditionalFormatting>
  <conditionalFormatting sqref="M149:M150">
    <cfRule type="cellIs" dxfId="5622" priority="19998" operator="equal">
      <formula>"value일 미도래"</formula>
    </cfRule>
  </conditionalFormatting>
  <conditionalFormatting sqref="M149:M150">
    <cfRule type="cellIs" dxfId="5621" priority="19997" operator="equal">
      <formula>"value일 미도래"</formula>
    </cfRule>
  </conditionalFormatting>
  <conditionalFormatting sqref="M149:M150">
    <cfRule type="cellIs" dxfId="5620" priority="19996" operator="equal">
      <formula>"value일 미도래"</formula>
    </cfRule>
  </conditionalFormatting>
  <conditionalFormatting sqref="M149:M150">
    <cfRule type="cellIs" dxfId="5619" priority="19995" operator="equal">
      <formula>"value일 미도래"</formula>
    </cfRule>
  </conditionalFormatting>
  <conditionalFormatting sqref="M149:M150">
    <cfRule type="cellIs" dxfId="5618" priority="19994" operator="equal">
      <formula>"value일 미도래"</formula>
    </cfRule>
  </conditionalFormatting>
  <conditionalFormatting sqref="M149:M150">
    <cfRule type="cellIs" dxfId="5617" priority="19993" operator="equal">
      <formula>"value일 미도래"</formula>
    </cfRule>
  </conditionalFormatting>
  <conditionalFormatting sqref="M149:M150">
    <cfRule type="cellIs" dxfId="5616" priority="19992" operator="equal">
      <formula>"value일 미도래"</formula>
    </cfRule>
  </conditionalFormatting>
  <conditionalFormatting sqref="M149:M150">
    <cfRule type="cellIs" dxfId="5615" priority="19991" operator="equal">
      <formula>"value일 미도래"</formula>
    </cfRule>
  </conditionalFormatting>
  <conditionalFormatting sqref="M149:M150">
    <cfRule type="cellIs" dxfId="5614" priority="19990" operator="equal">
      <formula>"value일 미도래"</formula>
    </cfRule>
  </conditionalFormatting>
  <conditionalFormatting sqref="M149:M150">
    <cfRule type="cellIs" dxfId="5613" priority="19989" operator="equal">
      <formula>"value일 미도래"</formula>
    </cfRule>
  </conditionalFormatting>
  <conditionalFormatting sqref="M149:M150">
    <cfRule type="cellIs" dxfId="5612" priority="19988" operator="equal">
      <formula>"value일 미도래"</formula>
    </cfRule>
  </conditionalFormatting>
  <conditionalFormatting sqref="M149:M150">
    <cfRule type="cellIs" dxfId="5611" priority="19986" operator="equal">
      <formula>"value일 미도래"</formula>
    </cfRule>
  </conditionalFormatting>
  <conditionalFormatting sqref="M149:M150">
    <cfRule type="cellIs" dxfId="5610" priority="19985" operator="equal">
      <formula>"value일 미도래"</formula>
    </cfRule>
  </conditionalFormatting>
  <conditionalFormatting sqref="M149:M150">
    <cfRule type="cellIs" dxfId="5609" priority="19984" operator="equal">
      <formula>"value일 미도래"</formula>
    </cfRule>
  </conditionalFormatting>
  <conditionalFormatting sqref="M149:M150">
    <cfRule type="cellIs" dxfId="5608" priority="19983" operator="equal">
      <formula>"value일 미도래"</formula>
    </cfRule>
  </conditionalFormatting>
  <conditionalFormatting sqref="M149:M150">
    <cfRule type="cellIs" dxfId="5607" priority="19982" operator="equal">
      <formula>"value일 미도래"</formula>
    </cfRule>
  </conditionalFormatting>
  <conditionalFormatting sqref="M149:M150">
    <cfRule type="cellIs" dxfId="5606" priority="19981" operator="equal">
      <formula>"value일 미도래"</formula>
    </cfRule>
  </conditionalFormatting>
  <conditionalFormatting sqref="M149:M150">
    <cfRule type="cellIs" dxfId="5605" priority="19980" operator="equal">
      <formula>"value일 미도래"</formula>
    </cfRule>
  </conditionalFormatting>
  <conditionalFormatting sqref="M149:M150">
    <cfRule type="cellIs" dxfId="5604" priority="19979" operator="equal">
      <formula>"value일 미도래"</formula>
    </cfRule>
  </conditionalFormatting>
  <conditionalFormatting sqref="M149:M150">
    <cfRule type="cellIs" dxfId="5603" priority="19978" operator="equal">
      <formula>"value일 미도래"</formula>
    </cfRule>
  </conditionalFormatting>
  <conditionalFormatting sqref="M149:M150">
    <cfRule type="cellIs" dxfId="5602" priority="19977" operator="equal">
      <formula>"value일 미도래"</formula>
    </cfRule>
  </conditionalFormatting>
  <conditionalFormatting sqref="M149:M150">
    <cfRule type="cellIs" dxfId="5601" priority="19976" operator="equal">
      <formula>"value일 미도래"</formula>
    </cfRule>
  </conditionalFormatting>
  <conditionalFormatting sqref="M149:M150">
    <cfRule type="cellIs" dxfId="5600" priority="19975" operator="equal">
      <formula>"value일 미도래"</formula>
    </cfRule>
  </conditionalFormatting>
  <conditionalFormatting sqref="M149:M150">
    <cfRule type="cellIs" dxfId="5599" priority="19974" operator="equal">
      <formula>"value일 미도래"</formula>
    </cfRule>
  </conditionalFormatting>
  <conditionalFormatting sqref="M149:M150">
    <cfRule type="cellIs" dxfId="5598" priority="19973" operator="equal">
      <formula>"value일 미도래"</formula>
    </cfRule>
  </conditionalFormatting>
  <conditionalFormatting sqref="M149:M150">
    <cfRule type="cellIs" dxfId="5597" priority="19972" operator="equal">
      <formula>"value일 미도래"</formula>
    </cfRule>
  </conditionalFormatting>
  <conditionalFormatting sqref="M149:M150">
    <cfRule type="cellIs" dxfId="5596" priority="19971" operator="equal">
      <formula>"value일 미도래"</formula>
    </cfRule>
  </conditionalFormatting>
  <conditionalFormatting sqref="M149:M150">
    <cfRule type="cellIs" dxfId="5595" priority="19970" operator="equal">
      <formula>"value일 미도래"</formula>
    </cfRule>
  </conditionalFormatting>
  <conditionalFormatting sqref="M149:M150">
    <cfRule type="cellIs" dxfId="5594" priority="19969" operator="equal">
      <formula>"value일 미도래"</formula>
    </cfRule>
  </conditionalFormatting>
  <conditionalFormatting sqref="M149:M150">
    <cfRule type="cellIs" dxfId="5593" priority="19968" operator="equal">
      <formula>"value일 미도래"</formula>
    </cfRule>
  </conditionalFormatting>
  <conditionalFormatting sqref="M149:M150">
    <cfRule type="cellIs" dxfId="5592" priority="19967" operator="equal">
      <formula>"value일 미도래"</formula>
    </cfRule>
  </conditionalFormatting>
  <conditionalFormatting sqref="M149:M150">
    <cfRule type="cellIs" dxfId="5591" priority="19965" operator="equal">
      <formula>"value일 미도래"</formula>
    </cfRule>
  </conditionalFormatting>
  <conditionalFormatting sqref="M149:M150">
    <cfRule type="cellIs" dxfId="5590" priority="19964" operator="equal">
      <formula>"value일 미도래"</formula>
    </cfRule>
  </conditionalFormatting>
  <conditionalFormatting sqref="M149:M150">
    <cfRule type="cellIs" dxfId="5589" priority="19963" operator="equal">
      <formula>"value일 미도래"</formula>
    </cfRule>
  </conditionalFormatting>
  <conditionalFormatting sqref="M149:M150">
    <cfRule type="cellIs" dxfId="5588" priority="19962" operator="equal">
      <formula>"value일 미도래"</formula>
    </cfRule>
  </conditionalFormatting>
  <conditionalFormatting sqref="M149:M150">
    <cfRule type="cellIs" dxfId="5587" priority="19961" operator="equal">
      <formula>"value일 미도래"</formula>
    </cfRule>
  </conditionalFormatting>
  <conditionalFormatting sqref="M149:M150">
    <cfRule type="cellIs" dxfId="5586" priority="19960" operator="equal">
      <formula>"value일 미도래"</formula>
    </cfRule>
  </conditionalFormatting>
  <conditionalFormatting sqref="M149:M150">
    <cfRule type="cellIs" dxfId="5585" priority="19959" operator="equal">
      <formula>"value일 미도래"</formula>
    </cfRule>
  </conditionalFormatting>
  <conditionalFormatting sqref="M149:M150">
    <cfRule type="cellIs" dxfId="5584" priority="19958" operator="equal">
      <formula>"value일 미도래"</formula>
    </cfRule>
  </conditionalFormatting>
  <conditionalFormatting sqref="M149:M150">
    <cfRule type="cellIs" dxfId="5583" priority="19957" operator="equal">
      <formula>"value일 미도래"</formula>
    </cfRule>
  </conditionalFormatting>
  <conditionalFormatting sqref="M149:M150">
    <cfRule type="cellIs" dxfId="5582" priority="19956" operator="equal">
      <formula>"value일 미도래"</formula>
    </cfRule>
  </conditionalFormatting>
  <conditionalFormatting sqref="M149:M150">
    <cfRule type="cellIs" dxfId="5581" priority="19955" operator="equal">
      <formula>"value일 미도래"</formula>
    </cfRule>
  </conditionalFormatting>
  <conditionalFormatting sqref="M149:M150">
    <cfRule type="cellIs" dxfId="5580" priority="19954" operator="equal">
      <formula>"value일 미도래"</formula>
    </cfRule>
  </conditionalFormatting>
  <conditionalFormatting sqref="M148">
    <cfRule type="cellIs" dxfId="5579" priority="19953" operator="equal">
      <formula>"value일 미도래"</formula>
    </cfRule>
  </conditionalFormatting>
  <conditionalFormatting sqref="M148">
    <cfRule type="cellIs" dxfId="5578" priority="19952" operator="equal">
      <formula>"value일 미도래"</formula>
    </cfRule>
  </conditionalFormatting>
  <conditionalFormatting sqref="M148">
    <cfRule type="cellIs" dxfId="5577" priority="19951" operator="equal">
      <formula>"value일 미도래"</formula>
    </cfRule>
  </conditionalFormatting>
  <conditionalFormatting sqref="M148">
    <cfRule type="cellIs" dxfId="5576" priority="19950" operator="equal">
      <formula>"value일 미도래"</formula>
    </cfRule>
  </conditionalFormatting>
  <conditionalFormatting sqref="M148">
    <cfRule type="cellIs" dxfId="5575" priority="19949" operator="equal">
      <formula>"value일 미도래"</formula>
    </cfRule>
  </conditionalFormatting>
  <conditionalFormatting sqref="M148">
    <cfRule type="cellIs" dxfId="5574" priority="19948" operator="equal">
      <formula>"value일 미도래"</formula>
    </cfRule>
  </conditionalFormatting>
  <conditionalFormatting sqref="M148">
    <cfRule type="cellIs" dxfId="5573" priority="19946" operator="equal">
      <formula>"value일 미도래"</formula>
    </cfRule>
  </conditionalFormatting>
  <conditionalFormatting sqref="M148">
    <cfRule type="cellIs" dxfId="5572" priority="19945" operator="equal">
      <formula>"value일 미도래"</formula>
    </cfRule>
  </conditionalFormatting>
  <conditionalFormatting sqref="M148">
    <cfRule type="cellIs" dxfId="5571" priority="19944" operator="equal">
      <formula>"value일 미도래"</formula>
    </cfRule>
  </conditionalFormatting>
  <conditionalFormatting sqref="M148">
    <cfRule type="cellIs" dxfId="5570" priority="19943" operator="equal">
      <formula>"value일 미도래"</formula>
    </cfRule>
  </conditionalFormatting>
  <conditionalFormatting sqref="M148">
    <cfRule type="cellIs" dxfId="5569" priority="19942" operator="equal">
      <formula>"value일 미도래"</formula>
    </cfRule>
  </conditionalFormatting>
  <conditionalFormatting sqref="M148">
    <cfRule type="cellIs" dxfId="5568" priority="19941" operator="equal">
      <formula>"value일 미도래"</formula>
    </cfRule>
  </conditionalFormatting>
  <conditionalFormatting sqref="M148">
    <cfRule type="cellIs" dxfId="5567" priority="19940" operator="equal">
      <formula>"value일 미도래"</formula>
    </cfRule>
  </conditionalFormatting>
  <conditionalFormatting sqref="M148">
    <cfRule type="cellIs" dxfId="5566" priority="19939" operator="equal">
      <formula>"value일 미도래"</formula>
    </cfRule>
  </conditionalFormatting>
  <conditionalFormatting sqref="M148">
    <cfRule type="cellIs" dxfId="5565" priority="19937" operator="equal">
      <formula>"value일 미도래"</formula>
    </cfRule>
  </conditionalFormatting>
  <conditionalFormatting sqref="M148">
    <cfRule type="cellIs" dxfId="5564" priority="19936" operator="equal">
      <formula>"value일 미도래"</formula>
    </cfRule>
  </conditionalFormatting>
  <conditionalFormatting sqref="M148">
    <cfRule type="cellIs" dxfId="5563" priority="19935" operator="equal">
      <formula>"value일 미도래"</formula>
    </cfRule>
  </conditionalFormatting>
  <conditionalFormatting sqref="M148">
    <cfRule type="cellIs" dxfId="5562" priority="19934" operator="equal">
      <formula>"value일 미도래"</formula>
    </cfRule>
  </conditionalFormatting>
  <conditionalFormatting sqref="M148">
    <cfRule type="cellIs" dxfId="5561" priority="19933" operator="equal">
      <formula>"value일 미도래"</formula>
    </cfRule>
  </conditionalFormatting>
  <conditionalFormatting sqref="M148">
    <cfRule type="cellIs" dxfId="5560" priority="19932" operator="equal">
      <formula>"value일 미도래"</formula>
    </cfRule>
  </conditionalFormatting>
  <conditionalFormatting sqref="M148">
    <cfRule type="cellIs" dxfId="5559" priority="19931" operator="equal">
      <formula>"value일 미도래"</formula>
    </cfRule>
  </conditionalFormatting>
  <conditionalFormatting sqref="M148">
    <cfRule type="cellIs" dxfId="5558" priority="19930" operator="equal">
      <formula>"value일 미도래"</formula>
    </cfRule>
  </conditionalFormatting>
  <conditionalFormatting sqref="M148">
    <cfRule type="cellIs" dxfId="5557" priority="19929" operator="equal">
      <formula>"value일 미도래"</formula>
    </cfRule>
  </conditionalFormatting>
  <conditionalFormatting sqref="M148">
    <cfRule type="cellIs" dxfId="5556" priority="19928" operator="equal">
      <formula>"value일 미도래"</formula>
    </cfRule>
  </conditionalFormatting>
  <conditionalFormatting sqref="M148">
    <cfRule type="cellIs" dxfId="5555" priority="19927" operator="equal">
      <formula>"value일 미도래"</formula>
    </cfRule>
  </conditionalFormatting>
  <conditionalFormatting sqref="M148">
    <cfRule type="cellIs" dxfId="5554" priority="19925" operator="equal">
      <formula>"value일 미도래"</formula>
    </cfRule>
  </conditionalFormatting>
  <conditionalFormatting sqref="M148">
    <cfRule type="cellIs" dxfId="5553" priority="19924" operator="equal">
      <formula>"value일 미도래"</formula>
    </cfRule>
  </conditionalFormatting>
  <conditionalFormatting sqref="M148">
    <cfRule type="cellIs" dxfId="5552" priority="19923" operator="equal">
      <formula>"value일 미도래"</formula>
    </cfRule>
  </conditionalFormatting>
  <conditionalFormatting sqref="M148">
    <cfRule type="cellIs" dxfId="5551" priority="19922" operator="equal">
      <formula>"value일 미도래"</formula>
    </cfRule>
  </conditionalFormatting>
  <conditionalFormatting sqref="M148">
    <cfRule type="cellIs" dxfId="5550" priority="19921" operator="equal">
      <formula>"value일 미도래"</formula>
    </cfRule>
  </conditionalFormatting>
  <conditionalFormatting sqref="M148">
    <cfRule type="cellIs" dxfId="5549" priority="19920" operator="equal">
      <formula>"value일 미도래"</formula>
    </cfRule>
  </conditionalFormatting>
  <conditionalFormatting sqref="M148">
    <cfRule type="cellIs" dxfId="5548" priority="19919" operator="equal">
      <formula>"value일 미도래"</formula>
    </cfRule>
  </conditionalFormatting>
  <conditionalFormatting sqref="M148">
    <cfRule type="cellIs" dxfId="5547" priority="19918" operator="equal">
      <formula>"value일 미도래"</formula>
    </cfRule>
  </conditionalFormatting>
  <conditionalFormatting sqref="M148">
    <cfRule type="cellIs" dxfId="5546" priority="19917" operator="equal">
      <formula>"value일 미도래"</formula>
    </cfRule>
  </conditionalFormatting>
  <conditionalFormatting sqref="M148">
    <cfRule type="cellIs" dxfId="5545" priority="19916" operator="equal">
      <formula>"value일 미도래"</formula>
    </cfRule>
  </conditionalFormatting>
  <conditionalFormatting sqref="M148">
    <cfRule type="cellIs" dxfId="5544" priority="19915" operator="equal">
      <formula>"value일 미도래"</formula>
    </cfRule>
  </conditionalFormatting>
  <conditionalFormatting sqref="M148">
    <cfRule type="cellIs" dxfId="5543" priority="19913" operator="equal">
      <formula>"value일 미도래"</formula>
    </cfRule>
  </conditionalFormatting>
  <conditionalFormatting sqref="M148">
    <cfRule type="cellIs" dxfId="5542" priority="19912" operator="equal">
      <formula>"value일 미도래"</formula>
    </cfRule>
  </conditionalFormatting>
  <conditionalFormatting sqref="M148">
    <cfRule type="cellIs" dxfId="5541" priority="19911" operator="equal">
      <formula>"value일 미도래"</formula>
    </cfRule>
  </conditionalFormatting>
  <conditionalFormatting sqref="M148">
    <cfRule type="cellIs" dxfId="5540" priority="19910" operator="equal">
      <formula>"value일 미도래"</formula>
    </cfRule>
  </conditionalFormatting>
  <conditionalFormatting sqref="M148">
    <cfRule type="cellIs" dxfId="5539" priority="19909" operator="equal">
      <formula>"value일 미도래"</formula>
    </cfRule>
  </conditionalFormatting>
  <conditionalFormatting sqref="M148">
    <cfRule type="cellIs" dxfId="5538" priority="19908" operator="equal">
      <formula>"value일 미도래"</formula>
    </cfRule>
  </conditionalFormatting>
  <conditionalFormatting sqref="M148">
    <cfRule type="cellIs" dxfId="5537" priority="19907" operator="equal">
      <formula>"value일 미도래"</formula>
    </cfRule>
  </conditionalFormatting>
  <conditionalFormatting sqref="M148">
    <cfRule type="cellIs" dxfId="5536" priority="19906" operator="equal">
      <formula>"value일 미도래"</formula>
    </cfRule>
  </conditionalFormatting>
  <conditionalFormatting sqref="M148">
    <cfRule type="cellIs" dxfId="5535" priority="19905" operator="equal">
      <formula>"value일 미도래"</formula>
    </cfRule>
  </conditionalFormatting>
  <conditionalFormatting sqref="M148">
    <cfRule type="cellIs" dxfId="5534" priority="19904" operator="equal">
      <formula>"value일 미도래"</formula>
    </cfRule>
  </conditionalFormatting>
  <conditionalFormatting sqref="M148">
    <cfRule type="cellIs" dxfId="5533" priority="19903" operator="equal">
      <formula>"value일 미도래"</formula>
    </cfRule>
  </conditionalFormatting>
  <conditionalFormatting sqref="M148">
    <cfRule type="cellIs" dxfId="5532" priority="19902" operator="equal">
      <formula>"value일 미도래"</formula>
    </cfRule>
  </conditionalFormatting>
  <conditionalFormatting sqref="M148">
    <cfRule type="cellIs" dxfId="5531" priority="19901" operator="equal">
      <formula>"value일 미도래"</formula>
    </cfRule>
  </conditionalFormatting>
  <conditionalFormatting sqref="M148">
    <cfRule type="cellIs" dxfId="5530" priority="19900" operator="equal">
      <formula>"value일 미도래"</formula>
    </cfRule>
  </conditionalFormatting>
  <conditionalFormatting sqref="M148">
    <cfRule type="cellIs" dxfId="5529" priority="19898" operator="equal">
      <formula>"value일 미도래"</formula>
    </cfRule>
  </conditionalFormatting>
  <conditionalFormatting sqref="M148">
    <cfRule type="cellIs" dxfId="5528" priority="19897" operator="equal">
      <formula>"value일 미도래"</formula>
    </cfRule>
  </conditionalFormatting>
  <conditionalFormatting sqref="M148">
    <cfRule type="cellIs" dxfId="5527" priority="19896" operator="equal">
      <formula>"value일 미도래"</formula>
    </cfRule>
  </conditionalFormatting>
  <conditionalFormatting sqref="M148">
    <cfRule type="cellIs" dxfId="5526" priority="19895" operator="equal">
      <formula>"value일 미도래"</formula>
    </cfRule>
  </conditionalFormatting>
  <conditionalFormatting sqref="M148">
    <cfRule type="cellIs" dxfId="5525" priority="19894" operator="equal">
      <formula>"value일 미도래"</formula>
    </cfRule>
  </conditionalFormatting>
  <conditionalFormatting sqref="M148">
    <cfRule type="cellIs" dxfId="5524" priority="19893" operator="equal">
      <formula>"value일 미도래"</formula>
    </cfRule>
  </conditionalFormatting>
  <conditionalFormatting sqref="M148">
    <cfRule type="cellIs" dxfId="5523" priority="19892" operator="equal">
      <formula>"value일 미도래"</formula>
    </cfRule>
  </conditionalFormatting>
  <conditionalFormatting sqref="M148">
    <cfRule type="cellIs" dxfId="5522" priority="19891" operator="equal">
      <formula>"value일 미도래"</formula>
    </cfRule>
  </conditionalFormatting>
  <conditionalFormatting sqref="M148">
    <cfRule type="cellIs" dxfId="5521" priority="19890" operator="equal">
      <formula>"value일 미도래"</formula>
    </cfRule>
  </conditionalFormatting>
  <conditionalFormatting sqref="M148">
    <cfRule type="cellIs" dxfId="5520" priority="19889" operator="equal">
      <formula>"value일 미도래"</formula>
    </cfRule>
  </conditionalFormatting>
  <conditionalFormatting sqref="M148">
    <cfRule type="cellIs" dxfId="5519" priority="19888" operator="equal">
      <formula>"value일 미도래"</formula>
    </cfRule>
  </conditionalFormatting>
  <conditionalFormatting sqref="M148">
    <cfRule type="cellIs" dxfId="5518" priority="19887" operator="equal">
      <formula>"value일 미도래"</formula>
    </cfRule>
  </conditionalFormatting>
  <conditionalFormatting sqref="M148">
    <cfRule type="cellIs" dxfId="5517" priority="19886" operator="equal">
      <formula>"value일 미도래"</formula>
    </cfRule>
  </conditionalFormatting>
  <conditionalFormatting sqref="M148">
    <cfRule type="cellIs" dxfId="5516" priority="19885" operator="equal">
      <formula>"value일 미도래"</formula>
    </cfRule>
  </conditionalFormatting>
  <conditionalFormatting sqref="M148">
    <cfRule type="cellIs" dxfId="5515" priority="19884" operator="equal">
      <formula>"value일 미도래"</formula>
    </cfRule>
  </conditionalFormatting>
  <conditionalFormatting sqref="M148">
    <cfRule type="cellIs" dxfId="5514" priority="19883" operator="equal">
      <formula>"value일 미도래"</formula>
    </cfRule>
  </conditionalFormatting>
  <conditionalFormatting sqref="M148">
    <cfRule type="cellIs" dxfId="5513" priority="19882" operator="equal">
      <formula>"value일 미도래"</formula>
    </cfRule>
  </conditionalFormatting>
  <conditionalFormatting sqref="M148">
    <cfRule type="cellIs" dxfId="5512" priority="19881" operator="equal">
      <formula>"value일 미도래"</formula>
    </cfRule>
  </conditionalFormatting>
  <conditionalFormatting sqref="M148">
    <cfRule type="cellIs" dxfId="5511" priority="19880" operator="equal">
      <formula>"value일 미도래"</formula>
    </cfRule>
  </conditionalFormatting>
  <conditionalFormatting sqref="M148">
    <cfRule type="cellIs" dxfId="5510" priority="19879" operator="equal">
      <formula>"value일 미도래"</formula>
    </cfRule>
  </conditionalFormatting>
  <conditionalFormatting sqref="M148">
    <cfRule type="cellIs" dxfId="5509" priority="19877" operator="equal">
      <formula>"value일 미도래"</formula>
    </cfRule>
  </conditionalFormatting>
  <conditionalFormatting sqref="M148">
    <cfRule type="cellIs" dxfId="5508" priority="19876" operator="equal">
      <formula>"value일 미도래"</formula>
    </cfRule>
  </conditionalFormatting>
  <conditionalFormatting sqref="M148">
    <cfRule type="cellIs" dxfId="5507" priority="19875" operator="equal">
      <formula>"value일 미도래"</formula>
    </cfRule>
  </conditionalFormatting>
  <conditionalFormatting sqref="M148">
    <cfRule type="cellIs" dxfId="5506" priority="19874" operator="equal">
      <formula>"value일 미도래"</formula>
    </cfRule>
  </conditionalFormatting>
  <conditionalFormatting sqref="M148">
    <cfRule type="cellIs" dxfId="5505" priority="19873" operator="equal">
      <formula>"value일 미도래"</formula>
    </cfRule>
  </conditionalFormatting>
  <conditionalFormatting sqref="M148">
    <cfRule type="cellIs" dxfId="5504" priority="19872" operator="equal">
      <formula>"value일 미도래"</formula>
    </cfRule>
  </conditionalFormatting>
  <conditionalFormatting sqref="M148">
    <cfRule type="cellIs" dxfId="5503" priority="19871" operator="equal">
      <formula>"value일 미도래"</formula>
    </cfRule>
  </conditionalFormatting>
  <conditionalFormatting sqref="M148">
    <cfRule type="cellIs" dxfId="5502" priority="19870" operator="equal">
      <formula>"value일 미도래"</formula>
    </cfRule>
  </conditionalFormatting>
  <conditionalFormatting sqref="M148">
    <cfRule type="cellIs" dxfId="5501" priority="19869" operator="equal">
      <formula>"value일 미도래"</formula>
    </cfRule>
  </conditionalFormatting>
  <conditionalFormatting sqref="M148">
    <cfRule type="cellIs" dxfId="5500" priority="19868" operator="equal">
      <formula>"value일 미도래"</formula>
    </cfRule>
  </conditionalFormatting>
  <conditionalFormatting sqref="M148">
    <cfRule type="cellIs" dxfId="5499" priority="19867" operator="equal">
      <formula>"value일 미도래"</formula>
    </cfRule>
  </conditionalFormatting>
  <conditionalFormatting sqref="M148">
    <cfRule type="cellIs" dxfId="5498" priority="19866" operator="equal">
      <formula>"value일 미도래"</formula>
    </cfRule>
  </conditionalFormatting>
  <conditionalFormatting sqref="M148">
    <cfRule type="cellIs" dxfId="5497" priority="19824" operator="equal">
      <formula>"value일 미도래"</formula>
    </cfRule>
  </conditionalFormatting>
  <conditionalFormatting sqref="M148">
    <cfRule type="cellIs" dxfId="5496" priority="19823" operator="equal">
      <formula>"value일 미도래"</formula>
    </cfRule>
  </conditionalFormatting>
  <conditionalFormatting sqref="M149:M150">
    <cfRule type="cellIs" dxfId="5495" priority="19822" operator="equal">
      <formula>"value일 미도래"</formula>
    </cfRule>
  </conditionalFormatting>
  <conditionalFormatting sqref="M149:M150">
    <cfRule type="cellIs" dxfId="5494" priority="19821" operator="equal">
      <formula>"value일 미도래"</formula>
    </cfRule>
  </conditionalFormatting>
  <conditionalFormatting sqref="M148">
    <cfRule type="cellIs" dxfId="5493" priority="19820" operator="equal">
      <formula>"value일 미도래"</formula>
    </cfRule>
  </conditionalFormatting>
  <conditionalFormatting sqref="M148">
    <cfRule type="cellIs" dxfId="5492" priority="19819" operator="equal">
      <formula>"value일 미도래"</formula>
    </cfRule>
  </conditionalFormatting>
  <conditionalFormatting sqref="M148">
    <cfRule type="cellIs" dxfId="5491" priority="19818" operator="equal">
      <formula>"value일 미도래"</formula>
    </cfRule>
  </conditionalFormatting>
  <conditionalFormatting sqref="M149:M150">
    <cfRule type="cellIs" dxfId="5490" priority="19817" operator="equal">
      <formula>"value일 미도래"</formula>
    </cfRule>
  </conditionalFormatting>
  <conditionalFormatting sqref="M149:M150">
    <cfRule type="cellIs" dxfId="5489" priority="19816" operator="equal">
      <formula>"value일 미도래"</formula>
    </cfRule>
  </conditionalFormatting>
  <conditionalFormatting sqref="M149:M150">
    <cfRule type="cellIs" dxfId="5488" priority="19815" operator="equal">
      <formula>"value일 미도래"</formula>
    </cfRule>
  </conditionalFormatting>
  <conditionalFormatting sqref="M148">
    <cfRule type="cellIs" dxfId="5487" priority="19814" operator="equal">
      <formula>"value일 미도래"</formula>
    </cfRule>
  </conditionalFormatting>
  <conditionalFormatting sqref="M148">
    <cfRule type="cellIs" dxfId="5486" priority="19813" operator="equal">
      <formula>"value일 미도래"</formula>
    </cfRule>
  </conditionalFormatting>
  <conditionalFormatting sqref="M149:M150">
    <cfRule type="cellIs" dxfId="5485" priority="19812" operator="equal">
      <formula>"value일 미도래"</formula>
    </cfRule>
  </conditionalFormatting>
  <conditionalFormatting sqref="M149:M150">
    <cfRule type="cellIs" dxfId="5484" priority="19811" operator="equal">
      <formula>"value일 미도래"</formula>
    </cfRule>
  </conditionalFormatting>
  <conditionalFormatting sqref="M149:M150">
    <cfRule type="cellIs" dxfId="5483" priority="19810" operator="equal">
      <formula>"value일 미도래"</formula>
    </cfRule>
  </conditionalFormatting>
  <conditionalFormatting sqref="M148">
    <cfRule type="cellIs" dxfId="5482" priority="19809" operator="equal">
      <formula>"value일 미도래"</formula>
    </cfRule>
  </conditionalFormatting>
  <conditionalFormatting sqref="M148">
    <cfRule type="cellIs" dxfId="5481" priority="19808" operator="equal">
      <formula>"value일 미도래"</formula>
    </cfRule>
  </conditionalFormatting>
  <conditionalFormatting sqref="M148">
    <cfRule type="cellIs" dxfId="5480" priority="19807" operator="equal">
      <formula>"value일 미도래"</formula>
    </cfRule>
  </conditionalFormatting>
  <conditionalFormatting sqref="M148">
    <cfRule type="cellIs" dxfId="5479" priority="19806" operator="equal">
      <formula>"value일 미도래"</formula>
    </cfRule>
  </conditionalFormatting>
  <conditionalFormatting sqref="M148">
    <cfRule type="cellIs" dxfId="5478" priority="19805" operator="equal">
      <formula>"value일 미도래"</formula>
    </cfRule>
  </conditionalFormatting>
  <conditionalFormatting sqref="M148">
    <cfRule type="cellIs" dxfId="5477" priority="19804" operator="equal">
      <formula>"value일 미도래"</formula>
    </cfRule>
  </conditionalFormatting>
  <conditionalFormatting sqref="M149:M150">
    <cfRule type="cellIs" dxfId="5476" priority="19803" operator="equal">
      <formula>"value일 미도래"</formula>
    </cfRule>
  </conditionalFormatting>
  <conditionalFormatting sqref="M149:M150">
    <cfRule type="cellIs" dxfId="5475" priority="19802" operator="equal">
      <formula>"value일 미도래"</formula>
    </cfRule>
  </conditionalFormatting>
  <conditionalFormatting sqref="M149:M150">
    <cfRule type="cellIs" dxfId="5474" priority="19801" operator="equal">
      <formula>"value일 미도래"</formula>
    </cfRule>
  </conditionalFormatting>
  <conditionalFormatting sqref="M148">
    <cfRule type="cellIs" dxfId="5473" priority="19798" operator="equal">
      <formula>"value일 미도래"</formula>
    </cfRule>
  </conditionalFormatting>
  <conditionalFormatting sqref="M148">
    <cfRule type="cellIs" dxfId="5472" priority="19797" operator="equal">
      <formula>"value일 미도래"</formula>
    </cfRule>
  </conditionalFormatting>
  <conditionalFormatting sqref="M149:M150">
    <cfRule type="cellIs" dxfId="5471" priority="19796" operator="equal">
      <formula>"value일 미도래"</formula>
    </cfRule>
  </conditionalFormatting>
  <conditionalFormatting sqref="M149:M150">
    <cfRule type="cellIs" dxfId="5470" priority="19795" operator="equal">
      <formula>"value일 미도래"</formula>
    </cfRule>
  </conditionalFormatting>
  <conditionalFormatting sqref="M149:M150">
    <cfRule type="cellIs" dxfId="5469" priority="19794" operator="equal">
      <formula>"value일 미도래"</formula>
    </cfRule>
  </conditionalFormatting>
  <conditionalFormatting sqref="M148">
    <cfRule type="cellIs" dxfId="5468" priority="19793" operator="equal">
      <formula>"value일 미도래"</formula>
    </cfRule>
  </conditionalFormatting>
  <conditionalFormatting sqref="M148">
    <cfRule type="cellIs" dxfId="5467" priority="19792" operator="equal">
      <formula>"value일 미도래"</formula>
    </cfRule>
  </conditionalFormatting>
  <conditionalFormatting sqref="M148">
    <cfRule type="cellIs" dxfId="5466" priority="19791" operator="equal">
      <formula>"value일 미도래"</formula>
    </cfRule>
  </conditionalFormatting>
  <conditionalFormatting sqref="M148">
    <cfRule type="cellIs" dxfId="5465" priority="19790" operator="equal">
      <formula>"value일 미도래"</formula>
    </cfRule>
  </conditionalFormatting>
  <conditionalFormatting sqref="M148">
    <cfRule type="cellIs" dxfId="5464" priority="19789" operator="equal">
      <formula>"value일 미도래"</formula>
    </cfRule>
  </conditionalFormatting>
  <conditionalFormatting sqref="M148">
    <cfRule type="cellIs" dxfId="5463" priority="19788" operator="equal">
      <formula>"value일 미도래"</formula>
    </cfRule>
  </conditionalFormatting>
  <conditionalFormatting sqref="M148">
    <cfRule type="cellIs" dxfId="5462" priority="19787" operator="equal">
      <formula>"value일 미도래"</formula>
    </cfRule>
  </conditionalFormatting>
  <conditionalFormatting sqref="M148">
    <cfRule type="cellIs" dxfId="5461" priority="19786" operator="equal">
      <formula>"value일 미도래"</formula>
    </cfRule>
  </conditionalFormatting>
  <conditionalFormatting sqref="M148">
    <cfRule type="cellIs" dxfId="5460" priority="19785" operator="equal">
      <formula>"value일 미도래"</formula>
    </cfRule>
  </conditionalFormatting>
  <conditionalFormatting sqref="M148">
    <cfRule type="cellIs" dxfId="5459" priority="19783" operator="equal">
      <formula>"value일 미도래"</formula>
    </cfRule>
  </conditionalFormatting>
  <conditionalFormatting sqref="M148">
    <cfRule type="cellIs" dxfId="5458" priority="19782" operator="equal">
      <formula>"value일 미도래"</formula>
    </cfRule>
  </conditionalFormatting>
  <conditionalFormatting sqref="M149:M150">
    <cfRule type="cellIs" dxfId="5457" priority="19781" operator="equal">
      <formula>"value일 미도래"</formula>
    </cfRule>
  </conditionalFormatting>
  <conditionalFormatting sqref="M149:M150">
    <cfRule type="cellIs" dxfId="5456" priority="19780" operator="equal">
      <formula>"value일 미도래"</formula>
    </cfRule>
  </conditionalFormatting>
  <conditionalFormatting sqref="M149:M150">
    <cfRule type="cellIs" dxfId="5455" priority="19779" operator="equal">
      <formula>"value일 미도래"</formula>
    </cfRule>
  </conditionalFormatting>
  <conditionalFormatting sqref="M148">
    <cfRule type="cellIs" dxfId="5454" priority="19778" operator="equal">
      <formula>"value일 미도래"</formula>
    </cfRule>
  </conditionalFormatting>
  <conditionalFormatting sqref="M148">
    <cfRule type="cellIs" dxfId="5453" priority="19777" operator="equal">
      <formula>"value일 미도래"</formula>
    </cfRule>
  </conditionalFormatting>
  <conditionalFormatting sqref="M148">
    <cfRule type="cellIs" dxfId="5452" priority="19776" operator="equal">
      <formula>"value일 미도래"</formula>
    </cfRule>
  </conditionalFormatting>
  <conditionalFormatting sqref="M148">
    <cfRule type="cellIs" dxfId="5451" priority="19775" operator="equal">
      <formula>"value일 미도래"</formula>
    </cfRule>
  </conditionalFormatting>
  <conditionalFormatting sqref="M148">
    <cfRule type="cellIs" dxfId="5450" priority="19774" operator="equal">
      <formula>"value일 미도래"</formula>
    </cfRule>
  </conditionalFormatting>
  <conditionalFormatting sqref="M148">
    <cfRule type="cellIs" dxfId="5449" priority="19773" operator="equal">
      <formula>"value일 미도래"</formula>
    </cfRule>
  </conditionalFormatting>
  <conditionalFormatting sqref="M148">
    <cfRule type="cellIs" dxfId="5448" priority="19772" operator="equal">
      <formula>"value일 미도래"</formula>
    </cfRule>
  </conditionalFormatting>
  <conditionalFormatting sqref="M148">
    <cfRule type="cellIs" dxfId="5447" priority="19771" operator="equal">
      <formula>"value일 미도래"</formula>
    </cfRule>
  </conditionalFormatting>
  <conditionalFormatting sqref="M148">
    <cfRule type="cellIs" dxfId="5446" priority="19770" operator="equal">
      <formula>"value일 미도래"</formula>
    </cfRule>
  </conditionalFormatting>
  <conditionalFormatting sqref="M148">
    <cfRule type="cellIs" dxfId="5445" priority="19768" operator="equal">
      <formula>"value일 미도래"</formula>
    </cfRule>
  </conditionalFormatting>
  <conditionalFormatting sqref="M148">
    <cfRule type="cellIs" dxfId="5444" priority="19767" operator="equal">
      <formula>"value일 미도래"</formula>
    </cfRule>
  </conditionalFormatting>
  <conditionalFormatting sqref="M148">
    <cfRule type="cellIs" dxfId="5443" priority="19766" operator="equal">
      <formula>"value일 미도래"</formula>
    </cfRule>
  </conditionalFormatting>
  <conditionalFormatting sqref="M149:M150">
    <cfRule type="cellIs" dxfId="5442" priority="19765" operator="equal">
      <formula>"value일 미도래"</formula>
    </cfRule>
  </conditionalFormatting>
  <conditionalFormatting sqref="M149:M150">
    <cfRule type="cellIs" dxfId="5441" priority="19764" operator="equal">
      <formula>"value일 미도래"</formula>
    </cfRule>
  </conditionalFormatting>
  <conditionalFormatting sqref="M149:M150">
    <cfRule type="cellIs" dxfId="5440" priority="19763" operator="equal">
      <formula>"value일 미도래"</formula>
    </cfRule>
  </conditionalFormatting>
  <conditionalFormatting sqref="M148:M149">
    <cfRule type="cellIs" dxfId="5439" priority="19762" operator="equal">
      <formula>"value일 미도래"</formula>
    </cfRule>
  </conditionalFormatting>
  <conditionalFormatting sqref="M148:M149">
    <cfRule type="cellIs" dxfId="5438" priority="19761" operator="equal">
      <formula>"value일 미도래"</formula>
    </cfRule>
  </conditionalFormatting>
  <conditionalFormatting sqref="M148:M149">
    <cfRule type="cellIs" dxfId="5437" priority="19760" operator="equal">
      <formula>"value일 미도래"</formula>
    </cfRule>
  </conditionalFormatting>
  <conditionalFormatting sqref="M148:M149">
    <cfRule type="cellIs" dxfId="5436" priority="19759" operator="equal">
      <formula>"value일 미도래"</formula>
    </cfRule>
  </conditionalFormatting>
  <conditionalFormatting sqref="M148:M149">
    <cfRule type="cellIs" dxfId="5435" priority="19758" operator="equal">
      <formula>"value일 미도래"</formula>
    </cfRule>
  </conditionalFormatting>
  <conditionalFormatting sqref="M148:M149">
    <cfRule type="cellIs" dxfId="5434" priority="19757" operator="equal">
      <formula>"value일 미도래"</formula>
    </cfRule>
  </conditionalFormatting>
  <conditionalFormatting sqref="M148:M149">
    <cfRule type="cellIs" dxfId="5433" priority="19755" operator="equal">
      <formula>"value일 미도래"</formula>
    </cfRule>
  </conditionalFormatting>
  <conditionalFormatting sqref="M148:M149">
    <cfRule type="cellIs" dxfId="5432" priority="19754" operator="equal">
      <formula>"value일 미도래"</formula>
    </cfRule>
  </conditionalFormatting>
  <conditionalFormatting sqref="M148:M149">
    <cfRule type="cellIs" dxfId="5431" priority="19753" operator="equal">
      <formula>"value일 미도래"</formula>
    </cfRule>
  </conditionalFormatting>
  <conditionalFormatting sqref="M148:M149">
    <cfRule type="cellIs" dxfId="5430" priority="19752" operator="equal">
      <formula>"value일 미도래"</formula>
    </cfRule>
  </conditionalFormatting>
  <conditionalFormatting sqref="M148:M149">
    <cfRule type="cellIs" dxfId="5429" priority="19751" operator="equal">
      <formula>"value일 미도래"</formula>
    </cfRule>
  </conditionalFormatting>
  <conditionalFormatting sqref="M148:M149">
    <cfRule type="cellIs" dxfId="5428" priority="19750" operator="equal">
      <formula>"value일 미도래"</formula>
    </cfRule>
  </conditionalFormatting>
  <conditionalFormatting sqref="M148:M149">
    <cfRule type="cellIs" dxfId="5427" priority="19749" operator="equal">
      <formula>"value일 미도래"</formula>
    </cfRule>
  </conditionalFormatting>
  <conditionalFormatting sqref="M148:M149">
    <cfRule type="cellIs" dxfId="5426" priority="19748" operator="equal">
      <formula>"value일 미도래"</formula>
    </cfRule>
  </conditionalFormatting>
  <conditionalFormatting sqref="M148:M149">
    <cfRule type="cellIs" dxfId="5425" priority="19746" operator="equal">
      <formula>"value일 미도래"</formula>
    </cfRule>
  </conditionalFormatting>
  <conditionalFormatting sqref="M148:M149">
    <cfRule type="cellIs" dxfId="5424" priority="19745" operator="equal">
      <formula>"value일 미도래"</formula>
    </cfRule>
  </conditionalFormatting>
  <conditionalFormatting sqref="M148:M149">
    <cfRule type="cellIs" dxfId="5423" priority="19744" operator="equal">
      <formula>"value일 미도래"</formula>
    </cfRule>
  </conditionalFormatting>
  <conditionalFormatting sqref="M148:M149">
    <cfRule type="cellIs" dxfId="5422" priority="19743" operator="equal">
      <formula>"value일 미도래"</formula>
    </cfRule>
  </conditionalFormatting>
  <conditionalFormatting sqref="M148:M149">
    <cfRule type="cellIs" dxfId="5421" priority="19742" operator="equal">
      <formula>"value일 미도래"</formula>
    </cfRule>
  </conditionalFormatting>
  <conditionalFormatting sqref="M148:M149">
    <cfRule type="cellIs" dxfId="5420" priority="19741" operator="equal">
      <formula>"value일 미도래"</formula>
    </cfRule>
  </conditionalFormatting>
  <conditionalFormatting sqref="M148:M149">
    <cfRule type="cellIs" dxfId="5419" priority="19740" operator="equal">
      <formula>"value일 미도래"</formula>
    </cfRule>
  </conditionalFormatting>
  <conditionalFormatting sqref="M148:M149">
    <cfRule type="cellIs" dxfId="5418" priority="19739" operator="equal">
      <formula>"value일 미도래"</formula>
    </cfRule>
  </conditionalFormatting>
  <conditionalFormatting sqref="M148:M149">
    <cfRule type="cellIs" dxfId="5417" priority="19738" operator="equal">
      <formula>"value일 미도래"</formula>
    </cfRule>
  </conditionalFormatting>
  <conditionalFormatting sqref="M148:M149">
    <cfRule type="cellIs" dxfId="5416" priority="19737" operator="equal">
      <formula>"value일 미도래"</formula>
    </cfRule>
  </conditionalFormatting>
  <conditionalFormatting sqref="M148:M149">
    <cfRule type="cellIs" dxfId="5415" priority="19736" operator="equal">
      <formula>"value일 미도래"</formula>
    </cfRule>
  </conditionalFormatting>
  <conditionalFormatting sqref="M148:M149">
    <cfRule type="cellIs" dxfId="5414" priority="19734" operator="equal">
      <formula>"value일 미도래"</formula>
    </cfRule>
  </conditionalFormatting>
  <conditionalFormatting sqref="M148:M149">
    <cfRule type="cellIs" dxfId="5413" priority="19733" operator="equal">
      <formula>"value일 미도래"</formula>
    </cfRule>
  </conditionalFormatting>
  <conditionalFormatting sqref="M148:M149">
    <cfRule type="cellIs" dxfId="5412" priority="19732" operator="equal">
      <formula>"value일 미도래"</formula>
    </cfRule>
  </conditionalFormatting>
  <conditionalFormatting sqref="M148:M149">
    <cfRule type="cellIs" dxfId="5411" priority="19731" operator="equal">
      <formula>"value일 미도래"</formula>
    </cfRule>
  </conditionalFormatting>
  <conditionalFormatting sqref="M148:M149">
    <cfRule type="cellIs" dxfId="5410" priority="19730" operator="equal">
      <formula>"value일 미도래"</formula>
    </cfRule>
  </conditionalFormatting>
  <conditionalFormatting sqref="M148:M149">
    <cfRule type="cellIs" dxfId="5409" priority="19729" operator="equal">
      <formula>"value일 미도래"</formula>
    </cfRule>
  </conditionalFormatting>
  <conditionalFormatting sqref="M148:M149">
    <cfRule type="cellIs" dxfId="5408" priority="19728" operator="equal">
      <formula>"value일 미도래"</formula>
    </cfRule>
  </conditionalFormatting>
  <conditionalFormatting sqref="M148:M149">
    <cfRule type="cellIs" dxfId="5407" priority="19727" operator="equal">
      <formula>"value일 미도래"</formula>
    </cfRule>
  </conditionalFormatting>
  <conditionalFormatting sqref="M148:M149">
    <cfRule type="cellIs" dxfId="5406" priority="19726" operator="equal">
      <formula>"value일 미도래"</formula>
    </cfRule>
  </conditionalFormatting>
  <conditionalFormatting sqref="M148:M149">
    <cfRule type="cellIs" dxfId="5405" priority="19725" operator="equal">
      <formula>"value일 미도래"</formula>
    </cfRule>
  </conditionalFormatting>
  <conditionalFormatting sqref="M148:M149">
    <cfRule type="cellIs" dxfId="5404" priority="19724" operator="equal">
      <formula>"value일 미도래"</formula>
    </cfRule>
  </conditionalFormatting>
  <conditionalFormatting sqref="M148:M149">
    <cfRule type="cellIs" dxfId="5403" priority="19722" operator="equal">
      <formula>"value일 미도래"</formula>
    </cfRule>
  </conditionalFormatting>
  <conditionalFormatting sqref="M148:M149">
    <cfRule type="cellIs" dxfId="5402" priority="19721" operator="equal">
      <formula>"value일 미도래"</formula>
    </cfRule>
  </conditionalFormatting>
  <conditionalFormatting sqref="M148:M149">
    <cfRule type="cellIs" dxfId="5401" priority="19720" operator="equal">
      <formula>"value일 미도래"</formula>
    </cfRule>
  </conditionalFormatting>
  <conditionalFormatting sqref="M148">
    <cfRule type="cellIs" dxfId="5400" priority="19719" operator="equal">
      <formula>"value일 미도래"</formula>
    </cfRule>
  </conditionalFormatting>
  <conditionalFormatting sqref="M148">
    <cfRule type="cellIs" dxfId="5399" priority="19718" operator="equal">
      <formula>"value일 미도래"</formula>
    </cfRule>
  </conditionalFormatting>
  <conditionalFormatting sqref="M148:M149">
    <cfRule type="cellIs" dxfId="5398" priority="19717" operator="equal">
      <formula>"value일 미도래"</formula>
    </cfRule>
  </conditionalFormatting>
  <conditionalFormatting sqref="M148:M149">
    <cfRule type="cellIs" dxfId="5397" priority="19716" operator="equal">
      <formula>"value일 미도래"</formula>
    </cfRule>
  </conditionalFormatting>
  <conditionalFormatting sqref="M148:M149">
    <cfRule type="cellIs" dxfId="5396" priority="19715" operator="equal">
      <formula>"value일 미도래"</formula>
    </cfRule>
  </conditionalFormatting>
  <conditionalFormatting sqref="M149:M150">
    <cfRule type="cellIs" dxfId="5395" priority="19714" operator="equal">
      <formula>"value일 미도래"</formula>
    </cfRule>
  </conditionalFormatting>
  <conditionalFormatting sqref="M149:M150">
    <cfRule type="cellIs" dxfId="5394" priority="19713" operator="equal">
      <formula>"value일 미도래"</formula>
    </cfRule>
  </conditionalFormatting>
  <conditionalFormatting sqref="M149:M150">
    <cfRule type="cellIs" dxfId="5393" priority="19712" operator="equal">
      <formula>"value일 미도래"</formula>
    </cfRule>
  </conditionalFormatting>
  <conditionalFormatting sqref="M148">
    <cfRule type="cellIs" dxfId="5392" priority="19711" operator="equal">
      <formula>"value일 미도래"</formula>
    </cfRule>
  </conditionalFormatting>
  <conditionalFormatting sqref="M148">
    <cfRule type="cellIs" dxfId="5391" priority="19710" operator="equal">
      <formula>"value일 미도래"</formula>
    </cfRule>
  </conditionalFormatting>
  <conditionalFormatting sqref="M148">
    <cfRule type="cellIs" dxfId="5390" priority="19709" operator="equal">
      <formula>"value일 미도래"</formula>
    </cfRule>
  </conditionalFormatting>
  <conditionalFormatting sqref="M148">
    <cfRule type="cellIs" dxfId="5389" priority="19708" operator="equal">
      <formula>"value일 미도래"</formula>
    </cfRule>
  </conditionalFormatting>
  <conditionalFormatting sqref="M148">
    <cfRule type="cellIs" dxfId="5388" priority="19707" operator="equal">
      <formula>"value일 미도래"</formula>
    </cfRule>
  </conditionalFormatting>
  <conditionalFormatting sqref="M148">
    <cfRule type="cellIs" dxfId="5387" priority="19706" operator="equal">
      <formula>"value일 미도래"</formula>
    </cfRule>
  </conditionalFormatting>
  <conditionalFormatting sqref="M148">
    <cfRule type="cellIs" dxfId="5386" priority="19705" operator="equal">
      <formula>"value일 미도래"</formula>
    </cfRule>
  </conditionalFormatting>
  <conditionalFormatting sqref="M148">
    <cfRule type="cellIs" dxfId="5385" priority="19704" operator="equal">
      <formula>"value일 미도래"</formula>
    </cfRule>
  </conditionalFormatting>
  <conditionalFormatting sqref="M148">
    <cfRule type="cellIs" dxfId="5384" priority="19703" operator="equal">
      <formula>"value일 미도래"</formula>
    </cfRule>
  </conditionalFormatting>
  <conditionalFormatting sqref="M148">
    <cfRule type="cellIs" dxfId="5383" priority="19701" operator="equal">
      <formula>"value일 미도래"</formula>
    </cfRule>
  </conditionalFormatting>
  <conditionalFormatting sqref="M148">
    <cfRule type="cellIs" dxfId="5382" priority="19700" operator="equal">
      <formula>"value일 미도래"</formula>
    </cfRule>
  </conditionalFormatting>
  <conditionalFormatting sqref="M148">
    <cfRule type="cellIs" dxfId="5381" priority="19699" operator="equal">
      <formula>"value일 미도래"</formula>
    </cfRule>
  </conditionalFormatting>
  <conditionalFormatting sqref="M148:M149">
    <cfRule type="cellIs" dxfId="5380" priority="19698" operator="equal">
      <formula>"value일 미도래"</formula>
    </cfRule>
  </conditionalFormatting>
  <conditionalFormatting sqref="M148:M149">
    <cfRule type="cellIs" dxfId="5379" priority="19697" operator="equal">
      <formula>"value일 미도래"</formula>
    </cfRule>
  </conditionalFormatting>
  <conditionalFormatting sqref="M148:M149">
    <cfRule type="cellIs" dxfId="5378" priority="19696" operator="equal">
      <formula>"value일 미도래"</formula>
    </cfRule>
  </conditionalFormatting>
  <conditionalFormatting sqref="M148">
    <cfRule type="cellIs" dxfId="5377" priority="19695" operator="equal">
      <formula>"value일 미도래"</formula>
    </cfRule>
  </conditionalFormatting>
  <conditionalFormatting sqref="M148">
    <cfRule type="cellIs" dxfId="5376" priority="19694" operator="equal">
      <formula>"value일 미도래"</formula>
    </cfRule>
  </conditionalFormatting>
  <conditionalFormatting sqref="M148">
    <cfRule type="cellIs" dxfId="5375" priority="19693" operator="equal">
      <formula>"value일 미도래"</formula>
    </cfRule>
  </conditionalFormatting>
  <conditionalFormatting sqref="M148:M149">
    <cfRule type="cellIs" dxfId="5374" priority="19692" operator="equal">
      <formula>"value일 미도래"</formula>
    </cfRule>
  </conditionalFormatting>
  <conditionalFormatting sqref="M148:M149">
    <cfRule type="cellIs" dxfId="5373" priority="19691" operator="equal">
      <formula>"value일 미도래"</formula>
    </cfRule>
  </conditionalFormatting>
  <conditionalFormatting sqref="M148:M149">
    <cfRule type="cellIs" dxfId="5372" priority="19690" operator="equal">
      <formula>"value일 미도래"</formula>
    </cfRule>
  </conditionalFormatting>
  <conditionalFormatting sqref="M148">
    <cfRule type="cellIs" dxfId="5371" priority="19689" operator="equal">
      <formula>"value일 미도래"</formula>
    </cfRule>
  </conditionalFormatting>
  <conditionalFormatting sqref="M148">
    <cfRule type="cellIs" dxfId="5370" priority="19688" operator="equal">
      <formula>"value일 미도래"</formula>
    </cfRule>
  </conditionalFormatting>
  <conditionalFormatting sqref="M148">
    <cfRule type="cellIs" dxfId="5369" priority="19687" operator="equal">
      <formula>"value일 미도래"</formula>
    </cfRule>
  </conditionalFormatting>
  <conditionalFormatting sqref="M148">
    <cfRule type="cellIs" dxfId="5368" priority="19686" operator="equal">
      <formula>"value일 미도래"</formula>
    </cfRule>
  </conditionalFormatting>
  <conditionalFormatting sqref="M148">
    <cfRule type="cellIs" dxfId="5367" priority="19685" operator="equal">
      <formula>"value일 미도래"</formula>
    </cfRule>
  </conditionalFormatting>
  <conditionalFormatting sqref="M148:M149">
    <cfRule type="cellIs" dxfId="5366" priority="19684" operator="equal">
      <formula>"value일 미도래"</formula>
    </cfRule>
  </conditionalFormatting>
  <conditionalFormatting sqref="M148:M149">
    <cfRule type="cellIs" dxfId="5365" priority="19683" operator="equal">
      <formula>"value일 미도래"</formula>
    </cfRule>
  </conditionalFormatting>
  <conditionalFormatting sqref="M148:M149">
    <cfRule type="cellIs" dxfId="5364" priority="19682" operator="equal">
      <formula>"value일 미도래"</formula>
    </cfRule>
  </conditionalFormatting>
  <conditionalFormatting sqref="M149:M150">
    <cfRule type="cellIs" dxfId="5363" priority="19681" operator="equal">
      <formula>"value일 미도래"</formula>
    </cfRule>
  </conditionalFormatting>
  <conditionalFormatting sqref="M149:M150">
    <cfRule type="cellIs" dxfId="5362" priority="19680" operator="equal">
      <formula>"value일 미도래"</formula>
    </cfRule>
  </conditionalFormatting>
  <conditionalFormatting sqref="M149:M150">
    <cfRule type="cellIs" dxfId="5361" priority="19679" operator="equal">
      <formula>"value일 미도래"</formula>
    </cfRule>
  </conditionalFormatting>
  <conditionalFormatting sqref="M148">
    <cfRule type="cellIs" dxfId="5360" priority="19678" operator="equal">
      <formula>"value일 미도래"</formula>
    </cfRule>
  </conditionalFormatting>
  <conditionalFormatting sqref="M148">
    <cfRule type="cellIs" dxfId="5359" priority="19677" operator="equal">
      <formula>"value일 미도래"</formula>
    </cfRule>
  </conditionalFormatting>
  <conditionalFormatting sqref="M148">
    <cfRule type="cellIs" dxfId="5358" priority="19676" operator="equal">
      <formula>"value일 미도래"</formula>
    </cfRule>
  </conditionalFormatting>
  <conditionalFormatting sqref="M148">
    <cfRule type="cellIs" dxfId="5357" priority="19675" operator="equal">
      <formula>"value일 미도래"</formula>
    </cfRule>
  </conditionalFormatting>
  <conditionalFormatting sqref="M148">
    <cfRule type="cellIs" dxfId="5356" priority="19674" operator="equal">
      <formula>"value일 미도래"</formula>
    </cfRule>
  </conditionalFormatting>
  <conditionalFormatting sqref="M148">
    <cfRule type="cellIs" dxfId="5355" priority="19673" operator="equal">
      <formula>"value일 미도래"</formula>
    </cfRule>
  </conditionalFormatting>
  <conditionalFormatting sqref="M148">
    <cfRule type="cellIs" dxfId="5354" priority="19672" operator="equal">
      <formula>"value일 미도래"</formula>
    </cfRule>
  </conditionalFormatting>
  <conditionalFormatting sqref="M148">
    <cfRule type="cellIs" dxfId="5353" priority="19671" operator="equal">
      <formula>"value일 미도래"</formula>
    </cfRule>
  </conditionalFormatting>
  <conditionalFormatting sqref="M148">
    <cfRule type="cellIs" dxfId="5352" priority="19670" operator="equal">
      <formula>"value일 미도래"</formula>
    </cfRule>
  </conditionalFormatting>
  <conditionalFormatting sqref="M148">
    <cfRule type="cellIs" dxfId="5351" priority="19668" operator="equal">
      <formula>"value일 미도래"</formula>
    </cfRule>
  </conditionalFormatting>
  <conditionalFormatting sqref="M148">
    <cfRule type="cellIs" dxfId="5350" priority="19667" operator="equal">
      <formula>"value일 미도래"</formula>
    </cfRule>
  </conditionalFormatting>
  <conditionalFormatting sqref="M148">
    <cfRule type="cellIs" dxfId="5349" priority="19666" operator="equal">
      <formula>"value일 미도래"</formula>
    </cfRule>
  </conditionalFormatting>
  <conditionalFormatting sqref="M148:M149">
    <cfRule type="cellIs" dxfId="5348" priority="19665" operator="equal">
      <formula>"value일 미도래"</formula>
    </cfRule>
  </conditionalFormatting>
  <conditionalFormatting sqref="M148:M149">
    <cfRule type="cellIs" dxfId="5347" priority="19664" operator="equal">
      <formula>"value일 미도래"</formula>
    </cfRule>
  </conditionalFormatting>
  <conditionalFormatting sqref="M148:M149">
    <cfRule type="cellIs" dxfId="5346" priority="19663" operator="equal">
      <formula>"value일 미도래"</formula>
    </cfRule>
  </conditionalFormatting>
  <conditionalFormatting sqref="M148">
    <cfRule type="cellIs" dxfId="5345" priority="19662" operator="equal">
      <formula>"value일 미도래"</formula>
    </cfRule>
  </conditionalFormatting>
  <conditionalFormatting sqref="M148">
    <cfRule type="cellIs" dxfId="5344" priority="19661" operator="equal">
      <formula>"value일 미도래"</formula>
    </cfRule>
  </conditionalFormatting>
  <conditionalFormatting sqref="M148">
    <cfRule type="cellIs" dxfId="5343" priority="19660" operator="equal">
      <formula>"value일 미도래"</formula>
    </cfRule>
  </conditionalFormatting>
  <conditionalFormatting sqref="M148:M149">
    <cfRule type="cellIs" dxfId="5342" priority="19659" operator="equal">
      <formula>"value일 미도래"</formula>
    </cfRule>
  </conditionalFormatting>
  <conditionalFormatting sqref="M148:M149">
    <cfRule type="cellIs" dxfId="5341" priority="19658" operator="equal">
      <formula>"value일 미도래"</formula>
    </cfRule>
  </conditionalFormatting>
  <conditionalFormatting sqref="M148:M149">
    <cfRule type="cellIs" dxfId="5340" priority="19657" operator="equal">
      <formula>"value일 미도래"</formula>
    </cfRule>
  </conditionalFormatting>
  <conditionalFormatting sqref="M148">
    <cfRule type="cellIs" dxfId="5339" priority="19656" operator="equal">
      <formula>"value일 미도래"</formula>
    </cfRule>
  </conditionalFormatting>
  <conditionalFormatting sqref="M148">
    <cfRule type="cellIs" dxfId="5338" priority="19655" operator="equal">
      <formula>"value일 미도래"</formula>
    </cfRule>
  </conditionalFormatting>
  <conditionalFormatting sqref="M148">
    <cfRule type="cellIs" dxfId="5337" priority="19654" operator="equal">
      <formula>"value일 미도래"</formula>
    </cfRule>
  </conditionalFormatting>
  <conditionalFormatting sqref="M149:M150">
    <cfRule type="cellIs" dxfId="5336" priority="19653" operator="equal">
      <formula>"value일 미도래"</formula>
    </cfRule>
  </conditionalFormatting>
  <conditionalFormatting sqref="M149:M150">
    <cfRule type="cellIs" dxfId="5335" priority="19652" operator="equal">
      <formula>"value일 미도래"</formula>
    </cfRule>
  </conditionalFormatting>
  <conditionalFormatting sqref="M149:M150">
    <cfRule type="cellIs" dxfId="5334" priority="19651" operator="equal">
      <formula>"value일 미도래"</formula>
    </cfRule>
  </conditionalFormatting>
  <conditionalFormatting sqref="M149:M150">
    <cfRule type="cellIs" dxfId="5333" priority="19650" operator="equal">
      <formula>"value일 미도래"</formula>
    </cfRule>
  </conditionalFormatting>
  <conditionalFormatting sqref="M148">
    <cfRule type="cellIs" dxfId="5332" priority="19649" operator="equal">
      <formula>"value일 미도래"</formula>
    </cfRule>
  </conditionalFormatting>
  <conditionalFormatting sqref="M148">
    <cfRule type="cellIs" dxfId="5331" priority="19648" operator="equal">
      <formula>"value일 미도래"</formula>
    </cfRule>
  </conditionalFormatting>
  <conditionalFormatting sqref="M148">
    <cfRule type="cellIs" dxfId="5330" priority="19647" operator="equal">
      <formula>"value일 미도래"</formula>
    </cfRule>
  </conditionalFormatting>
  <conditionalFormatting sqref="M150:M151">
    <cfRule type="cellIs" dxfId="5329" priority="19646" operator="equal">
      <formula>"value일 미도래"</formula>
    </cfRule>
  </conditionalFormatting>
  <conditionalFormatting sqref="M150:M151">
    <cfRule type="cellIs" dxfId="5328" priority="19645" operator="equal">
      <formula>"value일 미도래"</formula>
    </cfRule>
  </conditionalFormatting>
  <conditionalFormatting sqref="M150:M151">
    <cfRule type="cellIs" dxfId="5327" priority="19644" operator="equal">
      <formula>"value일 미도래"</formula>
    </cfRule>
  </conditionalFormatting>
  <conditionalFormatting sqref="M150:M151">
    <cfRule type="cellIs" dxfId="5326" priority="19643" operator="equal">
      <formula>"value일 미도래"</formula>
    </cfRule>
  </conditionalFormatting>
  <conditionalFormatting sqref="M150:M151">
    <cfRule type="cellIs" dxfId="5325" priority="19642" operator="equal">
      <formula>"value일 미도래"</formula>
    </cfRule>
  </conditionalFormatting>
  <conditionalFormatting sqref="M150:M151">
    <cfRule type="cellIs" dxfId="5324" priority="19641" operator="equal">
      <formula>"value일 미도래"</formula>
    </cfRule>
  </conditionalFormatting>
  <conditionalFormatting sqref="M150:M151">
    <cfRule type="cellIs" dxfId="5323" priority="19639" operator="equal">
      <formula>"value일 미도래"</formula>
    </cfRule>
  </conditionalFormatting>
  <conditionalFormatting sqref="M150:M151">
    <cfRule type="cellIs" dxfId="5322" priority="19638" operator="equal">
      <formula>"value일 미도래"</formula>
    </cfRule>
  </conditionalFormatting>
  <conditionalFormatting sqref="M150:M151">
    <cfRule type="cellIs" dxfId="5321" priority="19637" operator="equal">
      <formula>"value일 미도래"</formula>
    </cfRule>
  </conditionalFormatting>
  <conditionalFormatting sqref="M150:M151">
    <cfRule type="cellIs" dxfId="5320" priority="19636" operator="equal">
      <formula>"value일 미도래"</formula>
    </cfRule>
  </conditionalFormatting>
  <conditionalFormatting sqref="M150:M151">
    <cfRule type="cellIs" dxfId="5319" priority="19635" operator="equal">
      <formula>"value일 미도래"</formula>
    </cfRule>
  </conditionalFormatting>
  <conditionalFormatting sqref="M150:M151">
    <cfRule type="cellIs" dxfId="5318" priority="19634" operator="equal">
      <formula>"value일 미도래"</formula>
    </cfRule>
  </conditionalFormatting>
  <conditionalFormatting sqref="M150:M151">
    <cfRule type="cellIs" dxfId="5317" priority="19633" operator="equal">
      <formula>"value일 미도래"</formula>
    </cfRule>
  </conditionalFormatting>
  <conditionalFormatting sqref="M150:M151">
    <cfRule type="cellIs" dxfId="5316" priority="19632" operator="equal">
      <formula>"value일 미도래"</formula>
    </cfRule>
  </conditionalFormatting>
  <conditionalFormatting sqref="M150:M151">
    <cfRule type="cellIs" dxfId="5315" priority="19630" operator="equal">
      <formula>"value일 미도래"</formula>
    </cfRule>
  </conditionalFormatting>
  <conditionalFormatting sqref="M150:M151">
    <cfRule type="cellIs" dxfId="5314" priority="19629" operator="equal">
      <formula>"value일 미도래"</formula>
    </cfRule>
  </conditionalFormatting>
  <conditionalFormatting sqref="M150:M151">
    <cfRule type="cellIs" dxfId="5313" priority="19628" operator="equal">
      <formula>"value일 미도래"</formula>
    </cfRule>
  </conditionalFormatting>
  <conditionalFormatting sqref="M150:M151">
    <cfRule type="cellIs" dxfId="5312" priority="19627" operator="equal">
      <formula>"value일 미도래"</formula>
    </cfRule>
  </conditionalFormatting>
  <conditionalFormatting sqref="M150:M151">
    <cfRule type="cellIs" dxfId="5311" priority="19626" operator="equal">
      <formula>"value일 미도래"</formula>
    </cfRule>
  </conditionalFormatting>
  <conditionalFormatting sqref="M150:M151">
    <cfRule type="cellIs" dxfId="5310" priority="19625" operator="equal">
      <formula>"value일 미도래"</formula>
    </cfRule>
  </conditionalFormatting>
  <conditionalFormatting sqref="M150:M151">
    <cfRule type="cellIs" dxfId="5309" priority="19624" operator="equal">
      <formula>"value일 미도래"</formula>
    </cfRule>
  </conditionalFormatting>
  <conditionalFormatting sqref="M150:M151">
    <cfRule type="cellIs" dxfId="5308" priority="19623" operator="equal">
      <formula>"value일 미도래"</formula>
    </cfRule>
  </conditionalFormatting>
  <conditionalFormatting sqref="M150:M151">
    <cfRule type="cellIs" dxfId="5307" priority="19622" operator="equal">
      <formula>"value일 미도래"</formula>
    </cfRule>
  </conditionalFormatting>
  <conditionalFormatting sqref="M150:M151">
    <cfRule type="cellIs" dxfId="5306" priority="19621" operator="equal">
      <formula>"value일 미도래"</formula>
    </cfRule>
  </conditionalFormatting>
  <conditionalFormatting sqref="M150:M151">
    <cfRule type="cellIs" dxfId="5305" priority="19620" operator="equal">
      <formula>"value일 미도래"</formula>
    </cfRule>
  </conditionalFormatting>
  <conditionalFormatting sqref="M150:M151">
    <cfRule type="cellIs" dxfId="5304" priority="19618" operator="equal">
      <formula>"value일 미도래"</formula>
    </cfRule>
  </conditionalFormatting>
  <conditionalFormatting sqref="M150:M151">
    <cfRule type="cellIs" dxfId="5303" priority="19617" operator="equal">
      <formula>"value일 미도래"</formula>
    </cfRule>
  </conditionalFormatting>
  <conditionalFormatting sqref="M150:M151">
    <cfRule type="cellIs" dxfId="5302" priority="19616" operator="equal">
      <formula>"value일 미도래"</formula>
    </cfRule>
  </conditionalFormatting>
  <conditionalFormatting sqref="M150:M151">
    <cfRule type="cellIs" dxfId="5301" priority="19615" operator="equal">
      <formula>"value일 미도래"</formula>
    </cfRule>
  </conditionalFormatting>
  <conditionalFormatting sqref="M150:M151">
    <cfRule type="cellIs" dxfId="5300" priority="19614" operator="equal">
      <formula>"value일 미도래"</formula>
    </cfRule>
  </conditionalFormatting>
  <conditionalFormatting sqref="M150:M151">
    <cfRule type="cellIs" dxfId="5299" priority="19613" operator="equal">
      <formula>"value일 미도래"</formula>
    </cfRule>
  </conditionalFormatting>
  <conditionalFormatting sqref="M150:M151">
    <cfRule type="cellIs" dxfId="5298" priority="19612" operator="equal">
      <formula>"value일 미도래"</formula>
    </cfRule>
  </conditionalFormatting>
  <conditionalFormatting sqref="M150:M151">
    <cfRule type="cellIs" dxfId="5297" priority="19611" operator="equal">
      <formula>"value일 미도래"</formula>
    </cfRule>
  </conditionalFormatting>
  <conditionalFormatting sqref="M150:M151">
    <cfRule type="cellIs" dxfId="5296" priority="19610" operator="equal">
      <formula>"value일 미도래"</formula>
    </cfRule>
  </conditionalFormatting>
  <conditionalFormatting sqref="M150:M151">
    <cfRule type="cellIs" dxfId="5295" priority="19609" operator="equal">
      <formula>"value일 미도래"</formula>
    </cfRule>
  </conditionalFormatting>
  <conditionalFormatting sqref="M150:M151">
    <cfRule type="cellIs" dxfId="5294" priority="19608" operator="equal">
      <formula>"value일 미도래"</formula>
    </cfRule>
  </conditionalFormatting>
  <conditionalFormatting sqref="M150:M151">
    <cfRule type="cellIs" dxfId="5293" priority="19606" operator="equal">
      <formula>"value일 미도래"</formula>
    </cfRule>
  </conditionalFormatting>
  <conditionalFormatting sqref="M150:M151">
    <cfRule type="cellIs" dxfId="5292" priority="19605" operator="equal">
      <formula>"value일 미도래"</formula>
    </cfRule>
  </conditionalFormatting>
  <conditionalFormatting sqref="M150:M151">
    <cfRule type="cellIs" dxfId="5291" priority="19604" operator="equal">
      <formula>"value일 미도래"</formula>
    </cfRule>
  </conditionalFormatting>
  <conditionalFormatting sqref="M150:M151">
    <cfRule type="cellIs" dxfId="5290" priority="19603" operator="equal">
      <formula>"value일 미도래"</formula>
    </cfRule>
  </conditionalFormatting>
  <conditionalFormatting sqref="M150:M151">
    <cfRule type="cellIs" dxfId="5289" priority="19602" operator="equal">
      <formula>"value일 미도래"</formula>
    </cfRule>
  </conditionalFormatting>
  <conditionalFormatting sqref="M150:M151">
    <cfRule type="cellIs" dxfId="5288" priority="19601" operator="equal">
      <formula>"value일 미도래"</formula>
    </cfRule>
  </conditionalFormatting>
  <conditionalFormatting sqref="M150:M151">
    <cfRule type="cellIs" dxfId="5287" priority="19600" operator="equal">
      <formula>"value일 미도래"</formula>
    </cfRule>
  </conditionalFormatting>
  <conditionalFormatting sqref="M150:M151">
    <cfRule type="cellIs" dxfId="5286" priority="19599" operator="equal">
      <formula>"value일 미도래"</formula>
    </cfRule>
  </conditionalFormatting>
  <conditionalFormatting sqref="M150:M151">
    <cfRule type="cellIs" dxfId="5285" priority="19598" operator="equal">
      <formula>"value일 미도래"</formula>
    </cfRule>
  </conditionalFormatting>
  <conditionalFormatting sqref="M150:M151">
    <cfRule type="cellIs" dxfId="5284" priority="19597" operator="equal">
      <formula>"value일 미도래"</formula>
    </cfRule>
  </conditionalFormatting>
  <conditionalFormatting sqref="M150:M151">
    <cfRule type="cellIs" dxfId="5283" priority="19596" operator="equal">
      <formula>"value일 미도래"</formula>
    </cfRule>
  </conditionalFormatting>
  <conditionalFormatting sqref="M150:M151">
    <cfRule type="cellIs" dxfId="5282" priority="19595" operator="equal">
      <formula>"value일 미도래"</formula>
    </cfRule>
  </conditionalFormatting>
  <conditionalFormatting sqref="M150:M151">
    <cfRule type="cellIs" dxfId="5281" priority="19594" operator="equal">
      <formula>"value일 미도래"</formula>
    </cfRule>
  </conditionalFormatting>
  <conditionalFormatting sqref="M150:M151">
    <cfRule type="cellIs" dxfId="5280" priority="19593" operator="equal">
      <formula>"value일 미도래"</formula>
    </cfRule>
  </conditionalFormatting>
  <conditionalFormatting sqref="M150:M151">
    <cfRule type="cellIs" dxfId="5279" priority="19591" operator="equal">
      <formula>"value일 미도래"</formula>
    </cfRule>
  </conditionalFormatting>
  <conditionalFormatting sqref="M150:M151">
    <cfRule type="cellIs" dxfId="5278" priority="19590" operator="equal">
      <formula>"value일 미도래"</formula>
    </cfRule>
  </conditionalFormatting>
  <conditionalFormatting sqref="M150:M151">
    <cfRule type="cellIs" dxfId="5277" priority="19589" operator="equal">
      <formula>"value일 미도래"</formula>
    </cfRule>
  </conditionalFormatting>
  <conditionalFormatting sqref="M150:M151">
    <cfRule type="cellIs" dxfId="5276" priority="19588" operator="equal">
      <formula>"value일 미도래"</formula>
    </cfRule>
  </conditionalFormatting>
  <conditionalFormatting sqref="M150:M151">
    <cfRule type="cellIs" dxfId="5275" priority="19587" operator="equal">
      <formula>"value일 미도래"</formula>
    </cfRule>
  </conditionalFormatting>
  <conditionalFormatting sqref="M150:M151">
    <cfRule type="cellIs" dxfId="5274" priority="19586" operator="equal">
      <formula>"value일 미도래"</formula>
    </cfRule>
  </conditionalFormatting>
  <conditionalFormatting sqref="M150:M151">
    <cfRule type="cellIs" dxfId="5273" priority="19585" operator="equal">
      <formula>"value일 미도래"</formula>
    </cfRule>
  </conditionalFormatting>
  <conditionalFormatting sqref="M150:M151">
    <cfRule type="cellIs" dxfId="5272" priority="19584" operator="equal">
      <formula>"value일 미도래"</formula>
    </cfRule>
  </conditionalFormatting>
  <conditionalFormatting sqref="M150:M151">
    <cfRule type="cellIs" dxfId="5271" priority="19583" operator="equal">
      <formula>"value일 미도래"</formula>
    </cfRule>
  </conditionalFormatting>
  <conditionalFormatting sqref="M150:M151">
    <cfRule type="cellIs" dxfId="5270" priority="19582" operator="equal">
      <formula>"value일 미도래"</formula>
    </cfRule>
  </conditionalFormatting>
  <conditionalFormatting sqref="M150:M151">
    <cfRule type="cellIs" dxfId="5269" priority="19581" operator="equal">
      <formula>"value일 미도래"</formula>
    </cfRule>
  </conditionalFormatting>
  <conditionalFormatting sqref="M150:M151">
    <cfRule type="cellIs" dxfId="5268" priority="19580" operator="equal">
      <formula>"value일 미도래"</formula>
    </cfRule>
  </conditionalFormatting>
  <conditionalFormatting sqref="M150:M151">
    <cfRule type="cellIs" dxfId="5267" priority="19579" operator="equal">
      <formula>"value일 미도래"</formula>
    </cfRule>
  </conditionalFormatting>
  <conditionalFormatting sqref="M150:M151">
    <cfRule type="cellIs" dxfId="5266" priority="19578" operator="equal">
      <formula>"value일 미도래"</formula>
    </cfRule>
  </conditionalFormatting>
  <conditionalFormatting sqref="M150:M151">
    <cfRule type="cellIs" dxfId="5265" priority="19577" operator="equal">
      <formula>"value일 미도래"</formula>
    </cfRule>
  </conditionalFormatting>
  <conditionalFormatting sqref="M150:M151">
    <cfRule type="cellIs" dxfId="5264" priority="19576" operator="equal">
      <formula>"value일 미도래"</formula>
    </cfRule>
  </conditionalFormatting>
  <conditionalFormatting sqref="M150:M151">
    <cfRule type="cellIs" dxfId="5263" priority="19575" operator="equal">
      <formula>"value일 미도래"</formula>
    </cfRule>
  </conditionalFormatting>
  <conditionalFormatting sqref="M150:M151">
    <cfRule type="cellIs" dxfId="5262" priority="19574" operator="equal">
      <formula>"value일 미도래"</formula>
    </cfRule>
  </conditionalFormatting>
  <conditionalFormatting sqref="M150:M151">
    <cfRule type="cellIs" dxfId="5261" priority="19573" operator="equal">
      <formula>"value일 미도래"</formula>
    </cfRule>
  </conditionalFormatting>
  <conditionalFormatting sqref="M150:M151">
    <cfRule type="cellIs" dxfId="5260" priority="19572" operator="equal">
      <formula>"value일 미도래"</formula>
    </cfRule>
  </conditionalFormatting>
  <conditionalFormatting sqref="M150:M151">
    <cfRule type="cellIs" dxfId="5259" priority="19570" operator="equal">
      <formula>"value일 미도래"</formula>
    </cfRule>
  </conditionalFormatting>
  <conditionalFormatting sqref="M150:M151">
    <cfRule type="cellIs" dxfId="5258" priority="19569" operator="equal">
      <formula>"value일 미도래"</formula>
    </cfRule>
  </conditionalFormatting>
  <conditionalFormatting sqref="M150:M151">
    <cfRule type="cellIs" dxfId="5257" priority="19568" operator="equal">
      <formula>"value일 미도래"</formula>
    </cfRule>
  </conditionalFormatting>
  <conditionalFormatting sqref="M150:M151">
    <cfRule type="cellIs" dxfId="5256" priority="19567" operator="equal">
      <formula>"value일 미도래"</formula>
    </cfRule>
  </conditionalFormatting>
  <conditionalFormatting sqref="M150:M151">
    <cfRule type="cellIs" dxfId="5255" priority="19566" operator="equal">
      <formula>"value일 미도래"</formula>
    </cfRule>
  </conditionalFormatting>
  <conditionalFormatting sqref="M150:M151">
    <cfRule type="cellIs" dxfId="5254" priority="19565" operator="equal">
      <formula>"value일 미도래"</formula>
    </cfRule>
  </conditionalFormatting>
  <conditionalFormatting sqref="M150:M151">
    <cfRule type="cellIs" dxfId="5253" priority="19564" operator="equal">
      <formula>"value일 미도래"</formula>
    </cfRule>
  </conditionalFormatting>
  <conditionalFormatting sqref="M150:M151">
    <cfRule type="cellIs" dxfId="5252" priority="19563" operator="equal">
      <formula>"value일 미도래"</formula>
    </cfRule>
  </conditionalFormatting>
  <conditionalFormatting sqref="M150:M151">
    <cfRule type="cellIs" dxfId="5251" priority="19562" operator="equal">
      <formula>"value일 미도래"</formula>
    </cfRule>
  </conditionalFormatting>
  <conditionalFormatting sqref="M150:M151">
    <cfRule type="cellIs" dxfId="5250" priority="19561" operator="equal">
      <formula>"value일 미도래"</formula>
    </cfRule>
  </conditionalFormatting>
  <conditionalFormatting sqref="M150:M151">
    <cfRule type="cellIs" dxfId="5249" priority="19560" operator="equal">
      <formula>"value일 미도래"</formula>
    </cfRule>
  </conditionalFormatting>
  <conditionalFormatting sqref="M150:M151">
    <cfRule type="cellIs" dxfId="5248" priority="19559" operator="equal">
      <formula>"value일 미도래"</formula>
    </cfRule>
  </conditionalFormatting>
  <conditionalFormatting sqref="M148">
    <cfRule type="cellIs" dxfId="5247" priority="19558" operator="equal">
      <formula>"value일 미도래"</formula>
    </cfRule>
  </conditionalFormatting>
  <conditionalFormatting sqref="M148">
    <cfRule type="cellIs" dxfId="5246" priority="19557" operator="equal">
      <formula>"value일 미도래"</formula>
    </cfRule>
  </conditionalFormatting>
  <conditionalFormatting sqref="M148">
    <cfRule type="cellIs" dxfId="5245" priority="19556" operator="equal">
      <formula>"value일 미도래"</formula>
    </cfRule>
  </conditionalFormatting>
  <conditionalFormatting sqref="M148">
    <cfRule type="cellIs" dxfId="5244" priority="19555" operator="equal">
      <formula>"value일 미도래"</formula>
    </cfRule>
  </conditionalFormatting>
  <conditionalFormatting sqref="M148">
    <cfRule type="cellIs" dxfId="5243" priority="19554" operator="equal">
      <formula>"value일 미도래"</formula>
    </cfRule>
  </conditionalFormatting>
  <conditionalFormatting sqref="M148">
    <cfRule type="cellIs" dxfId="5242" priority="19553" operator="equal">
      <formula>"value일 미도래"</formula>
    </cfRule>
  </conditionalFormatting>
  <conditionalFormatting sqref="M148">
    <cfRule type="cellIs" dxfId="5241" priority="19552" operator="equal">
      <formula>"value일 미도래"</formula>
    </cfRule>
  </conditionalFormatting>
  <conditionalFormatting sqref="M148">
    <cfRule type="cellIs" dxfId="5240" priority="19551" operator="equal">
      <formula>"value일 미도래"</formula>
    </cfRule>
  </conditionalFormatting>
  <conditionalFormatting sqref="M148">
    <cfRule type="cellIs" dxfId="5239" priority="19550" operator="equal">
      <formula>"value일 미도래"</formula>
    </cfRule>
  </conditionalFormatting>
  <conditionalFormatting sqref="M148">
    <cfRule type="cellIs" dxfId="5238" priority="19549" operator="equal">
      <formula>"value일 미도래"</formula>
    </cfRule>
  </conditionalFormatting>
  <conditionalFormatting sqref="M148">
    <cfRule type="cellIs" dxfId="5237" priority="19548" operator="equal">
      <formula>"value일 미도래"</formula>
    </cfRule>
  </conditionalFormatting>
  <conditionalFormatting sqref="M148">
    <cfRule type="cellIs" dxfId="5236" priority="19546" operator="equal">
      <formula>"value일 미도래"</formula>
    </cfRule>
  </conditionalFormatting>
  <conditionalFormatting sqref="M148">
    <cfRule type="cellIs" dxfId="5235" priority="19545" operator="equal">
      <formula>"value일 미도래"</formula>
    </cfRule>
  </conditionalFormatting>
  <conditionalFormatting sqref="M148">
    <cfRule type="cellIs" dxfId="5234" priority="19544" operator="equal">
      <formula>"value일 미도래"</formula>
    </cfRule>
  </conditionalFormatting>
  <conditionalFormatting sqref="M148">
    <cfRule type="cellIs" dxfId="5233" priority="19543" operator="equal">
      <formula>"value일 미도래"</formula>
    </cfRule>
  </conditionalFormatting>
  <conditionalFormatting sqref="M148">
    <cfRule type="cellIs" dxfId="5232" priority="19542" operator="equal">
      <formula>"value일 미도래"</formula>
    </cfRule>
  </conditionalFormatting>
  <conditionalFormatting sqref="M148">
    <cfRule type="cellIs" dxfId="5231" priority="19541" operator="equal">
      <formula>"value일 미도래"</formula>
    </cfRule>
  </conditionalFormatting>
  <conditionalFormatting sqref="M148">
    <cfRule type="cellIs" dxfId="5230" priority="19540" operator="equal">
      <formula>"value일 미도래"</formula>
    </cfRule>
  </conditionalFormatting>
  <conditionalFormatting sqref="M148">
    <cfRule type="cellIs" dxfId="5229" priority="19539" operator="equal">
      <formula>"value일 미도래"</formula>
    </cfRule>
  </conditionalFormatting>
  <conditionalFormatting sqref="M148">
    <cfRule type="cellIs" dxfId="5228" priority="19538" operator="equal">
      <formula>"value일 미도래"</formula>
    </cfRule>
  </conditionalFormatting>
  <conditionalFormatting sqref="M148">
    <cfRule type="cellIs" dxfId="5227" priority="19537" operator="equal">
      <formula>"value일 미도래"</formula>
    </cfRule>
  </conditionalFormatting>
  <conditionalFormatting sqref="M148">
    <cfRule type="cellIs" dxfId="5226" priority="19536" operator="equal">
      <formula>"value일 미도래"</formula>
    </cfRule>
  </conditionalFormatting>
  <conditionalFormatting sqref="M148">
    <cfRule type="cellIs" dxfId="5225" priority="19535" operator="equal">
      <formula>"value일 미도래"</formula>
    </cfRule>
  </conditionalFormatting>
  <conditionalFormatting sqref="M148">
    <cfRule type="cellIs" dxfId="5224" priority="19534" operator="equal">
      <formula>"value일 미도래"</formula>
    </cfRule>
  </conditionalFormatting>
  <conditionalFormatting sqref="M148">
    <cfRule type="cellIs" dxfId="5223" priority="19533" operator="equal">
      <formula>"value일 미도래"</formula>
    </cfRule>
  </conditionalFormatting>
  <conditionalFormatting sqref="M148">
    <cfRule type="cellIs" dxfId="5222" priority="19532" operator="equal">
      <formula>"value일 미도래"</formula>
    </cfRule>
  </conditionalFormatting>
  <conditionalFormatting sqref="M148">
    <cfRule type="cellIs" dxfId="5221" priority="19531" operator="equal">
      <formula>"value일 미도래"</formula>
    </cfRule>
  </conditionalFormatting>
  <conditionalFormatting sqref="M148">
    <cfRule type="cellIs" dxfId="5220" priority="19530" operator="equal">
      <formula>"value일 미도래"</formula>
    </cfRule>
  </conditionalFormatting>
  <conditionalFormatting sqref="M148">
    <cfRule type="cellIs" dxfId="5219" priority="19529" operator="equal">
      <formula>"value일 미도래"</formula>
    </cfRule>
  </conditionalFormatting>
  <conditionalFormatting sqref="M148">
    <cfRule type="cellIs" dxfId="5218" priority="19528" operator="equal">
      <formula>"value일 미도래"</formula>
    </cfRule>
  </conditionalFormatting>
  <conditionalFormatting sqref="M148:M149">
    <cfRule type="cellIs" dxfId="5217" priority="19527" operator="equal">
      <formula>"value일 미도래"</formula>
    </cfRule>
  </conditionalFormatting>
  <conditionalFormatting sqref="M148:M149">
    <cfRule type="cellIs" dxfId="5216" priority="19526" operator="equal">
      <formula>"value일 미도래"</formula>
    </cfRule>
  </conditionalFormatting>
  <conditionalFormatting sqref="M148:M149">
    <cfRule type="cellIs" dxfId="5215" priority="19525" operator="equal">
      <formula>"value일 미도래"</formula>
    </cfRule>
  </conditionalFormatting>
  <conditionalFormatting sqref="M148:M149">
    <cfRule type="cellIs" dxfId="5214" priority="19524" operator="equal">
      <formula>"value일 미도래"</formula>
    </cfRule>
  </conditionalFormatting>
  <conditionalFormatting sqref="M148:M149">
    <cfRule type="cellIs" dxfId="5213" priority="19523" operator="equal">
      <formula>"value일 미도래"</formula>
    </cfRule>
  </conditionalFormatting>
  <conditionalFormatting sqref="M148:M149">
    <cfRule type="cellIs" dxfId="5212" priority="19522" operator="equal">
      <formula>"value일 미도래"</formula>
    </cfRule>
  </conditionalFormatting>
  <conditionalFormatting sqref="M148:M149">
    <cfRule type="cellIs" dxfId="5211" priority="19520" operator="equal">
      <formula>"value일 미도래"</formula>
    </cfRule>
  </conditionalFormatting>
  <conditionalFormatting sqref="M148:M149">
    <cfRule type="cellIs" dxfId="5210" priority="19519" operator="equal">
      <formula>"value일 미도래"</formula>
    </cfRule>
  </conditionalFormatting>
  <conditionalFormatting sqref="M148:M149">
    <cfRule type="cellIs" dxfId="5209" priority="19518" operator="equal">
      <formula>"value일 미도래"</formula>
    </cfRule>
  </conditionalFormatting>
  <conditionalFormatting sqref="M148:M149">
    <cfRule type="cellIs" dxfId="5208" priority="19517" operator="equal">
      <formula>"value일 미도래"</formula>
    </cfRule>
  </conditionalFormatting>
  <conditionalFormatting sqref="M148:M149">
    <cfRule type="cellIs" dxfId="5207" priority="19516" operator="equal">
      <formula>"value일 미도래"</formula>
    </cfRule>
  </conditionalFormatting>
  <conditionalFormatting sqref="M148:M149">
    <cfRule type="cellIs" dxfId="5206" priority="19515" operator="equal">
      <formula>"value일 미도래"</formula>
    </cfRule>
  </conditionalFormatting>
  <conditionalFormatting sqref="M148:M149">
    <cfRule type="cellIs" dxfId="5205" priority="19514" operator="equal">
      <formula>"value일 미도래"</formula>
    </cfRule>
  </conditionalFormatting>
  <conditionalFormatting sqref="M148:M149">
    <cfRule type="cellIs" dxfId="5204" priority="19513" operator="equal">
      <formula>"value일 미도래"</formula>
    </cfRule>
  </conditionalFormatting>
  <conditionalFormatting sqref="M148:M149">
    <cfRule type="cellIs" dxfId="5203" priority="19511" operator="equal">
      <formula>"value일 미도래"</formula>
    </cfRule>
  </conditionalFormatting>
  <conditionalFormatting sqref="M148:M149">
    <cfRule type="cellIs" dxfId="5202" priority="19510" operator="equal">
      <formula>"value일 미도래"</formula>
    </cfRule>
  </conditionalFormatting>
  <conditionalFormatting sqref="M148:M149">
    <cfRule type="cellIs" dxfId="5201" priority="19509" operator="equal">
      <formula>"value일 미도래"</formula>
    </cfRule>
  </conditionalFormatting>
  <conditionalFormatting sqref="M148:M149">
    <cfRule type="cellIs" dxfId="5200" priority="19508" operator="equal">
      <formula>"value일 미도래"</formula>
    </cfRule>
  </conditionalFormatting>
  <conditionalFormatting sqref="M148:M149">
    <cfRule type="cellIs" dxfId="5199" priority="19507" operator="equal">
      <formula>"value일 미도래"</formula>
    </cfRule>
  </conditionalFormatting>
  <conditionalFormatting sqref="M148:M149">
    <cfRule type="cellIs" dxfId="5198" priority="19506" operator="equal">
      <formula>"value일 미도래"</formula>
    </cfRule>
  </conditionalFormatting>
  <conditionalFormatting sqref="M148:M149">
    <cfRule type="cellIs" dxfId="5197" priority="19505" operator="equal">
      <formula>"value일 미도래"</formula>
    </cfRule>
  </conditionalFormatting>
  <conditionalFormatting sqref="M148:M149">
    <cfRule type="cellIs" dxfId="5196" priority="19504" operator="equal">
      <formula>"value일 미도래"</formula>
    </cfRule>
  </conditionalFormatting>
  <conditionalFormatting sqref="M148:M149">
    <cfRule type="cellIs" dxfId="5195" priority="19503" operator="equal">
      <formula>"value일 미도래"</formula>
    </cfRule>
  </conditionalFormatting>
  <conditionalFormatting sqref="M148:M149">
    <cfRule type="cellIs" dxfId="5194" priority="19502" operator="equal">
      <formula>"value일 미도래"</formula>
    </cfRule>
  </conditionalFormatting>
  <conditionalFormatting sqref="M148:M149">
    <cfRule type="cellIs" dxfId="5193" priority="19501" operator="equal">
      <formula>"value일 미도래"</formula>
    </cfRule>
  </conditionalFormatting>
  <conditionalFormatting sqref="M148:M149">
    <cfRule type="cellIs" dxfId="5192" priority="19499" operator="equal">
      <formula>"value일 미도래"</formula>
    </cfRule>
  </conditionalFormatting>
  <conditionalFormatting sqref="M148:M149">
    <cfRule type="cellIs" dxfId="5191" priority="19498" operator="equal">
      <formula>"value일 미도래"</formula>
    </cfRule>
  </conditionalFormatting>
  <conditionalFormatting sqref="M148:M149">
    <cfRule type="cellIs" dxfId="5190" priority="19497" operator="equal">
      <formula>"value일 미도래"</formula>
    </cfRule>
  </conditionalFormatting>
  <conditionalFormatting sqref="M148:M149">
    <cfRule type="cellIs" dxfId="5189" priority="19496" operator="equal">
      <formula>"value일 미도래"</formula>
    </cfRule>
  </conditionalFormatting>
  <conditionalFormatting sqref="M148:M149">
    <cfRule type="cellIs" dxfId="5188" priority="19495" operator="equal">
      <formula>"value일 미도래"</formula>
    </cfRule>
  </conditionalFormatting>
  <conditionalFormatting sqref="M148:M149">
    <cfRule type="cellIs" dxfId="5187" priority="19494" operator="equal">
      <formula>"value일 미도래"</formula>
    </cfRule>
  </conditionalFormatting>
  <conditionalFormatting sqref="M148:M149">
    <cfRule type="cellIs" dxfId="5186" priority="19493" operator="equal">
      <formula>"value일 미도래"</formula>
    </cfRule>
  </conditionalFormatting>
  <conditionalFormatting sqref="M148:M149">
    <cfRule type="cellIs" dxfId="5185" priority="19492" operator="equal">
      <formula>"value일 미도래"</formula>
    </cfRule>
  </conditionalFormatting>
  <conditionalFormatting sqref="M148:M149">
    <cfRule type="cellIs" dxfId="5184" priority="19491" operator="equal">
      <formula>"value일 미도래"</formula>
    </cfRule>
  </conditionalFormatting>
  <conditionalFormatting sqref="M148:M149">
    <cfRule type="cellIs" dxfId="5183" priority="19490" operator="equal">
      <formula>"value일 미도래"</formula>
    </cfRule>
  </conditionalFormatting>
  <conditionalFormatting sqref="M148:M149">
    <cfRule type="cellIs" dxfId="5182" priority="19489" operator="equal">
      <formula>"value일 미도래"</formula>
    </cfRule>
  </conditionalFormatting>
  <conditionalFormatting sqref="M148:M149">
    <cfRule type="cellIs" dxfId="5181" priority="19487" operator="equal">
      <formula>"value일 미도래"</formula>
    </cfRule>
  </conditionalFormatting>
  <conditionalFormatting sqref="M148:M149">
    <cfRule type="cellIs" dxfId="5180" priority="19486" operator="equal">
      <formula>"value일 미도래"</formula>
    </cfRule>
  </conditionalFormatting>
  <conditionalFormatting sqref="M148:M149">
    <cfRule type="cellIs" dxfId="5179" priority="19485" operator="equal">
      <formula>"value일 미도래"</formula>
    </cfRule>
  </conditionalFormatting>
  <conditionalFormatting sqref="M148:M149">
    <cfRule type="cellIs" dxfId="5178" priority="19484" operator="equal">
      <formula>"value일 미도래"</formula>
    </cfRule>
  </conditionalFormatting>
  <conditionalFormatting sqref="M148:M149">
    <cfRule type="cellIs" dxfId="5177" priority="19483" operator="equal">
      <formula>"value일 미도래"</formula>
    </cfRule>
  </conditionalFormatting>
  <conditionalFormatting sqref="M148:M149">
    <cfRule type="cellIs" dxfId="5176" priority="19482" operator="equal">
      <formula>"value일 미도래"</formula>
    </cfRule>
  </conditionalFormatting>
  <conditionalFormatting sqref="M148:M149">
    <cfRule type="cellIs" dxfId="5175" priority="19481" operator="equal">
      <formula>"value일 미도래"</formula>
    </cfRule>
  </conditionalFormatting>
  <conditionalFormatting sqref="M148:M149">
    <cfRule type="cellIs" dxfId="5174" priority="19480" operator="equal">
      <formula>"value일 미도래"</formula>
    </cfRule>
  </conditionalFormatting>
  <conditionalFormatting sqref="M148:M149">
    <cfRule type="cellIs" dxfId="5173" priority="19479" operator="equal">
      <formula>"value일 미도래"</formula>
    </cfRule>
  </conditionalFormatting>
  <conditionalFormatting sqref="M148:M149">
    <cfRule type="cellIs" dxfId="5172" priority="19478" operator="equal">
      <formula>"value일 미도래"</formula>
    </cfRule>
  </conditionalFormatting>
  <conditionalFormatting sqref="M148:M149">
    <cfRule type="cellIs" dxfId="5171" priority="19477" operator="equal">
      <formula>"value일 미도래"</formula>
    </cfRule>
  </conditionalFormatting>
  <conditionalFormatting sqref="M148:M149">
    <cfRule type="cellIs" dxfId="5170" priority="19476" operator="equal">
      <formula>"value일 미도래"</formula>
    </cfRule>
  </conditionalFormatting>
  <conditionalFormatting sqref="M148:M149">
    <cfRule type="cellIs" dxfId="5169" priority="19475" operator="equal">
      <formula>"value일 미도래"</formula>
    </cfRule>
  </conditionalFormatting>
  <conditionalFormatting sqref="M148:M149">
    <cfRule type="cellIs" dxfId="5168" priority="19474" operator="equal">
      <formula>"value일 미도래"</formula>
    </cfRule>
  </conditionalFormatting>
  <conditionalFormatting sqref="M148:M149">
    <cfRule type="cellIs" dxfId="5167" priority="19472" operator="equal">
      <formula>"value일 미도래"</formula>
    </cfRule>
  </conditionalFormatting>
  <conditionalFormatting sqref="M148:M149">
    <cfRule type="cellIs" dxfId="5166" priority="19471" operator="equal">
      <formula>"value일 미도래"</formula>
    </cfRule>
  </conditionalFormatting>
  <conditionalFormatting sqref="M148:M149">
    <cfRule type="cellIs" dxfId="5165" priority="19470" operator="equal">
      <formula>"value일 미도래"</formula>
    </cfRule>
  </conditionalFormatting>
  <conditionalFormatting sqref="M148:M149">
    <cfRule type="cellIs" dxfId="5164" priority="19469" operator="equal">
      <formula>"value일 미도래"</formula>
    </cfRule>
  </conditionalFormatting>
  <conditionalFormatting sqref="M148:M149">
    <cfRule type="cellIs" dxfId="5163" priority="19468" operator="equal">
      <formula>"value일 미도래"</formula>
    </cfRule>
  </conditionalFormatting>
  <conditionalFormatting sqref="M148:M149">
    <cfRule type="cellIs" dxfId="5162" priority="19467" operator="equal">
      <formula>"value일 미도래"</formula>
    </cfRule>
  </conditionalFormatting>
  <conditionalFormatting sqref="M148:M149">
    <cfRule type="cellIs" dxfId="5161" priority="19466" operator="equal">
      <formula>"value일 미도래"</formula>
    </cfRule>
  </conditionalFormatting>
  <conditionalFormatting sqref="M148:M149">
    <cfRule type="cellIs" dxfId="5160" priority="19465" operator="equal">
      <formula>"value일 미도래"</formula>
    </cfRule>
  </conditionalFormatting>
  <conditionalFormatting sqref="M148:M149">
    <cfRule type="cellIs" dxfId="5159" priority="19464" operator="equal">
      <formula>"value일 미도래"</formula>
    </cfRule>
  </conditionalFormatting>
  <conditionalFormatting sqref="M148:M149">
    <cfRule type="cellIs" dxfId="5158" priority="19463" operator="equal">
      <formula>"value일 미도래"</formula>
    </cfRule>
  </conditionalFormatting>
  <conditionalFormatting sqref="M148:M149">
    <cfRule type="cellIs" dxfId="5157" priority="19462" operator="equal">
      <formula>"value일 미도래"</formula>
    </cfRule>
  </conditionalFormatting>
  <conditionalFormatting sqref="M148:M149">
    <cfRule type="cellIs" dxfId="5156" priority="19461" operator="equal">
      <formula>"value일 미도래"</formula>
    </cfRule>
  </conditionalFormatting>
  <conditionalFormatting sqref="M148:M149">
    <cfRule type="cellIs" dxfId="5155" priority="19460" operator="equal">
      <formula>"value일 미도래"</formula>
    </cfRule>
  </conditionalFormatting>
  <conditionalFormatting sqref="M148:M149">
    <cfRule type="cellIs" dxfId="5154" priority="19459" operator="equal">
      <formula>"value일 미도래"</formula>
    </cfRule>
  </conditionalFormatting>
  <conditionalFormatting sqref="M148:M149">
    <cfRule type="cellIs" dxfId="5153" priority="19458" operator="equal">
      <formula>"value일 미도래"</formula>
    </cfRule>
  </conditionalFormatting>
  <conditionalFormatting sqref="M148:M149">
    <cfRule type="cellIs" dxfId="5152" priority="19457" operator="equal">
      <formula>"value일 미도래"</formula>
    </cfRule>
  </conditionalFormatting>
  <conditionalFormatting sqref="M148:M149">
    <cfRule type="cellIs" dxfId="5151" priority="19456" operator="equal">
      <formula>"value일 미도래"</formula>
    </cfRule>
  </conditionalFormatting>
  <conditionalFormatting sqref="M148:M149">
    <cfRule type="cellIs" dxfId="5150" priority="19455" operator="equal">
      <formula>"value일 미도래"</formula>
    </cfRule>
  </conditionalFormatting>
  <conditionalFormatting sqref="M148:M149">
    <cfRule type="cellIs" dxfId="5149" priority="19454" operator="equal">
      <formula>"value일 미도래"</formula>
    </cfRule>
  </conditionalFormatting>
  <conditionalFormatting sqref="M148:M149">
    <cfRule type="cellIs" dxfId="5148" priority="19453" operator="equal">
      <formula>"value일 미도래"</formula>
    </cfRule>
  </conditionalFormatting>
  <conditionalFormatting sqref="M148:M149">
    <cfRule type="cellIs" dxfId="5147" priority="19451" operator="equal">
      <formula>"value일 미도래"</formula>
    </cfRule>
  </conditionalFormatting>
  <conditionalFormatting sqref="M148:M149">
    <cfRule type="cellIs" dxfId="5146" priority="19450" operator="equal">
      <formula>"value일 미도래"</formula>
    </cfRule>
  </conditionalFormatting>
  <conditionalFormatting sqref="M148:M149">
    <cfRule type="cellIs" dxfId="5145" priority="19449" operator="equal">
      <formula>"value일 미도래"</formula>
    </cfRule>
  </conditionalFormatting>
  <conditionalFormatting sqref="M148:M149">
    <cfRule type="cellIs" dxfId="5144" priority="19448" operator="equal">
      <formula>"value일 미도래"</formula>
    </cfRule>
  </conditionalFormatting>
  <conditionalFormatting sqref="M148:M149">
    <cfRule type="cellIs" dxfId="5143" priority="19447" operator="equal">
      <formula>"value일 미도래"</formula>
    </cfRule>
  </conditionalFormatting>
  <conditionalFormatting sqref="M148:M149">
    <cfRule type="cellIs" dxfId="5142" priority="19446" operator="equal">
      <formula>"value일 미도래"</formula>
    </cfRule>
  </conditionalFormatting>
  <conditionalFormatting sqref="M148:M149">
    <cfRule type="cellIs" dxfId="5141" priority="19445" operator="equal">
      <formula>"value일 미도래"</formula>
    </cfRule>
  </conditionalFormatting>
  <conditionalFormatting sqref="M148:M149">
    <cfRule type="cellIs" dxfId="5140" priority="19444" operator="equal">
      <formula>"value일 미도래"</formula>
    </cfRule>
  </conditionalFormatting>
  <conditionalFormatting sqref="M148:M149">
    <cfRule type="cellIs" dxfId="5139" priority="19443" operator="equal">
      <formula>"value일 미도래"</formula>
    </cfRule>
  </conditionalFormatting>
  <conditionalFormatting sqref="M148:M149">
    <cfRule type="cellIs" dxfId="5138" priority="19442" operator="equal">
      <formula>"value일 미도래"</formula>
    </cfRule>
  </conditionalFormatting>
  <conditionalFormatting sqref="M148:M149">
    <cfRule type="cellIs" dxfId="5137" priority="19441" operator="equal">
      <formula>"value일 미도래"</formula>
    </cfRule>
  </conditionalFormatting>
  <conditionalFormatting sqref="M148:M149">
    <cfRule type="cellIs" dxfId="5136" priority="19440" operator="equal">
      <formula>"value일 미도래"</formula>
    </cfRule>
  </conditionalFormatting>
  <conditionalFormatting sqref="M148">
    <cfRule type="cellIs" dxfId="5135" priority="19439" operator="equal">
      <formula>"value일 미도래"</formula>
    </cfRule>
  </conditionalFormatting>
  <conditionalFormatting sqref="M148">
    <cfRule type="cellIs" dxfId="5134" priority="19438" operator="equal">
      <formula>"value일 미도래"</formula>
    </cfRule>
  </conditionalFormatting>
  <conditionalFormatting sqref="M148">
    <cfRule type="cellIs" dxfId="5133" priority="19437" operator="equal">
      <formula>"value일 미도래"</formula>
    </cfRule>
  </conditionalFormatting>
  <conditionalFormatting sqref="M148">
    <cfRule type="cellIs" dxfId="5132" priority="19436" operator="equal">
      <formula>"value일 미도래"</formula>
    </cfRule>
  </conditionalFormatting>
  <conditionalFormatting sqref="M148">
    <cfRule type="cellIs" dxfId="5131" priority="19435" operator="equal">
      <formula>"value일 미도래"</formula>
    </cfRule>
  </conditionalFormatting>
  <conditionalFormatting sqref="M148">
    <cfRule type="cellIs" dxfId="5130" priority="19434" operator="equal">
      <formula>"value일 미도래"</formula>
    </cfRule>
  </conditionalFormatting>
  <conditionalFormatting sqref="M148">
    <cfRule type="cellIs" dxfId="5129" priority="19432" operator="equal">
      <formula>"value일 미도래"</formula>
    </cfRule>
  </conditionalFormatting>
  <conditionalFormatting sqref="M148">
    <cfRule type="cellIs" dxfId="5128" priority="19431" operator="equal">
      <formula>"value일 미도래"</formula>
    </cfRule>
  </conditionalFormatting>
  <conditionalFormatting sqref="M148">
    <cfRule type="cellIs" dxfId="5127" priority="19430" operator="equal">
      <formula>"value일 미도래"</formula>
    </cfRule>
  </conditionalFormatting>
  <conditionalFormatting sqref="M148">
    <cfRule type="cellIs" dxfId="5126" priority="19429" operator="equal">
      <formula>"value일 미도래"</formula>
    </cfRule>
  </conditionalFormatting>
  <conditionalFormatting sqref="M148">
    <cfRule type="cellIs" dxfId="5125" priority="19428" operator="equal">
      <formula>"value일 미도래"</formula>
    </cfRule>
  </conditionalFormatting>
  <conditionalFormatting sqref="M148">
    <cfRule type="cellIs" dxfId="5124" priority="19427" operator="equal">
      <formula>"value일 미도래"</formula>
    </cfRule>
  </conditionalFormatting>
  <conditionalFormatting sqref="M148">
    <cfRule type="cellIs" dxfId="5123" priority="19426" operator="equal">
      <formula>"value일 미도래"</formula>
    </cfRule>
  </conditionalFormatting>
  <conditionalFormatting sqref="M148">
    <cfRule type="cellIs" dxfId="5122" priority="19425" operator="equal">
      <formula>"value일 미도래"</formula>
    </cfRule>
  </conditionalFormatting>
  <conditionalFormatting sqref="M148">
    <cfRule type="cellIs" dxfId="5121" priority="19423" operator="equal">
      <formula>"value일 미도래"</formula>
    </cfRule>
  </conditionalFormatting>
  <conditionalFormatting sqref="M148">
    <cfRule type="cellIs" dxfId="5120" priority="19422" operator="equal">
      <formula>"value일 미도래"</formula>
    </cfRule>
  </conditionalFormatting>
  <conditionalFormatting sqref="M148">
    <cfRule type="cellIs" dxfId="5119" priority="19421" operator="equal">
      <formula>"value일 미도래"</formula>
    </cfRule>
  </conditionalFormatting>
  <conditionalFormatting sqref="M148">
    <cfRule type="cellIs" dxfId="5118" priority="19420" operator="equal">
      <formula>"value일 미도래"</formula>
    </cfRule>
  </conditionalFormatting>
  <conditionalFormatting sqref="M148">
    <cfRule type="cellIs" dxfId="5117" priority="19419" operator="equal">
      <formula>"value일 미도래"</formula>
    </cfRule>
  </conditionalFormatting>
  <conditionalFormatting sqref="M148">
    <cfRule type="cellIs" dxfId="5116" priority="19418" operator="equal">
      <formula>"value일 미도래"</formula>
    </cfRule>
  </conditionalFormatting>
  <conditionalFormatting sqref="M148">
    <cfRule type="cellIs" dxfId="5115" priority="19417" operator="equal">
      <formula>"value일 미도래"</formula>
    </cfRule>
  </conditionalFormatting>
  <conditionalFormatting sqref="M148">
    <cfRule type="cellIs" dxfId="5114" priority="19416" operator="equal">
      <formula>"value일 미도래"</formula>
    </cfRule>
  </conditionalFormatting>
  <conditionalFormatting sqref="M148">
    <cfRule type="cellIs" dxfId="5113" priority="19415" operator="equal">
      <formula>"value일 미도래"</formula>
    </cfRule>
  </conditionalFormatting>
  <conditionalFormatting sqref="M148">
    <cfRule type="cellIs" dxfId="5112" priority="19414" operator="equal">
      <formula>"value일 미도래"</formula>
    </cfRule>
  </conditionalFormatting>
  <conditionalFormatting sqref="M148">
    <cfRule type="cellIs" dxfId="5111" priority="19413" operator="equal">
      <formula>"value일 미도래"</formula>
    </cfRule>
  </conditionalFormatting>
  <conditionalFormatting sqref="M148">
    <cfRule type="cellIs" dxfId="5110" priority="19411" operator="equal">
      <formula>"value일 미도래"</formula>
    </cfRule>
  </conditionalFormatting>
  <conditionalFormatting sqref="M148">
    <cfRule type="cellIs" dxfId="5109" priority="19410" operator="equal">
      <formula>"value일 미도래"</formula>
    </cfRule>
  </conditionalFormatting>
  <conditionalFormatting sqref="M148">
    <cfRule type="cellIs" dxfId="5108" priority="19409" operator="equal">
      <formula>"value일 미도래"</formula>
    </cfRule>
  </conditionalFormatting>
  <conditionalFormatting sqref="M148">
    <cfRule type="cellIs" dxfId="5107" priority="19408" operator="equal">
      <formula>"value일 미도래"</formula>
    </cfRule>
  </conditionalFormatting>
  <conditionalFormatting sqref="M148">
    <cfRule type="cellIs" dxfId="5106" priority="19407" operator="equal">
      <formula>"value일 미도래"</formula>
    </cfRule>
  </conditionalFormatting>
  <conditionalFormatting sqref="M148">
    <cfRule type="cellIs" dxfId="5105" priority="19406" operator="equal">
      <formula>"value일 미도래"</formula>
    </cfRule>
  </conditionalFormatting>
  <conditionalFormatting sqref="M148">
    <cfRule type="cellIs" dxfId="5104" priority="19405" operator="equal">
      <formula>"value일 미도래"</formula>
    </cfRule>
  </conditionalFormatting>
  <conditionalFormatting sqref="M148">
    <cfRule type="cellIs" dxfId="5103" priority="19404" operator="equal">
      <formula>"value일 미도래"</formula>
    </cfRule>
  </conditionalFormatting>
  <conditionalFormatting sqref="M148">
    <cfRule type="cellIs" dxfId="5102" priority="19403" operator="equal">
      <formula>"value일 미도래"</formula>
    </cfRule>
  </conditionalFormatting>
  <conditionalFormatting sqref="M148">
    <cfRule type="cellIs" dxfId="5101" priority="19402" operator="equal">
      <formula>"value일 미도래"</formula>
    </cfRule>
  </conditionalFormatting>
  <conditionalFormatting sqref="M148">
    <cfRule type="cellIs" dxfId="5100" priority="19401" operator="equal">
      <formula>"value일 미도래"</formula>
    </cfRule>
  </conditionalFormatting>
  <conditionalFormatting sqref="M148">
    <cfRule type="cellIs" dxfId="5099" priority="19399" operator="equal">
      <formula>"value일 미도래"</formula>
    </cfRule>
  </conditionalFormatting>
  <conditionalFormatting sqref="M148">
    <cfRule type="cellIs" dxfId="5098" priority="19398" operator="equal">
      <formula>"value일 미도래"</formula>
    </cfRule>
  </conditionalFormatting>
  <conditionalFormatting sqref="M148">
    <cfRule type="cellIs" dxfId="5097" priority="19397" operator="equal">
      <formula>"value일 미도래"</formula>
    </cfRule>
  </conditionalFormatting>
  <conditionalFormatting sqref="M148">
    <cfRule type="cellIs" dxfId="5096" priority="19396" operator="equal">
      <formula>"value일 미도래"</formula>
    </cfRule>
  </conditionalFormatting>
  <conditionalFormatting sqref="M148">
    <cfRule type="cellIs" dxfId="5095" priority="19395" operator="equal">
      <formula>"value일 미도래"</formula>
    </cfRule>
  </conditionalFormatting>
  <conditionalFormatting sqref="M148">
    <cfRule type="cellIs" dxfId="5094" priority="19394" operator="equal">
      <formula>"value일 미도래"</formula>
    </cfRule>
  </conditionalFormatting>
  <conditionalFormatting sqref="M148">
    <cfRule type="cellIs" dxfId="5093" priority="19393" operator="equal">
      <formula>"value일 미도래"</formula>
    </cfRule>
  </conditionalFormatting>
  <conditionalFormatting sqref="M148">
    <cfRule type="cellIs" dxfId="5092" priority="19392" operator="equal">
      <formula>"value일 미도래"</formula>
    </cfRule>
  </conditionalFormatting>
  <conditionalFormatting sqref="M148">
    <cfRule type="cellIs" dxfId="5091" priority="19391" operator="equal">
      <formula>"value일 미도래"</formula>
    </cfRule>
  </conditionalFormatting>
  <conditionalFormatting sqref="M148">
    <cfRule type="cellIs" dxfId="5090" priority="19390" operator="equal">
      <formula>"value일 미도래"</formula>
    </cfRule>
  </conditionalFormatting>
  <conditionalFormatting sqref="M148">
    <cfRule type="cellIs" dxfId="5089" priority="19389" operator="equal">
      <formula>"value일 미도래"</formula>
    </cfRule>
  </conditionalFormatting>
  <conditionalFormatting sqref="M148">
    <cfRule type="cellIs" dxfId="5088" priority="19388" operator="equal">
      <formula>"value일 미도래"</formula>
    </cfRule>
  </conditionalFormatting>
  <conditionalFormatting sqref="M148">
    <cfRule type="cellIs" dxfId="5087" priority="19387" operator="equal">
      <formula>"value일 미도래"</formula>
    </cfRule>
  </conditionalFormatting>
  <conditionalFormatting sqref="M148">
    <cfRule type="cellIs" dxfId="5086" priority="19386" operator="equal">
      <formula>"value일 미도래"</formula>
    </cfRule>
  </conditionalFormatting>
  <conditionalFormatting sqref="M148">
    <cfRule type="cellIs" dxfId="5085" priority="19385" operator="equal">
      <formula>"value일 미도래"</formula>
    </cfRule>
  </conditionalFormatting>
  <conditionalFormatting sqref="M148">
    <cfRule type="cellIs" dxfId="5084" priority="19384" operator="equal">
      <formula>"value일 미도래"</formula>
    </cfRule>
  </conditionalFormatting>
  <conditionalFormatting sqref="M148">
    <cfRule type="cellIs" dxfId="5083" priority="19383" operator="equal">
      <formula>"value일 미도래"</formula>
    </cfRule>
  </conditionalFormatting>
  <conditionalFormatting sqref="M148">
    <cfRule type="cellIs" dxfId="5082" priority="19382" operator="equal">
      <formula>"value일 미도래"</formula>
    </cfRule>
  </conditionalFormatting>
  <conditionalFormatting sqref="M148">
    <cfRule type="cellIs" dxfId="5081" priority="19381" operator="equal">
      <formula>"value일 미도래"</formula>
    </cfRule>
  </conditionalFormatting>
  <conditionalFormatting sqref="M148">
    <cfRule type="cellIs" dxfId="5080" priority="19380" operator="equal">
      <formula>"value일 미도래"</formula>
    </cfRule>
  </conditionalFormatting>
  <conditionalFormatting sqref="M148">
    <cfRule type="cellIs" dxfId="5079" priority="19379" operator="equal">
      <formula>"value일 미도래"</formula>
    </cfRule>
  </conditionalFormatting>
  <conditionalFormatting sqref="M148">
    <cfRule type="cellIs" dxfId="5078" priority="19378" operator="equal">
      <formula>"value일 미도래"</formula>
    </cfRule>
  </conditionalFormatting>
  <conditionalFormatting sqref="M148">
    <cfRule type="cellIs" dxfId="5077" priority="19377" operator="equal">
      <formula>"value일 미도래"</formula>
    </cfRule>
  </conditionalFormatting>
  <conditionalFormatting sqref="M148">
    <cfRule type="cellIs" dxfId="5076" priority="19376" operator="equal">
      <formula>"value일 미도래"</formula>
    </cfRule>
  </conditionalFormatting>
  <conditionalFormatting sqref="M148">
    <cfRule type="cellIs" dxfId="5075" priority="19375" operator="equal">
      <formula>"value일 미도래"</formula>
    </cfRule>
  </conditionalFormatting>
  <conditionalFormatting sqref="M148">
    <cfRule type="cellIs" dxfId="5074" priority="19374" operator="equal">
      <formula>"value일 미도래"</formula>
    </cfRule>
  </conditionalFormatting>
  <conditionalFormatting sqref="M148">
    <cfRule type="cellIs" dxfId="5073" priority="19373" operator="equal">
      <formula>"value일 미도래"</formula>
    </cfRule>
  </conditionalFormatting>
  <conditionalFormatting sqref="M148">
    <cfRule type="cellIs" dxfId="5072" priority="19371" operator="equal">
      <formula>"value일 미도래"</formula>
    </cfRule>
  </conditionalFormatting>
  <conditionalFormatting sqref="M148">
    <cfRule type="cellIs" dxfId="5071" priority="19370" operator="equal">
      <formula>"value일 미도래"</formula>
    </cfRule>
  </conditionalFormatting>
  <conditionalFormatting sqref="M148">
    <cfRule type="cellIs" dxfId="5070" priority="19369" operator="equal">
      <formula>"value일 미도래"</formula>
    </cfRule>
  </conditionalFormatting>
  <conditionalFormatting sqref="M148">
    <cfRule type="cellIs" dxfId="5069" priority="19368" operator="equal">
      <formula>"value일 미도래"</formula>
    </cfRule>
  </conditionalFormatting>
  <conditionalFormatting sqref="M148">
    <cfRule type="cellIs" dxfId="5068" priority="19367" operator="equal">
      <formula>"value일 미도래"</formula>
    </cfRule>
  </conditionalFormatting>
  <conditionalFormatting sqref="M148">
    <cfRule type="cellIs" dxfId="5067" priority="19366" operator="equal">
      <formula>"value일 미도래"</formula>
    </cfRule>
  </conditionalFormatting>
  <conditionalFormatting sqref="M148">
    <cfRule type="cellIs" dxfId="5066" priority="19365" operator="equal">
      <formula>"value일 미도래"</formula>
    </cfRule>
  </conditionalFormatting>
  <conditionalFormatting sqref="M148">
    <cfRule type="cellIs" dxfId="5065" priority="19364" operator="equal">
      <formula>"value일 미도래"</formula>
    </cfRule>
  </conditionalFormatting>
  <conditionalFormatting sqref="M148">
    <cfRule type="cellIs" dxfId="5064" priority="19362" operator="equal">
      <formula>"value일 미도래"</formula>
    </cfRule>
  </conditionalFormatting>
  <conditionalFormatting sqref="M148">
    <cfRule type="cellIs" dxfId="5063" priority="19361" operator="equal">
      <formula>"value일 미도래"</formula>
    </cfRule>
  </conditionalFormatting>
  <conditionalFormatting sqref="M148">
    <cfRule type="cellIs" dxfId="5062" priority="19360" operator="equal">
      <formula>"value일 미도래"</formula>
    </cfRule>
  </conditionalFormatting>
  <conditionalFormatting sqref="M148">
    <cfRule type="cellIs" dxfId="5061" priority="19359" operator="equal">
      <formula>"value일 미도래"</formula>
    </cfRule>
  </conditionalFormatting>
  <conditionalFormatting sqref="M148">
    <cfRule type="cellIs" dxfId="5060" priority="19358" operator="equal">
      <formula>"value일 미도래"</formula>
    </cfRule>
  </conditionalFormatting>
  <conditionalFormatting sqref="M148">
    <cfRule type="cellIs" dxfId="5059" priority="19357" operator="equal">
      <formula>"value일 미도래"</formula>
    </cfRule>
  </conditionalFormatting>
  <conditionalFormatting sqref="M148">
    <cfRule type="cellIs" dxfId="5058" priority="19356" operator="equal">
      <formula>"value일 미도래"</formula>
    </cfRule>
  </conditionalFormatting>
  <conditionalFormatting sqref="M148">
    <cfRule type="cellIs" dxfId="5057" priority="19355" operator="equal">
      <formula>"value일 미도래"</formula>
    </cfRule>
  </conditionalFormatting>
  <conditionalFormatting sqref="M148">
    <cfRule type="cellIs" dxfId="5056" priority="19354" operator="equal">
      <formula>"value일 미도래"</formula>
    </cfRule>
  </conditionalFormatting>
  <conditionalFormatting sqref="M148">
    <cfRule type="cellIs" dxfId="5055" priority="19353" operator="equal">
      <formula>"value일 미도래"</formula>
    </cfRule>
  </conditionalFormatting>
  <conditionalFormatting sqref="M148">
    <cfRule type="cellIs" dxfId="5054" priority="19352" operator="equal">
      <formula>"value일 미도래"</formula>
    </cfRule>
  </conditionalFormatting>
  <conditionalFormatting sqref="M148">
    <cfRule type="cellIs" dxfId="5053" priority="19350" operator="equal">
      <formula>"value일 미도래"</formula>
    </cfRule>
  </conditionalFormatting>
  <conditionalFormatting sqref="M148">
    <cfRule type="cellIs" dxfId="5052" priority="19349" operator="equal">
      <formula>"value일 미도래"</formula>
    </cfRule>
  </conditionalFormatting>
  <conditionalFormatting sqref="M148">
    <cfRule type="cellIs" dxfId="5051" priority="19348" operator="equal">
      <formula>"value일 미도래"</formula>
    </cfRule>
  </conditionalFormatting>
  <conditionalFormatting sqref="M148">
    <cfRule type="cellIs" dxfId="5050" priority="19347" operator="equal">
      <formula>"value일 미도래"</formula>
    </cfRule>
  </conditionalFormatting>
  <conditionalFormatting sqref="M148">
    <cfRule type="cellIs" dxfId="5049" priority="19346" operator="equal">
      <formula>"value일 미도래"</formula>
    </cfRule>
  </conditionalFormatting>
  <conditionalFormatting sqref="M148">
    <cfRule type="cellIs" dxfId="5048" priority="19345" operator="equal">
      <formula>"value일 미도래"</formula>
    </cfRule>
  </conditionalFormatting>
  <conditionalFormatting sqref="M148">
    <cfRule type="cellIs" dxfId="5047" priority="19344" operator="equal">
      <formula>"value일 미도래"</formula>
    </cfRule>
  </conditionalFormatting>
  <conditionalFormatting sqref="M148">
    <cfRule type="cellIs" dxfId="5046" priority="19343" operator="equal">
      <formula>"value일 미도래"</formula>
    </cfRule>
  </conditionalFormatting>
  <conditionalFormatting sqref="M148">
    <cfRule type="cellIs" dxfId="5045" priority="19342" operator="equal">
      <formula>"value일 미도래"</formula>
    </cfRule>
  </conditionalFormatting>
  <conditionalFormatting sqref="M148">
    <cfRule type="cellIs" dxfId="5044" priority="19341" operator="equal">
      <formula>"value일 미도래"</formula>
    </cfRule>
  </conditionalFormatting>
  <conditionalFormatting sqref="M148">
    <cfRule type="cellIs" dxfId="5043" priority="19340" operator="equal">
      <formula>"value일 미도래"</formula>
    </cfRule>
  </conditionalFormatting>
  <conditionalFormatting sqref="M148">
    <cfRule type="cellIs" dxfId="5042" priority="19338" operator="equal">
      <formula>"value일 미도래"</formula>
    </cfRule>
  </conditionalFormatting>
  <conditionalFormatting sqref="M148">
    <cfRule type="cellIs" dxfId="5041" priority="19337" operator="equal">
      <formula>"value일 미도래"</formula>
    </cfRule>
  </conditionalFormatting>
  <conditionalFormatting sqref="M148">
    <cfRule type="cellIs" dxfId="5040" priority="19336" operator="equal">
      <formula>"value일 미도래"</formula>
    </cfRule>
  </conditionalFormatting>
  <conditionalFormatting sqref="M148">
    <cfRule type="cellIs" dxfId="5039" priority="19335" operator="equal">
      <formula>"value일 미도래"</formula>
    </cfRule>
  </conditionalFormatting>
  <conditionalFormatting sqref="M148">
    <cfRule type="cellIs" dxfId="5038" priority="19334" operator="equal">
      <formula>"value일 미도래"</formula>
    </cfRule>
  </conditionalFormatting>
  <conditionalFormatting sqref="M148">
    <cfRule type="cellIs" dxfId="5037" priority="19333" operator="equal">
      <formula>"value일 미도래"</formula>
    </cfRule>
  </conditionalFormatting>
  <conditionalFormatting sqref="M148">
    <cfRule type="cellIs" dxfId="5036" priority="19332" operator="equal">
      <formula>"value일 미도래"</formula>
    </cfRule>
  </conditionalFormatting>
  <conditionalFormatting sqref="M148">
    <cfRule type="cellIs" dxfId="5035" priority="19331" operator="equal">
      <formula>"value일 미도래"</formula>
    </cfRule>
  </conditionalFormatting>
  <conditionalFormatting sqref="M148">
    <cfRule type="cellIs" dxfId="5034" priority="19330" operator="equal">
      <formula>"value일 미도래"</formula>
    </cfRule>
  </conditionalFormatting>
  <conditionalFormatting sqref="M148">
    <cfRule type="cellIs" dxfId="5033" priority="19329" operator="equal">
      <formula>"value일 미도래"</formula>
    </cfRule>
  </conditionalFormatting>
  <conditionalFormatting sqref="M148">
    <cfRule type="cellIs" dxfId="5032" priority="19328" operator="equal">
      <formula>"value일 미도래"</formula>
    </cfRule>
  </conditionalFormatting>
  <conditionalFormatting sqref="M148">
    <cfRule type="cellIs" dxfId="5031" priority="19327" operator="equal">
      <formula>"value일 미도래"</formula>
    </cfRule>
  </conditionalFormatting>
  <conditionalFormatting sqref="M148">
    <cfRule type="cellIs" dxfId="5030" priority="19326" operator="equal">
      <formula>"value일 미도래"</formula>
    </cfRule>
  </conditionalFormatting>
  <conditionalFormatting sqref="M148">
    <cfRule type="cellIs" dxfId="5029" priority="19325" operator="equal">
      <formula>"value일 미도래"</formula>
    </cfRule>
  </conditionalFormatting>
  <conditionalFormatting sqref="M148">
    <cfRule type="cellIs" dxfId="5028" priority="19323" operator="equal">
      <formula>"value일 미도래"</formula>
    </cfRule>
  </conditionalFormatting>
  <conditionalFormatting sqref="M148">
    <cfRule type="cellIs" dxfId="5027" priority="19322" operator="equal">
      <formula>"value일 미도래"</formula>
    </cfRule>
  </conditionalFormatting>
  <conditionalFormatting sqref="M148">
    <cfRule type="cellIs" dxfId="5026" priority="19321" operator="equal">
      <formula>"value일 미도래"</formula>
    </cfRule>
  </conditionalFormatting>
  <conditionalFormatting sqref="M148">
    <cfRule type="cellIs" dxfId="5025" priority="19320" operator="equal">
      <formula>"value일 미도래"</formula>
    </cfRule>
  </conditionalFormatting>
  <conditionalFormatting sqref="M148">
    <cfRule type="cellIs" dxfId="5024" priority="19319" operator="equal">
      <formula>"value일 미도래"</formula>
    </cfRule>
  </conditionalFormatting>
  <conditionalFormatting sqref="M148">
    <cfRule type="cellIs" dxfId="5023" priority="19318" operator="equal">
      <formula>"value일 미도래"</formula>
    </cfRule>
  </conditionalFormatting>
  <conditionalFormatting sqref="M148">
    <cfRule type="cellIs" dxfId="5022" priority="19317" operator="equal">
      <formula>"value일 미도래"</formula>
    </cfRule>
  </conditionalFormatting>
  <conditionalFormatting sqref="M148">
    <cfRule type="cellIs" dxfId="5021" priority="19316" operator="equal">
      <formula>"value일 미도래"</formula>
    </cfRule>
  </conditionalFormatting>
  <conditionalFormatting sqref="M148">
    <cfRule type="cellIs" dxfId="5020" priority="19315" operator="equal">
      <formula>"value일 미도래"</formula>
    </cfRule>
  </conditionalFormatting>
  <conditionalFormatting sqref="M148">
    <cfRule type="cellIs" dxfId="5019" priority="19314" operator="equal">
      <formula>"value일 미도래"</formula>
    </cfRule>
  </conditionalFormatting>
  <conditionalFormatting sqref="M148">
    <cfRule type="cellIs" dxfId="5018" priority="19313" operator="equal">
      <formula>"value일 미도래"</formula>
    </cfRule>
  </conditionalFormatting>
  <conditionalFormatting sqref="M148">
    <cfRule type="cellIs" dxfId="5017" priority="19312" operator="equal">
      <formula>"value일 미도래"</formula>
    </cfRule>
  </conditionalFormatting>
  <conditionalFormatting sqref="M148">
    <cfRule type="cellIs" dxfId="5016" priority="19311" operator="equal">
      <formula>"value일 미도래"</formula>
    </cfRule>
  </conditionalFormatting>
  <conditionalFormatting sqref="M148">
    <cfRule type="cellIs" dxfId="5015" priority="19310" operator="equal">
      <formula>"value일 미도래"</formula>
    </cfRule>
  </conditionalFormatting>
  <conditionalFormatting sqref="M148">
    <cfRule type="cellIs" dxfId="5014" priority="19309" operator="equal">
      <formula>"value일 미도래"</formula>
    </cfRule>
  </conditionalFormatting>
  <conditionalFormatting sqref="M148">
    <cfRule type="cellIs" dxfId="5013" priority="19308" operator="equal">
      <formula>"value일 미도래"</formula>
    </cfRule>
  </conditionalFormatting>
  <conditionalFormatting sqref="M148">
    <cfRule type="cellIs" dxfId="5012" priority="19307" operator="equal">
      <formula>"value일 미도래"</formula>
    </cfRule>
  </conditionalFormatting>
  <conditionalFormatting sqref="M148">
    <cfRule type="cellIs" dxfId="5011" priority="19306" operator="equal">
      <formula>"value일 미도래"</formula>
    </cfRule>
  </conditionalFormatting>
  <conditionalFormatting sqref="M148">
    <cfRule type="cellIs" dxfId="5010" priority="19305" operator="equal">
      <formula>"value일 미도래"</formula>
    </cfRule>
  </conditionalFormatting>
  <conditionalFormatting sqref="M148">
    <cfRule type="cellIs" dxfId="5009" priority="19304" operator="equal">
      <formula>"value일 미도래"</formula>
    </cfRule>
  </conditionalFormatting>
  <conditionalFormatting sqref="M148">
    <cfRule type="cellIs" dxfId="5008" priority="19302" operator="equal">
      <formula>"value일 미도래"</formula>
    </cfRule>
  </conditionalFormatting>
  <conditionalFormatting sqref="M148">
    <cfRule type="cellIs" dxfId="5007" priority="19301" operator="equal">
      <formula>"value일 미도래"</formula>
    </cfRule>
  </conditionalFormatting>
  <conditionalFormatting sqref="M148">
    <cfRule type="cellIs" dxfId="5006" priority="19300" operator="equal">
      <formula>"value일 미도래"</formula>
    </cfRule>
  </conditionalFormatting>
  <conditionalFormatting sqref="M148">
    <cfRule type="cellIs" dxfId="5005" priority="19299" operator="equal">
      <formula>"value일 미도래"</formula>
    </cfRule>
  </conditionalFormatting>
  <conditionalFormatting sqref="M148">
    <cfRule type="cellIs" dxfId="5004" priority="19298" operator="equal">
      <formula>"value일 미도래"</formula>
    </cfRule>
  </conditionalFormatting>
  <conditionalFormatting sqref="M148">
    <cfRule type="cellIs" dxfId="5003" priority="19297" operator="equal">
      <formula>"value일 미도래"</formula>
    </cfRule>
  </conditionalFormatting>
  <conditionalFormatting sqref="M148">
    <cfRule type="cellIs" dxfId="5002" priority="19296" operator="equal">
      <formula>"value일 미도래"</formula>
    </cfRule>
  </conditionalFormatting>
  <conditionalFormatting sqref="M148">
    <cfRule type="cellIs" dxfId="5001" priority="19295" operator="equal">
      <formula>"value일 미도래"</formula>
    </cfRule>
  </conditionalFormatting>
  <conditionalFormatting sqref="M148">
    <cfRule type="cellIs" dxfId="5000" priority="19294" operator="equal">
      <formula>"value일 미도래"</formula>
    </cfRule>
  </conditionalFormatting>
  <conditionalFormatting sqref="M148">
    <cfRule type="cellIs" dxfId="4999" priority="19293" operator="equal">
      <formula>"value일 미도래"</formula>
    </cfRule>
  </conditionalFormatting>
  <conditionalFormatting sqref="M148">
    <cfRule type="cellIs" dxfId="4998" priority="19292" operator="equal">
      <formula>"value일 미도래"</formula>
    </cfRule>
  </conditionalFormatting>
  <conditionalFormatting sqref="M148">
    <cfRule type="cellIs" dxfId="4997" priority="19291" operator="equal">
      <formula>"value일 미도래"</formula>
    </cfRule>
  </conditionalFormatting>
  <conditionalFormatting sqref="M148">
    <cfRule type="cellIs" dxfId="4996" priority="19290" operator="equal">
      <formula>"value일 미도래"</formula>
    </cfRule>
  </conditionalFormatting>
  <conditionalFormatting sqref="M148">
    <cfRule type="cellIs" dxfId="4995" priority="19289" operator="equal">
      <formula>"value일 미도래"</formula>
    </cfRule>
  </conditionalFormatting>
  <conditionalFormatting sqref="M149:M150">
    <cfRule type="cellIs" dxfId="4994" priority="19288" operator="equal">
      <formula>"value일 미도래"</formula>
    </cfRule>
  </conditionalFormatting>
  <conditionalFormatting sqref="M149:M150">
    <cfRule type="cellIs" dxfId="4993" priority="19287" operator="equal">
      <formula>"value일 미도래"</formula>
    </cfRule>
  </conditionalFormatting>
  <conditionalFormatting sqref="M149:M150">
    <cfRule type="cellIs" dxfId="4992" priority="19286" operator="equal">
      <formula>"value일 미도래"</formula>
    </cfRule>
  </conditionalFormatting>
  <conditionalFormatting sqref="M148">
    <cfRule type="cellIs" dxfId="4991" priority="19285" operator="equal">
      <formula>"value일 미도래"</formula>
    </cfRule>
  </conditionalFormatting>
  <conditionalFormatting sqref="M148">
    <cfRule type="cellIs" dxfId="4990" priority="19284" operator="equal">
      <formula>"value일 미도래"</formula>
    </cfRule>
  </conditionalFormatting>
  <conditionalFormatting sqref="M148">
    <cfRule type="cellIs" dxfId="4989" priority="19283" operator="equal">
      <formula>"value일 미도래"</formula>
    </cfRule>
  </conditionalFormatting>
  <conditionalFormatting sqref="M148">
    <cfRule type="cellIs" dxfId="4988" priority="19282" operator="equal">
      <formula>"value일 미도래"</formula>
    </cfRule>
  </conditionalFormatting>
  <conditionalFormatting sqref="M148">
    <cfRule type="cellIs" dxfId="4987" priority="19281" operator="equal">
      <formula>"value일 미도래"</formula>
    </cfRule>
  </conditionalFormatting>
  <conditionalFormatting sqref="M148">
    <cfRule type="cellIs" dxfId="4986" priority="19280" operator="equal">
      <formula>"value일 미도래"</formula>
    </cfRule>
  </conditionalFormatting>
  <conditionalFormatting sqref="M148">
    <cfRule type="cellIs" dxfId="4985" priority="19279" operator="equal">
      <formula>"value일 미도래"</formula>
    </cfRule>
  </conditionalFormatting>
  <conditionalFormatting sqref="M148">
    <cfRule type="cellIs" dxfId="4984" priority="19278" operator="equal">
      <formula>"value일 미도래"</formula>
    </cfRule>
  </conditionalFormatting>
  <conditionalFormatting sqref="M148">
    <cfRule type="cellIs" dxfId="4983" priority="19277" operator="equal">
      <formula>"value일 미도래"</formula>
    </cfRule>
  </conditionalFormatting>
  <conditionalFormatting sqref="M148">
    <cfRule type="cellIs" dxfId="4982" priority="19275" operator="equal">
      <formula>"value일 미도래"</formula>
    </cfRule>
  </conditionalFormatting>
  <conditionalFormatting sqref="M148">
    <cfRule type="cellIs" dxfId="4981" priority="19274" operator="equal">
      <formula>"value일 미도래"</formula>
    </cfRule>
  </conditionalFormatting>
  <conditionalFormatting sqref="M148">
    <cfRule type="cellIs" dxfId="4980" priority="19273" operator="equal">
      <formula>"value일 미도래"</formula>
    </cfRule>
  </conditionalFormatting>
  <conditionalFormatting sqref="M148">
    <cfRule type="cellIs" dxfId="4979" priority="19272" operator="equal">
      <formula>"value일 미도래"</formula>
    </cfRule>
  </conditionalFormatting>
  <conditionalFormatting sqref="M148">
    <cfRule type="cellIs" dxfId="4978" priority="19271" operator="equal">
      <formula>"value일 미도래"</formula>
    </cfRule>
  </conditionalFormatting>
  <conditionalFormatting sqref="M148">
    <cfRule type="cellIs" dxfId="4977" priority="19270" operator="equal">
      <formula>"value일 미도래"</formula>
    </cfRule>
  </conditionalFormatting>
  <conditionalFormatting sqref="M148">
    <cfRule type="cellIs" dxfId="4976" priority="19269" operator="equal">
      <formula>"value일 미도래"</formula>
    </cfRule>
  </conditionalFormatting>
  <conditionalFormatting sqref="M148">
    <cfRule type="cellIs" dxfId="4975" priority="19268" operator="equal">
      <formula>"value일 미도래"</formula>
    </cfRule>
  </conditionalFormatting>
  <conditionalFormatting sqref="M148">
    <cfRule type="cellIs" dxfId="4974" priority="19267" operator="equal">
      <formula>"value일 미도래"</formula>
    </cfRule>
  </conditionalFormatting>
  <conditionalFormatting sqref="M149:M150">
    <cfRule type="cellIs" dxfId="4973" priority="19266" operator="equal">
      <formula>"value일 미도래"</formula>
    </cfRule>
  </conditionalFormatting>
  <conditionalFormatting sqref="M149:M150">
    <cfRule type="cellIs" dxfId="4972" priority="19265" operator="equal">
      <formula>"value일 미도래"</formula>
    </cfRule>
  </conditionalFormatting>
  <conditionalFormatting sqref="M149:M150">
    <cfRule type="cellIs" dxfId="4971" priority="19264" operator="equal">
      <formula>"value일 미도래"</formula>
    </cfRule>
  </conditionalFormatting>
  <conditionalFormatting sqref="M149:M150">
    <cfRule type="cellIs" dxfId="4970" priority="19263" operator="equal">
      <formula>"value일 미도래"</formula>
    </cfRule>
  </conditionalFormatting>
  <conditionalFormatting sqref="M148">
    <cfRule type="cellIs" dxfId="4969" priority="19262" operator="equal">
      <formula>"value일 미도래"</formula>
    </cfRule>
  </conditionalFormatting>
  <conditionalFormatting sqref="M148">
    <cfRule type="cellIs" dxfId="4968" priority="19261" operator="equal">
      <formula>"value일 미도래"</formula>
    </cfRule>
  </conditionalFormatting>
  <conditionalFormatting sqref="M148">
    <cfRule type="cellIs" dxfId="4967" priority="19260" operator="equal">
      <formula>"value일 미도래"</formula>
    </cfRule>
  </conditionalFormatting>
  <conditionalFormatting sqref="M148">
    <cfRule type="cellIs" dxfId="4966" priority="19259" operator="equal">
      <formula>"value일 미도래"</formula>
    </cfRule>
  </conditionalFormatting>
  <conditionalFormatting sqref="M148">
    <cfRule type="cellIs" dxfId="4965" priority="19258" operator="equal">
      <formula>"value일 미도래"</formula>
    </cfRule>
  </conditionalFormatting>
  <conditionalFormatting sqref="M148">
    <cfRule type="cellIs" dxfId="4964" priority="19257" operator="equal">
      <formula>"value일 미도래"</formula>
    </cfRule>
  </conditionalFormatting>
  <conditionalFormatting sqref="M148">
    <cfRule type="cellIs" dxfId="4963" priority="19256" operator="equal">
      <formula>"value일 미도래"</formula>
    </cfRule>
  </conditionalFormatting>
  <conditionalFormatting sqref="M148">
    <cfRule type="cellIs" dxfId="4962" priority="19255" operator="equal">
      <formula>"value일 미도래"</formula>
    </cfRule>
  </conditionalFormatting>
  <conditionalFormatting sqref="M148">
    <cfRule type="cellIs" dxfId="4961" priority="19254" operator="equal">
      <formula>"value일 미도래"</formula>
    </cfRule>
  </conditionalFormatting>
  <conditionalFormatting sqref="M148">
    <cfRule type="cellIs" dxfId="4960" priority="19253" operator="equal">
      <formula>"value일 미도래"</formula>
    </cfRule>
  </conditionalFormatting>
  <conditionalFormatting sqref="M148:M149">
    <cfRule type="cellIs" dxfId="4959" priority="19252" operator="equal">
      <formula>"value일 미도래"</formula>
    </cfRule>
  </conditionalFormatting>
  <conditionalFormatting sqref="M148:M149">
    <cfRule type="cellIs" dxfId="4958" priority="19251" operator="equal">
      <formula>"value일 미도래"</formula>
    </cfRule>
  </conditionalFormatting>
  <conditionalFormatting sqref="M148:M149">
    <cfRule type="cellIs" dxfId="4957" priority="19250" operator="equal">
      <formula>"value일 미도래"</formula>
    </cfRule>
  </conditionalFormatting>
  <conditionalFormatting sqref="M148:M149">
    <cfRule type="cellIs" dxfId="4956" priority="19249" operator="equal">
      <formula>"value일 미도래"</formula>
    </cfRule>
  </conditionalFormatting>
  <conditionalFormatting sqref="M148:M149">
    <cfRule type="cellIs" dxfId="4955" priority="19248" operator="equal">
      <formula>"value일 미도래"</formula>
    </cfRule>
  </conditionalFormatting>
  <conditionalFormatting sqref="M148:M149">
    <cfRule type="cellIs" dxfId="4954" priority="19247" operator="equal">
      <formula>"value일 미도래"</formula>
    </cfRule>
  </conditionalFormatting>
  <conditionalFormatting sqref="M148:M149">
    <cfRule type="cellIs" dxfId="4953" priority="19245" operator="equal">
      <formula>"value일 미도래"</formula>
    </cfRule>
  </conditionalFormatting>
  <conditionalFormatting sqref="M148:M149">
    <cfRule type="cellIs" dxfId="4952" priority="19244" operator="equal">
      <formula>"value일 미도래"</formula>
    </cfRule>
  </conditionalFormatting>
  <conditionalFormatting sqref="M148:M149">
    <cfRule type="cellIs" dxfId="4951" priority="19243" operator="equal">
      <formula>"value일 미도래"</formula>
    </cfRule>
  </conditionalFormatting>
  <conditionalFormatting sqref="M148:M149">
    <cfRule type="cellIs" dxfId="4950" priority="19242" operator="equal">
      <formula>"value일 미도래"</formula>
    </cfRule>
  </conditionalFormatting>
  <conditionalFormatting sqref="M148:M149">
    <cfRule type="cellIs" dxfId="4949" priority="19241" operator="equal">
      <formula>"value일 미도래"</formula>
    </cfRule>
  </conditionalFormatting>
  <conditionalFormatting sqref="M148:M149">
    <cfRule type="cellIs" dxfId="4948" priority="19240" operator="equal">
      <formula>"value일 미도래"</formula>
    </cfRule>
  </conditionalFormatting>
  <conditionalFormatting sqref="M148:M149">
    <cfRule type="cellIs" dxfId="4947" priority="19239" operator="equal">
      <formula>"value일 미도래"</formula>
    </cfRule>
  </conditionalFormatting>
  <conditionalFormatting sqref="M148:M149">
    <cfRule type="cellIs" dxfId="4946" priority="19238" operator="equal">
      <formula>"value일 미도래"</formula>
    </cfRule>
  </conditionalFormatting>
  <conditionalFormatting sqref="M148:M149">
    <cfRule type="cellIs" dxfId="4945" priority="19236" operator="equal">
      <formula>"value일 미도래"</formula>
    </cfRule>
  </conditionalFormatting>
  <conditionalFormatting sqref="M148:M149">
    <cfRule type="cellIs" dxfId="4944" priority="19235" operator="equal">
      <formula>"value일 미도래"</formula>
    </cfRule>
  </conditionalFormatting>
  <conditionalFormatting sqref="M148:M149">
    <cfRule type="cellIs" dxfId="4943" priority="19234" operator="equal">
      <formula>"value일 미도래"</formula>
    </cfRule>
  </conditionalFormatting>
  <conditionalFormatting sqref="M148:M149">
    <cfRule type="cellIs" dxfId="4942" priority="19233" operator="equal">
      <formula>"value일 미도래"</formula>
    </cfRule>
  </conditionalFormatting>
  <conditionalFormatting sqref="M148:M149">
    <cfRule type="cellIs" dxfId="4941" priority="19232" operator="equal">
      <formula>"value일 미도래"</formula>
    </cfRule>
  </conditionalFormatting>
  <conditionalFormatting sqref="M148:M149">
    <cfRule type="cellIs" dxfId="4940" priority="19231" operator="equal">
      <formula>"value일 미도래"</formula>
    </cfRule>
  </conditionalFormatting>
  <conditionalFormatting sqref="M148:M149">
    <cfRule type="cellIs" dxfId="4939" priority="19230" operator="equal">
      <formula>"value일 미도래"</formula>
    </cfRule>
  </conditionalFormatting>
  <conditionalFormatting sqref="M148:M149">
    <cfRule type="cellIs" dxfId="4938" priority="19229" operator="equal">
      <formula>"value일 미도래"</formula>
    </cfRule>
  </conditionalFormatting>
  <conditionalFormatting sqref="M148:M149">
    <cfRule type="cellIs" dxfId="4937" priority="19228" operator="equal">
      <formula>"value일 미도래"</formula>
    </cfRule>
  </conditionalFormatting>
  <conditionalFormatting sqref="M148:M149">
    <cfRule type="cellIs" dxfId="4936" priority="19227" operator="equal">
      <formula>"value일 미도래"</formula>
    </cfRule>
  </conditionalFormatting>
  <conditionalFormatting sqref="M148:M149">
    <cfRule type="cellIs" dxfId="4935" priority="19226" operator="equal">
      <formula>"value일 미도래"</formula>
    </cfRule>
  </conditionalFormatting>
  <conditionalFormatting sqref="M148:M149">
    <cfRule type="cellIs" dxfId="4934" priority="19224" operator="equal">
      <formula>"value일 미도래"</formula>
    </cfRule>
  </conditionalFormatting>
  <conditionalFormatting sqref="M148:M149">
    <cfRule type="cellIs" dxfId="4933" priority="19223" operator="equal">
      <formula>"value일 미도래"</formula>
    </cfRule>
  </conditionalFormatting>
  <conditionalFormatting sqref="M148:M149">
    <cfRule type="cellIs" dxfId="4932" priority="19222" operator="equal">
      <formula>"value일 미도래"</formula>
    </cfRule>
  </conditionalFormatting>
  <conditionalFormatting sqref="M148:M149">
    <cfRule type="cellIs" dxfId="4931" priority="19221" operator="equal">
      <formula>"value일 미도래"</formula>
    </cfRule>
  </conditionalFormatting>
  <conditionalFormatting sqref="M148:M149">
    <cfRule type="cellIs" dxfId="4930" priority="19220" operator="equal">
      <formula>"value일 미도래"</formula>
    </cfRule>
  </conditionalFormatting>
  <conditionalFormatting sqref="M148:M149">
    <cfRule type="cellIs" dxfId="4929" priority="19219" operator="equal">
      <formula>"value일 미도래"</formula>
    </cfRule>
  </conditionalFormatting>
  <conditionalFormatting sqref="M148:M149">
    <cfRule type="cellIs" dxfId="4928" priority="19218" operator="equal">
      <formula>"value일 미도래"</formula>
    </cfRule>
  </conditionalFormatting>
  <conditionalFormatting sqref="M148:M149">
    <cfRule type="cellIs" dxfId="4927" priority="19217" operator="equal">
      <formula>"value일 미도래"</formula>
    </cfRule>
  </conditionalFormatting>
  <conditionalFormatting sqref="M148:M149">
    <cfRule type="cellIs" dxfId="4926" priority="19216" operator="equal">
      <formula>"value일 미도래"</formula>
    </cfRule>
  </conditionalFormatting>
  <conditionalFormatting sqref="M148:M149">
    <cfRule type="cellIs" dxfId="4925" priority="19215" operator="equal">
      <formula>"value일 미도래"</formula>
    </cfRule>
  </conditionalFormatting>
  <conditionalFormatting sqref="M148:M149">
    <cfRule type="cellIs" dxfId="4924" priority="19214" operator="equal">
      <formula>"value일 미도래"</formula>
    </cfRule>
  </conditionalFormatting>
  <conditionalFormatting sqref="M148:M149">
    <cfRule type="cellIs" dxfId="4923" priority="19212" operator="equal">
      <formula>"value일 미도래"</formula>
    </cfRule>
  </conditionalFormatting>
  <conditionalFormatting sqref="M148:M149">
    <cfRule type="cellIs" dxfId="4922" priority="19211" operator="equal">
      <formula>"value일 미도래"</formula>
    </cfRule>
  </conditionalFormatting>
  <conditionalFormatting sqref="M148:M149">
    <cfRule type="cellIs" dxfId="4921" priority="19210" operator="equal">
      <formula>"value일 미도래"</formula>
    </cfRule>
  </conditionalFormatting>
  <conditionalFormatting sqref="M148:M149">
    <cfRule type="cellIs" dxfId="4920" priority="19209" operator="equal">
      <formula>"value일 미도래"</formula>
    </cfRule>
  </conditionalFormatting>
  <conditionalFormatting sqref="M148:M149">
    <cfRule type="cellIs" dxfId="4919" priority="19208" operator="equal">
      <formula>"value일 미도래"</formula>
    </cfRule>
  </conditionalFormatting>
  <conditionalFormatting sqref="M148:M149">
    <cfRule type="cellIs" dxfId="4918" priority="19207" operator="equal">
      <formula>"value일 미도래"</formula>
    </cfRule>
  </conditionalFormatting>
  <conditionalFormatting sqref="M148:M149">
    <cfRule type="cellIs" dxfId="4917" priority="19206" operator="equal">
      <formula>"value일 미도래"</formula>
    </cfRule>
  </conditionalFormatting>
  <conditionalFormatting sqref="M148:M149">
    <cfRule type="cellIs" dxfId="4916" priority="19205" operator="equal">
      <formula>"value일 미도래"</formula>
    </cfRule>
  </conditionalFormatting>
  <conditionalFormatting sqref="M148:M149">
    <cfRule type="cellIs" dxfId="4915" priority="19204" operator="equal">
      <formula>"value일 미도래"</formula>
    </cfRule>
  </conditionalFormatting>
  <conditionalFormatting sqref="M148:M149">
    <cfRule type="cellIs" dxfId="4914" priority="19203" operator="equal">
      <formula>"value일 미도래"</formula>
    </cfRule>
  </conditionalFormatting>
  <conditionalFormatting sqref="M148:M149">
    <cfRule type="cellIs" dxfId="4913" priority="19202" operator="equal">
      <formula>"value일 미도래"</formula>
    </cfRule>
  </conditionalFormatting>
  <conditionalFormatting sqref="M148:M149">
    <cfRule type="cellIs" dxfId="4912" priority="19201" operator="equal">
      <formula>"value일 미도래"</formula>
    </cfRule>
  </conditionalFormatting>
  <conditionalFormatting sqref="M148:M149">
    <cfRule type="cellIs" dxfId="4911" priority="19200" operator="equal">
      <formula>"value일 미도래"</formula>
    </cfRule>
  </conditionalFormatting>
  <conditionalFormatting sqref="M148:M149">
    <cfRule type="cellIs" dxfId="4910" priority="19199" operator="equal">
      <formula>"value일 미도래"</formula>
    </cfRule>
  </conditionalFormatting>
  <conditionalFormatting sqref="M148:M149">
    <cfRule type="cellIs" dxfId="4909" priority="19197" operator="equal">
      <formula>"value일 미도래"</formula>
    </cfRule>
  </conditionalFormatting>
  <conditionalFormatting sqref="M148:M149">
    <cfRule type="cellIs" dxfId="4908" priority="19196" operator="equal">
      <formula>"value일 미도래"</formula>
    </cfRule>
  </conditionalFormatting>
  <conditionalFormatting sqref="M148:M149">
    <cfRule type="cellIs" dxfId="4907" priority="19195" operator="equal">
      <formula>"value일 미도래"</formula>
    </cfRule>
  </conditionalFormatting>
  <conditionalFormatting sqref="M148:M149">
    <cfRule type="cellIs" dxfId="4906" priority="19194" operator="equal">
      <formula>"value일 미도래"</formula>
    </cfRule>
  </conditionalFormatting>
  <conditionalFormatting sqref="M148:M149">
    <cfRule type="cellIs" dxfId="4905" priority="19193" operator="equal">
      <formula>"value일 미도래"</formula>
    </cfRule>
  </conditionalFormatting>
  <conditionalFormatting sqref="M148:M149">
    <cfRule type="cellIs" dxfId="4904" priority="19192" operator="equal">
      <formula>"value일 미도래"</formula>
    </cfRule>
  </conditionalFormatting>
  <conditionalFormatting sqref="M148:M149">
    <cfRule type="cellIs" dxfId="4903" priority="19191" operator="equal">
      <formula>"value일 미도래"</formula>
    </cfRule>
  </conditionalFormatting>
  <conditionalFormatting sqref="M148:M149">
    <cfRule type="cellIs" dxfId="4902" priority="19190" operator="equal">
      <formula>"value일 미도래"</formula>
    </cfRule>
  </conditionalFormatting>
  <conditionalFormatting sqref="M148:M149">
    <cfRule type="cellIs" dxfId="4901" priority="19189" operator="equal">
      <formula>"value일 미도래"</formula>
    </cfRule>
  </conditionalFormatting>
  <conditionalFormatting sqref="M148:M149">
    <cfRule type="cellIs" dxfId="4900" priority="19188" operator="equal">
      <formula>"value일 미도래"</formula>
    </cfRule>
  </conditionalFormatting>
  <conditionalFormatting sqref="M148:M149">
    <cfRule type="cellIs" dxfId="4899" priority="19187" operator="equal">
      <formula>"value일 미도래"</formula>
    </cfRule>
  </conditionalFormatting>
  <conditionalFormatting sqref="M148:M149">
    <cfRule type="cellIs" dxfId="4898" priority="19186" operator="equal">
      <formula>"value일 미도래"</formula>
    </cfRule>
  </conditionalFormatting>
  <conditionalFormatting sqref="M148:M149">
    <cfRule type="cellIs" dxfId="4897" priority="19185" operator="equal">
      <formula>"value일 미도래"</formula>
    </cfRule>
  </conditionalFormatting>
  <conditionalFormatting sqref="M148:M149">
    <cfRule type="cellIs" dxfId="4896" priority="19184" operator="equal">
      <formula>"value일 미도래"</formula>
    </cfRule>
  </conditionalFormatting>
  <conditionalFormatting sqref="M148:M149">
    <cfRule type="cellIs" dxfId="4895" priority="19183" operator="equal">
      <formula>"value일 미도래"</formula>
    </cfRule>
  </conditionalFormatting>
  <conditionalFormatting sqref="M148:M149">
    <cfRule type="cellIs" dxfId="4894" priority="19182" operator="equal">
      <formula>"value일 미도래"</formula>
    </cfRule>
  </conditionalFormatting>
  <conditionalFormatting sqref="M148:M149">
    <cfRule type="cellIs" dxfId="4893" priority="19181" operator="equal">
      <formula>"value일 미도래"</formula>
    </cfRule>
  </conditionalFormatting>
  <conditionalFormatting sqref="M148:M149">
    <cfRule type="cellIs" dxfId="4892" priority="19180" operator="equal">
      <formula>"value일 미도래"</formula>
    </cfRule>
  </conditionalFormatting>
  <conditionalFormatting sqref="M148:M149">
    <cfRule type="cellIs" dxfId="4891" priority="19179" operator="equal">
      <formula>"value일 미도래"</formula>
    </cfRule>
  </conditionalFormatting>
  <conditionalFormatting sqref="M148:M149">
    <cfRule type="cellIs" dxfId="4890" priority="19178" operator="equal">
      <formula>"value일 미도래"</formula>
    </cfRule>
  </conditionalFormatting>
  <conditionalFormatting sqref="M148:M149">
    <cfRule type="cellIs" dxfId="4889" priority="19176" operator="equal">
      <formula>"value일 미도래"</formula>
    </cfRule>
  </conditionalFormatting>
  <conditionalFormatting sqref="M148:M149">
    <cfRule type="cellIs" dxfId="4888" priority="19175" operator="equal">
      <formula>"value일 미도래"</formula>
    </cfRule>
  </conditionalFormatting>
  <conditionalFormatting sqref="M148:M149">
    <cfRule type="cellIs" dxfId="4887" priority="19174" operator="equal">
      <formula>"value일 미도래"</formula>
    </cfRule>
  </conditionalFormatting>
  <conditionalFormatting sqref="M148:M149">
    <cfRule type="cellIs" dxfId="4886" priority="19173" operator="equal">
      <formula>"value일 미도래"</formula>
    </cfRule>
  </conditionalFormatting>
  <conditionalFormatting sqref="M148:M149">
    <cfRule type="cellIs" dxfId="4885" priority="19172" operator="equal">
      <formula>"value일 미도래"</formula>
    </cfRule>
  </conditionalFormatting>
  <conditionalFormatting sqref="M148:M149">
    <cfRule type="cellIs" dxfId="4884" priority="19171" operator="equal">
      <formula>"value일 미도래"</formula>
    </cfRule>
  </conditionalFormatting>
  <conditionalFormatting sqref="M148:M149">
    <cfRule type="cellIs" dxfId="4883" priority="19170" operator="equal">
      <formula>"value일 미도래"</formula>
    </cfRule>
  </conditionalFormatting>
  <conditionalFormatting sqref="M148:M149">
    <cfRule type="cellIs" dxfId="4882" priority="19169" operator="equal">
      <formula>"value일 미도래"</formula>
    </cfRule>
  </conditionalFormatting>
  <conditionalFormatting sqref="M148:M149">
    <cfRule type="cellIs" dxfId="4881" priority="19168" operator="equal">
      <formula>"value일 미도래"</formula>
    </cfRule>
  </conditionalFormatting>
  <conditionalFormatting sqref="M148:M149">
    <cfRule type="cellIs" dxfId="4880" priority="19167" operator="equal">
      <formula>"value일 미도래"</formula>
    </cfRule>
  </conditionalFormatting>
  <conditionalFormatting sqref="M148:M149">
    <cfRule type="cellIs" dxfId="4879" priority="19166" operator="equal">
      <formula>"value일 미도래"</formula>
    </cfRule>
  </conditionalFormatting>
  <conditionalFormatting sqref="M148:M149">
    <cfRule type="cellIs" dxfId="4878" priority="19165" operator="equal">
      <formula>"value일 미도래"</formula>
    </cfRule>
  </conditionalFormatting>
  <conditionalFormatting sqref="M148:M149">
    <cfRule type="cellIs" dxfId="4877" priority="19139" operator="equal">
      <formula>"value일 미도래"</formula>
    </cfRule>
  </conditionalFormatting>
  <conditionalFormatting sqref="M148:M149">
    <cfRule type="cellIs" dxfId="4876" priority="19138" operator="equal">
      <formula>"value일 미도래"</formula>
    </cfRule>
  </conditionalFormatting>
  <conditionalFormatting sqref="M148:M149">
    <cfRule type="cellIs" dxfId="4875" priority="19137" operator="equal">
      <formula>"value일 미도래"</formula>
    </cfRule>
  </conditionalFormatting>
  <conditionalFormatting sqref="M148:M149">
    <cfRule type="cellIs" dxfId="4874" priority="19136" operator="equal">
      <formula>"value일 미도래"</formula>
    </cfRule>
  </conditionalFormatting>
  <conditionalFormatting sqref="M148:M149">
    <cfRule type="cellIs" dxfId="4873" priority="19135" operator="equal">
      <formula>"value일 미도래"</formula>
    </cfRule>
  </conditionalFormatting>
  <conditionalFormatting sqref="M148:M149">
    <cfRule type="cellIs" dxfId="4872" priority="19134" operator="equal">
      <formula>"value일 미도래"</formula>
    </cfRule>
  </conditionalFormatting>
  <conditionalFormatting sqref="M148:M149">
    <cfRule type="cellIs" dxfId="4871" priority="19133" operator="equal">
      <formula>"value일 미도래"</formula>
    </cfRule>
  </conditionalFormatting>
  <conditionalFormatting sqref="M148:M149">
    <cfRule type="cellIs" dxfId="4870" priority="19132" operator="equal">
      <formula>"value일 미도래"</formula>
    </cfRule>
  </conditionalFormatting>
  <conditionalFormatting sqref="M148:M149">
    <cfRule type="cellIs" dxfId="4869" priority="19131" operator="equal">
      <formula>"value일 미도래"</formula>
    </cfRule>
  </conditionalFormatting>
  <conditionalFormatting sqref="M148:M149">
    <cfRule type="cellIs" dxfId="4868" priority="19130" operator="equal">
      <formula>"value일 미도래"</formula>
    </cfRule>
  </conditionalFormatting>
  <conditionalFormatting sqref="M148:M149">
    <cfRule type="cellIs" dxfId="4867" priority="19129" operator="equal">
      <formula>"value일 미도래"</formula>
    </cfRule>
  </conditionalFormatting>
  <conditionalFormatting sqref="M148:M149">
    <cfRule type="cellIs" dxfId="4866" priority="19127" operator="equal">
      <formula>"value일 미도래"</formula>
    </cfRule>
  </conditionalFormatting>
  <conditionalFormatting sqref="M148:M149">
    <cfRule type="cellIs" dxfId="4865" priority="19126" operator="equal">
      <formula>"value일 미도래"</formula>
    </cfRule>
  </conditionalFormatting>
  <conditionalFormatting sqref="M148:M149">
    <cfRule type="cellIs" dxfId="4864" priority="19125" operator="equal">
      <formula>"value일 미도래"</formula>
    </cfRule>
  </conditionalFormatting>
  <conditionalFormatting sqref="M148:M149">
    <cfRule type="cellIs" dxfId="4863" priority="19124" operator="equal">
      <formula>"value일 미도래"</formula>
    </cfRule>
  </conditionalFormatting>
  <conditionalFormatting sqref="M148:M149">
    <cfRule type="cellIs" dxfId="4862" priority="19123" operator="equal">
      <formula>"value일 미도래"</formula>
    </cfRule>
  </conditionalFormatting>
  <conditionalFormatting sqref="M148:M149">
    <cfRule type="cellIs" dxfId="4861" priority="19122" operator="equal">
      <formula>"value일 미도래"</formula>
    </cfRule>
  </conditionalFormatting>
  <conditionalFormatting sqref="M148:M149">
    <cfRule type="cellIs" dxfId="4860" priority="19121" operator="equal">
      <formula>"value일 미도래"</formula>
    </cfRule>
  </conditionalFormatting>
  <conditionalFormatting sqref="M148:M149">
    <cfRule type="cellIs" dxfId="4859" priority="19120" operator="equal">
      <formula>"value일 미도래"</formula>
    </cfRule>
  </conditionalFormatting>
  <conditionalFormatting sqref="M148:M149">
    <cfRule type="cellIs" dxfId="4858" priority="19119" operator="equal">
      <formula>"value일 미도래"</formula>
    </cfRule>
  </conditionalFormatting>
  <conditionalFormatting sqref="M148">
    <cfRule type="cellIs" dxfId="4857" priority="19118" operator="equal">
      <formula>"value일 미도래"</formula>
    </cfRule>
  </conditionalFormatting>
  <conditionalFormatting sqref="M148">
    <cfRule type="cellIs" dxfId="4856" priority="19117" operator="equal">
      <formula>"value일 미도래"</formula>
    </cfRule>
  </conditionalFormatting>
  <conditionalFormatting sqref="M148">
    <cfRule type="cellIs" dxfId="4855" priority="19116" operator="equal">
      <formula>"value일 미도래"</formula>
    </cfRule>
  </conditionalFormatting>
  <conditionalFormatting sqref="M148">
    <cfRule type="cellIs" dxfId="4854" priority="19115" operator="equal">
      <formula>"value일 미도래"</formula>
    </cfRule>
  </conditionalFormatting>
  <conditionalFormatting sqref="M148">
    <cfRule type="cellIs" dxfId="4853" priority="19114" operator="equal">
      <formula>"value일 미도래"</formula>
    </cfRule>
  </conditionalFormatting>
  <conditionalFormatting sqref="M148">
    <cfRule type="cellIs" dxfId="4852" priority="19113" operator="equal">
      <formula>"value일 미도래"</formula>
    </cfRule>
  </conditionalFormatting>
  <conditionalFormatting sqref="M148">
    <cfRule type="cellIs" dxfId="4851" priority="19111" operator="equal">
      <formula>"value일 미도래"</formula>
    </cfRule>
  </conditionalFormatting>
  <conditionalFormatting sqref="M148">
    <cfRule type="cellIs" dxfId="4850" priority="19110" operator="equal">
      <formula>"value일 미도래"</formula>
    </cfRule>
  </conditionalFormatting>
  <conditionalFormatting sqref="M148">
    <cfRule type="cellIs" dxfId="4849" priority="19109" operator="equal">
      <formula>"value일 미도래"</formula>
    </cfRule>
  </conditionalFormatting>
  <conditionalFormatting sqref="M148">
    <cfRule type="cellIs" dxfId="4848" priority="19108" operator="equal">
      <formula>"value일 미도래"</formula>
    </cfRule>
  </conditionalFormatting>
  <conditionalFormatting sqref="M148">
    <cfRule type="cellIs" dxfId="4847" priority="19107" operator="equal">
      <formula>"value일 미도래"</formula>
    </cfRule>
  </conditionalFormatting>
  <conditionalFormatting sqref="M148">
    <cfRule type="cellIs" dxfId="4846" priority="19106" operator="equal">
      <formula>"value일 미도래"</formula>
    </cfRule>
  </conditionalFormatting>
  <conditionalFormatting sqref="M148">
    <cfRule type="cellIs" dxfId="4845" priority="19105" operator="equal">
      <formula>"value일 미도래"</formula>
    </cfRule>
  </conditionalFormatting>
  <conditionalFormatting sqref="M148">
    <cfRule type="cellIs" dxfId="4844" priority="19104" operator="equal">
      <formula>"value일 미도래"</formula>
    </cfRule>
  </conditionalFormatting>
  <conditionalFormatting sqref="M148">
    <cfRule type="cellIs" dxfId="4843" priority="19102" operator="equal">
      <formula>"value일 미도래"</formula>
    </cfRule>
  </conditionalFormatting>
  <conditionalFormatting sqref="M148">
    <cfRule type="cellIs" dxfId="4842" priority="19101" operator="equal">
      <formula>"value일 미도래"</formula>
    </cfRule>
  </conditionalFormatting>
  <conditionalFormatting sqref="M148">
    <cfRule type="cellIs" dxfId="4841" priority="19100" operator="equal">
      <formula>"value일 미도래"</formula>
    </cfRule>
  </conditionalFormatting>
  <conditionalFormatting sqref="M148">
    <cfRule type="cellIs" dxfId="4840" priority="19099" operator="equal">
      <formula>"value일 미도래"</formula>
    </cfRule>
  </conditionalFormatting>
  <conditionalFormatting sqref="M148">
    <cfRule type="cellIs" dxfId="4839" priority="19098" operator="equal">
      <formula>"value일 미도래"</formula>
    </cfRule>
  </conditionalFormatting>
  <conditionalFormatting sqref="M148">
    <cfRule type="cellIs" dxfId="4838" priority="19097" operator="equal">
      <formula>"value일 미도래"</formula>
    </cfRule>
  </conditionalFormatting>
  <conditionalFormatting sqref="M148">
    <cfRule type="cellIs" dxfId="4837" priority="19096" operator="equal">
      <formula>"value일 미도래"</formula>
    </cfRule>
  </conditionalFormatting>
  <conditionalFormatting sqref="M148">
    <cfRule type="cellIs" dxfId="4836" priority="19095" operator="equal">
      <formula>"value일 미도래"</formula>
    </cfRule>
  </conditionalFormatting>
  <conditionalFormatting sqref="M148">
    <cfRule type="cellIs" dxfId="4835" priority="19094" operator="equal">
      <formula>"value일 미도래"</formula>
    </cfRule>
  </conditionalFormatting>
  <conditionalFormatting sqref="M148">
    <cfRule type="cellIs" dxfId="4834" priority="19093" operator="equal">
      <formula>"value일 미도래"</formula>
    </cfRule>
  </conditionalFormatting>
  <conditionalFormatting sqref="M148">
    <cfRule type="cellIs" dxfId="4833" priority="19092" operator="equal">
      <formula>"value일 미도래"</formula>
    </cfRule>
  </conditionalFormatting>
  <conditionalFormatting sqref="M148">
    <cfRule type="cellIs" dxfId="4832" priority="19090" operator="equal">
      <formula>"value일 미도래"</formula>
    </cfRule>
  </conditionalFormatting>
  <conditionalFormatting sqref="M148">
    <cfRule type="cellIs" dxfId="4831" priority="19089" operator="equal">
      <formula>"value일 미도래"</formula>
    </cfRule>
  </conditionalFormatting>
  <conditionalFormatting sqref="M148">
    <cfRule type="cellIs" dxfId="4830" priority="19088" operator="equal">
      <formula>"value일 미도래"</formula>
    </cfRule>
  </conditionalFormatting>
  <conditionalFormatting sqref="M148">
    <cfRule type="cellIs" dxfId="4829" priority="19087" operator="equal">
      <formula>"value일 미도래"</formula>
    </cfRule>
  </conditionalFormatting>
  <conditionalFormatting sqref="M148">
    <cfRule type="cellIs" dxfId="4828" priority="19086" operator="equal">
      <formula>"value일 미도래"</formula>
    </cfRule>
  </conditionalFormatting>
  <conditionalFormatting sqref="M148">
    <cfRule type="cellIs" dxfId="4827" priority="19085" operator="equal">
      <formula>"value일 미도래"</formula>
    </cfRule>
  </conditionalFormatting>
  <conditionalFormatting sqref="M148">
    <cfRule type="cellIs" dxfId="4826" priority="19084" operator="equal">
      <formula>"value일 미도래"</formula>
    </cfRule>
  </conditionalFormatting>
  <conditionalFormatting sqref="M148">
    <cfRule type="cellIs" dxfId="4825" priority="19083" operator="equal">
      <formula>"value일 미도래"</formula>
    </cfRule>
  </conditionalFormatting>
  <conditionalFormatting sqref="M148">
    <cfRule type="cellIs" dxfId="4824" priority="19082" operator="equal">
      <formula>"value일 미도래"</formula>
    </cfRule>
  </conditionalFormatting>
  <conditionalFormatting sqref="M148">
    <cfRule type="cellIs" dxfId="4823" priority="19081" operator="equal">
      <formula>"value일 미도래"</formula>
    </cfRule>
  </conditionalFormatting>
  <conditionalFormatting sqref="M148">
    <cfRule type="cellIs" dxfId="4822" priority="19080" operator="equal">
      <formula>"value일 미도래"</formula>
    </cfRule>
  </conditionalFormatting>
  <conditionalFormatting sqref="M148">
    <cfRule type="cellIs" dxfId="4821" priority="19078" operator="equal">
      <formula>"value일 미도래"</formula>
    </cfRule>
  </conditionalFormatting>
  <conditionalFormatting sqref="M148">
    <cfRule type="cellIs" dxfId="4820" priority="19077" operator="equal">
      <formula>"value일 미도래"</formula>
    </cfRule>
  </conditionalFormatting>
  <conditionalFormatting sqref="M148">
    <cfRule type="cellIs" dxfId="4819" priority="19076" operator="equal">
      <formula>"value일 미도래"</formula>
    </cfRule>
  </conditionalFormatting>
  <conditionalFormatting sqref="M148">
    <cfRule type="cellIs" dxfId="4818" priority="19075" operator="equal">
      <formula>"value일 미도래"</formula>
    </cfRule>
  </conditionalFormatting>
  <conditionalFormatting sqref="M148">
    <cfRule type="cellIs" dxfId="4817" priority="19074" operator="equal">
      <formula>"value일 미도래"</formula>
    </cfRule>
  </conditionalFormatting>
  <conditionalFormatting sqref="M148">
    <cfRule type="cellIs" dxfId="4816" priority="19073" operator="equal">
      <formula>"value일 미도래"</formula>
    </cfRule>
  </conditionalFormatting>
  <conditionalFormatting sqref="M148:M149">
    <cfRule type="cellIs" dxfId="4815" priority="19072" operator="equal">
      <formula>"value일 미도래"</formula>
    </cfRule>
  </conditionalFormatting>
  <conditionalFormatting sqref="M148:M149">
    <cfRule type="cellIs" dxfId="4814" priority="19071" operator="equal">
      <formula>"value일 미도래"</formula>
    </cfRule>
  </conditionalFormatting>
  <conditionalFormatting sqref="M148:M149">
    <cfRule type="cellIs" dxfId="4813" priority="19070" operator="equal">
      <formula>"value일 미도래"</formula>
    </cfRule>
  </conditionalFormatting>
  <conditionalFormatting sqref="M148">
    <cfRule type="cellIs" dxfId="4812" priority="19069" operator="equal">
      <formula>"value일 미도래"</formula>
    </cfRule>
  </conditionalFormatting>
  <conditionalFormatting sqref="M148">
    <cfRule type="cellIs" dxfId="4811" priority="19068" operator="equal">
      <formula>"value일 미도래"</formula>
    </cfRule>
  </conditionalFormatting>
  <conditionalFormatting sqref="M148">
    <cfRule type="cellIs" dxfId="4810" priority="19067" operator="equal">
      <formula>"value일 미도래"</formula>
    </cfRule>
  </conditionalFormatting>
  <conditionalFormatting sqref="M148">
    <cfRule type="cellIs" dxfId="4809" priority="19066" operator="equal">
      <formula>"value일 미도래"</formula>
    </cfRule>
  </conditionalFormatting>
  <conditionalFormatting sqref="M148">
    <cfRule type="cellIs" dxfId="4808" priority="19065" operator="equal">
      <formula>"value일 미도래"</formula>
    </cfRule>
  </conditionalFormatting>
  <conditionalFormatting sqref="M148">
    <cfRule type="cellIs" dxfId="4807" priority="19064" operator="equal">
      <formula>"value일 미도래"</formula>
    </cfRule>
  </conditionalFormatting>
  <conditionalFormatting sqref="M148">
    <cfRule type="cellIs" dxfId="4806" priority="19063" operator="equal">
      <formula>"value일 미도래"</formula>
    </cfRule>
  </conditionalFormatting>
  <conditionalFormatting sqref="M148">
    <cfRule type="cellIs" dxfId="4805" priority="19062" operator="equal">
      <formula>"value일 미도래"</formula>
    </cfRule>
  </conditionalFormatting>
  <conditionalFormatting sqref="M148">
    <cfRule type="cellIs" dxfId="4804" priority="19061" operator="equal">
      <formula>"value일 미도래"</formula>
    </cfRule>
  </conditionalFormatting>
  <conditionalFormatting sqref="M148:M149">
    <cfRule type="cellIs" dxfId="4803" priority="19060" operator="equal">
      <formula>"value일 미도래"</formula>
    </cfRule>
  </conditionalFormatting>
  <conditionalFormatting sqref="M148:M149">
    <cfRule type="cellIs" dxfId="4802" priority="19059" operator="equal">
      <formula>"value일 미도래"</formula>
    </cfRule>
  </conditionalFormatting>
  <conditionalFormatting sqref="M148:M149">
    <cfRule type="cellIs" dxfId="4801" priority="19058" operator="equal">
      <formula>"value일 미도래"</formula>
    </cfRule>
  </conditionalFormatting>
  <conditionalFormatting sqref="M148">
    <cfRule type="cellIs" dxfId="4800" priority="19057" operator="equal">
      <formula>"value일 미도래"</formula>
    </cfRule>
  </conditionalFormatting>
  <conditionalFormatting sqref="M148">
    <cfRule type="cellIs" dxfId="4799" priority="19056" operator="equal">
      <formula>"value일 미도래"</formula>
    </cfRule>
  </conditionalFormatting>
  <conditionalFormatting sqref="M148">
    <cfRule type="cellIs" dxfId="4798" priority="19055" operator="equal">
      <formula>"value일 미도래"</formula>
    </cfRule>
  </conditionalFormatting>
  <conditionalFormatting sqref="M148">
    <cfRule type="cellIs" dxfId="4797" priority="19054" operator="equal">
      <formula>"value일 미도래"</formula>
    </cfRule>
  </conditionalFormatting>
  <conditionalFormatting sqref="M148">
    <cfRule type="cellIs" dxfId="4796" priority="19053" operator="equal">
      <formula>"value일 미도래"</formula>
    </cfRule>
  </conditionalFormatting>
  <conditionalFormatting sqref="M148">
    <cfRule type="cellIs" dxfId="4795" priority="19052" operator="equal">
      <formula>"value일 미도래"</formula>
    </cfRule>
  </conditionalFormatting>
  <conditionalFormatting sqref="M148:M149">
    <cfRule type="cellIs" dxfId="4794" priority="19051" operator="equal">
      <formula>"value일 미도래"</formula>
    </cfRule>
  </conditionalFormatting>
  <conditionalFormatting sqref="M148:M149">
    <cfRule type="cellIs" dxfId="4793" priority="19050" operator="equal">
      <formula>"value일 미도래"</formula>
    </cfRule>
  </conditionalFormatting>
  <conditionalFormatting sqref="M148:M149">
    <cfRule type="cellIs" dxfId="4792" priority="19049" operator="equal">
      <formula>"value일 미도래"</formula>
    </cfRule>
  </conditionalFormatting>
  <conditionalFormatting sqref="M148:M149">
    <cfRule type="cellIs" dxfId="4791" priority="19048" operator="equal">
      <formula>"value일 미도래"</formula>
    </cfRule>
  </conditionalFormatting>
  <conditionalFormatting sqref="M148">
    <cfRule type="cellIs" dxfId="4790" priority="19047" operator="equal">
      <formula>"value일 미도래"</formula>
    </cfRule>
  </conditionalFormatting>
  <conditionalFormatting sqref="M148">
    <cfRule type="cellIs" dxfId="4789" priority="19046" operator="equal">
      <formula>"value일 미도래"</formula>
    </cfRule>
  </conditionalFormatting>
  <conditionalFormatting sqref="M148">
    <cfRule type="cellIs" dxfId="4788" priority="19045" operator="equal">
      <formula>"value일 미도래"</formula>
    </cfRule>
  </conditionalFormatting>
  <conditionalFormatting sqref="M148">
    <cfRule type="cellIs" dxfId="4787" priority="19044" operator="equal">
      <formula>"value일 미도래"</formula>
    </cfRule>
  </conditionalFormatting>
  <conditionalFormatting sqref="M148">
    <cfRule type="cellIs" dxfId="4786" priority="19043" operator="equal">
      <formula>"value일 미도래"</formula>
    </cfRule>
  </conditionalFormatting>
  <conditionalFormatting sqref="M148">
    <cfRule type="cellIs" dxfId="4785" priority="19042" operator="equal">
      <formula>"value일 미도래"</formula>
    </cfRule>
  </conditionalFormatting>
  <conditionalFormatting sqref="M148">
    <cfRule type="cellIs" dxfId="4784" priority="19040" operator="equal">
      <formula>"value일 미도래"</formula>
    </cfRule>
  </conditionalFormatting>
  <conditionalFormatting sqref="M148">
    <cfRule type="cellIs" dxfId="4783" priority="19039" operator="equal">
      <formula>"value일 미도래"</formula>
    </cfRule>
  </conditionalFormatting>
  <conditionalFormatting sqref="M148">
    <cfRule type="cellIs" dxfId="4782" priority="19038" operator="equal">
      <formula>"value일 미도래"</formula>
    </cfRule>
  </conditionalFormatting>
  <conditionalFormatting sqref="M148">
    <cfRule type="cellIs" dxfId="4781" priority="19037" operator="equal">
      <formula>"value일 미도래"</formula>
    </cfRule>
  </conditionalFormatting>
  <conditionalFormatting sqref="M148">
    <cfRule type="cellIs" dxfId="4780" priority="19036" operator="equal">
      <formula>"value일 미도래"</formula>
    </cfRule>
  </conditionalFormatting>
  <conditionalFormatting sqref="M148">
    <cfRule type="cellIs" dxfId="4779" priority="19035" operator="equal">
      <formula>"value일 미도래"</formula>
    </cfRule>
  </conditionalFormatting>
  <conditionalFormatting sqref="M148">
    <cfRule type="cellIs" dxfId="4778" priority="19034" operator="equal">
      <formula>"value일 미도래"</formula>
    </cfRule>
  </conditionalFormatting>
  <conditionalFormatting sqref="M148">
    <cfRule type="cellIs" dxfId="4777" priority="19033" operator="equal">
      <formula>"value일 미도래"</formula>
    </cfRule>
  </conditionalFormatting>
  <conditionalFormatting sqref="M148">
    <cfRule type="cellIs" dxfId="4776" priority="19031" operator="equal">
      <formula>"value일 미도래"</formula>
    </cfRule>
  </conditionalFormatting>
  <conditionalFormatting sqref="M148">
    <cfRule type="cellIs" dxfId="4775" priority="19030" operator="equal">
      <formula>"value일 미도래"</formula>
    </cfRule>
  </conditionalFormatting>
  <conditionalFormatting sqref="M148">
    <cfRule type="cellIs" dxfId="4774" priority="19029" operator="equal">
      <formula>"value일 미도래"</formula>
    </cfRule>
  </conditionalFormatting>
  <conditionalFormatting sqref="M148">
    <cfRule type="cellIs" dxfId="4773" priority="19028" operator="equal">
      <formula>"value일 미도래"</formula>
    </cfRule>
  </conditionalFormatting>
  <conditionalFormatting sqref="M148">
    <cfRule type="cellIs" dxfId="4772" priority="19027" operator="equal">
      <formula>"value일 미도래"</formula>
    </cfRule>
  </conditionalFormatting>
  <conditionalFormatting sqref="M148">
    <cfRule type="cellIs" dxfId="4771" priority="19026" operator="equal">
      <formula>"value일 미도래"</formula>
    </cfRule>
  </conditionalFormatting>
  <conditionalFormatting sqref="M148">
    <cfRule type="cellIs" dxfId="4770" priority="19025" operator="equal">
      <formula>"value일 미도래"</formula>
    </cfRule>
  </conditionalFormatting>
  <conditionalFormatting sqref="M148">
    <cfRule type="cellIs" dxfId="4769" priority="19024" operator="equal">
      <formula>"value일 미도래"</formula>
    </cfRule>
  </conditionalFormatting>
  <conditionalFormatting sqref="M148">
    <cfRule type="cellIs" dxfId="4768" priority="19023" operator="equal">
      <formula>"value일 미도래"</formula>
    </cfRule>
  </conditionalFormatting>
  <conditionalFormatting sqref="M148">
    <cfRule type="cellIs" dxfId="4767" priority="19022" operator="equal">
      <formula>"value일 미도래"</formula>
    </cfRule>
  </conditionalFormatting>
  <conditionalFormatting sqref="M148">
    <cfRule type="cellIs" dxfId="4766" priority="19021" operator="equal">
      <formula>"value일 미도래"</formula>
    </cfRule>
  </conditionalFormatting>
  <conditionalFormatting sqref="M148">
    <cfRule type="cellIs" dxfId="4765" priority="19019" operator="equal">
      <formula>"value일 미도래"</formula>
    </cfRule>
  </conditionalFormatting>
  <conditionalFormatting sqref="M148">
    <cfRule type="cellIs" dxfId="4764" priority="19018" operator="equal">
      <formula>"value일 미도래"</formula>
    </cfRule>
  </conditionalFormatting>
  <conditionalFormatting sqref="M148">
    <cfRule type="cellIs" dxfId="4763" priority="19017" operator="equal">
      <formula>"value일 미도래"</formula>
    </cfRule>
  </conditionalFormatting>
  <conditionalFormatting sqref="M148">
    <cfRule type="cellIs" dxfId="4762" priority="19016" operator="equal">
      <formula>"value일 미도래"</formula>
    </cfRule>
  </conditionalFormatting>
  <conditionalFormatting sqref="M148">
    <cfRule type="cellIs" dxfId="4761" priority="19015" operator="equal">
      <formula>"value일 미도래"</formula>
    </cfRule>
  </conditionalFormatting>
  <conditionalFormatting sqref="M148">
    <cfRule type="cellIs" dxfId="4760" priority="19014" operator="equal">
      <formula>"value일 미도래"</formula>
    </cfRule>
  </conditionalFormatting>
  <conditionalFormatting sqref="M148">
    <cfRule type="cellIs" dxfId="4759" priority="19013" operator="equal">
      <formula>"value일 미도래"</formula>
    </cfRule>
  </conditionalFormatting>
  <conditionalFormatting sqref="M148">
    <cfRule type="cellIs" dxfId="4758" priority="19012" operator="equal">
      <formula>"value일 미도래"</formula>
    </cfRule>
  </conditionalFormatting>
  <conditionalFormatting sqref="M148">
    <cfRule type="cellIs" dxfId="4757" priority="19011" operator="equal">
      <formula>"value일 미도래"</formula>
    </cfRule>
  </conditionalFormatting>
  <conditionalFormatting sqref="M148">
    <cfRule type="cellIs" dxfId="4756" priority="19010" operator="equal">
      <formula>"value일 미도래"</formula>
    </cfRule>
  </conditionalFormatting>
  <conditionalFormatting sqref="M148">
    <cfRule type="cellIs" dxfId="4755" priority="19009" operator="equal">
      <formula>"value일 미도래"</formula>
    </cfRule>
  </conditionalFormatting>
  <conditionalFormatting sqref="M148">
    <cfRule type="cellIs" dxfId="4754" priority="19007" operator="equal">
      <formula>"value일 미도래"</formula>
    </cfRule>
  </conditionalFormatting>
  <conditionalFormatting sqref="M148">
    <cfRule type="cellIs" dxfId="4753" priority="19006" operator="equal">
      <formula>"value일 미도래"</formula>
    </cfRule>
  </conditionalFormatting>
  <conditionalFormatting sqref="M148">
    <cfRule type="cellIs" dxfId="4752" priority="19005" operator="equal">
      <formula>"value일 미도래"</formula>
    </cfRule>
  </conditionalFormatting>
  <conditionalFormatting sqref="M148">
    <cfRule type="cellIs" dxfId="4751" priority="19004" operator="equal">
      <formula>"value일 미도래"</formula>
    </cfRule>
  </conditionalFormatting>
  <conditionalFormatting sqref="M148">
    <cfRule type="cellIs" dxfId="4750" priority="19003" operator="equal">
      <formula>"value일 미도래"</formula>
    </cfRule>
  </conditionalFormatting>
  <conditionalFormatting sqref="M148">
    <cfRule type="cellIs" dxfId="4749" priority="19002" operator="equal">
      <formula>"value일 미도래"</formula>
    </cfRule>
  </conditionalFormatting>
  <conditionalFormatting sqref="M148">
    <cfRule type="cellIs" dxfId="4748" priority="19001" operator="equal">
      <formula>"value일 미도래"</formula>
    </cfRule>
  </conditionalFormatting>
  <conditionalFormatting sqref="M148">
    <cfRule type="cellIs" dxfId="4747" priority="19000" operator="equal">
      <formula>"value일 미도래"</formula>
    </cfRule>
  </conditionalFormatting>
  <conditionalFormatting sqref="M148">
    <cfRule type="cellIs" dxfId="4746" priority="18999" operator="equal">
      <formula>"value일 미도래"</formula>
    </cfRule>
  </conditionalFormatting>
  <conditionalFormatting sqref="M148">
    <cfRule type="cellIs" dxfId="4745" priority="18998" operator="equal">
      <formula>"value일 미도래"</formula>
    </cfRule>
  </conditionalFormatting>
  <conditionalFormatting sqref="M148">
    <cfRule type="cellIs" dxfId="4744" priority="18997" operator="equal">
      <formula>"value일 미도래"</formula>
    </cfRule>
  </conditionalFormatting>
  <conditionalFormatting sqref="M148">
    <cfRule type="cellIs" dxfId="4743" priority="18996" operator="equal">
      <formula>"value일 미도래"</formula>
    </cfRule>
  </conditionalFormatting>
  <conditionalFormatting sqref="M148">
    <cfRule type="cellIs" dxfId="4742" priority="18995" operator="equal">
      <formula>"value일 미도래"</formula>
    </cfRule>
  </conditionalFormatting>
  <conditionalFormatting sqref="M148">
    <cfRule type="cellIs" dxfId="4741" priority="18994" operator="equal">
      <formula>"value일 미도래"</formula>
    </cfRule>
  </conditionalFormatting>
  <conditionalFormatting sqref="M148">
    <cfRule type="cellIs" dxfId="4740" priority="18992" operator="equal">
      <formula>"value일 미도래"</formula>
    </cfRule>
  </conditionalFormatting>
  <conditionalFormatting sqref="M148">
    <cfRule type="cellIs" dxfId="4739" priority="18991" operator="equal">
      <formula>"value일 미도래"</formula>
    </cfRule>
  </conditionalFormatting>
  <conditionalFormatting sqref="M148">
    <cfRule type="cellIs" dxfId="4738" priority="18990" operator="equal">
      <formula>"value일 미도래"</formula>
    </cfRule>
  </conditionalFormatting>
  <conditionalFormatting sqref="M148">
    <cfRule type="cellIs" dxfId="4737" priority="18989" operator="equal">
      <formula>"value일 미도래"</formula>
    </cfRule>
  </conditionalFormatting>
  <conditionalFormatting sqref="M148">
    <cfRule type="cellIs" dxfId="4736" priority="18988" operator="equal">
      <formula>"value일 미도래"</formula>
    </cfRule>
  </conditionalFormatting>
  <conditionalFormatting sqref="M148">
    <cfRule type="cellIs" dxfId="4735" priority="18987" operator="equal">
      <formula>"value일 미도래"</formula>
    </cfRule>
  </conditionalFormatting>
  <conditionalFormatting sqref="M148">
    <cfRule type="cellIs" dxfId="4734" priority="18986" operator="equal">
      <formula>"value일 미도래"</formula>
    </cfRule>
  </conditionalFormatting>
  <conditionalFormatting sqref="M148">
    <cfRule type="cellIs" dxfId="4733" priority="18985" operator="equal">
      <formula>"value일 미도래"</formula>
    </cfRule>
  </conditionalFormatting>
  <conditionalFormatting sqref="M148">
    <cfRule type="cellIs" dxfId="4732" priority="18984" operator="equal">
      <formula>"value일 미도래"</formula>
    </cfRule>
  </conditionalFormatting>
  <conditionalFormatting sqref="M148">
    <cfRule type="cellIs" dxfId="4731" priority="18983" operator="equal">
      <formula>"value일 미도래"</formula>
    </cfRule>
  </conditionalFormatting>
  <conditionalFormatting sqref="M148">
    <cfRule type="cellIs" dxfId="4730" priority="18982" operator="equal">
      <formula>"value일 미도래"</formula>
    </cfRule>
  </conditionalFormatting>
  <conditionalFormatting sqref="M148">
    <cfRule type="cellIs" dxfId="4729" priority="18981" operator="equal">
      <formula>"value일 미도래"</formula>
    </cfRule>
  </conditionalFormatting>
  <conditionalFormatting sqref="M148">
    <cfRule type="cellIs" dxfId="4728" priority="18980" operator="equal">
      <formula>"value일 미도래"</formula>
    </cfRule>
  </conditionalFormatting>
  <conditionalFormatting sqref="M148">
    <cfRule type="cellIs" dxfId="4727" priority="18979" operator="equal">
      <formula>"value일 미도래"</formula>
    </cfRule>
  </conditionalFormatting>
  <conditionalFormatting sqref="M148">
    <cfRule type="cellIs" dxfId="4726" priority="18978" operator="equal">
      <formula>"value일 미도래"</formula>
    </cfRule>
  </conditionalFormatting>
  <conditionalFormatting sqref="M148">
    <cfRule type="cellIs" dxfId="4725" priority="18977" operator="equal">
      <formula>"value일 미도래"</formula>
    </cfRule>
  </conditionalFormatting>
  <conditionalFormatting sqref="M148">
    <cfRule type="cellIs" dxfId="4724" priority="18976" operator="equal">
      <formula>"value일 미도래"</formula>
    </cfRule>
  </conditionalFormatting>
  <conditionalFormatting sqref="M148">
    <cfRule type="cellIs" dxfId="4723" priority="18975" operator="equal">
      <formula>"value일 미도래"</formula>
    </cfRule>
  </conditionalFormatting>
  <conditionalFormatting sqref="M148">
    <cfRule type="cellIs" dxfId="4722" priority="18974" operator="equal">
      <formula>"value일 미도래"</formula>
    </cfRule>
  </conditionalFormatting>
  <conditionalFormatting sqref="M148">
    <cfRule type="cellIs" dxfId="4721" priority="18973" operator="equal">
      <formula>"value일 미도래"</formula>
    </cfRule>
  </conditionalFormatting>
  <conditionalFormatting sqref="M148">
    <cfRule type="cellIs" dxfId="4720" priority="18971" operator="equal">
      <formula>"value일 미도래"</formula>
    </cfRule>
  </conditionalFormatting>
  <conditionalFormatting sqref="M148">
    <cfRule type="cellIs" dxfId="4719" priority="18970" operator="equal">
      <formula>"value일 미도래"</formula>
    </cfRule>
  </conditionalFormatting>
  <conditionalFormatting sqref="M148">
    <cfRule type="cellIs" dxfId="4718" priority="18969" operator="equal">
      <formula>"value일 미도래"</formula>
    </cfRule>
  </conditionalFormatting>
  <conditionalFormatting sqref="M148">
    <cfRule type="cellIs" dxfId="4717" priority="18968" operator="equal">
      <formula>"value일 미도래"</formula>
    </cfRule>
  </conditionalFormatting>
  <conditionalFormatting sqref="M148">
    <cfRule type="cellIs" dxfId="4716" priority="18967" operator="equal">
      <formula>"value일 미도래"</formula>
    </cfRule>
  </conditionalFormatting>
  <conditionalFormatting sqref="M148">
    <cfRule type="cellIs" dxfId="4715" priority="18966" operator="equal">
      <formula>"value일 미도래"</formula>
    </cfRule>
  </conditionalFormatting>
  <conditionalFormatting sqref="M148">
    <cfRule type="cellIs" dxfId="4714" priority="18965" operator="equal">
      <formula>"value일 미도래"</formula>
    </cfRule>
  </conditionalFormatting>
  <conditionalFormatting sqref="M148">
    <cfRule type="cellIs" dxfId="4713" priority="18964" operator="equal">
      <formula>"value일 미도래"</formula>
    </cfRule>
  </conditionalFormatting>
  <conditionalFormatting sqref="M148">
    <cfRule type="cellIs" dxfId="4712" priority="18963" operator="equal">
      <formula>"value일 미도래"</formula>
    </cfRule>
  </conditionalFormatting>
  <conditionalFormatting sqref="M148">
    <cfRule type="cellIs" dxfId="4711" priority="18962" operator="equal">
      <formula>"value일 미도래"</formula>
    </cfRule>
  </conditionalFormatting>
  <conditionalFormatting sqref="M148">
    <cfRule type="cellIs" dxfId="4710" priority="18961" operator="equal">
      <formula>"value일 미도래"</formula>
    </cfRule>
  </conditionalFormatting>
  <conditionalFormatting sqref="M148">
    <cfRule type="cellIs" dxfId="4709" priority="18960" operator="equal">
      <formula>"value일 미도래"</formula>
    </cfRule>
  </conditionalFormatting>
  <conditionalFormatting sqref="M148:M149">
    <cfRule type="cellIs" dxfId="4708" priority="18959" operator="equal">
      <formula>"value일 미도래"</formula>
    </cfRule>
  </conditionalFormatting>
  <conditionalFormatting sqref="M148:M149">
    <cfRule type="cellIs" dxfId="4707" priority="18958" operator="equal">
      <formula>"value일 미도래"</formula>
    </cfRule>
  </conditionalFormatting>
  <conditionalFormatting sqref="M148:M149">
    <cfRule type="cellIs" dxfId="4706" priority="18957" operator="equal">
      <formula>"value일 미도래"</formula>
    </cfRule>
  </conditionalFormatting>
  <conditionalFormatting sqref="M148:M149">
    <cfRule type="cellIs" dxfId="4705" priority="18956" operator="equal">
      <formula>"value일 미도래"</formula>
    </cfRule>
  </conditionalFormatting>
  <conditionalFormatting sqref="M148:M149">
    <cfRule type="cellIs" dxfId="4704" priority="18955" operator="equal">
      <formula>"value일 미도래"</formula>
    </cfRule>
  </conditionalFormatting>
  <conditionalFormatting sqref="M148:M149">
    <cfRule type="cellIs" dxfId="4703" priority="18954" operator="equal">
      <formula>"value일 미도래"</formula>
    </cfRule>
  </conditionalFormatting>
  <conditionalFormatting sqref="M148:M149">
    <cfRule type="cellIs" dxfId="4702" priority="18953" operator="equal">
      <formula>"value일 미도래"</formula>
    </cfRule>
  </conditionalFormatting>
  <conditionalFormatting sqref="M148">
    <cfRule type="cellIs" dxfId="4701" priority="18952" operator="equal">
      <formula>"value일 미도래"</formula>
    </cfRule>
  </conditionalFormatting>
  <conditionalFormatting sqref="M148">
    <cfRule type="cellIs" dxfId="4700" priority="18951" operator="equal">
      <formula>"value일 미도래"</formula>
    </cfRule>
  </conditionalFormatting>
  <conditionalFormatting sqref="M148">
    <cfRule type="cellIs" dxfId="4699" priority="18950" operator="equal">
      <formula>"value일 미도래"</formula>
    </cfRule>
  </conditionalFormatting>
  <conditionalFormatting sqref="M148">
    <cfRule type="cellIs" dxfId="4698" priority="18949" operator="equal">
      <formula>"value일 미도래"</formula>
    </cfRule>
  </conditionalFormatting>
  <conditionalFormatting sqref="M148">
    <cfRule type="cellIs" dxfId="4697" priority="18948" operator="equal">
      <formula>"value일 미도래"</formula>
    </cfRule>
  </conditionalFormatting>
  <conditionalFormatting sqref="M148">
    <cfRule type="cellIs" dxfId="4696" priority="18947" operator="equal">
      <formula>"value일 미도래"</formula>
    </cfRule>
  </conditionalFormatting>
  <conditionalFormatting sqref="M148">
    <cfRule type="cellIs" dxfId="4695" priority="18945" operator="equal">
      <formula>"value일 미도래"</formula>
    </cfRule>
  </conditionalFormatting>
  <conditionalFormatting sqref="M148">
    <cfRule type="cellIs" dxfId="4694" priority="18944" operator="equal">
      <formula>"value일 미도래"</formula>
    </cfRule>
  </conditionalFormatting>
  <conditionalFormatting sqref="M148">
    <cfRule type="cellIs" dxfId="4693" priority="18943" operator="equal">
      <formula>"value일 미도래"</formula>
    </cfRule>
  </conditionalFormatting>
  <conditionalFormatting sqref="M148">
    <cfRule type="cellIs" dxfId="4692" priority="18942" operator="equal">
      <formula>"value일 미도래"</formula>
    </cfRule>
  </conditionalFormatting>
  <conditionalFormatting sqref="M148">
    <cfRule type="cellIs" dxfId="4691" priority="18941" operator="equal">
      <formula>"value일 미도래"</formula>
    </cfRule>
  </conditionalFormatting>
  <conditionalFormatting sqref="M148">
    <cfRule type="cellIs" dxfId="4690" priority="18940" operator="equal">
      <formula>"value일 미도래"</formula>
    </cfRule>
  </conditionalFormatting>
  <conditionalFormatting sqref="M148">
    <cfRule type="cellIs" dxfId="4689" priority="18939" operator="equal">
      <formula>"value일 미도래"</formula>
    </cfRule>
  </conditionalFormatting>
  <conditionalFormatting sqref="M148">
    <cfRule type="cellIs" dxfId="4688" priority="18938" operator="equal">
      <formula>"value일 미도래"</formula>
    </cfRule>
  </conditionalFormatting>
  <conditionalFormatting sqref="M148">
    <cfRule type="cellIs" dxfId="4687" priority="18936" operator="equal">
      <formula>"value일 미도래"</formula>
    </cfRule>
  </conditionalFormatting>
  <conditionalFormatting sqref="M148">
    <cfRule type="cellIs" dxfId="4686" priority="18935" operator="equal">
      <formula>"value일 미도래"</formula>
    </cfRule>
  </conditionalFormatting>
  <conditionalFormatting sqref="M148">
    <cfRule type="cellIs" dxfId="4685" priority="18934" operator="equal">
      <formula>"value일 미도래"</formula>
    </cfRule>
  </conditionalFormatting>
  <conditionalFormatting sqref="M148">
    <cfRule type="cellIs" dxfId="4684" priority="18933" operator="equal">
      <formula>"value일 미도래"</formula>
    </cfRule>
  </conditionalFormatting>
  <conditionalFormatting sqref="M148">
    <cfRule type="cellIs" dxfId="4683" priority="18932" operator="equal">
      <formula>"value일 미도래"</formula>
    </cfRule>
  </conditionalFormatting>
  <conditionalFormatting sqref="M148">
    <cfRule type="cellIs" dxfId="4682" priority="18931" operator="equal">
      <formula>"value일 미도래"</formula>
    </cfRule>
  </conditionalFormatting>
  <conditionalFormatting sqref="M148">
    <cfRule type="cellIs" dxfId="4681" priority="18930" operator="equal">
      <formula>"value일 미도래"</formula>
    </cfRule>
  </conditionalFormatting>
  <conditionalFormatting sqref="M148">
    <cfRule type="cellIs" dxfId="4680" priority="18929" operator="equal">
      <formula>"value일 미도래"</formula>
    </cfRule>
  </conditionalFormatting>
  <conditionalFormatting sqref="M148">
    <cfRule type="cellIs" dxfId="4679" priority="18928" operator="equal">
      <formula>"value일 미도래"</formula>
    </cfRule>
  </conditionalFormatting>
  <conditionalFormatting sqref="M148">
    <cfRule type="cellIs" dxfId="4678" priority="18927" operator="equal">
      <formula>"value일 미도래"</formula>
    </cfRule>
  </conditionalFormatting>
  <conditionalFormatting sqref="M148">
    <cfRule type="cellIs" dxfId="4677" priority="18926" operator="equal">
      <formula>"value일 미도래"</formula>
    </cfRule>
  </conditionalFormatting>
  <conditionalFormatting sqref="M148">
    <cfRule type="cellIs" dxfId="4676" priority="18924" operator="equal">
      <formula>"value일 미도래"</formula>
    </cfRule>
  </conditionalFormatting>
  <conditionalFormatting sqref="M148">
    <cfRule type="cellIs" dxfId="4675" priority="18923" operator="equal">
      <formula>"value일 미도래"</formula>
    </cfRule>
  </conditionalFormatting>
  <conditionalFormatting sqref="M148">
    <cfRule type="cellIs" dxfId="4674" priority="18922" operator="equal">
      <formula>"value일 미도래"</formula>
    </cfRule>
  </conditionalFormatting>
  <conditionalFormatting sqref="M148">
    <cfRule type="cellIs" dxfId="4673" priority="18921" operator="equal">
      <formula>"value일 미도래"</formula>
    </cfRule>
  </conditionalFormatting>
  <conditionalFormatting sqref="M148">
    <cfRule type="cellIs" dxfId="4672" priority="18920" operator="equal">
      <formula>"value일 미도래"</formula>
    </cfRule>
  </conditionalFormatting>
  <conditionalFormatting sqref="M148">
    <cfRule type="cellIs" dxfId="4671" priority="18919" operator="equal">
      <formula>"value일 미도래"</formula>
    </cfRule>
  </conditionalFormatting>
  <conditionalFormatting sqref="M148">
    <cfRule type="cellIs" dxfId="4670" priority="18918" operator="equal">
      <formula>"value일 미도래"</formula>
    </cfRule>
  </conditionalFormatting>
  <conditionalFormatting sqref="M148">
    <cfRule type="cellIs" dxfId="4669" priority="18917" operator="equal">
      <formula>"value일 미도래"</formula>
    </cfRule>
  </conditionalFormatting>
  <conditionalFormatting sqref="M148">
    <cfRule type="cellIs" dxfId="4668" priority="18916" operator="equal">
      <formula>"value일 미도래"</formula>
    </cfRule>
  </conditionalFormatting>
  <conditionalFormatting sqref="M148">
    <cfRule type="cellIs" dxfId="4667" priority="18915" operator="equal">
      <formula>"value일 미도래"</formula>
    </cfRule>
  </conditionalFormatting>
  <conditionalFormatting sqref="M148">
    <cfRule type="cellIs" dxfId="4666" priority="18914" operator="equal">
      <formula>"value일 미도래"</formula>
    </cfRule>
  </conditionalFormatting>
  <conditionalFormatting sqref="M148">
    <cfRule type="cellIs" dxfId="4665" priority="18912" operator="equal">
      <formula>"value일 미도래"</formula>
    </cfRule>
  </conditionalFormatting>
  <conditionalFormatting sqref="M148">
    <cfRule type="cellIs" dxfId="4664" priority="18911" operator="equal">
      <formula>"value일 미도래"</formula>
    </cfRule>
  </conditionalFormatting>
  <conditionalFormatting sqref="M148">
    <cfRule type="cellIs" dxfId="4663" priority="18910" operator="equal">
      <formula>"value일 미도래"</formula>
    </cfRule>
  </conditionalFormatting>
  <conditionalFormatting sqref="M148">
    <cfRule type="cellIs" dxfId="4662" priority="18909" operator="equal">
      <formula>"value일 미도래"</formula>
    </cfRule>
  </conditionalFormatting>
  <conditionalFormatting sqref="M148">
    <cfRule type="cellIs" dxfId="4661" priority="18908" operator="equal">
      <formula>"value일 미도래"</formula>
    </cfRule>
  </conditionalFormatting>
  <conditionalFormatting sqref="M148">
    <cfRule type="cellIs" dxfId="4660" priority="18907" operator="equal">
      <formula>"value일 미도래"</formula>
    </cfRule>
  </conditionalFormatting>
  <conditionalFormatting sqref="M148">
    <cfRule type="cellIs" dxfId="4659" priority="18906" operator="equal">
      <formula>"value일 미도래"</formula>
    </cfRule>
  </conditionalFormatting>
  <conditionalFormatting sqref="M148">
    <cfRule type="cellIs" dxfId="4658" priority="18905" operator="equal">
      <formula>"value일 미도래"</formula>
    </cfRule>
  </conditionalFormatting>
  <conditionalFormatting sqref="M148">
    <cfRule type="cellIs" dxfId="4657" priority="18904" operator="equal">
      <formula>"value일 미도래"</formula>
    </cfRule>
  </conditionalFormatting>
  <conditionalFormatting sqref="M148">
    <cfRule type="cellIs" dxfId="4656" priority="18903" operator="equal">
      <formula>"value일 미도래"</formula>
    </cfRule>
  </conditionalFormatting>
  <conditionalFormatting sqref="M148">
    <cfRule type="cellIs" dxfId="4655" priority="18902" operator="equal">
      <formula>"value일 미도래"</formula>
    </cfRule>
  </conditionalFormatting>
  <conditionalFormatting sqref="M148">
    <cfRule type="cellIs" dxfId="4654" priority="18901" operator="equal">
      <formula>"value일 미도래"</formula>
    </cfRule>
  </conditionalFormatting>
  <conditionalFormatting sqref="M148">
    <cfRule type="cellIs" dxfId="4653" priority="18900" operator="equal">
      <formula>"value일 미도래"</formula>
    </cfRule>
  </conditionalFormatting>
  <conditionalFormatting sqref="M148">
    <cfRule type="cellIs" dxfId="4652" priority="18899" operator="equal">
      <formula>"value일 미도래"</formula>
    </cfRule>
  </conditionalFormatting>
  <conditionalFormatting sqref="M148">
    <cfRule type="cellIs" dxfId="4651" priority="18897" operator="equal">
      <formula>"value일 미도래"</formula>
    </cfRule>
  </conditionalFormatting>
  <conditionalFormatting sqref="M148">
    <cfRule type="cellIs" dxfId="4650" priority="18896" operator="equal">
      <formula>"value일 미도래"</formula>
    </cfRule>
  </conditionalFormatting>
  <conditionalFormatting sqref="M148">
    <cfRule type="cellIs" dxfId="4649" priority="18895" operator="equal">
      <formula>"value일 미도래"</formula>
    </cfRule>
  </conditionalFormatting>
  <conditionalFormatting sqref="M148">
    <cfRule type="cellIs" dxfId="4648" priority="18894" operator="equal">
      <formula>"value일 미도래"</formula>
    </cfRule>
  </conditionalFormatting>
  <conditionalFormatting sqref="M148">
    <cfRule type="cellIs" dxfId="4647" priority="18893" operator="equal">
      <formula>"value일 미도래"</formula>
    </cfRule>
  </conditionalFormatting>
  <conditionalFormatting sqref="M148">
    <cfRule type="cellIs" dxfId="4646" priority="18892" operator="equal">
      <formula>"value일 미도래"</formula>
    </cfRule>
  </conditionalFormatting>
  <conditionalFormatting sqref="M148">
    <cfRule type="cellIs" dxfId="4645" priority="18891" operator="equal">
      <formula>"value일 미도래"</formula>
    </cfRule>
  </conditionalFormatting>
  <conditionalFormatting sqref="M148">
    <cfRule type="cellIs" dxfId="4644" priority="18890" operator="equal">
      <formula>"value일 미도래"</formula>
    </cfRule>
  </conditionalFormatting>
  <conditionalFormatting sqref="M148">
    <cfRule type="cellIs" dxfId="4643" priority="18889" operator="equal">
      <formula>"value일 미도래"</formula>
    </cfRule>
  </conditionalFormatting>
  <conditionalFormatting sqref="M148">
    <cfRule type="cellIs" dxfId="4642" priority="18888" operator="equal">
      <formula>"value일 미도래"</formula>
    </cfRule>
  </conditionalFormatting>
  <conditionalFormatting sqref="M148">
    <cfRule type="cellIs" dxfId="4641" priority="18887" operator="equal">
      <formula>"value일 미도래"</formula>
    </cfRule>
  </conditionalFormatting>
  <conditionalFormatting sqref="M148">
    <cfRule type="cellIs" dxfId="4640" priority="18886" operator="equal">
      <formula>"value일 미도래"</formula>
    </cfRule>
  </conditionalFormatting>
  <conditionalFormatting sqref="M148">
    <cfRule type="cellIs" dxfId="4639" priority="18885" operator="equal">
      <formula>"value일 미도래"</formula>
    </cfRule>
  </conditionalFormatting>
  <conditionalFormatting sqref="M148">
    <cfRule type="cellIs" dxfId="4638" priority="18884" operator="equal">
      <formula>"value일 미도래"</formula>
    </cfRule>
  </conditionalFormatting>
  <conditionalFormatting sqref="M148">
    <cfRule type="cellIs" dxfId="4637" priority="18883" operator="equal">
      <formula>"value일 미도래"</formula>
    </cfRule>
  </conditionalFormatting>
  <conditionalFormatting sqref="M148">
    <cfRule type="cellIs" dxfId="4636" priority="18882" operator="equal">
      <formula>"value일 미도래"</formula>
    </cfRule>
  </conditionalFormatting>
  <conditionalFormatting sqref="M148">
    <cfRule type="cellIs" dxfId="4635" priority="18881" operator="equal">
      <formula>"value일 미도래"</formula>
    </cfRule>
  </conditionalFormatting>
  <conditionalFormatting sqref="M148">
    <cfRule type="cellIs" dxfId="4634" priority="18880" operator="equal">
      <formula>"value일 미도래"</formula>
    </cfRule>
  </conditionalFormatting>
  <conditionalFormatting sqref="M148">
    <cfRule type="cellIs" dxfId="4633" priority="18879" operator="equal">
      <formula>"value일 미도래"</formula>
    </cfRule>
  </conditionalFormatting>
  <conditionalFormatting sqref="M148">
    <cfRule type="cellIs" dxfId="4632" priority="18878" operator="equal">
      <formula>"value일 미도래"</formula>
    </cfRule>
  </conditionalFormatting>
  <conditionalFormatting sqref="M148">
    <cfRule type="cellIs" dxfId="4631" priority="18876" operator="equal">
      <formula>"value일 미도래"</formula>
    </cfRule>
  </conditionalFormatting>
  <conditionalFormatting sqref="M148">
    <cfRule type="cellIs" dxfId="4630" priority="18875" operator="equal">
      <formula>"value일 미도래"</formula>
    </cfRule>
  </conditionalFormatting>
  <conditionalFormatting sqref="M148">
    <cfRule type="cellIs" dxfId="4629" priority="18874" operator="equal">
      <formula>"value일 미도래"</formula>
    </cfRule>
  </conditionalFormatting>
  <conditionalFormatting sqref="M148">
    <cfRule type="cellIs" dxfId="4628" priority="18873" operator="equal">
      <formula>"value일 미도래"</formula>
    </cfRule>
  </conditionalFormatting>
  <conditionalFormatting sqref="M148">
    <cfRule type="cellIs" dxfId="4627" priority="18872" operator="equal">
      <formula>"value일 미도래"</formula>
    </cfRule>
  </conditionalFormatting>
  <conditionalFormatting sqref="M148">
    <cfRule type="cellIs" dxfId="4626" priority="18871" operator="equal">
      <formula>"value일 미도래"</formula>
    </cfRule>
  </conditionalFormatting>
  <conditionalFormatting sqref="M148">
    <cfRule type="cellIs" dxfId="4625" priority="18870" operator="equal">
      <formula>"value일 미도래"</formula>
    </cfRule>
  </conditionalFormatting>
  <conditionalFormatting sqref="M148">
    <cfRule type="cellIs" dxfId="4624" priority="18869" operator="equal">
      <formula>"value일 미도래"</formula>
    </cfRule>
  </conditionalFormatting>
  <conditionalFormatting sqref="M148">
    <cfRule type="cellIs" dxfId="4623" priority="18868" operator="equal">
      <formula>"value일 미도래"</formula>
    </cfRule>
  </conditionalFormatting>
  <conditionalFormatting sqref="M148">
    <cfRule type="cellIs" dxfId="4622" priority="18867" operator="equal">
      <formula>"value일 미도래"</formula>
    </cfRule>
  </conditionalFormatting>
  <conditionalFormatting sqref="M148">
    <cfRule type="cellIs" dxfId="4621" priority="18866" operator="equal">
      <formula>"value일 미도래"</formula>
    </cfRule>
  </conditionalFormatting>
  <conditionalFormatting sqref="M148">
    <cfRule type="cellIs" dxfId="4620" priority="18865" operator="equal">
      <formula>"value일 미도래"</formula>
    </cfRule>
  </conditionalFormatting>
  <conditionalFormatting sqref="M148">
    <cfRule type="cellIs" dxfId="4619" priority="18846" operator="equal">
      <formula>"value일 미도래"</formula>
    </cfRule>
  </conditionalFormatting>
  <conditionalFormatting sqref="M148">
    <cfRule type="cellIs" dxfId="4618" priority="18845" operator="equal">
      <formula>"value일 미도래"</formula>
    </cfRule>
  </conditionalFormatting>
  <conditionalFormatting sqref="M148">
    <cfRule type="cellIs" dxfId="4617" priority="18844" operator="equal">
      <formula>"value일 미도래"</formula>
    </cfRule>
  </conditionalFormatting>
  <conditionalFormatting sqref="M148">
    <cfRule type="cellIs" dxfId="4616" priority="18843" operator="equal">
      <formula>"value일 미도래"</formula>
    </cfRule>
  </conditionalFormatting>
  <conditionalFormatting sqref="M148">
    <cfRule type="cellIs" dxfId="4615" priority="18842" operator="equal">
      <formula>"value일 미도래"</formula>
    </cfRule>
  </conditionalFormatting>
  <conditionalFormatting sqref="M148">
    <cfRule type="cellIs" dxfId="4614" priority="18841" operator="equal">
      <formula>"value일 미도래"</formula>
    </cfRule>
  </conditionalFormatting>
  <conditionalFormatting sqref="M148">
    <cfRule type="cellIs" dxfId="4613" priority="18840" operator="equal">
      <formula>"value일 미도래"</formula>
    </cfRule>
  </conditionalFormatting>
  <conditionalFormatting sqref="M148">
    <cfRule type="cellIs" dxfId="4612" priority="18839" operator="equal">
      <formula>"value일 미도래"</formula>
    </cfRule>
  </conditionalFormatting>
  <conditionalFormatting sqref="M148">
    <cfRule type="cellIs" dxfId="4611" priority="18838" operator="equal">
      <formula>"value일 미도래"</formula>
    </cfRule>
  </conditionalFormatting>
  <conditionalFormatting sqref="M148">
    <cfRule type="cellIs" dxfId="4610" priority="18837" operator="equal">
      <formula>"value일 미도래"</formula>
    </cfRule>
  </conditionalFormatting>
  <conditionalFormatting sqref="M148">
    <cfRule type="cellIs" dxfId="4609" priority="18836" operator="equal">
      <formula>"value일 미도래"</formula>
    </cfRule>
  </conditionalFormatting>
  <conditionalFormatting sqref="M148">
    <cfRule type="cellIs" dxfId="4608" priority="18834" operator="equal">
      <formula>"value일 미도래"</formula>
    </cfRule>
  </conditionalFormatting>
  <conditionalFormatting sqref="M148">
    <cfRule type="cellIs" dxfId="4607" priority="18833" operator="equal">
      <formula>"value일 미도래"</formula>
    </cfRule>
  </conditionalFormatting>
  <conditionalFormatting sqref="M148">
    <cfRule type="cellIs" dxfId="4606" priority="18832" operator="equal">
      <formula>"value일 미도래"</formula>
    </cfRule>
  </conditionalFormatting>
  <conditionalFormatting sqref="M148">
    <cfRule type="cellIs" dxfId="4605" priority="18831" operator="equal">
      <formula>"value일 미도래"</formula>
    </cfRule>
  </conditionalFormatting>
  <conditionalFormatting sqref="M148">
    <cfRule type="cellIs" dxfId="4604" priority="18830" operator="equal">
      <formula>"value일 미도래"</formula>
    </cfRule>
  </conditionalFormatting>
  <conditionalFormatting sqref="M148">
    <cfRule type="cellIs" dxfId="4603" priority="18829" operator="equal">
      <formula>"value일 미도래"</formula>
    </cfRule>
  </conditionalFormatting>
  <conditionalFormatting sqref="M148">
    <cfRule type="cellIs" dxfId="4602" priority="18828" operator="equal">
      <formula>"value일 미도래"</formula>
    </cfRule>
  </conditionalFormatting>
  <conditionalFormatting sqref="M148">
    <cfRule type="cellIs" dxfId="4601" priority="18827" operator="equal">
      <formula>"value일 미도래"</formula>
    </cfRule>
  </conditionalFormatting>
  <conditionalFormatting sqref="M148">
    <cfRule type="cellIs" dxfId="4600" priority="18826" operator="equal">
      <formula>"value일 미도래"</formula>
    </cfRule>
  </conditionalFormatting>
  <conditionalFormatting sqref="M148">
    <cfRule type="cellIs" dxfId="4599" priority="18825" operator="equal">
      <formula>"value일 미도래"</formula>
    </cfRule>
  </conditionalFormatting>
  <conditionalFormatting sqref="M148">
    <cfRule type="cellIs" dxfId="4598" priority="18824" operator="equal">
      <formula>"value일 미도래"</formula>
    </cfRule>
  </conditionalFormatting>
  <conditionalFormatting sqref="M148">
    <cfRule type="cellIs" dxfId="4597" priority="18823" operator="equal">
      <formula>"value일 미도래"</formula>
    </cfRule>
  </conditionalFormatting>
  <conditionalFormatting sqref="M148">
    <cfRule type="cellIs" dxfId="4596" priority="18822" operator="equal">
      <formula>"value일 미도래"</formula>
    </cfRule>
  </conditionalFormatting>
  <conditionalFormatting sqref="M148">
    <cfRule type="cellIs" dxfId="4595" priority="18821" operator="equal">
      <formula>"value일 미도래"</formula>
    </cfRule>
  </conditionalFormatting>
  <conditionalFormatting sqref="M148">
    <cfRule type="cellIs" dxfId="4594" priority="18820" operator="equal">
      <formula>"value일 미도래"</formula>
    </cfRule>
  </conditionalFormatting>
  <conditionalFormatting sqref="M148">
    <cfRule type="cellIs" dxfId="4593" priority="18819" operator="equal">
      <formula>"value일 미도래"</formula>
    </cfRule>
  </conditionalFormatting>
  <conditionalFormatting sqref="M148">
    <cfRule type="cellIs" dxfId="4592" priority="18818" operator="equal">
      <formula>"value일 미도래"</formula>
    </cfRule>
  </conditionalFormatting>
  <conditionalFormatting sqref="M148">
    <cfRule type="cellIs" dxfId="4591" priority="18817" operator="equal">
      <formula>"value일 미도래"</formula>
    </cfRule>
  </conditionalFormatting>
  <conditionalFormatting sqref="M148">
    <cfRule type="cellIs" dxfId="4590" priority="18816" operator="equal">
      <formula>"value일 미도래"</formula>
    </cfRule>
  </conditionalFormatting>
  <conditionalFormatting sqref="M148:M149">
    <cfRule type="cellIs" dxfId="4589" priority="18815" operator="equal">
      <formula>"value일 미도래"</formula>
    </cfRule>
  </conditionalFormatting>
  <conditionalFormatting sqref="M148:M149">
    <cfRule type="cellIs" dxfId="4588" priority="18814" operator="equal">
      <formula>"value일 미도래"</formula>
    </cfRule>
  </conditionalFormatting>
  <conditionalFormatting sqref="M148:M149">
    <cfRule type="cellIs" dxfId="4587" priority="18813" operator="equal">
      <formula>"value일 미도래"</formula>
    </cfRule>
  </conditionalFormatting>
  <conditionalFormatting sqref="M148:M149">
    <cfRule type="cellIs" dxfId="4586" priority="18812" operator="equal">
      <formula>"value일 미도래"</formula>
    </cfRule>
  </conditionalFormatting>
  <conditionalFormatting sqref="M148:M149">
    <cfRule type="cellIs" dxfId="4585" priority="18811" operator="equal">
      <formula>"value일 미도래"</formula>
    </cfRule>
  </conditionalFormatting>
  <conditionalFormatting sqref="M148:M149">
    <cfRule type="cellIs" dxfId="4584" priority="18810" operator="equal">
      <formula>"value일 미도래"</formula>
    </cfRule>
  </conditionalFormatting>
  <conditionalFormatting sqref="M148:M149">
    <cfRule type="cellIs" dxfId="4583" priority="18808" operator="equal">
      <formula>"value일 미도래"</formula>
    </cfRule>
  </conditionalFormatting>
  <conditionalFormatting sqref="M148:M149">
    <cfRule type="cellIs" dxfId="4582" priority="18807" operator="equal">
      <formula>"value일 미도래"</formula>
    </cfRule>
  </conditionalFormatting>
  <conditionalFormatting sqref="M148:M149">
    <cfRule type="cellIs" dxfId="4581" priority="18806" operator="equal">
      <formula>"value일 미도래"</formula>
    </cfRule>
  </conditionalFormatting>
  <conditionalFormatting sqref="M148:M149">
    <cfRule type="cellIs" dxfId="4580" priority="18805" operator="equal">
      <formula>"value일 미도래"</formula>
    </cfRule>
  </conditionalFormatting>
  <conditionalFormatting sqref="M148:M149">
    <cfRule type="cellIs" dxfId="4579" priority="18804" operator="equal">
      <formula>"value일 미도래"</formula>
    </cfRule>
  </conditionalFormatting>
  <conditionalFormatting sqref="M148:M149">
    <cfRule type="cellIs" dxfId="4578" priority="18803" operator="equal">
      <formula>"value일 미도래"</formula>
    </cfRule>
  </conditionalFormatting>
  <conditionalFormatting sqref="M148:M149">
    <cfRule type="cellIs" dxfId="4577" priority="18802" operator="equal">
      <formula>"value일 미도래"</formula>
    </cfRule>
  </conditionalFormatting>
  <conditionalFormatting sqref="M148:M149">
    <cfRule type="cellIs" dxfId="4576" priority="18801" operator="equal">
      <formula>"value일 미도래"</formula>
    </cfRule>
  </conditionalFormatting>
  <conditionalFormatting sqref="M148:M149">
    <cfRule type="cellIs" dxfId="4575" priority="18799" operator="equal">
      <formula>"value일 미도래"</formula>
    </cfRule>
  </conditionalFormatting>
  <conditionalFormatting sqref="M148:M149">
    <cfRule type="cellIs" dxfId="4574" priority="18798" operator="equal">
      <formula>"value일 미도래"</formula>
    </cfRule>
  </conditionalFormatting>
  <conditionalFormatting sqref="M148:M149">
    <cfRule type="cellIs" dxfId="4573" priority="18797" operator="equal">
      <formula>"value일 미도래"</formula>
    </cfRule>
  </conditionalFormatting>
  <conditionalFormatting sqref="M148:M149">
    <cfRule type="cellIs" dxfId="4572" priority="18796" operator="equal">
      <formula>"value일 미도래"</formula>
    </cfRule>
  </conditionalFormatting>
  <conditionalFormatting sqref="M148:M149">
    <cfRule type="cellIs" dxfId="4571" priority="18795" operator="equal">
      <formula>"value일 미도래"</formula>
    </cfRule>
  </conditionalFormatting>
  <conditionalFormatting sqref="M148:M149">
    <cfRule type="cellIs" dxfId="4570" priority="18794" operator="equal">
      <formula>"value일 미도래"</formula>
    </cfRule>
  </conditionalFormatting>
  <conditionalFormatting sqref="M148:M149">
    <cfRule type="cellIs" dxfId="4569" priority="18793" operator="equal">
      <formula>"value일 미도래"</formula>
    </cfRule>
  </conditionalFormatting>
  <conditionalFormatting sqref="M148:M149">
    <cfRule type="cellIs" dxfId="4568" priority="18792" operator="equal">
      <formula>"value일 미도래"</formula>
    </cfRule>
  </conditionalFormatting>
  <conditionalFormatting sqref="M148:M149">
    <cfRule type="cellIs" dxfId="4567" priority="18791" operator="equal">
      <formula>"value일 미도래"</formula>
    </cfRule>
  </conditionalFormatting>
  <conditionalFormatting sqref="M148:M149">
    <cfRule type="cellIs" dxfId="4566" priority="18790" operator="equal">
      <formula>"value일 미도래"</formula>
    </cfRule>
  </conditionalFormatting>
  <conditionalFormatting sqref="M148:M149">
    <cfRule type="cellIs" dxfId="4565" priority="18789" operator="equal">
      <formula>"value일 미도래"</formula>
    </cfRule>
  </conditionalFormatting>
  <conditionalFormatting sqref="M148:M149">
    <cfRule type="cellIs" dxfId="4564" priority="18787" operator="equal">
      <formula>"value일 미도래"</formula>
    </cfRule>
  </conditionalFormatting>
  <conditionalFormatting sqref="M148:M149">
    <cfRule type="cellIs" dxfId="4563" priority="18786" operator="equal">
      <formula>"value일 미도래"</formula>
    </cfRule>
  </conditionalFormatting>
  <conditionalFormatting sqref="M148:M149">
    <cfRule type="cellIs" dxfId="4562" priority="18785" operator="equal">
      <formula>"value일 미도래"</formula>
    </cfRule>
  </conditionalFormatting>
  <conditionalFormatting sqref="M148:M149">
    <cfRule type="cellIs" dxfId="4561" priority="18784" operator="equal">
      <formula>"value일 미도래"</formula>
    </cfRule>
  </conditionalFormatting>
  <conditionalFormatting sqref="M148:M149">
    <cfRule type="cellIs" dxfId="4560" priority="18783" operator="equal">
      <formula>"value일 미도래"</formula>
    </cfRule>
  </conditionalFormatting>
  <conditionalFormatting sqref="M148:M149">
    <cfRule type="cellIs" dxfId="4559" priority="18782" operator="equal">
      <formula>"value일 미도래"</formula>
    </cfRule>
  </conditionalFormatting>
  <conditionalFormatting sqref="M148:M149">
    <cfRule type="cellIs" dxfId="4558" priority="18781" operator="equal">
      <formula>"value일 미도래"</formula>
    </cfRule>
  </conditionalFormatting>
  <conditionalFormatting sqref="M148:M149">
    <cfRule type="cellIs" dxfId="4557" priority="18780" operator="equal">
      <formula>"value일 미도래"</formula>
    </cfRule>
  </conditionalFormatting>
  <conditionalFormatting sqref="M148:M149">
    <cfRule type="cellIs" dxfId="4556" priority="18779" operator="equal">
      <formula>"value일 미도래"</formula>
    </cfRule>
  </conditionalFormatting>
  <conditionalFormatting sqref="M148:M149">
    <cfRule type="cellIs" dxfId="4555" priority="18778" operator="equal">
      <formula>"value일 미도래"</formula>
    </cfRule>
  </conditionalFormatting>
  <conditionalFormatting sqref="M148:M149">
    <cfRule type="cellIs" dxfId="4554" priority="18777" operator="equal">
      <formula>"value일 미도래"</formula>
    </cfRule>
  </conditionalFormatting>
  <conditionalFormatting sqref="M148:M149">
    <cfRule type="cellIs" dxfId="4553" priority="18775" operator="equal">
      <formula>"value일 미도래"</formula>
    </cfRule>
  </conditionalFormatting>
  <conditionalFormatting sqref="M148:M149">
    <cfRule type="cellIs" dxfId="4552" priority="18774" operator="equal">
      <formula>"value일 미도래"</formula>
    </cfRule>
  </conditionalFormatting>
  <conditionalFormatting sqref="M148:M149">
    <cfRule type="cellIs" dxfId="4551" priority="18773" operator="equal">
      <formula>"value일 미도래"</formula>
    </cfRule>
  </conditionalFormatting>
  <conditionalFormatting sqref="M148:M149">
    <cfRule type="cellIs" dxfId="4550" priority="18772" operator="equal">
      <formula>"value일 미도래"</formula>
    </cfRule>
  </conditionalFormatting>
  <conditionalFormatting sqref="M148:M149">
    <cfRule type="cellIs" dxfId="4549" priority="18771" operator="equal">
      <formula>"value일 미도래"</formula>
    </cfRule>
  </conditionalFormatting>
  <conditionalFormatting sqref="M148:M149">
    <cfRule type="cellIs" dxfId="4548" priority="18770" operator="equal">
      <formula>"value일 미도래"</formula>
    </cfRule>
  </conditionalFormatting>
  <conditionalFormatting sqref="M148:M149">
    <cfRule type="cellIs" dxfId="4547" priority="18769" operator="equal">
      <formula>"value일 미도래"</formula>
    </cfRule>
  </conditionalFormatting>
  <conditionalFormatting sqref="M148:M149">
    <cfRule type="cellIs" dxfId="4546" priority="18768" operator="equal">
      <formula>"value일 미도래"</formula>
    </cfRule>
  </conditionalFormatting>
  <conditionalFormatting sqref="M148:M149">
    <cfRule type="cellIs" dxfId="4545" priority="18767" operator="equal">
      <formula>"value일 미도래"</formula>
    </cfRule>
  </conditionalFormatting>
  <conditionalFormatting sqref="M148:M149">
    <cfRule type="cellIs" dxfId="4544" priority="18766" operator="equal">
      <formula>"value일 미도래"</formula>
    </cfRule>
  </conditionalFormatting>
  <conditionalFormatting sqref="M148:M149">
    <cfRule type="cellIs" dxfId="4543" priority="18765" operator="equal">
      <formula>"value일 미도래"</formula>
    </cfRule>
  </conditionalFormatting>
  <conditionalFormatting sqref="M148:M149">
    <cfRule type="cellIs" dxfId="4542" priority="18764" operator="equal">
      <formula>"value일 미도래"</formula>
    </cfRule>
  </conditionalFormatting>
  <conditionalFormatting sqref="M148:M149">
    <cfRule type="cellIs" dxfId="4541" priority="18763" operator="equal">
      <formula>"value일 미도래"</formula>
    </cfRule>
  </conditionalFormatting>
  <conditionalFormatting sqref="M148:M149">
    <cfRule type="cellIs" dxfId="4540" priority="18762" operator="equal">
      <formula>"value일 미도래"</formula>
    </cfRule>
  </conditionalFormatting>
  <conditionalFormatting sqref="M148:M149">
    <cfRule type="cellIs" dxfId="4539" priority="18760" operator="equal">
      <formula>"value일 미도래"</formula>
    </cfRule>
  </conditionalFormatting>
  <conditionalFormatting sqref="M148:M149">
    <cfRule type="cellIs" dxfId="4538" priority="18759" operator="equal">
      <formula>"value일 미도래"</formula>
    </cfRule>
  </conditionalFormatting>
  <conditionalFormatting sqref="M148:M149">
    <cfRule type="cellIs" dxfId="4537" priority="18758" operator="equal">
      <formula>"value일 미도래"</formula>
    </cfRule>
  </conditionalFormatting>
  <conditionalFormatting sqref="M148:M149">
    <cfRule type="cellIs" dxfId="4536" priority="18757" operator="equal">
      <formula>"value일 미도래"</formula>
    </cfRule>
  </conditionalFormatting>
  <conditionalFormatting sqref="M148:M149">
    <cfRule type="cellIs" dxfId="4535" priority="18756" operator="equal">
      <formula>"value일 미도래"</formula>
    </cfRule>
  </conditionalFormatting>
  <conditionalFormatting sqref="M148:M149">
    <cfRule type="cellIs" dxfId="4534" priority="18755" operator="equal">
      <formula>"value일 미도래"</formula>
    </cfRule>
  </conditionalFormatting>
  <conditionalFormatting sqref="M148:M149">
    <cfRule type="cellIs" dxfId="4533" priority="18754" operator="equal">
      <formula>"value일 미도래"</formula>
    </cfRule>
  </conditionalFormatting>
  <conditionalFormatting sqref="M148:M149">
    <cfRule type="cellIs" dxfId="4532" priority="18753" operator="equal">
      <formula>"value일 미도래"</formula>
    </cfRule>
  </conditionalFormatting>
  <conditionalFormatting sqref="M148:M149">
    <cfRule type="cellIs" dxfId="4531" priority="18752" operator="equal">
      <formula>"value일 미도래"</formula>
    </cfRule>
  </conditionalFormatting>
  <conditionalFormatting sqref="M148:M149">
    <cfRule type="cellIs" dxfId="4530" priority="18751" operator="equal">
      <formula>"value일 미도래"</formula>
    </cfRule>
  </conditionalFormatting>
  <conditionalFormatting sqref="M148:M149">
    <cfRule type="cellIs" dxfId="4529" priority="18750" operator="equal">
      <formula>"value일 미도래"</formula>
    </cfRule>
  </conditionalFormatting>
  <conditionalFormatting sqref="M148:M149">
    <cfRule type="cellIs" dxfId="4528" priority="18749" operator="equal">
      <formula>"value일 미도래"</formula>
    </cfRule>
  </conditionalFormatting>
  <conditionalFormatting sqref="M148:M149">
    <cfRule type="cellIs" dxfId="4527" priority="18748" operator="equal">
      <formula>"value일 미도래"</formula>
    </cfRule>
  </conditionalFormatting>
  <conditionalFormatting sqref="M148:M149">
    <cfRule type="cellIs" dxfId="4526" priority="18747" operator="equal">
      <formula>"value일 미도래"</formula>
    </cfRule>
  </conditionalFormatting>
  <conditionalFormatting sqref="M148:M149">
    <cfRule type="cellIs" dxfId="4525" priority="18746" operator="equal">
      <formula>"value일 미도래"</formula>
    </cfRule>
  </conditionalFormatting>
  <conditionalFormatting sqref="M148:M149">
    <cfRule type="cellIs" dxfId="4524" priority="18745" operator="equal">
      <formula>"value일 미도래"</formula>
    </cfRule>
  </conditionalFormatting>
  <conditionalFormatting sqref="M148:M149">
    <cfRule type="cellIs" dxfId="4523" priority="18744" operator="equal">
      <formula>"value일 미도래"</formula>
    </cfRule>
  </conditionalFormatting>
  <conditionalFormatting sqref="M148:M149">
    <cfRule type="cellIs" dxfId="4522" priority="18743" operator="equal">
      <formula>"value일 미도래"</formula>
    </cfRule>
  </conditionalFormatting>
  <conditionalFormatting sqref="M148:M149">
    <cfRule type="cellIs" dxfId="4521" priority="18742" operator="equal">
      <formula>"value일 미도래"</formula>
    </cfRule>
  </conditionalFormatting>
  <conditionalFormatting sqref="M148:M149">
    <cfRule type="cellIs" dxfId="4520" priority="18741" operator="equal">
      <formula>"value일 미도래"</formula>
    </cfRule>
  </conditionalFormatting>
  <conditionalFormatting sqref="M148:M149">
    <cfRule type="cellIs" dxfId="4519" priority="18739" operator="equal">
      <formula>"value일 미도래"</formula>
    </cfRule>
  </conditionalFormatting>
  <conditionalFormatting sqref="M148:M149">
    <cfRule type="cellIs" dxfId="4518" priority="18738" operator="equal">
      <formula>"value일 미도래"</formula>
    </cfRule>
  </conditionalFormatting>
  <conditionalFormatting sqref="M148:M149">
    <cfRule type="cellIs" dxfId="4517" priority="18737" operator="equal">
      <formula>"value일 미도래"</formula>
    </cfRule>
  </conditionalFormatting>
  <conditionalFormatting sqref="M148:M149">
    <cfRule type="cellIs" dxfId="4516" priority="18736" operator="equal">
      <formula>"value일 미도래"</formula>
    </cfRule>
  </conditionalFormatting>
  <conditionalFormatting sqref="M148:M149">
    <cfRule type="cellIs" dxfId="4515" priority="18735" operator="equal">
      <formula>"value일 미도래"</formula>
    </cfRule>
  </conditionalFormatting>
  <conditionalFormatting sqref="M148:M149">
    <cfRule type="cellIs" dxfId="4514" priority="18734" operator="equal">
      <formula>"value일 미도래"</formula>
    </cfRule>
  </conditionalFormatting>
  <conditionalFormatting sqref="M148:M149">
    <cfRule type="cellIs" dxfId="4513" priority="18733" operator="equal">
      <formula>"value일 미도래"</formula>
    </cfRule>
  </conditionalFormatting>
  <conditionalFormatting sqref="M148:M149">
    <cfRule type="cellIs" dxfId="4512" priority="18732" operator="equal">
      <formula>"value일 미도래"</formula>
    </cfRule>
  </conditionalFormatting>
  <conditionalFormatting sqref="M148:M149">
    <cfRule type="cellIs" dxfId="4511" priority="18731" operator="equal">
      <formula>"value일 미도래"</formula>
    </cfRule>
  </conditionalFormatting>
  <conditionalFormatting sqref="M148:M149">
    <cfRule type="cellIs" dxfId="4510" priority="18730" operator="equal">
      <formula>"value일 미도래"</formula>
    </cfRule>
  </conditionalFormatting>
  <conditionalFormatting sqref="M148:M149">
    <cfRule type="cellIs" dxfId="4509" priority="18729" operator="equal">
      <formula>"value일 미도래"</formula>
    </cfRule>
  </conditionalFormatting>
  <conditionalFormatting sqref="M148:M149">
    <cfRule type="cellIs" dxfId="4508" priority="18728" operator="equal">
      <formula>"value일 미도래"</formula>
    </cfRule>
  </conditionalFormatting>
  <conditionalFormatting sqref="M148">
    <cfRule type="cellIs" dxfId="4507" priority="18727" operator="equal">
      <formula>"value일 미도래"</formula>
    </cfRule>
  </conditionalFormatting>
  <conditionalFormatting sqref="M148">
    <cfRule type="cellIs" dxfId="4506" priority="18726" operator="equal">
      <formula>"value일 미도래"</formula>
    </cfRule>
  </conditionalFormatting>
  <conditionalFormatting sqref="M148">
    <cfRule type="cellIs" dxfId="4505" priority="18725" operator="equal">
      <formula>"value일 미도래"</formula>
    </cfRule>
  </conditionalFormatting>
  <conditionalFormatting sqref="M148">
    <cfRule type="cellIs" dxfId="4504" priority="18724" operator="equal">
      <formula>"value일 미도래"</formula>
    </cfRule>
  </conditionalFormatting>
  <conditionalFormatting sqref="M148">
    <cfRule type="cellIs" dxfId="4503" priority="18723" operator="equal">
      <formula>"value일 미도래"</formula>
    </cfRule>
  </conditionalFormatting>
  <conditionalFormatting sqref="M148">
    <cfRule type="cellIs" dxfId="4502" priority="18722" operator="equal">
      <formula>"value일 미도래"</formula>
    </cfRule>
  </conditionalFormatting>
  <conditionalFormatting sqref="M148">
    <cfRule type="cellIs" dxfId="4501" priority="18721" operator="equal">
      <formula>"value일 미도래"</formula>
    </cfRule>
  </conditionalFormatting>
  <conditionalFormatting sqref="M166:M167">
    <cfRule type="cellIs" dxfId="4500" priority="18708" operator="equal">
      <formula>"value일 미도래"</formula>
    </cfRule>
  </conditionalFormatting>
  <conditionalFormatting sqref="M164:M166">
    <cfRule type="cellIs" dxfId="4499" priority="18705" operator="equal">
      <formula>"value일 미도래"</formula>
    </cfRule>
  </conditionalFormatting>
  <conditionalFormatting sqref="M164:M166">
    <cfRule type="cellIs" dxfId="4498" priority="18704" operator="equal">
      <formula>"value일 미도래"</formula>
    </cfRule>
  </conditionalFormatting>
  <conditionalFormatting sqref="M189">
    <cfRule type="cellIs" dxfId="4497" priority="18652" operator="equal">
      <formula>"value일 미도래"</formula>
    </cfRule>
  </conditionalFormatting>
  <conditionalFormatting sqref="M189">
    <cfRule type="cellIs" dxfId="4496" priority="18650" operator="equal">
      <formula>"value일 미도래"</formula>
    </cfRule>
  </conditionalFormatting>
  <conditionalFormatting sqref="M189">
    <cfRule type="cellIs" dxfId="4495" priority="18649" operator="equal">
      <formula>"value일 미도래"</formula>
    </cfRule>
  </conditionalFormatting>
  <conditionalFormatting sqref="M189">
    <cfRule type="cellIs" dxfId="4494" priority="18648" operator="equal">
      <formula>"value일 미도래"</formula>
    </cfRule>
  </conditionalFormatting>
  <conditionalFormatting sqref="M189">
    <cfRule type="cellIs" dxfId="4493" priority="18647" operator="equal">
      <formula>"value일 미도래"</formula>
    </cfRule>
  </conditionalFormatting>
  <conditionalFormatting sqref="M189">
    <cfRule type="cellIs" dxfId="4492" priority="18646" operator="equal">
      <formula>"value일 미도래"</formula>
    </cfRule>
  </conditionalFormatting>
  <conditionalFormatting sqref="M189">
    <cfRule type="cellIs" dxfId="4491" priority="18613" operator="equal">
      <formula>"value일 미도래"</formula>
    </cfRule>
  </conditionalFormatting>
  <conditionalFormatting sqref="M189">
    <cfRule type="cellIs" dxfId="4490" priority="18611" operator="equal">
      <formula>"value일 미도래"</formula>
    </cfRule>
  </conditionalFormatting>
  <conditionalFormatting sqref="M189">
    <cfRule type="cellIs" dxfId="4489" priority="18610" operator="equal">
      <formula>"value일 미도래"</formula>
    </cfRule>
  </conditionalFormatting>
  <conditionalFormatting sqref="M189">
    <cfRule type="cellIs" dxfId="4488" priority="18609" operator="equal">
      <formula>"value일 미도래"</formula>
    </cfRule>
  </conditionalFormatting>
  <conditionalFormatting sqref="M189">
    <cfRule type="cellIs" dxfId="4487" priority="18608" operator="equal">
      <formula>"value일 미도래"</formula>
    </cfRule>
  </conditionalFormatting>
  <conditionalFormatting sqref="M189">
    <cfRule type="cellIs" dxfId="4486" priority="18607" operator="equal">
      <formula>"value일 미도래"</formula>
    </cfRule>
  </conditionalFormatting>
  <conditionalFormatting sqref="M164:M166">
    <cfRule type="cellIs" dxfId="4485" priority="18535" operator="equal">
      <formula>"value일 미도래"</formula>
    </cfRule>
  </conditionalFormatting>
  <conditionalFormatting sqref="M164:M165">
    <cfRule type="cellIs" dxfId="4484" priority="18534" operator="equal">
      <formula>"value일 미도래"</formula>
    </cfRule>
  </conditionalFormatting>
  <conditionalFormatting sqref="M164">
    <cfRule type="cellIs" dxfId="4483" priority="18529" operator="equal">
      <formula>"value일 미도래"</formula>
    </cfRule>
  </conditionalFormatting>
  <conditionalFormatting sqref="M164">
    <cfRule type="cellIs" dxfId="4482" priority="18528" operator="equal">
      <formula>"value일 미도래"</formula>
    </cfRule>
  </conditionalFormatting>
  <conditionalFormatting sqref="M164:M166">
    <cfRule type="cellIs" dxfId="4481" priority="18525" operator="equal">
      <formula>"value일 미도래"</formula>
    </cfRule>
  </conditionalFormatting>
  <conditionalFormatting sqref="M164:M165">
    <cfRule type="cellIs" dxfId="4480" priority="18522" operator="equal">
      <formula>"value일 미도래"</formula>
    </cfRule>
  </conditionalFormatting>
  <conditionalFormatting sqref="M164:M165">
    <cfRule type="cellIs" dxfId="4479" priority="18521" operator="equal">
      <formula>"value일 미도래"</formula>
    </cfRule>
  </conditionalFormatting>
  <conditionalFormatting sqref="M164:M166">
    <cfRule type="cellIs" dxfId="4478" priority="18492" operator="equal">
      <formula>"value일 미도래"</formula>
    </cfRule>
  </conditionalFormatting>
  <conditionalFormatting sqref="M164:M165">
    <cfRule type="cellIs" dxfId="4477" priority="18491" operator="equal">
      <formula>"value일 미도래"</formula>
    </cfRule>
  </conditionalFormatting>
  <conditionalFormatting sqref="M164">
    <cfRule type="cellIs" dxfId="4476" priority="18486" operator="equal">
      <formula>"value일 미도래"</formula>
    </cfRule>
  </conditionalFormatting>
  <conditionalFormatting sqref="M164">
    <cfRule type="cellIs" dxfId="4475" priority="18485" operator="equal">
      <formula>"value일 미도래"</formula>
    </cfRule>
  </conditionalFormatting>
  <conditionalFormatting sqref="M164:M166">
    <cfRule type="cellIs" dxfId="4474" priority="18482" operator="equal">
      <formula>"value일 미도래"</formula>
    </cfRule>
  </conditionalFormatting>
  <conditionalFormatting sqref="M164:M165">
    <cfRule type="cellIs" dxfId="4473" priority="18479" operator="equal">
      <formula>"value일 미도래"</formula>
    </cfRule>
  </conditionalFormatting>
  <conditionalFormatting sqref="M164:M165">
    <cfRule type="cellIs" dxfId="4472" priority="18478" operator="equal">
      <formula>"value일 미도래"</formula>
    </cfRule>
  </conditionalFormatting>
  <conditionalFormatting sqref="M164:M165">
    <cfRule type="cellIs" dxfId="4471" priority="18475" operator="equal">
      <formula>"value일 미도래"</formula>
    </cfRule>
  </conditionalFormatting>
  <conditionalFormatting sqref="M164">
    <cfRule type="cellIs" dxfId="4470" priority="18474" operator="equal">
      <formula>"value일 미도래"</formula>
    </cfRule>
  </conditionalFormatting>
  <conditionalFormatting sqref="M164:M165">
    <cfRule type="cellIs" dxfId="4469" priority="18469" operator="equal">
      <formula>"value일 미도래"</formula>
    </cfRule>
  </conditionalFormatting>
  <conditionalFormatting sqref="M164">
    <cfRule type="cellIs" dxfId="4468" priority="18466" operator="equal">
      <formula>"value일 미도래"</formula>
    </cfRule>
  </conditionalFormatting>
  <conditionalFormatting sqref="M164">
    <cfRule type="cellIs" dxfId="4467" priority="18465" operator="equal">
      <formula>"value일 미도래"</formula>
    </cfRule>
  </conditionalFormatting>
  <conditionalFormatting sqref="M189">
    <cfRule type="cellIs" dxfId="4466" priority="18413" operator="equal">
      <formula>"value일 미도래"</formula>
    </cfRule>
  </conditionalFormatting>
  <conditionalFormatting sqref="M189">
    <cfRule type="cellIs" dxfId="4465" priority="18411" operator="equal">
      <formula>"value일 미도래"</formula>
    </cfRule>
  </conditionalFormatting>
  <conditionalFormatting sqref="M189">
    <cfRule type="cellIs" dxfId="4464" priority="18410" operator="equal">
      <formula>"value일 미도래"</formula>
    </cfRule>
  </conditionalFormatting>
  <conditionalFormatting sqref="M189">
    <cfRule type="cellIs" dxfId="4463" priority="18409" operator="equal">
      <formula>"value일 미도래"</formula>
    </cfRule>
  </conditionalFormatting>
  <conditionalFormatting sqref="M189">
    <cfRule type="cellIs" dxfId="4462" priority="18408" operator="equal">
      <formula>"value일 미도래"</formula>
    </cfRule>
  </conditionalFormatting>
  <conditionalFormatting sqref="M189">
    <cfRule type="cellIs" dxfId="4461" priority="18407" operator="equal">
      <formula>"value일 미도래"</formula>
    </cfRule>
  </conditionalFormatting>
  <conditionalFormatting sqref="M189">
    <cfRule type="cellIs" dxfId="4460" priority="18374" operator="equal">
      <formula>"value일 미도래"</formula>
    </cfRule>
  </conditionalFormatting>
  <conditionalFormatting sqref="M189">
    <cfRule type="cellIs" dxfId="4459" priority="18372" operator="equal">
      <formula>"value일 미도래"</formula>
    </cfRule>
  </conditionalFormatting>
  <conditionalFormatting sqref="M189">
    <cfRule type="cellIs" dxfId="4458" priority="18371" operator="equal">
      <formula>"value일 미도래"</formula>
    </cfRule>
  </conditionalFormatting>
  <conditionalFormatting sqref="M189">
    <cfRule type="cellIs" dxfId="4457" priority="18370" operator="equal">
      <formula>"value일 미도래"</formula>
    </cfRule>
  </conditionalFormatting>
  <conditionalFormatting sqref="M189">
    <cfRule type="cellIs" dxfId="4456" priority="18369" operator="equal">
      <formula>"value일 미도래"</formula>
    </cfRule>
  </conditionalFormatting>
  <conditionalFormatting sqref="M189">
    <cfRule type="cellIs" dxfId="4455" priority="18368" operator="equal">
      <formula>"value일 미도래"</formula>
    </cfRule>
  </conditionalFormatting>
  <conditionalFormatting sqref="M189">
    <cfRule type="cellIs" dxfId="4454" priority="18335" operator="equal">
      <formula>"value일 미도래"</formula>
    </cfRule>
  </conditionalFormatting>
  <conditionalFormatting sqref="M189">
    <cfRule type="cellIs" dxfId="4453" priority="18333" operator="equal">
      <formula>"value일 미도래"</formula>
    </cfRule>
  </conditionalFormatting>
  <conditionalFormatting sqref="M189">
    <cfRule type="cellIs" dxfId="4452" priority="18332" operator="equal">
      <formula>"value일 미도래"</formula>
    </cfRule>
  </conditionalFormatting>
  <conditionalFormatting sqref="M189">
    <cfRule type="cellIs" dxfId="4451" priority="18331" operator="equal">
      <formula>"value일 미도래"</formula>
    </cfRule>
  </conditionalFormatting>
  <conditionalFormatting sqref="M189">
    <cfRule type="cellIs" dxfId="4450" priority="18330" operator="equal">
      <formula>"value일 미도래"</formula>
    </cfRule>
  </conditionalFormatting>
  <conditionalFormatting sqref="M189">
    <cfRule type="cellIs" dxfId="4449" priority="18329" operator="equal">
      <formula>"value일 미도래"</formula>
    </cfRule>
  </conditionalFormatting>
  <conditionalFormatting sqref="M189">
    <cfRule type="cellIs" dxfId="4448" priority="18232" operator="equal">
      <formula>"value일 미도래"</formula>
    </cfRule>
  </conditionalFormatting>
  <conditionalFormatting sqref="M189">
    <cfRule type="cellIs" dxfId="4447" priority="18230" operator="equal">
      <formula>"value일 미도래"</formula>
    </cfRule>
  </conditionalFormatting>
  <conditionalFormatting sqref="M189">
    <cfRule type="cellIs" dxfId="4446" priority="18229" operator="equal">
      <formula>"value일 미도래"</formula>
    </cfRule>
  </conditionalFormatting>
  <conditionalFormatting sqref="M189">
    <cfRule type="cellIs" dxfId="4445" priority="18228" operator="equal">
      <formula>"value일 미도래"</formula>
    </cfRule>
  </conditionalFormatting>
  <conditionalFormatting sqref="M189">
    <cfRule type="cellIs" dxfId="4444" priority="18227" operator="equal">
      <formula>"value일 미도래"</formula>
    </cfRule>
  </conditionalFormatting>
  <conditionalFormatting sqref="M189">
    <cfRule type="cellIs" dxfId="4443" priority="18226" operator="equal">
      <formula>"value일 미도래"</formula>
    </cfRule>
  </conditionalFormatting>
  <conditionalFormatting sqref="M189">
    <cfRule type="cellIs" dxfId="4442" priority="17806" operator="equal">
      <formula>"value일 미도래"</formula>
    </cfRule>
  </conditionalFormatting>
  <conditionalFormatting sqref="M189">
    <cfRule type="cellIs" dxfId="4441" priority="17804" operator="equal">
      <formula>"value일 미도래"</formula>
    </cfRule>
  </conditionalFormatting>
  <conditionalFormatting sqref="M189">
    <cfRule type="cellIs" dxfId="4440" priority="17803" operator="equal">
      <formula>"value일 미도래"</formula>
    </cfRule>
  </conditionalFormatting>
  <conditionalFormatting sqref="M189">
    <cfRule type="cellIs" dxfId="4439" priority="17802" operator="equal">
      <formula>"value일 미도래"</formula>
    </cfRule>
  </conditionalFormatting>
  <conditionalFormatting sqref="M189">
    <cfRule type="cellIs" dxfId="4438" priority="17801" operator="equal">
      <formula>"value일 미도래"</formula>
    </cfRule>
  </conditionalFormatting>
  <conditionalFormatting sqref="M189">
    <cfRule type="cellIs" dxfId="4437" priority="17800" operator="equal">
      <formula>"value일 미도래"</formula>
    </cfRule>
  </conditionalFormatting>
  <conditionalFormatting sqref="M189">
    <cfRule type="cellIs" dxfId="4436" priority="17664" operator="equal">
      <formula>"value일 미도래"</formula>
    </cfRule>
  </conditionalFormatting>
  <conditionalFormatting sqref="M189">
    <cfRule type="cellIs" dxfId="4435" priority="17662" operator="equal">
      <formula>"value일 미도래"</formula>
    </cfRule>
  </conditionalFormatting>
  <conditionalFormatting sqref="M189">
    <cfRule type="cellIs" dxfId="4434" priority="17661" operator="equal">
      <formula>"value일 미도래"</formula>
    </cfRule>
  </conditionalFormatting>
  <conditionalFormatting sqref="M189">
    <cfRule type="cellIs" dxfId="4433" priority="17660" operator="equal">
      <formula>"value일 미도래"</formula>
    </cfRule>
  </conditionalFormatting>
  <conditionalFormatting sqref="M189">
    <cfRule type="cellIs" dxfId="4432" priority="17659" operator="equal">
      <formula>"value일 미도래"</formula>
    </cfRule>
  </conditionalFormatting>
  <conditionalFormatting sqref="M189">
    <cfRule type="cellIs" dxfId="4431" priority="17658" operator="equal">
      <formula>"value일 미도래"</formula>
    </cfRule>
  </conditionalFormatting>
  <conditionalFormatting sqref="M189">
    <cfRule type="cellIs" dxfId="4430" priority="17625" operator="equal">
      <formula>"value일 미도래"</formula>
    </cfRule>
  </conditionalFormatting>
  <conditionalFormatting sqref="M189">
    <cfRule type="cellIs" dxfId="4429" priority="17623" operator="equal">
      <formula>"value일 미도래"</formula>
    </cfRule>
  </conditionalFormatting>
  <conditionalFormatting sqref="M189">
    <cfRule type="cellIs" dxfId="4428" priority="17622" operator="equal">
      <formula>"value일 미도래"</formula>
    </cfRule>
  </conditionalFormatting>
  <conditionalFormatting sqref="M189">
    <cfRule type="cellIs" dxfId="4427" priority="17621" operator="equal">
      <formula>"value일 미도래"</formula>
    </cfRule>
  </conditionalFormatting>
  <conditionalFormatting sqref="M189">
    <cfRule type="cellIs" dxfId="4426" priority="17620" operator="equal">
      <formula>"value일 미도래"</formula>
    </cfRule>
  </conditionalFormatting>
  <conditionalFormatting sqref="M189">
    <cfRule type="cellIs" dxfId="4425" priority="17619" operator="equal">
      <formula>"value일 미도래"</formula>
    </cfRule>
  </conditionalFormatting>
  <conditionalFormatting sqref="M189">
    <cfRule type="cellIs" dxfId="4424" priority="16558" operator="equal">
      <formula>"value일 미도래"</formula>
    </cfRule>
  </conditionalFormatting>
  <conditionalFormatting sqref="M189">
    <cfRule type="cellIs" dxfId="4423" priority="16556" operator="equal">
      <formula>"value일 미도래"</formula>
    </cfRule>
  </conditionalFormatting>
  <conditionalFormatting sqref="M189">
    <cfRule type="cellIs" dxfId="4422" priority="16555" operator="equal">
      <formula>"value일 미도래"</formula>
    </cfRule>
  </conditionalFormatting>
  <conditionalFormatting sqref="M189">
    <cfRule type="cellIs" dxfId="4421" priority="16554" operator="equal">
      <formula>"value일 미도래"</formula>
    </cfRule>
  </conditionalFormatting>
  <conditionalFormatting sqref="M189">
    <cfRule type="cellIs" dxfId="4420" priority="16553" operator="equal">
      <formula>"value일 미도래"</formula>
    </cfRule>
  </conditionalFormatting>
  <conditionalFormatting sqref="M189">
    <cfRule type="cellIs" dxfId="4419" priority="16552" operator="equal">
      <formula>"value일 미도래"</formula>
    </cfRule>
  </conditionalFormatting>
  <conditionalFormatting sqref="M189">
    <cfRule type="cellIs" dxfId="4418" priority="16519" operator="equal">
      <formula>"value일 미도래"</formula>
    </cfRule>
  </conditionalFormatting>
  <conditionalFormatting sqref="M189">
    <cfRule type="cellIs" dxfId="4417" priority="16517" operator="equal">
      <formula>"value일 미도래"</formula>
    </cfRule>
  </conditionalFormatting>
  <conditionalFormatting sqref="M189">
    <cfRule type="cellIs" dxfId="4416" priority="16516" operator="equal">
      <formula>"value일 미도래"</formula>
    </cfRule>
  </conditionalFormatting>
  <conditionalFormatting sqref="M189">
    <cfRule type="cellIs" dxfId="4415" priority="16515" operator="equal">
      <formula>"value일 미도래"</formula>
    </cfRule>
  </conditionalFormatting>
  <conditionalFormatting sqref="M189">
    <cfRule type="cellIs" dxfId="4414" priority="16514" operator="equal">
      <formula>"value일 미도래"</formula>
    </cfRule>
  </conditionalFormatting>
  <conditionalFormatting sqref="M189">
    <cfRule type="cellIs" dxfId="4413" priority="16513" operator="equal">
      <formula>"value일 미도래"</formula>
    </cfRule>
  </conditionalFormatting>
  <conditionalFormatting sqref="M189">
    <cfRule type="cellIs" dxfId="4412" priority="16455" operator="equal">
      <formula>"value일 미도래"</formula>
    </cfRule>
  </conditionalFormatting>
  <conditionalFormatting sqref="M189">
    <cfRule type="cellIs" dxfId="4411" priority="16453" operator="equal">
      <formula>"value일 미도래"</formula>
    </cfRule>
  </conditionalFormatting>
  <conditionalFormatting sqref="M189">
    <cfRule type="cellIs" dxfId="4410" priority="16452" operator="equal">
      <formula>"value일 미도래"</formula>
    </cfRule>
  </conditionalFormatting>
  <conditionalFormatting sqref="M189">
    <cfRule type="cellIs" dxfId="4409" priority="16451" operator="equal">
      <formula>"value일 미도래"</formula>
    </cfRule>
  </conditionalFormatting>
  <conditionalFormatting sqref="M189">
    <cfRule type="cellIs" dxfId="4408" priority="16450" operator="equal">
      <formula>"value일 미도래"</formula>
    </cfRule>
  </conditionalFormatting>
  <conditionalFormatting sqref="M189">
    <cfRule type="cellIs" dxfId="4407" priority="16449" operator="equal">
      <formula>"value일 미도래"</formula>
    </cfRule>
  </conditionalFormatting>
  <conditionalFormatting sqref="M189">
    <cfRule type="cellIs" dxfId="4406" priority="16416" operator="equal">
      <formula>"value일 미도래"</formula>
    </cfRule>
  </conditionalFormatting>
  <conditionalFormatting sqref="M189">
    <cfRule type="cellIs" dxfId="4405" priority="16414" operator="equal">
      <formula>"value일 미도래"</formula>
    </cfRule>
  </conditionalFormatting>
  <conditionalFormatting sqref="M189">
    <cfRule type="cellIs" dxfId="4404" priority="16413" operator="equal">
      <formula>"value일 미도래"</formula>
    </cfRule>
  </conditionalFormatting>
  <conditionalFormatting sqref="M189">
    <cfRule type="cellIs" dxfId="4403" priority="16412" operator="equal">
      <formula>"value일 미도래"</formula>
    </cfRule>
  </conditionalFormatting>
  <conditionalFormatting sqref="M189">
    <cfRule type="cellIs" dxfId="4402" priority="16411" operator="equal">
      <formula>"value일 미도래"</formula>
    </cfRule>
  </conditionalFormatting>
  <conditionalFormatting sqref="M189">
    <cfRule type="cellIs" dxfId="4401" priority="16410" operator="equal">
      <formula>"value일 미도래"</formula>
    </cfRule>
  </conditionalFormatting>
  <conditionalFormatting sqref="M189">
    <cfRule type="cellIs" dxfId="4400" priority="16391" operator="equal">
      <formula>"value일 미도래"</formula>
    </cfRule>
  </conditionalFormatting>
  <conditionalFormatting sqref="M189">
    <cfRule type="cellIs" dxfId="4399" priority="16389" operator="equal">
      <formula>"value일 미도래"</formula>
    </cfRule>
  </conditionalFormatting>
  <conditionalFormatting sqref="M189">
    <cfRule type="cellIs" dxfId="4398" priority="16388" operator="equal">
      <formula>"value일 미도래"</formula>
    </cfRule>
  </conditionalFormatting>
  <conditionalFormatting sqref="M189">
    <cfRule type="cellIs" dxfId="4397" priority="16387" operator="equal">
      <formula>"value일 미도래"</formula>
    </cfRule>
  </conditionalFormatting>
  <conditionalFormatting sqref="M189">
    <cfRule type="cellIs" dxfId="4396" priority="16386" operator="equal">
      <formula>"value일 미도래"</formula>
    </cfRule>
  </conditionalFormatting>
  <conditionalFormatting sqref="M189">
    <cfRule type="cellIs" dxfId="4395" priority="16385" operator="equal">
      <formula>"value일 미도래"</formula>
    </cfRule>
  </conditionalFormatting>
  <conditionalFormatting sqref="M189">
    <cfRule type="cellIs" dxfId="4394" priority="16338" operator="equal">
      <formula>"value일 미도래"</formula>
    </cfRule>
  </conditionalFormatting>
  <conditionalFormatting sqref="M189">
    <cfRule type="cellIs" dxfId="4393" priority="16336" operator="equal">
      <formula>"value일 미도래"</formula>
    </cfRule>
  </conditionalFormatting>
  <conditionalFormatting sqref="M189">
    <cfRule type="cellIs" dxfId="4392" priority="16335" operator="equal">
      <formula>"value일 미도래"</formula>
    </cfRule>
  </conditionalFormatting>
  <conditionalFormatting sqref="M189">
    <cfRule type="cellIs" dxfId="4391" priority="16334" operator="equal">
      <formula>"value일 미도래"</formula>
    </cfRule>
  </conditionalFormatting>
  <conditionalFormatting sqref="M189">
    <cfRule type="cellIs" dxfId="4390" priority="16333" operator="equal">
      <formula>"value일 미도래"</formula>
    </cfRule>
  </conditionalFormatting>
  <conditionalFormatting sqref="M189">
    <cfRule type="cellIs" dxfId="4389" priority="16332" operator="equal">
      <formula>"value일 미도래"</formula>
    </cfRule>
  </conditionalFormatting>
  <conditionalFormatting sqref="M189">
    <cfRule type="cellIs" dxfId="4388" priority="16313" operator="equal">
      <formula>"value일 미도래"</formula>
    </cfRule>
  </conditionalFormatting>
  <conditionalFormatting sqref="M189">
    <cfRule type="cellIs" dxfId="4387" priority="16311" operator="equal">
      <formula>"value일 미도래"</formula>
    </cfRule>
  </conditionalFormatting>
  <conditionalFormatting sqref="M189">
    <cfRule type="cellIs" dxfId="4386" priority="16310" operator="equal">
      <formula>"value일 미도래"</formula>
    </cfRule>
  </conditionalFormatting>
  <conditionalFormatting sqref="M189">
    <cfRule type="cellIs" dxfId="4385" priority="16309" operator="equal">
      <formula>"value일 미도래"</formula>
    </cfRule>
  </conditionalFormatting>
  <conditionalFormatting sqref="M189">
    <cfRule type="cellIs" dxfId="4384" priority="16308" operator="equal">
      <formula>"value일 미도래"</formula>
    </cfRule>
  </conditionalFormatting>
  <conditionalFormatting sqref="M189">
    <cfRule type="cellIs" dxfId="4383" priority="16307" operator="equal">
      <formula>"value일 미도래"</formula>
    </cfRule>
  </conditionalFormatting>
  <conditionalFormatting sqref="M189">
    <cfRule type="cellIs" dxfId="4382" priority="16260" operator="equal">
      <formula>"value일 미도래"</formula>
    </cfRule>
  </conditionalFormatting>
  <conditionalFormatting sqref="M189">
    <cfRule type="cellIs" dxfId="4381" priority="16258" operator="equal">
      <formula>"value일 미도래"</formula>
    </cfRule>
  </conditionalFormatting>
  <conditionalFormatting sqref="M189">
    <cfRule type="cellIs" dxfId="4380" priority="16257" operator="equal">
      <formula>"value일 미도래"</formula>
    </cfRule>
  </conditionalFormatting>
  <conditionalFormatting sqref="M189">
    <cfRule type="cellIs" dxfId="4379" priority="16256" operator="equal">
      <formula>"value일 미도래"</formula>
    </cfRule>
  </conditionalFormatting>
  <conditionalFormatting sqref="M189">
    <cfRule type="cellIs" dxfId="4378" priority="16255" operator="equal">
      <formula>"value일 미도래"</formula>
    </cfRule>
  </conditionalFormatting>
  <conditionalFormatting sqref="M189">
    <cfRule type="cellIs" dxfId="4377" priority="16254" operator="equal">
      <formula>"value일 미도래"</formula>
    </cfRule>
  </conditionalFormatting>
  <conditionalFormatting sqref="M189">
    <cfRule type="cellIs" dxfId="4376" priority="16235" operator="equal">
      <formula>"value일 미도래"</formula>
    </cfRule>
  </conditionalFormatting>
  <conditionalFormatting sqref="M189">
    <cfRule type="cellIs" dxfId="4375" priority="16233" operator="equal">
      <formula>"value일 미도래"</formula>
    </cfRule>
  </conditionalFormatting>
  <conditionalFormatting sqref="M189">
    <cfRule type="cellIs" dxfId="4374" priority="16232" operator="equal">
      <formula>"value일 미도래"</formula>
    </cfRule>
  </conditionalFormatting>
  <conditionalFormatting sqref="M189">
    <cfRule type="cellIs" dxfId="4373" priority="16231" operator="equal">
      <formula>"value일 미도래"</formula>
    </cfRule>
  </conditionalFormatting>
  <conditionalFormatting sqref="M189">
    <cfRule type="cellIs" dxfId="4372" priority="16230" operator="equal">
      <formula>"value일 미도래"</formula>
    </cfRule>
  </conditionalFormatting>
  <conditionalFormatting sqref="M189">
    <cfRule type="cellIs" dxfId="4371" priority="16229" operator="equal">
      <formula>"value일 미도래"</formula>
    </cfRule>
  </conditionalFormatting>
  <conditionalFormatting sqref="M189">
    <cfRule type="cellIs" dxfId="4370" priority="16196" operator="equal">
      <formula>"value일 미도래"</formula>
    </cfRule>
  </conditionalFormatting>
  <conditionalFormatting sqref="M189">
    <cfRule type="cellIs" dxfId="4369" priority="16194" operator="equal">
      <formula>"value일 미도래"</formula>
    </cfRule>
  </conditionalFormatting>
  <conditionalFormatting sqref="M189">
    <cfRule type="cellIs" dxfId="4368" priority="16193" operator="equal">
      <formula>"value일 미도래"</formula>
    </cfRule>
  </conditionalFormatting>
  <conditionalFormatting sqref="M189">
    <cfRule type="cellIs" dxfId="4367" priority="16192" operator="equal">
      <formula>"value일 미도래"</formula>
    </cfRule>
  </conditionalFormatting>
  <conditionalFormatting sqref="M189">
    <cfRule type="cellIs" dxfId="4366" priority="16191" operator="equal">
      <formula>"value일 미도래"</formula>
    </cfRule>
  </conditionalFormatting>
  <conditionalFormatting sqref="M189">
    <cfRule type="cellIs" dxfId="4365" priority="16190" operator="equal">
      <formula>"value일 미도래"</formula>
    </cfRule>
  </conditionalFormatting>
  <conditionalFormatting sqref="M189">
    <cfRule type="cellIs" dxfId="4364" priority="16157" operator="equal">
      <formula>"value일 미도래"</formula>
    </cfRule>
  </conditionalFormatting>
  <conditionalFormatting sqref="M189">
    <cfRule type="cellIs" dxfId="4363" priority="16155" operator="equal">
      <formula>"value일 미도래"</formula>
    </cfRule>
  </conditionalFormatting>
  <conditionalFormatting sqref="M189">
    <cfRule type="cellIs" dxfId="4362" priority="16154" operator="equal">
      <formula>"value일 미도래"</formula>
    </cfRule>
  </conditionalFormatting>
  <conditionalFormatting sqref="M189">
    <cfRule type="cellIs" dxfId="4361" priority="16153" operator="equal">
      <formula>"value일 미도래"</formula>
    </cfRule>
  </conditionalFormatting>
  <conditionalFormatting sqref="M189">
    <cfRule type="cellIs" dxfId="4360" priority="16152" operator="equal">
      <formula>"value일 미도래"</formula>
    </cfRule>
  </conditionalFormatting>
  <conditionalFormatting sqref="M189">
    <cfRule type="cellIs" dxfId="4359" priority="16151" operator="equal">
      <formula>"value일 미도래"</formula>
    </cfRule>
  </conditionalFormatting>
  <conditionalFormatting sqref="M189">
    <cfRule type="cellIs" dxfId="4358" priority="16118" operator="equal">
      <formula>"value일 미도래"</formula>
    </cfRule>
  </conditionalFormatting>
  <conditionalFormatting sqref="M189">
    <cfRule type="cellIs" dxfId="4357" priority="16116" operator="equal">
      <formula>"value일 미도래"</formula>
    </cfRule>
  </conditionalFormatting>
  <conditionalFormatting sqref="M189">
    <cfRule type="cellIs" dxfId="4356" priority="16115" operator="equal">
      <formula>"value일 미도래"</formula>
    </cfRule>
  </conditionalFormatting>
  <conditionalFormatting sqref="M189">
    <cfRule type="cellIs" dxfId="4355" priority="16114" operator="equal">
      <formula>"value일 미도래"</formula>
    </cfRule>
  </conditionalFormatting>
  <conditionalFormatting sqref="M189">
    <cfRule type="cellIs" dxfId="4354" priority="16113" operator="equal">
      <formula>"value일 미도래"</formula>
    </cfRule>
  </conditionalFormatting>
  <conditionalFormatting sqref="M189">
    <cfRule type="cellIs" dxfId="4353" priority="16112" operator="equal">
      <formula>"value일 미도래"</formula>
    </cfRule>
  </conditionalFormatting>
  <conditionalFormatting sqref="M189">
    <cfRule type="cellIs" dxfId="4352" priority="15976" operator="equal">
      <formula>"value일 미도래"</formula>
    </cfRule>
  </conditionalFormatting>
  <conditionalFormatting sqref="M189">
    <cfRule type="cellIs" dxfId="4351" priority="15974" operator="equal">
      <formula>"value일 미도래"</formula>
    </cfRule>
  </conditionalFormatting>
  <conditionalFormatting sqref="M189">
    <cfRule type="cellIs" dxfId="4350" priority="15973" operator="equal">
      <formula>"value일 미도래"</formula>
    </cfRule>
  </conditionalFormatting>
  <conditionalFormatting sqref="M189">
    <cfRule type="cellIs" dxfId="4349" priority="15972" operator="equal">
      <formula>"value일 미도래"</formula>
    </cfRule>
  </conditionalFormatting>
  <conditionalFormatting sqref="M189">
    <cfRule type="cellIs" dxfId="4348" priority="15971" operator="equal">
      <formula>"value일 미도래"</formula>
    </cfRule>
  </conditionalFormatting>
  <conditionalFormatting sqref="M189">
    <cfRule type="cellIs" dxfId="4347" priority="15970" operator="equal">
      <formula>"value일 미도래"</formula>
    </cfRule>
  </conditionalFormatting>
  <conditionalFormatting sqref="M189">
    <cfRule type="cellIs" dxfId="4346" priority="15937" operator="equal">
      <formula>"value일 미도래"</formula>
    </cfRule>
  </conditionalFormatting>
  <conditionalFormatting sqref="M189">
    <cfRule type="cellIs" dxfId="4345" priority="15935" operator="equal">
      <formula>"value일 미도래"</formula>
    </cfRule>
  </conditionalFormatting>
  <conditionalFormatting sqref="M189">
    <cfRule type="cellIs" dxfId="4344" priority="15934" operator="equal">
      <formula>"value일 미도래"</formula>
    </cfRule>
  </conditionalFormatting>
  <conditionalFormatting sqref="M189">
    <cfRule type="cellIs" dxfId="4343" priority="15933" operator="equal">
      <formula>"value일 미도래"</formula>
    </cfRule>
  </conditionalFormatting>
  <conditionalFormatting sqref="M189">
    <cfRule type="cellIs" dxfId="4342" priority="15932" operator="equal">
      <formula>"value일 미도래"</formula>
    </cfRule>
  </conditionalFormatting>
  <conditionalFormatting sqref="M189">
    <cfRule type="cellIs" dxfId="4341" priority="15931" operator="equal">
      <formula>"value일 미도래"</formula>
    </cfRule>
  </conditionalFormatting>
  <conditionalFormatting sqref="M189">
    <cfRule type="cellIs" dxfId="4340" priority="15859" operator="equal">
      <formula>"value일 미도래"</formula>
    </cfRule>
  </conditionalFormatting>
  <conditionalFormatting sqref="M189">
    <cfRule type="cellIs" dxfId="4339" priority="15857" operator="equal">
      <formula>"value일 미도래"</formula>
    </cfRule>
  </conditionalFormatting>
  <conditionalFormatting sqref="M189">
    <cfRule type="cellIs" dxfId="4338" priority="15856" operator="equal">
      <formula>"value일 미도래"</formula>
    </cfRule>
  </conditionalFormatting>
  <conditionalFormatting sqref="M189">
    <cfRule type="cellIs" dxfId="4337" priority="15855" operator="equal">
      <formula>"value일 미도래"</formula>
    </cfRule>
  </conditionalFormatting>
  <conditionalFormatting sqref="M189">
    <cfRule type="cellIs" dxfId="4336" priority="15854" operator="equal">
      <formula>"value일 미도래"</formula>
    </cfRule>
  </conditionalFormatting>
  <conditionalFormatting sqref="M189">
    <cfRule type="cellIs" dxfId="4335" priority="15853" operator="equal">
      <formula>"value일 미도래"</formula>
    </cfRule>
  </conditionalFormatting>
  <conditionalFormatting sqref="M189">
    <cfRule type="cellIs" dxfId="4334" priority="15834" operator="equal">
      <formula>"value일 미도래"</formula>
    </cfRule>
  </conditionalFormatting>
  <conditionalFormatting sqref="M189">
    <cfRule type="cellIs" dxfId="4333" priority="15832" operator="equal">
      <formula>"value일 미도래"</formula>
    </cfRule>
  </conditionalFormatting>
  <conditionalFormatting sqref="M189">
    <cfRule type="cellIs" dxfId="4332" priority="15831" operator="equal">
      <formula>"value일 미도래"</formula>
    </cfRule>
  </conditionalFormatting>
  <conditionalFormatting sqref="M189">
    <cfRule type="cellIs" dxfId="4331" priority="15830" operator="equal">
      <formula>"value일 미도래"</formula>
    </cfRule>
  </conditionalFormatting>
  <conditionalFormatting sqref="M189">
    <cfRule type="cellIs" dxfId="4330" priority="15829" operator="equal">
      <formula>"value일 미도래"</formula>
    </cfRule>
  </conditionalFormatting>
  <conditionalFormatting sqref="M189">
    <cfRule type="cellIs" dxfId="4329" priority="15828" operator="equal">
      <formula>"value일 미도래"</formula>
    </cfRule>
  </conditionalFormatting>
  <conditionalFormatting sqref="M189">
    <cfRule type="cellIs" dxfId="4328" priority="15795" operator="equal">
      <formula>"value일 미도래"</formula>
    </cfRule>
  </conditionalFormatting>
  <conditionalFormatting sqref="M189">
    <cfRule type="cellIs" dxfId="4327" priority="15793" operator="equal">
      <formula>"value일 미도래"</formula>
    </cfRule>
  </conditionalFormatting>
  <conditionalFormatting sqref="M189">
    <cfRule type="cellIs" dxfId="4326" priority="15792" operator="equal">
      <formula>"value일 미도래"</formula>
    </cfRule>
  </conditionalFormatting>
  <conditionalFormatting sqref="M189">
    <cfRule type="cellIs" dxfId="4325" priority="15791" operator="equal">
      <formula>"value일 미도래"</formula>
    </cfRule>
  </conditionalFormatting>
  <conditionalFormatting sqref="M189">
    <cfRule type="cellIs" dxfId="4324" priority="15790" operator="equal">
      <formula>"value일 미도래"</formula>
    </cfRule>
  </conditionalFormatting>
  <conditionalFormatting sqref="M189">
    <cfRule type="cellIs" dxfId="4323" priority="15789" operator="equal">
      <formula>"value일 미도래"</formula>
    </cfRule>
  </conditionalFormatting>
  <conditionalFormatting sqref="M189">
    <cfRule type="cellIs" dxfId="4322" priority="15756" operator="equal">
      <formula>"value일 미도래"</formula>
    </cfRule>
  </conditionalFormatting>
  <conditionalFormatting sqref="M189">
    <cfRule type="cellIs" dxfId="4321" priority="15754" operator="equal">
      <formula>"value일 미도래"</formula>
    </cfRule>
  </conditionalFormatting>
  <conditionalFormatting sqref="M189">
    <cfRule type="cellIs" dxfId="4320" priority="15753" operator="equal">
      <formula>"value일 미도래"</formula>
    </cfRule>
  </conditionalFormatting>
  <conditionalFormatting sqref="M189">
    <cfRule type="cellIs" dxfId="4319" priority="15752" operator="equal">
      <formula>"value일 미도래"</formula>
    </cfRule>
  </conditionalFormatting>
  <conditionalFormatting sqref="M189">
    <cfRule type="cellIs" dxfId="4318" priority="15751" operator="equal">
      <formula>"value일 미도래"</formula>
    </cfRule>
  </conditionalFormatting>
  <conditionalFormatting sqref="M189">
    <cfRule type="cellIs" dxfId="4317" priority="15750" operator="equal">
      <formula>"value일 미도래"</formula>
    </cfRule>
  </conditionalFormatting>
  <conditionalFormatting sqref="M189">
    <cfRule type="cellIs" dxfId="4316" priority="15586" operator="equal">
      <formula>"value일 미도래"</formula>
    </cfRule>
  </conditionalFormatting>
  <conditionalFormatting sqref="M189">
    <cfRule type="cellIs" dxfId="4315" priority="15584" operator="equal">
      <formula>"value일 미도래"</formula>
    </cfRule>
  </conditionalFormatting>
  <conditionalFormatting sqref="M189">
    <cfRule type="cellIs" dxfId="4314" priority="15583" operator="equal">
      <formula>"value일 미도래"</formula>
    </cfRule>
  </conditionalFormatting>
  <conditionalFormatting sqref="M189">
    <cfRule type="cellIs" dxfId="4313" priority="15582" operator="equal">
      <formula>"value일 미도래"</formula>
    </cfRule>
  </conditionalFormatting>
  <conditionalFormatting sqref="M189">
    <cfRule type="cellIs" dxfId="4312" priority="15581" operator="equal">
      <formula>"value일 미도래"</formula>
    </cfRule>
  </conditionalFormatting>
  <conditionalFormatting sqref="M189">
    <cfRule type="cellIs" dxfId="4311" priority="15580" operator="equal">
      <formula>"value일 미도래"</formula>
    </cfRule>
  </conditionalFormatting>
  <conditionalFormatting sqref="M189">
    <cfRule type="cellIs" dxfId="4310" priority="15444" operator="equal">
      <formula>"value일 미도래"</formula>
    </cfRule>
  </conditionalFormatting>
  <conditionalFormatting sqref="M189">
    <cfRule type="cellIs" dxfId="4309" priority="15442" operator="equal">
      <formula>"value일 미도래"</formula>
    </cfRule>
  </conditionalFormatting>
  <conditionalFormatting sqref="M189">
    <cfRule type="cellIs" dxfId="4308" priority="15441" operator="equal">
      <formula>"value일 미도래"</formula>
    </cfRule>
  </conditionalFormatting>
  <conditionalFormatting sqref="M189">
    <cfRule type="cellIs" dxfId="4307" priority="15440" operator="equal">
      <formula>"value일 미도래"</formula>
    </cfRule>
  </conditionalFormatting>
  <conditionalFormatting sqref="M189">
    <cfRule type="cellIs" dxfId="4306" priority="15439" operator="equal">
      <formula>"value일 미도래"</formula>
    </cfRule>
  </conditionalFormatting>
  <conditionalFormatting sqref="M189">
    <cfRule type="cellIs" dxfId="4305" priority="15438" operator="equal">
      <formula>"value일 미도래"</formula>
    </cfRule>
  </conditionalFormatting>
  <conditionalFormatting sqref="M189">
    <cfRule type="cellIs" dxfId="4304" priority="15405" operator="equal">
      <formula>"value일 미도래"</formula>
    </cfRule>
  </conditionalFormatting>
  <conditionalFormatting sqref="M189">
    <cfRule type="cellIs" dxfId="4303" priority="15403" operator="equal">
      <formula>"value일 미도래"</formula>
    </cfRule>
  </conditionalFormatting>
  <conditionalFormatting sqref="M189">
    <cfRule type="cellIs" dxfId="4302" priority="15402" operator="equal">
      <formula>"value일 미도래"</formula>
    </cfRule>
  </conditionalFormatting>
  <conditionalFormatting sqref="M189">
    <cfRule type="cellIs" dxfId="4301" priority="15401" operator="equal">
      <formula>"value일 미도래"</formula>
    </cfRule>
  </conditionalFormatting>
  <conditionalFormatting sqref="M189">
    <cfRule type="cellIs" dxfId="4300" priority="15400" operator="equal">
      <formula>"value일 미도래"</formula>
    </cfRule>
  </conditionalFormatting>
  <conditionalFormatting sqref="M189">
    <cfRule type="cellIs" dxfId="4299" priority="15399" operator="equal">
      <formula>"value일 미도래"</formula>
    </cfRule>
  </conditionalFormatting>
  <conditionalFormatting sqref="M189">
    <cfRule type="cellIs" dxfId="4298" priority="15301" operator="equal">
      <formula>"value일 미도래"</formula>
    </cfRule>
  </conditionalFormatting>
  <conditionalFormatting sqref="M189">
    <cfRule type="cellIs" dxfId="4297" priority="15299" operator="equal">
      <formula>"value일 미도래"</formula>
    </cfRule>
  </conditionalFormatting>
  <conditionalFormatting sqref="M189">
    <cfRule type="cellIs" dxfId="4296" priority="15298" operator="equal">
      <formula>"value일 미도래"</formula>
    </cfRule>
  </conditionalFormatting>
  <conditionalFormatting sqref="M189">
    <cfRule type="cellIs" dxfId="4295" priority="15297" operator="equal">
      <formula>"value일 미도래"</formula>
    </cfRule>
  </conditionalFormatting>
  <conditionalFormatting sqref="M189">
    <cfRule type="cellIs" dxfId="4294" priority="15296" operator="equal">
      <formula>"value일 미도래"</formula>
    </cfRule>
  </conditionalFormatting>
  <conditionalFormatting sqref="M189">
    <cfRule type="cellIs" dxfId="4293" priority="15295" operator="equal">
      <formula>"value일 미도래"</formula>
    </cfRule>
  </conditionalFormatting>
  <conditionalFormatting sqref="M189">
    <cfRule type="cellIs" dxfId="4292" priority="15262" operator="equal">
      <formula>"value일 미도래"</formula>
    </cfRule>
  </conditionalFormatting>
  <conditionalFormatting sqref="M189">
    <cfRule type="cellIs" dxfId="4291" priority="15260" operator="equal">
      <formula>"value일 미도래"</formula>
    </cfRule>
  </conditionalFormatting>
  <conditionalFormatting sqref="M189">
    <cfRule type="cellIs" dxfId="4290" priority="15259" operator="equal">
      <formula>"value일 미도래"</formula>
    </cfRule>
  </conditionalFormatting>
  <conditionalFormatting sqref="M189">
    <cfRule type="cellIs" dxfId="4289" priority="15258" operator="equal">
      <formula>"value일 미도래"</formula>
    </cfRule>
  </conditionalFormatting>
  <conditionalFormatting sqref="M189">
    <cfRule type="cellIs" dxfId="4288" priority="15257" operator="equal">
      <formula>"value일 미도래"</formula>
    </cfRule>
  </conditionalFormatting>
  <conditionalFormatting sqref="M189">
    <cfRule type="cellIs" dxfId="4287" priority="15256" operator="equal">
      <formula>"value일 미도래"</formula>
    </cfRule>
  </conditionalFormatting>
  <conditionalFormatting sqref="M189">
    <cfRule type="cellIs" dxfId="4286" priority="15223" operator="equal">
      <formula>"value일 미도래"</formula>
    </cfRule>
  </conditionalFormatting>
  <conditionalFormatting sqref="M189">
    <cfRule type="cellIs" dxfId="4285" priority="15221" operator="equal">
      <formula>"value일 미도래"</formula>
    </cfRule>
  </conditionalFormatting>
  <conditionalFormatting sqref="M189">
    <cfRule type="cellIs" dxfId="4284" priority="15220" operator="equal">
      <formula>"value일 미도래"</formula>
    </cfRule>
  </conditionalFormatting>
  <conditionalFormatting sqref="M189">
    <cfRule type="cellIs" dxfId="4283" priority="15219" operator="equal">
      <formula>"value일 미도래"</formula>
    </cfRule>
  </conditionalFormatting>
  <conditionalFormatting sqref="M189">
    <cfRule type="cellIs" dxfId="4282" priority="15218" operator="equal">
      <formula>"value일 미도래"</formula>
    </cfRule>
  </conditionalFormatting>
  <conditionalFormatting sqref="M189">
    <cfRule type="cellIs" dxfId="4281" priority="15217" operator="equal">
      <formula>"value일 미도래"</formula>
    </cfRule>
  </conditionalFormatting>
  <conditionalFormatting sqref="M189">
    <cfRule type="cellIs" dxfId="4280" priority="15120" operator="equal">
      <formula>"value일 미도래"</formula>
    </cfRule>
  </conditionalFormatting>
  <conditionalFormatting sqref="M189">
    <cfRule type="cellIs" dxfId="4279" priority="15118" operator="equal">
      <formula>"value일 미도래"</formula>
    </cfRule>
  </conditionalFormatting>
  <conditionalFormatting sqref="M189">
    <cfRule type="cellIs" dxfId="4278" priority="15117" operator="equal">
      <formula>"value일 미도래"</formula>
    </cfRule>
  </conditionalFormatting>
  <conditionalFormatting sqref="M189">
    <cfRule type="cellIs" dxfId="4277" priority="15116" operator="equal">
      <formula>"value일 미도래"</formula>
    </cfRule>
  </conditionalFormatting>
  <conditionalFormatting sqref="M189">
    <cfRule type="cellIs" dxfId="4276" priority="15115" operator="equal">
      <formula>"value일 미도래"</formula>
    </cfRule>
  </conditionalFormatting>
  <conditionalFormatting sqref="M189">
    <cfRule type="cellIs" dxfId="4275" priority="15114" operator="equal">
      <formula>"value일 미도래"</formula>
    </cfRule>
  </conditionalFormatting>
  <conditionalFormatting sqref="M189">
    <cfRule type="cellIs" dxfId="4274" priority="14939" operator="equal">
      <formula>"value일 미도래"</formula>
    </cfRule>
  </conditionalFormatting>
  <conditionalFormatting sqref="M189">
    <cfRule type="cellIs" dxfId="4273" priority="14937" operator="equal">
      <formula>"value일 미도래"</formula>
    </cfRule>
  </conditionalFormatting>
  <conditionalFormatting sqref="M189">
    <cfRule type="cellIs" dxfId="4272" priority="14936" operator="equal">
      <formula>"value일 미도래"</formula>
    </cfRule>
  </conditionalFormatting>
  <conditionalFormatting sqref="M189">
    <cfRule type="cellIs" dxfId="4271" priority="14935" operator="equal">
      <formula>"value일 미도래"</formula>
    </cfRule>
  </conditionalFormatting>
  <conditionalFormatting sqref="M189">
    <cfRule type="cellIs" dxfId="4270" priority="14934" operator="equal">
      <formula>"value일 미도래"</formula>
    </cfRule>
  </conditionalFormatting>
  <conditionalFormatting sqref="M189">
    <cfRule type="cellIs" dxfId="4269" priority="14933" operator="equal">
      <formula>"value일 미도래"</formula>
    </cfRule>
  </conditionalFormatting>
  <conditionalFormatting sqref="M189">
    <cfRule type="cellIs" dxfId="4268" priority="14872" operator="equal">
      <formula>"value일 미도래"</formula>
    </cfRule>
  </conditionalFormatting>
  <conditionalFormatting sqref="M189">
    <cfRule type="cellIs" dxfId="4267" priority="14870" operator="equal">
      <formula>"value일 미도래"</formula>
    </cfRule>
  </conditionalFormatting>
  <conditionalFormatting sqref="M189">
    <cfRule type="cellIs" dxfId="4266" priority="14869" operator="equal">
      <formula>"value일 미도래"</formula>
    </cfRule>
  </conditionalFormatting>
  <conditionalFormatting sqref="M189">
    <cfRule type="cellIs" dxfId="4265" priority="14868" operator="equal">
      <formula>"value일 미도래"</formula>
    </cfRule>
  </conditionalFormatting>
  <conditionalFormatting sqref="M189">
    <cfRule type="cellIs" dxfId="4264" priority="14867" operator="equal">
      <formula>"value일 미도래"</formula>
    </cfRule>
  </conditionalFormatting>
  <conditionalFormatting sqref="M189">
    <cfRule type="cellIs" dxfId="4263" priority="14866" operator="equal">
      <formula>"value일 미도래"</formula>
    </cfRule>
  </conditionalFormatting>
  <conditionalFormatting sqref="M189">
    <cfRule type="cellIs" dxfId="4262" priority="14847" operator="equal">
      <formula>"value일 미도래"</formula>
    </cfRule>
  </conditionalFormatting>
  <conditionalFormatting sqref="M189">
    <cfRule type="cellIs" dxfId="4261" priority="14845" operator="equal">
      <formula>"value일 미도래"</formula>
    </cfRule>
  </conditionalFormatting>
  <conditionalFormatting sqref="M189">
    <cfRule type="cellIs" dxfId="4260" priority="14844" operator="equal">
      <formula>"value일 미도래"</formula>
    </cfRule>
  </conditionalFormatting>
  <conditionalFormatting sqref="M189">
    <cfRule type="cellIs" dxfId="4259" priority="14843" operator="equal">
      <formula>"value일 미도래"</formula>
    </cfRule>
  </conditionalFormatting>
  <conditionalFormatting sqref="M189">
    <cfRule type="cellIs" dxfId="4258" priority="14842" operator="equal">
      <formula>"value일 미도래"</formula>
    </cfRule>
  </conditionalFormatting>
  <conditionalFormatting sqref="M189">
    <cfRule type="cellIs" dxfId="4257" priority="14841" operator="equal">
      <formula>"value일 미도래"</formula>
    </cfRule>
  </conditionalFormatting>
  <conditionalFormatting sqref="M189">
    <cfRule type="cellIs" dxfId="4256" priority="14769" operator="equal">
      <formula>"value일 미도래"</formula>
    </cfRule>
  </conditionalFormatting>
  <conditionalFormatting sqref="M189">
    <cfRule type="cellIs" dxfId="4255" priority="14767" operator="equal">
      <formula>"value일 미도래"</formula>
    </cfRule>
  </conditionalFormatting>
  <conditionalFormatting sqref="M189">
    <cfRule type="cellIs" dxfId="4254" priority="14766" operator="equal">
      <formula>"value일 미도래"</formula>
    </cfRule>
  </conditionalFormatting>
  <conditionalFormatting sqref="M189">
    <cfRule type="cellIs" dxfId="4253" priority="14765" operator="equal">
      <formula>"value일 미도래"</formula>
    </cfRule>
  </conditionalFormatting>
  <conditionalFormatting sqref="M189">
    <cfRule type="cellIs" dxfId="4252" priority="14764" operator="equal">
      <formula>"value일 미도래"</formula>
    </cfRule>
  </conditionalFormatting>
  <conditionalFormatting sqref="M189">
    <cfRule type="cellIs" dxfId="4251" priority="14763" operator="equal">
      <formula>"value일 미도래"</formula>
    </cfRule>
  </conditionalFormatting>
  <conditionalFormatting sqref="M189">
    <cfRule type="cellIs" dxfId="4250" priority="14730" operator="equal">
      <formula>"value일 미도래"</formula>
    </cfRule>
  </conditionalFormatting>
  <conditionalFormatting sqref="M189">
    <cfRule type="cellIs" dxfId="4249" priority="14728" operator="equal">
      <formula>"value일 미도래"</formula>
    </cfRule>
  </conditionalFormatting>
  <conditionalFormatting sqref="M189">
    <cfRule type="cellIs" dxfId="4248" priority="14727" operator="equal">
      <formula>"value일 미도래"</formula>
    </cfRule>
  </conditionalFormatting>
  <conditionalFormatting sqref="M189">
    <cfRule type="cellIs" dxfId="4247" priority="14726" operator="equal">
      <formula>"value일 미도래"</formula>
    </cfRule>
  </conditionalFormatting>
  <conditionalFormatting sqref="M189">
    <cfRule type="cellIs" dxfId="4246" priority="14725" operator="equal">
      <formula>"value일 미도래"</formula>
    </cfRule>
  </conditionalFormatting>
  <conditionalFormatting sqref="M189">
    <cfRule type="cellIs" dxfId="4245" priority="14724" operator="equal">
      <formula>"value일 미도래"</formula>
    </cfRule>
  </conditionalFormatting>
  <conditionalFormatting sqref="M189">
    <cfRule type="cellIs" dxfId="4244" priority="14691" operator="equal">
      <formula>"value일 미도래"</formula>
    </cfRule>
  </conditionalFormatting>
  <conditionalFormatting sqref="M189">
    <cfRule type="cellIs" dxfId="4243" priority="14689" operator="equal">
      <formula>"value일 미도래"</formula>
    </cfRule>
  </conditionalFormatting>
  <conditionalFormatting sqref="M189">
    <cfRule type="cellIs" dxfId="4242" priority="14688" operator="equal">
      <formula>"value일 미도래"</formula>
    </cfRule>
  </conditionalFormatting>
  <conditionalFormatting sqref="M189">
    <cfRule type="cellIs" dxfId="4241" priority="14687" operator="equal">
      <formula>"value일 미도래"</formula>
    </cfRule>
  </conditionalFormatting>
  <conditionalFormatting sqref="M189">
    <cfRule type="cellIs" dxfId="4240" priority="14686" operator="equal">
      <formula>"value일 미도래"</formula>
    </cfRule>
  </conditionalFormatting>
  <conditionalFormatting sqref="M189">
    <cfRule type="cellIs" dxfId="4239" priority="14685" operator="equal">
      <formula>"value일 미도래"</formula>
    </cfRule>
  </conditionalFormatting>
  <conditionalFormatting sqref="M189">
    <cfRule type="cellIs" dxfId="4238" priority="14588" operator="equal">
      <formula>"value일 미도래"</formula>
    </cfRule>
  </conditionalFormatting>
  <conditionalFormatting sqref="M189">
    <cfRule type="cellIs" dxfId="4237" priority="14586" operator="equal">
      <formula>"value일 미도래"</formula>
    </cfRule>
  </conditionalFormatting>
  <conditionalFormatting sqref="M189">
    <cfRule type="cellIs" dxfId="4236" priority="14585" operator="equal">
      <formula>"value일 미도래"</formula>
    </cfRule>
  </conditionalFormatting>
  <conditionalFormatting sqref="M189">
    <cfRule type="cellIs" dxfId="4235" priority="14584" operator="equal">
      <formula>"value일 미도래"</formula>
    </cfRule>
  </conditionalFormatting>
  <conditionalFormatting sqref="M189">
    <cfRule type="cellIs" dxfId="4234" priority="14583" operator="equal">
      <formula>"value일 미도래"</formula>
    </cfRule>
  </conditionalFormatting>
  <conditionalFormatting sqref="M189">
    <cfRule type="cellIs" dxfId="4233" priority="14582" operator="equal">
      <formula>"value일 미도래"</formula>
    </cfRule>
  </conditionalFormatting>
  <conditionalFormatting sqref="M189">
    <cfRule type="cellIs" dxfId="4232" priority="14549" operator="equal">
      <formula>"value일 미도래"</formula>
    </cfRule>
  </conditionalFormatting>
  <conditionalFormatting sqref="M189">
    <cfRule type="cellIs" dxfId="4231" priority="14547" operator="equal">
      <formula>"value일 미도래"</formula>
    </cfRule>
  </conditionalFormatting>
  <conditionalFormatting sqref="M189">
    <cfRule type="cellIs" dxfId="4230" priority="14546" operator="equal">
      <formula>"value일 미도래"</formula>
    </cfRule>
  </conditionalFormatting>
  <conditionalFormatting sqref="M189">
    <cfRule type="cellIs" dxfId="4229" priority="14545" operator="equal">
      <formula>"value일 미도래"</formula>
    </cfRule>
  </conditionalFormatting>
  <conditionalFormatting sqref="M189">
    <cfRule type="cellIs" dxfId="4228" priority="14544" operator="equal">
      <formula>"value일 미도래"</formula>
    </cfRule>
  </conditionalFormatting>
  <conditionalFormatting sqref="M189">
    <cfRule type="cellIs" dxfId="4227" priority="14543" operator="equal">
      <formula>"value일 미도래"</formula>
    </cfRule>
  </conditionalFormatting>
  <conditionalFormatting sqref="M189">
    <cfRule type="cellIs" dxfId="4226" priority="14496" operator="equal">
      <formula>"value일 미도래"</formula>
    </cfRule>
  </conditionalFormatting>
  <conditionalFormatting sqref="M189">
    <cfRule type="cellIs" dxfId="4225" priority="14494" operator="equal">
      <formula>"value일 미도래"</formula>
    </cfRule>
  </conditionalFormatting>
  <conditionalFormatting sqref="M189">
    <cfRule type="cellIs" dxfId="4224" priority="14493" operator="equal">
      <formula>"value일 미도래"</formula>
    </cfRule>
  </conditionalFormatting>
  <conditionalFormatting sqref="M189">
    <cfRule type="cellIs" dxfId="4223" priority="14492" operator="equal">
      <formula>"value일 미도래"</formula>
    </cfRule>
  </conditionalFormatting>
  <conditionalFormatting sqref="M189">
    <cfRule type="cellIs" dxfId="4222" priority="14491" operator="equal">
      <formula>"value일 미도래"</formula>
    </cfRule>
  </conditionalFormatting>
  <conditionalFormatting sqref="M189">
    <cfRule type="cellIs" dxfId="4221" priority="14490" operator="equal">
      <formula>"value일 미도래"</formula>
    </cfRule>
  </conditionalFormatting>
  <conditionalFormatting sqref="M189">
    <cfRule type="cellIs" dxfId="4220" priority="14471" operator="equal">
      <formula>"value일 미도래"</formula>
    </cfRule>
  </conditionalFormatting>
  <conditionalFormatting sqref="M189">
    <cfRule type="cellIs" dxfId="4219" priority="14469" operator="equal">
      <formula>"value일 미도래"</formula>
    </cfRule>
  </conditionalFormatting>
  <conditionalFormatting sqref="M189">
    <cfRule type="cellIs" dxfId="4218" priority="14468" operator="equal">
      <formula>"value일 미도래"</formula>
    </cfRule>
  </conditionalFormatting>
  <conditionalFormatting sqref="M189">
    <cfRule type="cellIs" dxfId="4217" priority="14467" operator="equal">
      <formula>"value일 미도래"</formula>
    </cfRule>
  </conditionalFormatting>
  <conditionalFormatting sqref="M189">
    <cfRule type="cellIs" dxfId="4216" priority="14466" operator="equal">
      <formula>"value일 미도래"</formula>
    </cfRule>
  </conditionalFormatting>
  <conditionalFormatting sqref="M189">
    <cfRule type="cellIs" dxfId="4215" priority="14465" operator="equal">
      <formula>"value일 미도래"</formula>
    </cfRule>
  </conditionalFormatting>
  <conditionalFormatting sqref="M189">
    <cfRule type="cellIs" dxfId="4214" priority="14418" operator="equal">
      <formula>"value일 미도래"</formula>
    </cfRule>
  </conditionalFormatting>
  <conditionalFormatting sqref="M189">
    <cfRule type="cellIs" dxfId="4213" priority="14416" operator="equal">
      <formula>"value일 미도래"</formula>
    </cfRule>
  </conditionalFormatting>
  <conditionalFormatting sqref="M189">
    <cfRule type="cellIs" dxfId="4212" priority="14415" operator="equal">
      <formula>"value일 미도래"</formula>
    </cfRule>
  </conditionalFormatting>
  <conditionalFormatting sqref="M189">
    <cfRule type="cellIs" dxfId="4211" priority="14414" operator="equal">
      <formula>"value일 미도래"</formula>
    </cfRule>
  </conditionalFormatting>
  <conditionalFormatting sqref="M189">
    <cfRule type="cellIs" dxfId="4210" priority="14413" operator="equal">
      <formula>"value일 미도래"</formula>
    </cfRule>
  </conditionalFormatting>
  <conditionalFormatting sqref="M189">
    <cfRule type="cellIs" dxfId="4209" priority="14412" operator="equal">
      <formula>"value일 미도래"</formula>
    </cfRule>
  </conditionalFormatting>
  <conditionalFormatting sqref="M189">
    <cfRule type="cellIs" dxfId="4208" priority="14393" operator="equal">
      <formula>"value일 미도래"</formula>
    </cfRule>
  </conditionalFormatting>
  <conditionalFormatting sqref="M189">
    <cfRule type="cellIs" dxfId="4207" priority="14391" operator="equal">
      <formula>"value일 미도래"</formula>
    </cfRule>
  </conditionalFormatting>
  <conditionalFormatting sqref="M189">
    <cfRule type="cellIs" dxfId="4206" priority="14390" operator="equal">
      <formula>"value일 미도래"</formula>
    </cfRule>
  </conditionalFormatting>
  <conditionalFormatting sqref="M189">
    <cfRule type="cellIs" dxfId="4205" priority="14389" operator="equal">
      <formula>"value일 미도래"</formula>
    </cfRule>
  </conditionalFormatting>
  <conditionalFormatting sqref="M189">
    <cfRule type="cellIs" dxfId="4204" priority="14388" operator="equal">
      <formula>"value일 미도래"</formula>
    </cfRule>
  </conditionalFormatting>
  <conditionalFormatting sqref="M189">
    <cfRule type="cellIs" dxfId="4203" priority="14387" operator="equal">
      <formula>"value일 미도래"</formula>
    </cfRule>
  </conditionalFormatting>
  <conditionalFormatting sqref="M189">
    <cfRule type="cellIs" dxfId="4202" priority="14354" operator="equal">
      <formula>"value일 미도래"</formula>
    </cfRule>
  </conditionalFormatting>
  <conditionalFormatting sqref="M189">
    <cfRule type="cellIs" dxfId="4201" priority="14352" operator="equal">
      <formula>"value일 미도래"</formula>
    </cfRule>
  </conditionalFormatting>
  <conditionalFormatting sqref="M189">
    <cfRule type="cellIs" dxfId="4200" priority="14351" operator="equal">
      <formula>"value일 미도래"</formula>
    </cfRule>
  </conditionalFormatting>
  <conditionalFormatting sqref="M189">
    <cfRule type="cellIs" dxfId="4199" priority="14350" operator="equal">
      <formula>"value일 미도래"</formula>
    </cfRule>
  </conditionalFormatting>
  <conditionalFormatting sqref="M189">
    <cfRule type="cellIs" dxfId="4198" priority="14349" operator="equal">
      <formula>"value일 미도래"</formula>
    </cfRule>
  </conditionalFormatting>
  <conditionalFormatting sqref="M189">
    <cfRule type="cellIs" dxfId="4197" priority="14348" operator="equal">
      <formula>"value일 미도래"</formula>
    </cfRule>
  </conditionalFormatting>
  <conditionalFormatting sqref="M189">
    <cfRule type="cellIs" dxfId="4196" priority="14315" operator="equal">
      <formula>"value일 미도래"</formula>
    </cfRule>
  </conditionalFormatting>
  <conditionalFormatting sqref="M189">
    <cfRule type="cellIs" dxfId="4195" priority="14313" operator="equal">
      <formula>"value일 미도래"</formula>
    </cfRule>
  </conditionalFormatting>
  <conditionalFormatting sqref="M189">
    <cfRule type="cellIs" dxfId="4194" priority="14312" operator="equal">
      <formula>"value일 미도래"</formula>
    </cfRule>
  </conditionalFormatting>
  <conditionalFormatting sqref="M189">
    <cfRule type="cellIs" dxfId="4193" priority="14311" operator="equal">
      <formula>"value일 미도래"</formula>
    </cfRule>
  </conditionalFormatting>
  <conditionalFormatting sqref="M189">
    <cfRule type="cellIs" dxfId="4192" priority="14310" operator="equal">
      <formula>"value일 미도래"</formula>
    </cfRule>
  </conditionalFormatting>
  <conditionalFormatting sqref="M189">
    <cfRule type="cellIs" dxfId="4191" priority="14309" operator="equal">
      <formula>"value일 미도래"</formula>
    </cfRule>
  </conditionalFormatting>
  <conditionalFormatting sqref="M189">
    <cfRule type="cellIs" dxfId="4190" priority="14276" operator="equal">
      <formula>"value일 미도래"</formula>
    </cfRule>
  </conditionalFormatting>
  <conditionalFormatting sqref="M189">
    <cfRule type="cellIs" dxfId="4189" priority="14274" operator="equal">
      <formula>"value일 미도래"</formula>
    </cfRule>
  </conditionalFormatting>
  <conditionalFormatting sqref="M189">
    <cfRule type="cellIs" dxfId="4188" priority="14273" operator="equal">
      <formula>"value일 미도래"</formula>
    </cfRule>
  </conditionalFormatting>
  <conditionalFormatting sqref="M189">
    <cfRule type="cellIs" dxfId="4187" priority="14272" operator="equal">
      <formula>"value일 미도래"</formula>
    </cfRule>
  </conditionalFormatting>
  <conditionalFormatting sqref="M189">
    <cfRule type="cellIs" dxfId="4186" priority="14271" operator="equal">
      <formula>"value일 미도래"</formula>
    </cfRule>
  </conditionalFormatting>
  <conditionalFormatting sqref="M189">
    <cfRule type="cellIs" dxfId="4185" priority="14270" operator="equal">
      <formula>"value일 미도래"</formula>
    </cfRule>
  </conditionalFormatting>
  <conditionalFormatting sqref="M189">
    <cfRule type="cellIs" dxfId="4184" priority="14223" operator="equal">
      <formula>"value일 미도래"</formula>
    </cfRule>
  </conditionalFormatting>
  <conditionalFormatting sqref="M189">
    <cfRule type="cellIs" dxfId="4183" priority="14221" operator="equal">
      <formula>"value일 미도래"</formula>
    </cfRule>
  </conditionalFormatting>
  <conditionalFormatting sqref="M189">
    <cfRule type="cellIs" dxfId="4182" priority="14220" operator="equal">
      <formula>"value일 미도래"</formula>
    </cfRule>
  </conditionalFormatting>
  <conditionalFormatting sqref="M189">
    <cfRule type="cellIs" dxfId="4181" priority="14219" operator="equal">
      <formula>"value일 미도래"</formula>
    </cfRule>
  </conditionalFormatting>
  <conditionalFormatting sqref="M189">
    <cfRule type="cellIs" dxfId="4180" priority="14218" operator="equal">
      <formula>"value일 미도래"</formula>
    </cfRule>
  </conditionalFormatting>
  <conditionalFormatting sqref="M189">
    <cfRule type="cellIs" dxfId="4179" priority="14217" operator="equal">
      <formula>"value일 미도래"</formula>
    </cfRule>
  </conditionalFormatting>
  <conditionalFormatting sqref="M189">
    <cfRule type="cellIs" dxfId="4178" priority="14198" operator="equal">
      <formula>"value일 미도래"</formula>
    </cfRule>
  </conditionalFormatting>
  <conditionalFormatting sqref="M189">
    <cfRule type="cellIs" dxfId="4177" priority="14196" operator="equal">
      <formula>"value일 미도래"</formula>
    </cfRule>
  </conditionalFormatting>
  <conditionalFormatting sqref="M189">
    <cfRule type="cellIs" dxfId="4176" priority="14195" operator="equal">
      <formula>"value일 미도래"</formula>
    </cfRule>
  </conditionalFormatting>
  <conditionalFormatting sqref="M189">
    <cfRule type="cellIs" dxfId="4175" priority="14194" operator="equal">
      <formula>"value일 미도래"</formula>
    </cfRule>
  </conditionalFormatting>
  <conditionalFormatting sqref="M189">
    <cfRule type="cellIs" dxfId="4174" priority="14193" operator="equal">
      <formula>"value일 미도래"</formula>
    </cfRule>
  </conditionalFormatting>
  <conditionalFormatting sqref="M189">
    <cfRule type="cellIs" dxfId="4173" priority="14192" operator="equal">
      <formula>"value일 미도래"</formula>
    </cfRule>
  </conditionalFormatting>
  <conditionalFormatting sqref="M189">
    <cfRule type="cellIs" dxfId="4172" priority="14159" operator="equal">
      <formula>"value일 미도래"</formula>
    </cfRule>
  </conditionalFormatting>
  <conditionalFormatting sqref="M189">
    <cfRule type="cellIs" dxfId="4171" priority="14157" operator="equal">
      <formula>"value일 미도래"</formula>
    </cfRule>
  </conditionalFormatting>
  <conditionalFormatting sqref="M189">
    <cfRule type="cellIs" dxfId="4170" priority="14156" operator="equal">
      <formula>"value일 미도래"</formula>
    </cfRule>
  </conditionalFormatting>
  <conditionalFormatting sqref="M189">
    <cfRule type="cellIs" dxfId="4169" priority="14155" operator="equal">
      <formula>"value일 미도래"</formula>
    </cfRule>
  </conditionalFormatting>
  <conditionalFormatting sqref="M189">
    <cfRule type="cellIs" dxfId="4168" priority="14154" operator="equal">
      <formula>"value일 미도래"</formula>
    </cfRule>
  </conditionalFormatting>
  <conditionalFormatting sqref="M189">
    <cfRule type="cellIs" dxfId="4167" priority="14153" operator="equal">
      <formula>"value일 미도래"</formula>
    </cfRule>
  </conditionalFormatting>
  <conditionalFormatting sqref="M189">
    <cfRule type="cellIs" dxfId="4166" priority="14056" operator="equal">
      <formula>"value일 미도래"</formula>
    </cfRule>
  </conditionalFormatting>
  <conditionalFormatting sqref="M189">
    <cfRule type="cellIs" dxfId="4165" priority="14054" operator="equal">
      <formula>"value일 미도래"</formula>
    </cfRule>
  </conditionalFormatting>
  <conditionalFormatting sqref="M189">
    <cfRule type="cellIs" dxfId="4164" priority="14053" operator="equal">
      <formula>"value일 미도래"</formula>
    </cfRule>
  </conditionalFormatting>
  <conditionalFormatting sqref="M189">
    <cfRule type="cellIs" dxfId="4163" priority="14052" operator="equal">
      <formula>"value일 미도래"</formula>
    </cfRule>
  </conditionalFormatting>
  <conditionalFormatting sqref="M189">
    <cfRule type="cellIs" dxfId="4162" priority="14051" operator="equal">
      <formula>"value일 미도래"</formula>
    </cfRule>
  </conditionalFormatting>
  <conditionalFormatting sqref="M189">
    <cfRule type="cellIs" dxfId="4161" priority="14050" operator="equal">
      <formula>"value일 미도래"</formula>
    </cfRule>
  </conditionalFormatting>
  <conditionalFormatting sqref="M189">
    <cfRule type="cellIs" dxfId="4160" priority="13655" operator="equal">
      <formula>"value일 미도래"</formula>
    </cfRule>
  </conditionalFormatting>
  <conditionalFormatting sqref="M189">
    <cfRule type="cellIs" dxfId="4159" priority="13653" operator="equal">
      <formula>"value일 미도래"</formula>
    </cfRule>
  </conditionalFormatting>
  <conditionalFormatting sqref="M189">
    <cfRule type="cellIs" dxfId="4158" priority="13652" operator="equal">
      <formula>"value일 미도래"</formula>
    </cfRule>
  </conditionalFormatting>
  <conditionalFormatting sqref="M189">
    <cfRule type="cellIs" dxfId="4157" priority="13651" operator="equal">
      <formula>"value일 미도래"</formula>
    </cfRule>
  </conditionalFormatting>
  <conditionalFormatting sqref="M189">
    <cfRule type="cellIs" dxfId="4156" priority="13650" operator="equal">
      <formula>"value일 미도래"</formula>
    </cfRule>
  </conditionalFormatting>
  <conditionalFormatting sqref="M189">
    <cfRule type="cellIs" dxfId="4155" priority="13649" operator="equal">
      <formula>"value일 미도래"</formula>
    </cfRule>
  </conditionalFormatting>
  <conditionalFormatting sqref="M189">
    <cfRule type="cellIs" dxfId="4154" priority="13616" operator="equal">
      <formula>"value일 미도래"</formula>
    </cfRule>
  </conditionalFormatting>
  <conditionalFormatting sqref="M189">
    <cfRule type="cellIs" dxfId="4153" priority="13614" operator="equal">
      <formula>"value일 미도래"</formula>
    </cfRule>
  </conditionalFormatting>
  <conditionalFormatting sqref="M189">
    <cfRule type="cellIs" dxfId="4152" priority="13613" operator="equal">
      <formula>"value일 미도래"</formula>
    </cfRule>
  </conditionalFormatting>
  <conditionalFormatting sqref="M189">
    <cfRule type="cellIs" dxfId="4151" priority="13612" operator="equal">
      <formula>"value일 미도래"</formula>
    </cfRule>
  </conditionalFormatting>
  <conditionalFormatting sqref="M189">
    <cfRule type="cellIs" dxfId="4150" priority="13611" operator="equal">
      <formula>"value일 미도래"</formula>
    </cfRule>
  </conditionalFormatting>
  <conditionalFormatting sqref="M189">
    <cfRule type="cellIs" dxfId="4149" priority="13610" operator="equal">
      <formula>"value일 미도래"</formula>
    </cfRule>
  </conditionalFormatting>
  <conditionalFormatting sqref="M189">
    <cfRule type="cellIs" dxfId="4148" priority="13577" operator="equal">
      <formula>"value일 미도래"</formula>
    </cfRule>
  </conditionalFormatting>
  <conditionalFormatting sqref="M189">
    <cfRule type="cellIs" dxfId="4147" priority="13575" operator="equal">
      <formula>"value일 미도래"</formula>
    </cfRule>
  </conditionalFormatting>
  <conditionalFormatting sqref="M189">
    <cfRule type="cellIs" dxfId="4146" priority="13574" operator="equal">
      <formula>"value일 미도래"</formula>
    </cfRule>
  </conditionalFormatting>
  <conditionalFormatting sqref="M189">
    <cfRule type="cellIs" dxfId="4145" priority="13573" operator="equal">
      <formula>"value일 미도래"</formula>
    </cfRule>
  </conditionalFormatting>
  <conditionalFormatting sqref="M189">
    <cfRule type="cellIs" dxfId="4144" priority="13572" operator="equal">
      <formula>"value일 미도래"</formula>
    </cfRule>
  </conditionalFormatting>
  <conditionalFormatting sqref="M189">
    <cfRule type="cellIs" dxfId="4143" priority="13571" operator="equal">
      <formula>"value일 미도래"</formula>
    </cfRule>
  </conditionalFormatting>
  <conditionalFormatting sqref="M189">
    <cfRule type="cellIs" dxfId="4142" priority="13474" operator="equal">
      <formula>"value일 미도래"</formula>
    </cfRule>
  </conditionalFormatting>
  <conditionalFormatting sqref="M189">
    <cfRule type="cellIs" dxfId="4141" priority="13472" operator="equal">
      <formula>"value일 미도래"</formula>
    </cfRule>
  </conditionalFormatting>
  <conditionalFormatting sqref="M189">
    <cfRule type="cellIs" dxfId="4140" priority="13471" operator="equal">
      <formula>"value일 미도래"</formula>
    </cfRule>
  </conditionalFormatting>
  <conditionalFormatting sqref="M189">
    <cfRule type="cellIs" dxfId="4139" priority="13470" operator="equal">
      <formula>"value일 미도래"</formula>
    </cfRule>
  </conditionalFormatting>
  <conditionalFormatting sqref="M189">
    <cfRule type="cellIs" dxfId="4138" priority="13469" operator="equal">
      <formula>"value일 미도래"</formula>
    </cfRule>
  </conditionalFormatting>
  <conditionalFormatting sqref="M189">
    <cfRule type="cellIs" dxfId="4137" priority="13468" operator="equal">
      <formula>"value일 미도래"</formula>
    </cfRule>
  </conditionalFormatting>
  <conditionalFormatting sqref="M189">
    <cfRule type="cellIs" dxfId="4136" priority="13293" operator="equal">
      <formula>"value일 미도래"</formula>
    </cfRule>
  </conditionalFormatting>
  <conditionalFormatting sqref="M189">
    <cfRule type="cellIs" dxfId="4135" priority="13291" operator="equal">
      <formula>"value일 미도래"</formula>
    </cfRule>
  </conditionalFormatting>
  <conditionalFormatting sqref="M189">
    <cfRule type="cellIs" dxfId="4134" priority="13290" operator="equal">
      <formula>"value일 미도래"</formula>
    </cfRule>
  </conditionalFormatting>
  <conditionalFormatting sqref="M189">
    <cfRule type="cellIs" dxfId="4133" priority="13289" operator="equal">
      <formula>"value일 미도래"</formula>
    </cfRule>
  </conditionalFormatting>
  <conditionalFormatting sqref="M189">
    <cfRule type="cellIs" dxfId="4132" priority="13288" operator="equal">
      <formula>"value일 미도래"</formula>
    </cfRule>
  </conditionalFormatting>
  <conditionalFormatting sqref="M189">
    <cfRule type="cellIs" dxfId="4131" priority="13287" operator="equal">
      <formula>"value일 미도래"</formula>
    </cfRule>
  </conditionalFormatting>
  <conditionalFormatting sqref="M189">
    <cfRule type="cellIs" dxfId="4130" priority="13226" operator="equal">
      <formula>"value일 미도래"</formula>
    </cfRule>
  </conditionalFormatting>
  <conditionalFormatting sqref="M189">
    <cfRule type="cellIs" dxfId="4129" priority="13224" operator="equal">
      <formula>"value일 미도래"</formula>
    </cfRule>
  </conditionalFormatting>
  <conditionalFormatting sqref="M189">
    <cfRule type="cellIs" dxfId="4128" priority="13223" operator="equal">
      <formula>"value일 미도래"</formula>
    </cfRule>
  </conditionalFormatting>
  <conditionalFormatting sqref="M189">
    <cfRule type="cellIs" dxfId="4127" priority="13222" operator="equal">
      <formula>"value일 미도래"</formula>
    </cfRule>
  </conditionalFormatting>
  <conditionalFormatting sqref="M189">
    <cfRule type="cellIs" dxfId="4126" priority="13221" operator="equal">
      <formula>"value일 미도래"</formula>
    </cfRule>
  </conditionalFormatting>
  <conditionalFormatting sqref="M189">
    <cfRule type="cellIs" dxfId="4125" priority="13220" operator="equal">
      <formula>"value일 미도래"</formula>
    </cfRule>
  </conditionalFormatting>
  <conditionalFormatting sqref="M189">
    <cfRule type="cellIs" dxfId="4124" priority="13201" operator="equal">
      <formula>"value일 미도래"</formula>
    </cfRule>
  </conditionalFormatting>
  <conditionalFormatting sqref="M189">
    <cfRule type="cellIs" dxfId="4123" priority="13199" operator="equal">
      <formula>"value일 미도래"</formula>
    </cfRule>
  </conditionalFormatting>
  <conditionalFormatting sqref="M189">
    <cfRule type="cellIs" dxfId="4122" priority="13198" operator="equal">
      <formula>"value일 미도래"</formula>
    </cfRule>
  </conditionalFormatting>
  <conditionalFormatting sqref="M189">
    <cfRule type="cellIs" dxfId="4121" priority="13197" operator="equal">
      <formula>"value일 미도래"</formula>
    </cfRule>
  </conditionalFormatting>
  <conditionalFormatting sqref="M189">
    <cfRule type="cellIs" dxfId="4120" priority="13196" operator="equal">
      <formula>"value일 미도래"</formula>
    </cfRule>
  </conditionalFormatting>
  <conditionalFormatting sqref="M189">
    <cfRule type="cellIs" dxfId="4119" priority="13195" operator="equal">
      <formula>"value일 미도래"</formula>
    </cfRule>
  </conditionalFormatting>
  <conditionalFormatting sqref="M189">
    <cfRule type="cellIs" dxfId="4118" priority="13123" operator="equal">
      <formula>"value일 미도래"</formula>
    </cfRule>
  </conditionalFormatting>
  <conditionalFormatting sqref="M189">
    <cfRule type="cellIs" dxfId="4117" priority="13121" operator="equal">
      <formula>"value일 미도래"</formula>
    </cfRule>
  </conditionalFormatting>
  <conditionalFormatting sqref="M189">
    <cfRule type="cellIs" dxfId="4116" priority="13120" operator="equal">
      <formula>"value일 미도래"</formula>
    </cfRule>
  </conditionalFormatting>
  <conditionalFormatting sqref="M189">
    <cfRule type="cellIs" dxfId="4115" priority="13119" operator="equal">
      <formula>"value일 미도래"</formula>
    </cfRule>
  </conditionalFormatting>
  <conditionalFormatting sqref="M189">
    <cfRule type="cellIs" dxfId="4114" priority="13118" operator="equal">
      <formula>"value일 미도래"</formula>
    </cfRule>
  </conditionalFormatting>
  <conditionalFormatting sqref="M189">
    <cfRule type="cellIs" dxfId="4113" priority="13117" operator="equal">
      <formula>"value일 미도래"</formula>
    </cfRule>
  </conditionalFormatting>
  <conditionalFormatting sqref="M189">
    <cfRule type="cellIs" dxfId="4112" priority="13084" operator="equal">
      <formula>"value일 미도래"</formula>
    </cfRule>
  </conditionalFormatting>
  <conditionalFormatting sqref="M189">
    <cfRule type="cellIs" dxfId="4111" priority="13082" operator="equal">
      <formula>"value일 미도래"</formula>
    </cfRule>
  </conditionalFormatting>
  <conditionalFormatting sqref="M189">
    <cfRule type="cellIs" dxfId="4110" priority="13081" operator="equal">
      <formula>"value일 미도래"</formula>
    </cfRule>
  </conditionalFormatting>
  <conditionalFormatting sqref="M189">
    <cfRule type="cellIs" dxfId="4109" priority="13080" operator="equal">
      <formula>"value일 미도래"</formula>
    </cfRule>
  </conditionalFormatting>
  <conditionalFormatting sqref="M189">
    <cfRule type="cellIs" dxfId="4108" priority="13079" operator="equal">
      <formula>"value일 미도래"</formula>
    </cfRule>
  </conditionalFormatting>
  <conditionalFormatting sqref="M189">
    <cfRule type="cellIs" dxfId="4107" priority="13078" operator="equal">
      <formula>"value일 미도래"</formula>
    </cfRule>
  </conditionalFormatting>
  <conditionalFormatting sqref="M189">
    <cfRule type="cellIs" dxfId="4106" priority="13045" operator="equal">
      <formula>"value일 미도래"</formula>
    </cfRule>
  </conditionalFormatting>
  <conditionalFormatting sqref="M189">
    <cfRule type="cellIs" dxfId="4105" priority="13043" operator="equal">
      <formula>"value일 미도래"</formula>
    </cfRule>
  </conditionalFormatting>
  <conditionalFormatting sqref="M189">
    <cfRule type="cellIs" dxfId="4104" priority="13042" operator="equal">
      <formula>"value일 미도래"</formula>
    </cfRule>
  </conditionalFormatting>
  <conditionalFormatting sqref="M189">
    <cfRule type="cellIs" dxfId="4103" priority="13041" operator="equal">
      <formula>"value일 미도래"</formula>
    </cfRule>
  </conditionalFormatting>
  <conditionalFormatting sqref="M189">
    <cfRule type="cellIs" dxfId="4102" priority="13040" operator="equal">
      <formula>"value일 미도래"</formula>
    </cfRule>
  </conditionalFormatting>
  <conditionalFormatting sqref="M189">
    <cfRule type="cellIs" dxfId="4101" priority="13039" operator="equal">
      <formula>"value일 미도래"</formula>
    </cfRule>
  </conditionalFormatting>
  <conditionalFormatting sqref="M189">
    <cfRule type="cellIs" dxfId="4100" priority="12942" operator="equal">
      <formula>"value일 미도래"</formula>
    </cfRule>
  </conditionalFormatting>
  <conditionalFormatting sqref="M189">
    <cfRule type="cellIs" dxfId="4099" priority="12940" operator="equal">
      <formula>"value일 미도래"</formula>
    </cfRule>
  </conditionalFormatting>
  <conditionalFormatting sqref="M189">
    <cfRule type="cellIs" dxfId="4098" priority="12939" operator="equal">
      <formula>"value일 미도래"</formula>
    </cfRule>
  </conditionalFormatting>
  <conditionalFormatting sqref="M189">
    <cfRule type="cellIs" dxfId="4097" priority="12938" operator="equal">
      <formula>"value일 미도래"</formula>
    </cfRule>
  </conditionalFormatting>
  <conditionalFormatting sqref="M189">
    <cfRule type="cellIs" dxfId="4096" priority="12937" operator="equal">
      <formula>"value일 미도래"</formula>
    </cfRule>
  </conditionalFormatting>
  <conditionalFormatting sqref="M189">
    <cfRule type="cellIs" dxfId="4095" priority="12936" operator="equal">
      <formula>"value일 미도래"</formula>
    </cfRule>
  </conditionalFormatting>
  <conditionalFormatting sqref="M148">
    <cfRule type="cellIs" dxfId="4094" priority="12913" operator="equal">
      <formula>"value일 미도래"</formula>
    </cfRule>
  </conditionalFormatting>
  <conditionalFormatting sqref="M148:M149">
    <cfRule type="cellIs" dxfId="4093" priority="12912" operator="equal">
      <formula>"value일 미도래"</formula>
    </cfRule>
  </conditionalFormatting>
  <conditionalFormatting sqref="M148:M149">
    <cfRule type="cellIs" dxfId="4092" priority="12911" operator="equal">
      <formula>"value일 미도래"</formula>
    </cfRule>
  </conditionalFormatting>
  <conditionalFormatting sqref="M150:M151">
    <cfRule type="cellIs" dxfId="4091" priority="12910" operator="equal">
      <formula>"value일 미도래"</formula>
    </cfRule>
  </conditionalFormatting>
  <conditionalFormatting sqref="M150:M151">
    <cfRule type="cellIs" dxfId="4090" priority="12909" operator="equal">
      <formula>"value일 미도래"</formula>
    </cfRule>
  </conditionalFormatting>
  <conditionalFormatting sqref="M148">
    <cfRule type="cellIs" dxfId="4089" priority="12908" operator="equal">
      <formula>"value일 미도래"</formula>
    </cfRule>
  </conditionalFormatting>
  <conditionalFormatting sqref="M148">
    <cfRule type="cellIs" dxfId="4088" priority="12907" operator="equal">
      <formula>"value일 미도래"</formula>
    </cfRule>
  </conditionalFormatting>
  <conditionalFormatting sqref="M152:M153">
    <cfRule type="cellIs" dxfId="4087" priority="12906" operator="equal">
      <formula>"value일 미도래"</formula>
    </cfRule>
  </conditionalFormatting>
  <conditionalFormatting sqref="M152:M153">
    <cfRule type="cellIs" dxfId="4086" priority="12905" operator="equal">
      <formula>"value일 미도래"</formula>
    </cfRule>
  </conditionalFormatting>
  <conditionalFormatting sqref="M152:M153">
    <cfRule type="cellIs" dxfId="4085" priority="12904" operator="equal">
      <formula>"value일 미도래"</formula>
    </cfRule>
  </conditionalFormatting>
  <conditionalFormatting sqref="M148">
    <cfRule type="cellIs" dxfId="4084" priority="12903" operator="equal">
      <formula>"value일 미도래"</formula>
    </cfRule>
  </conditionalFormatting>
  <conditionalFormatting sqref="M148">
    <cfRule type="cellIs" dxfId="4083" priority="12902" operator="equal">
      <formula>"value일 미도래"</formula>
    </cfRule>
  </conditionalFormatting>
  <conditionalFormatting sqref="M148:M149">
    <cfRule type="cellIs" dxfId="4082" priority="12901" operator="equal">
      <formula>"value일 미도래"</formula>
    </cfRule>
  </conditionalFormatting>
  <conditionalFormatting sqref="M148:M149">
    <cfRule type="cellIs" dxfId="4081" priority="12900" operator="equal">
      <formula>"value일 미도래"</formula>
    </cfRule>
  </conditionalFormatting>
  <conditionalFormatting sqref="M148:M149">
    <cfRule type="cellIs" dxfId="4080" priority="12899" operator="equal">
      <formula>"value일 미도래"</formula>
    </cfRule>
  </conditionalFormatting>
  <conditionalFormatting sqref="M150:M151">
    <cfRule type="cellIs" dxfId="4079" priority="12898" operator="equal">
      <formula>"value일 미도래"</formula>
    </cfRule>
  </conditionalFormatting>
  <conditionalFormatting sqref="M150:M151">
    <cfRule type="cellIs" dxfId="4078" priority="12897" operator="equal">
      <formula>"value일 미도래"</formula>
    </cfRule>
  </conditionalFormatting>
  <conditionalFormatting sqref="M150:M151">
    <cfRule type="cellIs" dxfId="4077" priority="12896" operator="equal">
      <formula>"value일 미도래"</formula>
    </cfRule>
  </conditionalFormatting>
  <conditionalFormatting sqref="M148">
    <cfRule type="cellIs" dxfId="4076" priority="12895" operator="equal">
      <formula>"value일 미도래"</formula>
    </cfRule>
  </conditionalFormatting>
  <conditionalFormatting sqref="M148">
    <cfRule type="cellIs" dxfId="4075" priority="12894" operator="equal">
      <formula>"value일 미도래"</formula>
    </cfRule>
  </conditionalFormatting>
  <conditionalFormatting sqref="M148:M149">
    <cfRule type="cellIs" dxfId="4074" priority="12893" operator="equal">
      <formula>"value일 미도래"</formula>
    </cfRule>
  </conditionalFormatting>
  <conditionalFormatting sqref="M148:M149">
    <cfRule type="cellIs" dxfId="4073" priority="12892" operator="equal">
      <formula>"value일 미도래"</formula>
    </cfRule>
  </conditionalFormatting>
  <conditionalFormatting sqref="M150:M151">
    <cfRule type="cellIs" dxfId="4072" priority="12891" operator="equal">
      <formula>"value일 미도래"</formula>
    </cfRule>
  </conditionalFormatting>
  <conditionalFormatting sqref="M150:M151">
    <cfRule type="cellIs" dxfId="4071" priority="12890" operator="equal">
      <formula>"value일 미도래"</formula>
    </cfRule>
  </conditionalFormatting>
  <conditionalFormatting sqref="M150:M151">
    <cfRule type="cellIs" dxfId="4070" priority="12889" operator="equal">
      <formula>"value일 미도래"</formula>
    </cfRule>
  </conditionalFormatting>
  <conditionalFormatting sqref="M148">
    <cfRule type="cellIs" dxfId="4069" priority="12888" operator="equal">
      <formula>"value일 미도래"</formula>
    </cfRule>
  </conditionalFormatting>
  <conditionalFormatting sqref="M148">
    <cfRule type="cellIs" dxfId="4068" priority="12887" operator="equal">
      <formula>"value일 미도래"</formula>
    </cfRule>
  </conditionalFormatting>
  <conditionalFormatting sqref="M148">
    <cfRule type="cellIs" dxfId="4067" priority="12886" operator="equal">
      <formula>"value일 미도래"</formula>
    </cfRule>
  </conditionalFormatting>
  <conditionalFormatting sqref="M148:M149">
    <cfRule type="cellIs" dxfId="4066" priority="12885" operator="equal">
      <formula>"value일 미도래"</formula>
    </cfRule>
  </conditionalFormatting>
  <conditionalFormatting sqref="M148:M149">
    <cfRule type="cellIs" dxfId="4065" priority="12884" operator="equal">
      <formula>"value일 미도래"</formula>
    </cfRule>
  </conditionalFormatting>
  <conditionalFormatting sqref="M148:M149">
    <cfRule type="cellIs" dxfId="4064" priority="12883" operator="equal">
      <formula>"value일 미도래"</formula>
    </cfRule>
  </conditionalFormatting>
  <conditionalFormatting sqref="M148">
    <cfRule type="cellIs" dxfId="4063" priority="12882" operator="equal">
      <formula>"value일 미도래"</formula>
    </cfRule>
  </conditionalFormatting>
  <conditionalFormatting sqref="M148">
    <cfRule type="cellIs" dxfId="4062" priority="12881" operator="equal">
      <formula>"value일 미도래"</formula>
    </cfRule>
  </conditionalFormatting>
  <conditionalFormatting sqref="M148:M149">
    <cfRule type="cellIs" dxfId="4061" priority="12880" operator="equal">
      <formula>"value일 미도래"</formula>
    </cfRule>
  </conditionalFormatting>
  <conditionalFormatting sqref="M148:M149">
    <cfRule type="cellIs" dxfId="4060" priority="12879" operator="equal">
      <formula>"value일 미도래"</formula>
    </cfRule>
  </conditionalFormatting>
  <conditionalFormatting sqref="M148:M149">
    <cfRule type="cellIs" dxfId="4059" priority="12878" operator="equal">
      <formula>"value일 미도래"</formula>
    </cfRule>
  </conditionalFormatting>
  <conditionalFormatting sqref="M150:M151">
    <cfRule type="cellIs" dxfId="4058" priority="12877" operator="equal">
      <formula>"value일 미도래"</formula>
    </cfRule>
  </conditionalFormatting>
  <conditionalFormatting sqref="M150:M151">
    <cfRule type="cellIs" dxfId="4057" priority="12876" operator="equal">
      <formula>"value일 미도래"</formula>
    </cfRule>
  </conditionalFormatting>
  <conditionalFormatting sqref="M150:M151">
    <cfRule type="cellIs" dxfId="4056" priority="12875" operator="equal">
      <formula>"value일 미도래"</formula>
    </cfRule>
  </conditionalFormatting>
  <conditionalFormatting sqref="M148">
    <cfRule type="cellIs" dxfId="4055" priority="12874" operator="equal">
      <formula>"value일 미도래"</formula>
    </cfRule>
  </conditionalFormatting>
  <conditionalFormatting sqref="M148">
    <cfRule type="cellIs" dxfId="4054" priority="12873" operator="equal">
      <formula>"value일 미도래"</formula>
    </cfRule>
  </conditionalFormatting>
  <conditionalFormatting sqref="M148">
    <cfRule type="cellIs" dxfId="4053" priority="12872" operator="equal">
      <formula>"value일 미도래"</formula>
    </cfRule>
  </conditionalFormatting>
  <conditionalFormatting sqref="M148">
    <cfRule type="cellIs" dxfId="4052" priority="12871" operator="equal">
      <formula>"value일 미도래"</formula>
    </cfRule>
  </conditionalFormatting>
  <conditionalFormatting sqref="M148">
    <cfRule type="cellIs" dxfId="4051" priority="12870" operator="equal">
      <formula>"value일 미도래"</formula>
    </cfRule>
  </conditionalFormatting>
  <conditionalFormatting sqref="M148">
    <cfRule type="cellIs" dxfId="4050" priority="12869" operator="equal">
      <formula>"value일 미도래"</formula>
    </cfRule>
  </conditionalFormatting>
  <conditionalFormatting sqref="M148">
    <cfRule type="cellIs" dxfId="4049" priority="12866" operator="equal">
      <formula>"value일 미도래"</formula>
    </cfRule>
  </conditionalFormatting>
  <conditionalFormatting sqref="M148">
    <cfRule type="cellIs" dxfId="4048" priority="12865" operator="equal">
      <formula>"value일 미도래"</formula>
    </cfRule>
  </conditionalFormatting>
  <conditionalFormatting sqref="M148:M149">
    <cfRule type="cellIs" dxfId="4047" priority="12864" operator="equal">
      <formula>"value일 미도래"</formula>
    </cfRule>
  </conditionalFormatting>
  <conditionalFormatting sqref="M148:M149">
    <cfRule type="cellIs" dxfId="4046" priority="12863" operator="equal">
      <formula>"value일 미도래"</formula>
    </cfRule>
  </conditionalFormatting>
  <conditionalFormatting sqref="M150:M151">
    <cfRule type="cellIs" dxfId="4045" priority="12862" operator="equal">
      <formula>"value일 미도래"</formula>
    </cfRule>
  </conditionalFormatting>
  <conditionalFormatting sqref="M150:M151">
    <cfRule type="cellIs" dxfId="4044" priority="12861" operator="equal">
      <formula>"value일 미도래"</formula>
    </cfRule>
  </conditionalFormatting>
  <conditionalFormatting sqref="M150:M151">
    <cfRule type="cellIs" dxfId="4043" priority="12860" operator="equal">
      <formula>"value일 미도래"</formula>
    </cfRule>
  </conditionalFormatting>
  <conditionalFormatting sqref="M148">
    <cfRule type="cellIs" dxfId="4042" priority="12859" operator="equal">
      <formula>"value일 미도래"</formula>
    </cfRule>
  </conditionalFormatting>
  <conditionalFormatting sqref="M148">
    <cfRule type="cellIs" dxfId="4041" priority="12858" operator="equal">
      <formula>"value일 미도래"</formula>
    </cfRule>
  </conditionalFormatting>
  <conditionalFormatting sqref="M148">
    <cfRule type="cellIs" dxfId="4040" priority="12857" operator="equal">
      <formula>"value일 미도래"</formula>
    </cfRule>
  </conditionalFormatting>
  <conditionalFormatting sqref="M148:M149">
    <cfRule type="cellIs" dxfId="4039" priority="12856" operator="equal">
      <formula>"value일 미도래"</formula>
    </cfRule>
  </conditionalFormatting>
  <conditionalFormatting sqref="M148:M149">
    <cfRule type="cellIs" dxfId="4038" priority="12855" operator="equal">
      <formula>"value일 미도래"</formula>
    </cfRule>
  </conditionalFormatting>
  <conditionalFormatting sqref="M148:M149">
    <cfRule type="cellIs" dxfId="4037" priority="12854" operator="equal">
      <formula>"value일 미도래"</formula>
    </cfRule>
  </conditionalFormatting>
  <conditionalFormatting sqref="M148">
    <cfRule type="cellIs" dxfId="4036" priority="12853" operator="equal">
      <formula>"value일 미도래"</formula>
    </cfRule>
  </conditionalFormatting>
  <conditionalFormatting sqref="M148">
    <cfRule type="cellIs" dxfId="4035" priority="12852" operator="equal">
      <formula>"value일 미도래"</formula>
    </cfRule>
  </conditionalFormatting>
  <conditionalFormatting sqref="M148:M149">
    <cfRule type="cellIs" dxfId="4034" priority="12851" operator="equal">
      <formula>"value일 미도래"</formula>
    </cfRule>
  </conditionalFormatting>
  <conditionalFormatting sqref="M148:M149">
    <cfRule type="cellIs" dxfId="4033" priority="12850" operator="equal">
      <formula>"value일 미도래"</formula>
    </cfRule>
  </conditionalFormatting>
  <conditionalFormatting sqref="M148:M149">
    <cfRule type="cellIs" dxfId="4032" priority="12849" operator="equal">
      <formula>"value일 미도래"</formula>
    </cfRule>
  </conditionalFormatting>
  <conditionalFormatting sqref="M148">
    <cfRule type="cellIs" dxfId="4031" priority="12848" operator="equal">
      <formula>"value일 미도래"</formula>
    </cfRule>
  </conditionalFormatting>
  <conditionalFormatting sqref="M148">
    <cfRule type="cellIs" dxfId="4030" priority="12847" operator="equal">
      <formula>"value일 미도래"</formula>
    </cfRule>
  </conditionalFormatting>
  <conditionalFormatting sqref="M148">
    <cfRule type="cellIs" dxfId="4029" priority="12846" operator="equal">
      <formula>"value일 미도래"</formula>
    </cfRule>
  </conditionalFormatting>
  <conditionalFormatting sqref="M148">
    <cfRule type="cellIs" dxfId="4028" priority="12845" operator="equal">
      <formula>"value일 미도래"</formula>
    </cfRule>
  </conditionalFormatting>
  <conditionalFormatting sqref="M148">
    <cfRule type="cellIs" dxfId="4027" priority="12844" operator="equal">
      <formula>"value일 미도래"</formula>
    </cfRule>
  </conditionalFormatting>
  <conditionalFormatting sqref="M148">
    <cfRule type="cellIs" dxfId="4026" priority="12843" operator="equal">
      <formula>"value일 미도래"</formula>
    </cfRule>
  </conditionalFormatting>
  <conditionalFormatting sqref="M148:M149">
    <cfRule type="cellIs" dxfId="4025" priority="12842" operator="equal">
      <formula>"value일 미도래"</formula>
    </cfRule>
  </conditionalFormatting>
  <conditionalFormatting sqref="M148:M149">
    <cfRule type="cellIs" dxfId="4024" priority="12841" operator="equal">
      <formula>"value일 미도래"</formula>
    </cfRule>
  </conditionalFormatting>
  <conditionalFormatting sqref="M148:M149">
    <cfRule type="cellIs" dxfId="4023" priority="12840" operator="equal">
      <formula>"value일 미도래"</formula>
    </cfRule>
  </conditionalFormatting>
  <conditionalFormatting sqref="M148">
    <cfRule type="cellIs" dxfId="4022" priority="12837" operator="equal">
      <formula>"value일 미도래"</formula>
    </cfRule>
  </conditionalFormatting>
  <conditionalFormatting sqref="M148">
    <cfRule type="cellIs" dxfId="4021" priority="12836" operator="equal">
      <formula>"value일 미도래"</formula>
    </cfRule>
  </conditionalFormatting>
  <conditionalFormatting sqref="M148:M149">
    <cfRule type="cellIs" dxfId="4020" priority="12835" operator="equal">
      <formula>"value일 미도래"</formula>
    </cfRule>
  </conditionalFormatting>
  <conditionalFormatting sqref="M148:M149">
    <cfRule type="cellIs" dxfId="4019" priority="12834" operator="equal">
      <formula>"value일 미도래"</formula>
    </cfRule>
  </conditionalFormatting>
  <conditionalFormatting sqref="M150:M151">
    <cfRule type="cellIs" dxfId="4018" priority="12833" operator="equal">
      <formula>"value일 미도래"</formula>
    </cfRule>
  </conditionalFormatting>
  <conditionalFormatting sqref="M150:M151">
    <cfRule type="cellIs" dxfId="4017" priority="12832" operator="equal">
      <formula>"value일 미도래"</formula>
    </cfRule>
  </conditionalFormatting>
  <conditionalFormatting sqref="M150:M151">
    <cfRule type="cellIs" dxfId="4016" priority="12831" operator="equal">
      <formula>"value일 미도래"</formula>
    </cfRule>
  </conditionalFormatting>
  <conditionalFormatting sqref="M148">
    <cfRule type="cellIs" dxfId="4015" priority="12830" operator="equal">
      <formula>"value일 미도래"</formula>
    </cfRule>
  </conditionalFormatting>
  <conditionalFormatting sqref="M148">
    <cfRule type="cellIs" dxfId="4014" priority="12829" operator="equal">
      <formula>"value일 미도래"</formula>
    </cfRule>
  </conditionalFormatting>
  <conditionalFormatting sqref="M148">
    <cfRule type="cellIs" dxfId="4013" priority="12828" operator="equal">
      <formula>"value일 미도래"</formula>
    </cfRule>
  </conditionalFormatting>
  <conditionalFormatting sqref="M148:M149">
    <cfRule type="cellIs" dxfId="4012" priority="12827" operator="equal">
      <formula>"value일 미도래"</formula>
    </cfRule>
  </conditionalFormatting>
  <conditionalFormatting sqref="M148:M149">
    <cfRule type="cellIs" dxfId="4011" priority="12826" operator="equal">
      <formula>"value일 미도래"</formula>
    </cfRule>
  </conditionalFormatting>
  <conditionalFormatting sqref="M148:M149">
    <cfRule type="cellIs" dxfId="4010" priority="12825" operator="equal">
      <formula>"value일 미도래"</formula>
    </cfRule>
  </conditionalFormatting>
  <conditionalFormatting sqref="M148">
    <cfRule type="cellIs" dxfId="4009" priority="12824" operator="equal">
      <formula>"value일 미도래"</formula>
    </cfRule>
  </conditionalFormatting>
  <conditionalFormatting sqref="M148">
    <cfRule type="cellIs" dxfId="4008" priority="12823" operator="equal">
      <formula>"value일 미도래"</formula>
    </cfRule>
  </conditionalFormatting>
  <conditionalFormatting sqref="M148:M149">
    <cfRule type="cellIs" dxfId="4007" priority="12822" operator="equal">
      <formula>"value일 미도래"</formula>
    </cfRule>
  </conditionalFormatting>
  <conditionalFormatting sqref="M148:M149">
    <cfRule type="cellIs" dxfId="4006" priority="12821" operator="equal">
      <formula>"value일 미도래"</formula>
    </cfRule>
  </conditionalFormatting>
  <conditionalFormatting sqref="M148:M149">
    <cfRule type="cellIs" dxfId="4005" priority="12820" operator="equal">
      <formula>"value일 미도래"</formula>
    </cfRule>
  </conditionalFormatting>
  <conditionalFormatting sqref="M148">
    <cfRule type="cellIs" dxfId="4004" priority="12819" operator="equal">
      <formula>"value일 미도래"</formula>
    </cfRule>
  </conditionalFormatting>
  <conditionalFormatting sqref="M148">
    <cfRule type="cellIs" dxfId="4003" priority="12818" operator="equal">
      <formula>"value일 미도래"</formula>
    </cfRule>
  </conditionalFormatting>
  <conditionalFormatting sqref="M148">
    <cfRule type="cellIs" dxfId="4002" priority="12817" operator="equal">
      <formula>"value일 미도래"</formula>
    </cfRule>
  </conditionalFormatting>
  <conditionalFormatting sqref="M148">
    <cfRule type="cellIs" dxfId="4001" priority="12816" operator="equal">
      <formula>"value일 미도래"</formula>
    </cfRule>
  </conditionalFormatting>
  <conditionalFormatting sqref="M148">
    <cfRule type="cellIs" dxfId="4000" priority="12815" operator="equal">
      <formula>"value일 미도래"</formula>
    </cfRule>
  </conditionalFormatting>
  <conditionalFormatting sqref="M148">
    <cfRule type="cellIs" dxfId="3999" priority="12814" operator="equal">
      <formula>"value일 미도래"</formula>
    </cfRule>
  </conditionalFormatting>
  <conditionalFormatting sqref="M148:M149">
    <cfRule type="cellIs" dxfId="3998" priority="12813" operator="equal">
      <formula>"value일 미도래"</formula>
    </cfRule>
  </conditionalFormatting>
  <conditionalFormatting sqref="M148:M149">
    <cfRule type="cellIs" dxfId="3997" priority="12812" operator="equal">
      <formula>"value일 미도래"</formula>
    </cfRule>
  </conditionalFormatting>
  <conditionalFormatting sqref="M148:M149">
    <cfRule type="cellIs" dxfId="3996" priority="12811" operator="equal">
      <formula>"value일 미도래"</formula>
    </cfRule>
  </conditionalFormatting>
  <conditionalFormatting sqref="M148">
    <cfRule type="cellIs" dxfId="3995" priority="12808" operator="equal">
      <formula>"value일 미도래"</formula>
    </cfRule>
  </conditionalFormatting>
  <conditionalFormatting sqref="M148">
    <cfRule type="cellIs" dxfId="3994" priority="12807" operator="equal">
      <formula>"value일 미도래"</formula>
    </cfRule>
  </conditionalFormatting>
  <conditionalFormatting sqref="M148:M149">
    <cfRule type="cellIs" dxfId="3993" priority="12806" operator="equal">
      <formula>"value일 미도래"</formula>
    </cfRule>
  </conditionalFormatting>
  <conditionalFormatting sqref="M148:M149">
    <cfRule type="cellIs" dxfId="3992" priority="12805" operator="equal">
      <formula>"value일 미도래"</formula>
    </cfRule>
  </conditionalFormatting>
  <conditionalFormatting sqref="M148:M149">
    <cfRule type="cellIs" dxfId="3991" priority="12804" operator="equal">
      <formula>"value일 미도래"</formula>
    </cfRule>
  </conditionalFormatting>
  <conditionalFormatting sqref="M150:M151">
    <cfRule type="cellIs" dxfId="3990" priority="12803" operator="equal">
      <formula>"value일 미도래"</formula>
    </cfRule>
  </conditionalFormatting>
  <conditionalFormatting sqref="M150:M151">
    <cfRule type="cellIs" dxfId="3989" priority="12802" operator="equal">
      <formula>"value일 미도래"</formula>
    </cfRule>
  </conditionalFormatting>
  <conditionalFormatting sqref="M150:M151">
    <cfRule type="cellIs" dxfId="3988" priority="12801" operator="equal">
      <formula>"value일 미도래"</formula>
    </cfRule>
  </conditionalFormatting>
  <conditionalFormatting sqref="M148">
    <cfRule type="cellIs" dxfId="3987" priority="12800" operator="equal">
      <formula>"value일 미도래"</formula>
    </cfRule>
  </conditionalFormatting>
  <conditionalFormatting sqref="M148">
    <cfRule type="cellIs" dxfId="3986" priority="12799" operator="equal">
      <formula>"value일 미도래"</formula>
    </cfRule>
  </conditionalFormatting>
  <conditionalFormatting sqref="M148">
    <cfRule type="cellIs" dxfId="3985" priority="12798" operator="equal">
      <formula>"value일 미도래"</formula>
    </cfRule>
  </conditionalFormatting>
  <conditionalFormatting sqref="M148">
    <cfRule type="cellIs" dxfId="3984" priority="12797" operator="equal">
      <formula>"value일 미도래"</formula>
    </cfRule>
  </conditionalFormatting>
  <conditionalFormatting sqref="M148">
    <cfRule type="cellIs" dxfId="3983" priority="12796" operator="equal">
      <formula>"value일 미도래"</formula>
    </cfRule>
  </conditionalFormatting>
  <conditionalFormatting sqref="M148">
    <cfRule type="cellIs" dxfId="3982" priority="12795" operator="equal">
      <formula>"value일 미도래"</formula>
    </cfRule>
  </conditionalFormatting>
  <conditionalFormatting sqref="M148">
    <cfRule type="cellIs" dxfId="3981" priority="12794" operator="equal">
      <formula>"value일 미도래"</formula>
    </cfRule>
  </conditionalFormatting>
  <conditionalFormatting sqref="M148">
    <cfRule type="cellIs" dxfId="3980" priority="12793" operator="equal">
      <formula>"value일 미도래"</formula>
    </cfRule>
  </conditionalFormatting>
  <conditionalFormatting sqref="M148">
    <cfRule type="cellIs" dxfId="3979" priority="12792" operator="equal">
      <formula>"value일 미도래"</formula>
    </cfRule>
  </conditionalFormatting>
  <conditionalFormatting sqref="M149:M150">
    <cfRule type="cellIs" dxfId="3978" priority="12790" operator="equal">
      <formula>"value일 미도래"</formula>
    </cfRule>
  </conditionalFormatting>
  <conditionalFormatting sqref="M149:M150">
    <cfRule type="cellIs" dxfId="3977" priority="12789" operator="equal">
      <formula>"value일 미도래"</formula>
    </cfRule>
  </conditionalFormatting>
  <conditionalFormatting sqref="M149:M150">
    <cfRule type="cellIs" dxfId="3976" priority="12788" operator="equal">
      <formula>"value일 미도래"</formula>
    </cfRule>
  </conditionalFormatting>
  <conditionalFormatting sqref="M149:M150">
    <cfRule type="cellIs" dxfId="3975" priority="12787" operator="equal">
      <formula>"value일 미도래"</formula>
    </cfRule>
  </conditionalFormatting>
  <conditionalFormatting sqref="M149:M150">
    <cfRule type="cellIs" dxfId="3974" priority="12786" operator="equal">
      <formula>"value일 미도래"</formula>
    </cfRule>
  </conditionalFormatting>
  <conditionalFormatting sqref="M149:M150">
    <cfRule type="cellIs" dxfId="3973" priority="12785" operator="equal">
      <formula>"value일 미도래"</formula>
    </cfRule>
  </conditionalFormatting>
  <conditionalFormatting sqref="M149:M150">
    <cfRule type="cellIs" dxfId="3972" priority="12784" operator="equal">
      <formula>"value일 미도래"</formula>
    </cfRule>
  </conditionalFormatting>
  <conditionalFormatting sqref="M149:M150">
    <cfRule type="cellIs" dxfId="3971" priority="12783" operator="equal">
      <formula>"value일 미도래"</formula>
    </cfRule>
  </conditionalFormatting>
  <conditionalFormatting sqref="M149:M150">
    <cfRule type="cellIs" dxfId="3970" priority="12782" operator="equal">
      <formula>"value일 미도래"</formula>
    </cfRule>
  </conditionalFormatting>
  <conditionalFormatting sqref="M149:M150">
    <cfRule type="cellIs" dxfId="3969" priority="12781" operator="equal">
      <formula>"value일 미도래"</formula>
    </cfRule>
  </conditionalFormatting>
  <conditionalFormatting sqref="M149:M150">
    <cfRule type="cellIs" dxfId="3968" priority="12780" operator="equal">
      <formula>"value일 미도래"</formula>
    </cfRule>
  </conditionalFormatting>
  <conditionalFormatting sqref="M149:M150">
    <cfRule type="cellIs" dxfId="3967" priority="12779" operator="equal">
      <formula>"value일 미도래"</formula>
    </cfRule>
  </conditionalFormatting>
  <conditionalFormatting sqref="M149:M150">
    <cfRule type="cellIs" dxfId="3966" priority="12778" operator="equal">
      <formula>"value일 미도래"</formula>
    </cfRule>
  </conditionalFormatting>
  <conditionalFormatting sqref="M149:M150">
    <cfRule type="cellIs" dxfId="3965" priority="12777" operator="equal">
      <formula>"value일 미도래"</formula>
    </cfRule>
  </conditionalFormatting>
  <conditionalFormatting sqref="M149:M150">
    <cfRule type="cellIs" dxfId="3964" priority="12776" operator="equal">
      <formula>"value일 미도래"</formula>
    </cfRule>
  </conditionalFormatting>
  <conditionalFormatting sqref="M149:M150">
    <cfRule type="cellIs" dxfId="3963" priority="12775" operator="equal">
      <formula>"value일 미도래"</formula>
    </cfRule>
  </conditionalFormatting>
  <conditionalFormatting sqref="M149:M150">
    <cfRule type="cellIs" dxfId="3962" priority="12774" operator="equal">
      <formula>"value일 미도래"</formula>
    </cfRule>
  </conditionalFormatting>
  <conditionalFormatting sqref="M149:M150">
    <cfRule type="cellIs" dxfId="3961" priority="12773" operator="equal">
      <formula>"value일 미도래"</formula>
    </cfRule>
  </conditionalFormatting>
  <conditionalFormatting sqref="M149:M150">
    <cfRule type="cellIs" dxfId="3960" priority="12772" operator="equal">
      <formula>"value일 미도래"</formula>
    </cfRule>
  </conditionalFormatting>
  <conditionalFormatting sqref="M149:M150">
    <cfRule type="cellIs" dxfId="3959" priority="12771" operator="equal">
      <formula>"value일 미도래"</formula>
    </cfRule>
  </conditionalFormatting>
  <conditionalFormatting sqref="M149:M150">
    <cfRule type="cellIs" dxfId="3958" priority="12770" operator="equal">
      <formula>"value일 미도래"</formula>
    </cfRule>
  </conditionalFormatting>
  <conditionalFormatting sqref="M149:M150">
    <cfRule type="cellIs" dxfId="3957" priority="12769" operator="equal">
      <formula>"value일 미도래"</formula>
    </cfRule>
  </conditionalFormatting>
  <conditionalFormatting sqref="M149:M150">
    <cfRule type="cellIs" dxfId="3956" priority="12768" operator="equal">
      <formula>"value일 미도래"</formula>
    </cfRule>
  </conditionalFormatting>
  <conditionalFormatting sqref="M149:M150">
    <cfRule type="cellIs" dxfId="3955" priority="12767" operator="equal">
      <formula>"value일 미도래"</formula>
    </cfRule>
  </conditionalFormatting>
  <conditionalFormatting sqref="M149:M150">
    <cfRule type="cellIs" dxfId="3954" priority="12766" operator="equal">
      <formula>"value일 미도래"</formula>
    </cfRule>
  </conditionalFormatting>
  <conditionalFormatting sqref="M149:M150">
    <cfRule type="cellIs" dxfId="3953" priority="12765" operator="equal">
      <formula>"value일 미도래"</formula>
    </cfRule>
  </conditionalFormatting>
  <conditionalFormatting sqref="M149:M150">
    <cfRule type="cellIs" dxfId="3952" priority="12764" operator="equal">
      <formula>"value일 미도래"</formula>
    </cfRule>
  </conditionalFormatting>
  <conditionalFormatting sqref="M149:M150">
    <cfRule type="cellIs" dxfId="3951" priority="12763" operator="equal">
      <formula>"value일 미도래"</formula>
    </cfRule>
  </conditionalFormatting>
  <conditionalFormatting sqref="M149:M150">
    <cfRule type="cellIs" dxfId="3950" priority="12762" operator="equal">
      <formula>"value일 미도래"</formula>
    </cfRule>
  </conditionalFormatting>
  <conditionalFormatting sqref="M149:M150">
    <cfRule type="cellIs" dxfId="3949" priority="12761" operator="equal">
      <formula>"value일 미도래"</formula>
    </cfRule>
  </conditionalFormatting>
  <conditionalFormatting sqref="M149:M150">
    <cfRule type="cellIs" dxfId="3948" priority="12760" operator="equal">
      <formula>"value일 미도래"</formula>
    </cfRule>
  </conditionalFormatting>
  <conditionalFormatting sqref="M149:M150">
    <cfRule type="cellIs" dxfId="3947" priority="12759" operator="equal">
      <formula>"value일 미도래"</formula>
    </cfRule>
  </conditionalFormatting>
  <conditionalFormatting sqref="M149:M150">
    <cfRule type="cellIs" dxfId="3946" priority="12758" operator="equal">
      <formula>"value일 미도래"</formula>
    </cfRule>
  </conditionalFormatting>
  <conditionalFormatting sqref="M149:M150">
    <cfRule type="cellIs" dxfId="3945" priority="12757" operator="equal">
      <formula>"value일 미도래"</formula>
    </cfRule>
  </conditionalFormatting>
  <conditionalFormatting sqref="M149:M150">
    <cfRule type="cellIs" dxfId="3944" priority="12756" operator="equal">
      <formula>"value일 미도래"</formula>
    </cfRule>
  </conditionalFormatting>
  <conditionalFormatting sqref="M149:M150">
    <cfRule type="cellIs" dxfId="3943" priority="12755" operator="equal">
      <formula>"value일 미도래"</formula>
    </cfRule>
  </conditionalFormatting>
  <conditionalFormatting sqref="M149:M150">
    <cfRule type="cellIs" dxfId="3942" priority="12754" operator="equal">
      <formula>"value일 미도래"</formula>
    </cfRule>
  </conditionalFormatting>
  <conditionalFormatting sqref="M149:M150">
    <cfRule type="cellIs" dxfId="3941" priority="12753" operator="equal">
      <formula>"value일 미도래"</formula>
    </cfRule>
  </conditionalFormatting>
  <conditionalFormatting sqref="M149:M150">
    <cfRule type="cellIs" dxfId="3940" priority="12752" operator="equal">
      <formula>"value일 미도래"</formula>
    </cfRule>
  </conditionalFormatting>
  <conditionalFormatting sqref="M148:M149">
    <cfRule type="cellIs" dxfId="3939" priority="12751" operator="equal">
      <formula>"value일 미도래"</formula>
    </cfRule>
  </conditionalFormatting>
  <conditionalFormatting sqref="M148:M149">
    <cfRule type="cellIs" dxfId="3938" priority="12750" operator="equal">
      <formula>"value일 미도래"</formula>
    </cfRule>
  </conditionalFormatting>
  <conditionalFormatting sqref="M152:M153">
    <cfRule type="cellIs" dxfId="3937" priority="12749" operator="equal">
      <formula>"value일 미도래"</formula>
    </cfRule>
  </conditionalFormatting>
  <conditionalFormatting sqref="M152:M153">
    <cfRule type="cellIs" dxfId="3936" priority="12748" operator="equal">
      <formula>"value일 미도래"</formula>
    </cfRule>
  </conditionalFormatting>
  <conditionalFormatting sqref="M152:M153">
    <cfRule type="cellIs" dxfId="3935" priority="12747" operator="equal">
      <formula>"value일 미도래"</formula>
    </cfRule>
  </conditionalFormatting>
  <conditionalFormatting sqref="M152:M153">
    <cfRule type="cellIs" dxfId="3934" priority="12746" operator="equal">
      <formula>"value일 미도래"</formula>
    </cfRule>
  </conditionalFormatting>
  <conditionalFormatting sqref="M149:M150">
    <cfRule type="cellIs" dxfId="3933" priority="12745" operator="equal">
      <formula>"value일 미도래"</formula>
    </cfRule>
  </conditionalFormatting>
  <conditionalFormatting sqref="M149:M150">
    <cfRule type="cellIs" dxfId="3932" priority="12744" operator="equal">
      <formula>"value일 미도래"</formula>
    </cfRule>
  </conditionalFormatting>
  <conditionalFormatting sqref="M149:M150">
    <cfRule type="cellIs" dxfId="3931" priority="12743" operator="equal">
      <formula>"value일 미도래"</formula>
    </cfRule>
  </conditionalFormatting>
  <conditionalFormatting sqref="M150:M151">
    <cfRule type="cellIs" dxfId="3930" priority="12742" operator="equal">
      <formula>"value일 미도래"</formula>
    </cfRule>
  </conditionalFormatting>
  <conditionalFormatting sqref="M150:M151">
    <cfRule type="cellIs" dxfId="3929" priority="12741" operator="equal">
      <formula>"value일 미도래"</formula>
    </cfRule>
  </conditionalFormatting>
  <conditionalFormatting sqref="M150:M151">
    <cfRule type="cellIs" dxfId="3928" priority="12740" operator="equal">
      <formula>"value일 미도래"</formula>
    </cfRule>
  </conditionalFormatting>
  <conditionalFormatting sqref="M148:M149">
    <cfRule type="cellIs" dxfId="3927" priority="12739" operator="equal">
      <formula>"value일 미도래"</formula>
    </cfRule>
  </conditionalFormatting>
  <conditionalFormatting sqref="M148:M149">
    <cfRule type="cellIs" dxfId="3926" priority="12738" operator="equal">
      <formula>"value일 미도래"</formula>
    </cfRule>
  </conditionalFormatting>
  <conditionalFormatting sqref="M148:M149">
    <cfRule type="cellIs" dxfId="3925" priority="12737" operator="equal">
      <formula>"value일 미도래"</formula>
    </cfRule>
  </conditionalFormatting>
  <conditionalFormatting sqref="M148:M149">
    <cfRule type="cellIs" dxfId="3924" priority="12736" operator="equal">
      <formula>"value일 미도래"</formula>
    </cfRule>
  </conditionalFormatting>
  <conditionalFormatting sqref="M148:M149">
    <cfRule type="cellIs" dxfId="3923" priority="12735" operator="equal">
      <formula>"value일 미도래"</formula>
    </cfRule>
  </conditionalFormatting>
  <conditionalFormatting sqref="M148:M149">
    <cfRule type="cellIs" dxfId="3922" priority="12734" operator="equal">
      <formula>"value일 미도래"</formula>
    </cfRule>
  </conditionalFormatting>
  <conditionalFormatting sqref="M148:M149">
    <cfRule type="cellIs" dxfId="3921" priority="12733" operator="equal">
      <formula>"value일 미도래"</formula>
    </cfRule>
  </conditionalFormatting>
  <conditionalFormatting sqref="M148:M149">
    <cfRule type="cellIs" dxfId="3920" priority="12732" operator="equal">
      <formula>"value일 미도래"</formula>
    </cfRule>
  </conditionalFormatting>
  <conditionalFormatting sqref="M148:M149">
    <cfRule type="cellIs" dxfId="3919" priority="12731" operator="equal">
      <formula>"value일 미도래"</formula>
    </cfRule>
  </conditionalFormatting>
  <conditionalFormatting sqref="M148:M149">
    <cfRule type="cellIs" dxfId="3918" priority="12729" operator="equal">
      <formula>"value일 미도래"</formula>
    </cfRule>
  </conditionalFormatting>
  <conditionalFormatting sqref="M148:M149">
    <cfRule type="cellIs" dxfId="3917" priority="12728" operator="equal">
      <formula>"value일 미도래"</formula>
    </cfRule>
  </conditionalFormatting>
  <conditionalFormatting sqref="M148:M149">
    <cfRule type="cellIs" dxfId="3916" priority="12727" operator="equal">
      <formula>"value일 미도래"</formula>
    </cfRule>
  </conditionalFormatting>
  <conditionalFormatting sqref="M149:M150">
    <cfRule type="cellIs" dxfId="3915" priority="12726" operator="equal">
      <formula>"value일 미도래"</formula>
    </cfRule>
  </conditionalFormatting>
  <conditionalFormatting sqref="M149:M150">
    <cfRule type="cellIs" dxfId="3914" priority="12725" operator="equal">
      <formula>"value일 미도래"</formula>
    </cfRule>
  </conditionalFormatting>
  <conditionalFormatting sqref="M149:M150">
    <cfRule type="cellIs" dxfId="3913" priority="12724" operator="equal">
      <formula>"value일 미도래"</formula>
    </cfRule>
  </conditionalFormatting>
  <conditionalFormatting sqref="M148:M149">
    <cfRule type="cellIs" dxfId="3912" priority="12723" operator="equal">
      <formula>"value일 미도래"</formula>
    </cfRule>
  </conditionalFormatting>
  <conditionalFormatting sqref="M148:M149">
    <cfRule type="cellIs" dxfId="3911" priority="12722" operator="equal">
      <formula>"value일 미도래"</formula>
    </cfRule>
  </conditionalFormatting>
  <conditionalFormatting sqref="M148:M149">
    <cfRule type="cellIs" dxfId="3910" priority="12721" operator="equal">
      <formula>"value일 미도래"</formula>
    </cfRule>
  </conditionalFormatting>
  <conditionalFormatting sqref="M149:M150">
    <cfRule type="cellIs" dxfId="3909" priority="12720" operator="equal">
      <formula>"value일 미도래"</formula>
    </cfRule>
  </conditionalFormatting>
  <conditionalFormatting sqref="M149:M150">
    <cfRule type="cellIs" dxfId="3908" priority="12719" operator="equal">
      <formula>"value일 미도래"</formula>
    </cfRule>
  </conditionalFormatting>
  <conditionalFormatting sqref="M149:M150">
    <cfRule type="cellIs" dxfId="3907" priority="12718" operator="equal">
      <formula>"value일 미도래"</formula>
    </cfRule>
  </conditionalFormatting>
  <conditionalFormatting sqref="M148:M149">
    <cfRule type="cellIs" dxfId="3906" priority="12717" operator="equal">
      <formula>"value일 미도래"</formula>
    </cfRule>
  </conditionalFormatting>
  <conditionalFormatting sqref="M148:M149">
    <cfRule type="cellIs" dxfId="3905" priority="12716" operator="equal">
      <formula>"value일 미도래"</formula>
    </cfRule>
  </conditionalFormatting>
  <conditionalFormatting sqref="M148:M149">
    <cfRule type="cellIs" dxfId="3904" priority="12715" operator="equal">
      <formula>"value일 미도래"</formula>
    </cfRule>
  </conditionalFormatting>
  <conditionalFormatting sqref="M148">
    <cfRule type="cellIs" dxfId="3903" priority="12714" operator="equal">
      <formula>"value일 미도래"</formula>
    </cfRule>
  </conditionalFormatting>
  <conditionalFormatting sqref="M148">
    <cfRule type="cellIs" dxfId="3902" priority="12713" operator="equal">
      <formula>"value일 미도래"</formula>
    </cfRule>
  </conditionalFormatting>
  <conditionalFormatting sqref="M148">
    <cfRule type="cellIs" dxfId="3901" priority="12712" operator="equal">
      <formula>"value일 미도래"</formula>
    </cfRule>
  </conditionalFormatting>
  <conditionalFormatting sqref="M148">
    <cfRule type="cellIs" dxfId="3900" priority="12711" operator="equal">
      <formula>"value일 미도래"</formula>
    </cfRule>
  </conditionalFormatting>
  <conditionalFormatting sqref="M148">
    <cfRule type="cellIs" dxfId="3899" priority="12710" operator="equal">
      <formula>"value일 미도래"</formula>
    </cfRule>
  </conditionalFormatting>
  <conditionalFormatting sqref="M148">
    <cfRule type="cellIs" dxfId="3898" priority="12709" operator="equal">
      <formula>"value일 미도래"</formula>
    </cfRule>
  </conditionalFormatting>
  <conditionalFormatting sqref="M148">
    <cfRule type="cellIs" dxfId="3897" priority="12707" operator="equal">
      <formula>"value일 미도래"</formula>
    </cfRule>
  </conditionalFormatting>
  <conditionalFormatting sqref="M148">
    <cfRule type="cellIs" dxfId="3896" priority="12706" operator="equal">
      <formula>"value일 미도래"</formula>
    </cfRule>
  </conditionalFormatting>
  <conditionalFormatting sqref="M148">
    <cfRule type="cellIs" dxfId="3895" priority="12705" operator="equal">
      <formula>"value일 미도래"</formula>
    </cfRule>
  </conditionalFormatting>
  <conditionalFormatting sqref="M148">
    <cfRule type="cellIs" dxfId="3894" priority="12704" operator="equal">
      <formula>"value일 미도래"</formula>
    </cfRule>
  </conditionalFormatting>
  <conditionalFormatting sqref="M148">
    <cfRule type="cellIs" dxfId="3893" priority="12703" operator="equal">
      <formula>"value일 미도래"</formula>
    </cfRule>
  </conditionalFormatting>
  <conditionalFormatting sqref="M148">
    <cfRule type="cellIs" dxfId="3892" priority="12702" operator="equal">
      <formula>"value일 미도래"</formula>
    </cfRule>
  </conditionalFormatting>
  <conditionalFormatting sqref="M148">
    <cfRule type="cellIs" dxfId="3891" priority="12701" operator="equal">
      <formula>"value일 미도래"</formula>
    </cfRule>
  </conditionalFormatting>
  <conditionalFormatting sqref="M148">
    <cfRule type="cellIs" dxfId="3890" priority="12700" operator="equal">
      <formula>"value일 미도래"</formula>
    </cfRule>
  </conditionalFormatting>
  <conditionalFormatting sqref="M148">
    <cfRule type="cellIs" dxfId="3889" priority="12698" operator="equal">
      <formula>"value일 미도래"</formula>
    </cfRule>
  </conditionalFormatting>
  <conditionalFormatting sqref="M148">
    <cfRule type="cellIs" dxfId="3888" priority="12697" operator="equal">
      <formula>"value일 미도래"</formula>
    </cfRule>
  </conditionalFormatting>
  <conditionalFormatting sqref="M148">
    <cfRule type="cellIs" dxfId="3887" priority="12696" operator="equal">
      <formula>"value일 미도래"</formula>
    </cfRule>
  </conditionalFormatting>
  <conditionalFormatting sqref="M148">
    <cfRule type="cellIs" dxfId="3886" priority="12695" operator="equal">
      <formula>"value일 미도래"</formula>
    </cfRule>
  </conditionalFormatting>
  <conditionalFormatting sqref="M148">
    <cfRule type="cellIs" dxfId="3885" priority="12694" operator="equal">
      <formula>"value일 미도래"</formula>
    </cfRule>
  </conditionalFormatting>
  <conditionalFormatting sqref="M148">
    <cfRule type="cellIs" dxfId="3884" priority="12693" operator="equal">
      <formula>"value일 미도래"</formula>
    </cfRule>
  </conditionalFormatting>
  <conditionalFormatting sqref="M148">
    <cfRule type="cellIs" dxfId="3883" priority="12692" operator="equal">
      <formula>"value일 미도래"</formula>
    </cfRule>
  </conditionalFormatting>
  <conditionalFormatting sqref="M148">
    <cfRule type="cellIs" dxfId="3882" priority="12691" operator="equal">
      <formula>"value일 미도래"</formula>
    </cfRule>
  </conditionalFormatting>
  <conditionalFormatting sqref="M148">
    <cfRule type="cellIs" dxfId="3881" priority="12690" operator="equal">
      <formula>"value일 미도래"</formula>
    </cfRule>
  </conditionalFormatting>
  <conditionalFormatting sqref="M148">
    <cfRule type="cellIs" dxfId="3880" priority="12689" operator="equal">
      <formula>"value일 미도래"</formula>
    </cfRule>
  </conditionalFormatting>
  <conditionalFormatting sqref="M148">
    <cfRule type="cellIs" dxfId="3879" priority="12688" operator="equal">
      <formula>"value일 미도래"</formula>
    </cfRule>
  </conditionalFormatting>
  <conditionalFormatting sqref="M148">
    <cfRule type="cellIs" dxfId="3878" priority="12686" operator="equal">
      <formula>"value일 미도래"</formula>
    </cfRule>
  </conditionalFormatting>
  <conditionalFormatting sqref="M148">
    <cfRule type="cellIs" dxfId="3877" priority="12685" operator="equal">
      <formula>"value일 미도래"</formula>
    </cfRule>
  </conditionalFormatting>
  <conditionalFormatting sqref="M148">
    <cfRule type="cellIs" dxfId="3876" priority="12684" operator="equal">
      <formula>"value일 미도래"</formula>
    </cfRule>
  </conditionalFormatting>
  <conditionalFormatting sqref="M148">
    <cfRule type="cellIs" dxfId="3875" priority="12683" operator="equal">
      <formula>"value일 미도래"</formula>
    </cfRule>
  </conditionalFormatting>
  <conditionalFormatting sqref="M148">
    <cfRule type="cellIs" dxfId="3874" priority="12682" operator="equal">
      <formula>"value일 미도래"</formula>
    </cfRule>
  </conditionalFormatting>
  <conditionalFormatting sqref="M148">
    <cfRule type="cellIs" dxfId="3873" priority="12681" operator="equal">
      <formula>"value일 미도래"</formula>
    </cfRule>
  </conditionalFormatting>
  <conditionalFormatting sqref="M148">
    <cfRule type="cellIs" dxfId="3872" priority="12680" operator="equal">
      <formula>"value일 미도래"</formula>
    </cfRule>
  </conditionalFormatting>
  <conditionalFormatting sqref="M148">
    <cfRule type="cellIs" dxfId="3871" priority="12679" operator="equal">
      <formula>"value일 미도래"</formula>
    </cfRule>
  </conditionalFormatting>
  <conditionalFormatting sqref="M148">
    <cfRule type="cellIs" dxfId="3870" priority="12678" operator="equal">
      <formula>"value일 미도래"</formula>
    </cfRule>
  </conditionalFormatting>
  <conditionalFormatting sqref="M148">
    <cfRule type="cellIs" dxfId="3869" priority="12677" operator="equal">
      <formula>"value일 미도래"</formula>
    </cfRule>
  </conditionalFormatting>
  <conditionalFormatting sqref="M148">
    <cfRule type="cellIs" dxfId="3868" priority="12676" operator="equal">
      <formula>"value일 미도래"</formula>
    </cfRule>
  </conditionalFormatting>
  <conditionalFormatting sqref="M148">
    <cfRule type="cellIs" dxfId="3867" priority="12674" operator="equal">
      <formula>"value일 미도래"</formula>
    </cfRule>
  </conditionalFormatting>
  <conditionalFormatting sqref="M148">
    <cfRule type="cellIs" dxfId="3866" priority="12673" operator="equal">
      <formula>"value일 미도래"</formula>
    </cfRule>
  </conditionalFormatting>
  <conditionalFormatting sqref="M148">
    <cfRule type="cellIs" dxfId="3865" priority="12672" operator="equal">
      <formula>"value일 미도래"</formula>
    </cfRule>
  </conditionalFormatting>
  <conditionalFormatting sqref="M148:M149">
    <cfRule type="cellIs" dxfId="3864" priority="12671" operator="equal">
      <formula>"value일 미도래"</formula>
    </cfRule>
  </conditionalFormatting>
  <conditionalFormatting sqref="M148:M149">
    <cfRule type="cellIs" dxfId="3863" priority="12670" operator="equal">
      <formula>"value일 미도래"</formula>
    </cfRule>
  </conditionalFormatting>
  <conditionalFormatting sqref="M149:M150">
    <cfRule type="cellIs" dxfId="3862" priority="12669" operator="equal">
      <formula>"value일 미도래"</formula>
    </cfRule>
  </conditionalFormatting>
  <conditionalFormatting sqref="M149:M150">
    <cfRule type="cellIs" dxfId="3861" priority="12668" operator="equal">
      <formula>"value일 미도래"</formula>
    </cfRule>
  </conditionalFormatting>
  <conditionalFormatting sqref="M149:M150">
    <cfRule type="cellIs" dxfId="3860" priority="12667" operator="equal">
      <formula>"value일 미도래"</formula>
    </cfRule>
  </conditionalFormatting>
  <conditionalFormatting sqref="M150:M151">
    <cfRule type="cellIs" dxfId="3859" priority="12666" operator="equal">
      <formula>"value일 미도래"</formula>
    </cfRule>
  </conditionalFormatting>
  <conditionalFormatting sqref="M150:M151">
    <cfRule type="cellIs" dxfId="3858" priority="12665" operator="equal">
      <formula>"value일 미도래"</formula>
    </cfRule>
  </conditionalFormatting>
  <conditionalFormatting sqref="M150:M151">
    <cfRule type="cellIs" dxfId="3857" priority="12664" operator="equal">
      <formula>"value일 미도래"</formula>
    </cfRule>
  </conditionalFormatting>
  <conditionalFormatting sqref="M148:M149">
    <cfRule type="cellIs" dxfId="3856" priority="12663" operator="equal">
      <formula>"value일 미도래"</formula>
    </cfRule>
  </conditionalFormatting>
  <conditionalFormatting sqref="M148:M149">
    <cfRule type="cellIs" dxfId="3855" priority="12662" operator="equal">
      <formula>"value일 미도래"</formula>
    </cfRule>
  </conditionalFormatting>
  <conditionalFormatting sqref="M148:M149">
    <cfRule type="cellIs" dxfId="3854" priority="12661" operator="equal">
      <formula>"value일 미도래"</formula>
    </cfRule>
  </conditionalFormatting>
  <conditionalFormatting sqref="M148:M149">
    <cfRule type="cellIs" dxfId="3853" priority="12660" operator="equal">
      <formula>"value일 미도래"</formula>
    </cfRule>
  </conditionalFormatting>
  <conditionalFormatting sqref="M148:M149">
    <cfRule type="cellIs" dxfId="3852" priority="12659" operator="equal">
      <formula>"value일 미도래"</formula>
    </cfRule>
  </conditionalFormatting>
  <conditionalFormatting sqref="M148:M149">
    <cfRule type="cellIs" dxfId="3851" priority="12658" operator="equal">
      <formula>"value일 미도래"</formula>
    </cfRule>
  </conditionalFormatting>
  <conditionalFormatting sqref="M148:M149">
    <cfRule type="cellIs" dxfId="3850" priority="12657" operator="equal">
      <formula>"value일 미도래"</formula>
    </cfRule>
  </conditionalFormatting>
  <conditionalFormatting sqref="M148:M149">
    <cfRule type="cellIs" dxfId="3849" priority="12656" operator="equal">
      <formula>"value일 미도래"</formula>
    </cfRule>
  </conditionalFormatting>
  <conditionalFormatting sqref="M148:M149">
    <cfRule type="cellIs" dxfId="3848" priority="12655" operator="equal">
      <formula>"value일 미도래"</formula>
    </cfRule>
  </conditionalFormatting>
  <conditionalFormatting sqref="M148:M149">
    <cfRule type="cellIs" dxfId="3847" priority="12653" operator="equal">
      <formula>"value일 미도래"</formula>
    </cfRule>
  </conditionalFormatting>
  <conditionalFormatting sqref="M148:M149">
    <cfRule type="cellIs" dxfId="3846" priority="12652" operator="equal">
      <formula>"value일 미도래"</formula>
    </cfRule>
  </conditionalFormatting>
  <conditionalFormatting sqref="M148:M149">
    <cfRule type="cellIs" dxfId="3845" priority="12651" operator="equal">
      <formula>"value일 미도래"</formula>
    </cfRule>
  </conditionalFormatting>
  <conditionalFormatting sqref="M149:M150">
    <cfRule type="cellIs" dxfId="3844" priority="12650" operator="equal">
      <formula>"value일 미도래"</formula>
    </cfRule>
  </conditionalFormatting>
  <conditionalFormatting sqref="M149:M150">
    <cfRule type="cellIs" dxfId="3843" priority="12649" operator="equal">
      <formula>"value일 미도래"</formula>
    </cfRule>
  </conditionalFormatting>
  <conditionalFormatting sqref="M149:M150">
    <cfRule type="cellIs" dxfId="3842" priority="12648" operator="equal">
      <formula>"value일 미도래"</formula>
    </cfRule>
  </conditionalFormatting>
  <conditionalFormatting sqref="M148:M149">
    <cfRule type="cellIs" dxfId="3841" priority="12647" operator="equal">
      <formula>"value일 미도래"</formula>
    </cfRule>
  </conditionalFormatting>
  <conditionalFormatting sqref="M148:M149">
    <cfRule type="cellIs" dxfId="3840" priority="12646" operator="equal">
      <formula>"value일 미도래"</formula>
    </cfRule>
  </conditionalFormatting>
  <conditionalFormatting sqref="M148:M149">
    <cfRule type="cellIs" dxfId="3839" priority="12645" operator="equal">
      <formula>"value일 미도래"</formula>
    </cfRule>
  </conditionalFormatting>
  <conditionalFormatting sqref="M149:M150">
    <cfRule type="cellIs" dxfId="3838" priority="12644" operator="equal">
      <formula>"value일 미도래"</formula>
    </cfRule>
  </conditionalFormatting>
  <conditionalFormatting sqref="M149:M150">
    <cfRule type="cellIs" dxfId="3837" priority="12643" operator="equal">
      <formula>"value일 미도래"</formula>
    </cfRule>
  </conditionalFormatting>
  <conditionalFormatting sqref="M149:M150">
    <cfRule type="cellIs" dxfId="3836" priority="12642" operator="equal">
      <formula>"value일 미도래"</formula>
    </cfRule>
  </conditionalFormatting>
  <conditionalFormatting sqref="M148:M149">
    <cfRule type="cellIs" dxfId="3835" priority="12641" operator="equal">
      <formula>"value일 미도래"</formula>
    </cfRule>
  </conditionalFormatting>
  <conditionalFormatting sqref="M148:M149">
    <cfRule type="cellIs" dxfId="3834" priority="12640" operator="equal">
      <formula>"value일 미도래"</formula>
    </cfRule>
  </conditionalFormatting>
  <conditionalFormatting sqref="M148:M149">
    <cfRule type="cellIs" dxfId="3833" priority="12639" operator="equal">
      <formula>"value일 미도래"</formula>
    </cfRule>
  </conditionalFormatting>
  <conditionalFormatting sqref="M148">
    <cfRule type="cellIs" dxfId="3832" priority="12638" operator="equal">
      <formula>"value일 미도래"</formula>
    </cfRule>
  </conditionalFormatting>
  <conditionalFormatting sqref="M148">
    <cfRule type="cellIs" dxfId="3831" priority="12637" operator="equal">
      <formula>"value일 미도래"</formula>
    </cfRule>
  </conditionalFormatting>
  <conditionalFormatting sqref="M148">
    <cfRule type="cellIs" dxfId="3830" priority="12636" operator="equal">
      <formula>"value일 미도래"</formula>
    </cfRule>
  </conditionalFormatting>
  <conditionalFormatting sqref="M148">
    <cfRule type="cellIs" dxfId="3829" priority="12635" operator="equal">
      <formula>"value일 미도래"</formula>
    </cfRule>
  </conditionalFormatting>
  <conditionalFormatting sqref="M148">
    <cfRule type="cellIs" dxfId="3828" priority="12634" operator="equal">
      <formula>"value일 미도래"</formula>
    </cfRule>
  </conditionalFormatting>
  <conditionalFormatting sqref="M148">
    <cfRule type="cellIs" dxfId="3827" priority="12633" operator="equal">
      <formula>"value일 미도래"</formula>
    </cfRule>
  </conditionalFormatting>
  <conditionalFormatting sqref="M148">
    <cfRule type="cellIs" dxfId="3826" priority="12631" operator="equal">
      <formula>"value일 미도래"</formula>
    </cfRule>
  </conditionalFormatting>
  <conditionalFormatting sqref="M148">
    <cfRule type="cellIs" dxfId="3825" priority="12630" operator="equal">
      <formula>"value일 미도래"</formula>
    </cfRule>
  </conditionalFormatting>
  <conditionalFormatting sqref="M148">
    <cfRule type="cellIs" dxfId="3824" priority="12629" operator="equal">
      <formula>"value일 미도래"</formula>
    </cfRule>
  </conditionalFormatting>
  <conditionalFormatting sqref="M148">
    <cfRule type="cellIs" dxfId="3823" priority="12628" operator="equal">
      <formula>"value일 미도래"</formula>
    </cfRule>
  </conditionalFormatting>
  <conditionalFormatting sqref="M148">
    <cfRule type="cellIs" dxfId="3822" priority="12627" operator="equal">
      <formula>"value일 미도래"</formula>
    </cfRule>
  </conditionalFormatting>
  <conditionalFormatting sqref="M148">
    <cfRule type="cellIs" dxfId="3821" priority="12626" operator="equal">
      <formula>"value일 미도래"</formula>
    </cfRule>
  </conditionalFormatting>
  <conditionalFormatting sqref="M148">
    <cfRule type="cellIs" dxfId="3820" priority="12625" operator="equal">
      <formula>"value일 미도래"</formula>
    </cfRule>
  </conditionalFormatting>
  <conditionalFormatting sqref="M148">
    <cfRule type="cellIs" dxfId="3819" priority="12624" operator="equal">
      <formula>"value일 미도래"</formula>
    </cfRule>
  </conditionalFormatting>
  <conditionalFormatting sqref="M148">
    <cfRule type="cellIs" dxfId="3818" priority="12622" operator="equal">
      <formula>"value일 미도래"</formula>
    </cfRule>
  </conditionalFormatting>
  <conditionalFormatting sqref="M148">
    <cfRule type="cellIs" dxfId="3817" priority="12621" operator="equal">
      <formula>"value일 미도래"</formula>
    </cfRule>
  </conditionalFormatting>
  <conditionalFormatting sqref="M148">
    <cfRule type="cellIs" dxfId="3816" priority="12620" operator="equal">
      <formula>"value일 미도래"</formula>
    </cfRule>
  </conditionalFormatting>
  <conditionalFormatting sqref="M148">
    <cfRule type="cellIs" dxfId="3815" priority="12619" operator="equal">
      <formula>"value일 미도래"</formula>
    </cfRule>
  </conditionalFormatting>
  <conditionalFormatting sqref="M148">
    <cfRule type="cellIs" dxfId="3814" priority="12618" operator="equal">
      <formula>"value일 미도래"</formula>
    </cfRule>
  </conditionalFormatting>
  <conditionalFormatting sqref="M148">
    <cfRule type="cellIs" dxfId="3813" priority="12617" operator="equal">
      <formula>"value일 미도래"</formula>
    </cfRule>
  </conditionalFormatting>
  <conditionalFormatting sqref="M148">
    <cfRule type="cellIs" dxfId="3812" priority="12616" operator="equal">
      <formula>"value일 미도래"</formula>
    </cfRule>
  </conditionalFormatting>
  <conditionalFormatting sqref="M148">
    <cfRule type="cellIs" dxfId="3811" priority="12615" operator="equal">
      <formula>"value일 미도래"</formula>
    </cfRule>
  </conditionalFormatting>
  <conditionalFormatting sqref="M148">
    <cfRule type="cellIs" dxfId="3810" priority="12614" operator="equal">
      <formula>"value일 미도래"</formula>
    </cfRule>
  </conditionalFormatting>
  <conditionalFormatting sqref="M148">
    <cfRule type="cellIs" dxfId="3809" priority="12613" operator="equal">
      <formula>"value일 미도래"</formula>
    </cfRule>
  </conditionalFormatting>
  <conditionalFormatting sqref="M148">
    <cfRule type="cellIs" dxfId="3808" priority="12612" operator="equal">
      <formula>"value일 미도래"</formula>
    </cfRule>
  </conditionalFormatting>
  <conditionalFormatting sqref="M148">
    <cfRule type="cellIs" dxfId="3807" priority="12610" operator="equal">
      <formula>"value일 미도래"</formula>
    </cfRule>
  </conditionalFormatting>
  <conditionalFormatting sqref="M148">
    <cfRule type="cellIs" dxfId="3806" priority="12609" operator="equal">
      <formula>"value일 미도래"</formula>
    </cfRule>
  </conditionalFormatting>
  <conditionalFormatting sqref="M148">
    <cfRule type="cellIs" dxfId="3805" priority="12608" operator="equal">
      <formula>"value일 미도래"</formula>
    </cfRule>
  </conditionalFormatting>
  <conditionalFormatting sqref="M148">
    <cfRule type="cellIs" dxfId="3804" priority="12607" operator="equal">
      <formula>"value일 미도래"</formula>
    </cfRule>
  </conditionalFormatting>
  <conditionalFormatting sqref="M148">
    <cfRule type="cellIs" dxfId="3803" priority="12606" operator="equal">
      <formula>"value일 미도래"</formula>
    </cfRule>
  </conditionalFormatting>
  <conditionalFormatting sqref="M148">
    <cfRule type="cellIs" dxfId="3802" priority="12605" operator="equal">
      <formula>"value일 미도래"</formula>
    </cfRule>
  </conditionalFormatting>
  <conditionalFormatting sqref="M148">
    <cfRule type="cellIs" dxfId="3801" priority="12604" operator="equal">
      <formula>"value일 미도래"</formula>
    </cfRule>
  </conditionalFormatting>
  <conditionalFormatting sqref="M148">
    <cfRule type="cellIs" dxfId="3800" priority="12603" operator="equal">
      <formula>"value일 미도래"</formula>
    </cfRule>
  </conditionalFormatting>
  <conditionalFormatting sqref="M148">
    <cfRule type="cellIs" dxfId="3799" priority="12602" operator="equal">
      <formula>"value일 미도래"</formula>
    </cfRule>
  </conditionalFormatting>
  <conditionalFormatting sqref="M148">
    <cfRule type="cellIs" dxfId="3798" priority="12601" operator="equal">
      <formula>"value일 미도래"</formula>
    </cfRule>
  </conditionalFormatting>
  <conditionalFormatting sqref="M148">
    <cfRule type="cellIs" dxfId="3797" priority="12600" operator="equal">
      <formula>"value일 미도래"</formula>
    </cfRule>
  </conditionalFormatting>
  <conditionalFormatting sqref="M148">
    <cfRule type="cellIs" dxfId="3796" priority="12598" operator="equal">
      <formula>"value일 미도래"</formula>
    </cfRule>
  </conditionalFormatting>
  <conditionalFormatting sqref="M148">
    <cfRule type="cellIs" dxfId="3795" priority="12597" operator="equal">
      <formula>"value일 미도래"</formula>
    </cfRule>
  </conditionalFormatting>
  <conditionalFormatting sqref="M148">
    <cfRule type="cellIs" dxfId="3794" priority="12596" operator="equal">
      <formula>"value일 미도래"</formula>
    </cfRule>
  </conditionalFormatting>
  <conditionalFormatting sqref="M150:M151">
    <cfRule type="cellIs" dxfId="3793" priority="12595" operator="equal">
      <formula>"value일 미도래"</formula>
    </cfRule>
  </conditionalFormatting>
  <conditionalFormatting sqref="M150:M151">
    <cfRule type="cellIs" dxfId="3792" priority="12594" operator="equal">
      <formula>"value일 미도래"</formula>
    </cfRule>
  </conditionalFormatting>
  <conditionalFormatting sqref="M150:M151">
    <cfRule type="cellIs" dxfId="3791" priority="12593" operator="equal">
      <formula>"value일 미도래"</formula>
    </cfRule>
  </conditionalFormatting>
  <conditionalFormatting sqref="M150:M151">
    <cfRule type="cellIs" dxfId="3790" priority="12592" operator="equal">
      <formula>"value일 미도래"</formula>
    </cfRule>
  </conditionalFormatting>
  <conditionalFormatting sqref="M148">
    <cfRule type="cellIs" dxfId="3789" priority="12591" operator="equal">
      <formula>"value일 미도래"</formula>
    </cfRule>
  </conditionalFormatting>
  <conditionalFormatting sqref="M148">
    <cfRule type="cellIs" dxfId="3788" priority="12590" operator="equal">
      <formula>"value일 미도래"</formula>
    </cfRule>
  </conditionalFormatting>
  <conditionalFormatting sqref="M148">
    <cfRule type="cellIs" dxfId="3787" priority="12589" operator="equal">
      <formula>"value일 미도래"</formula>
    </cfRule>
  </conditionalFormatting>
  <conditionalFormatting sqref="M148:M149">
    <cfRule type="cellIs" dxfId="3786" priority="12588" operator="equal">
      <formula>"value일 미도래"</formula>
    </cfRule>
  </conditionalFormatting>
  <conditionalFormatting sqref="M148:M149">
    <cfRule type="cellIs" dxfId="3785" priority="12587" operator="equal">
      <formula>"value일 미도래"</formula>
    </cfRule>
  </conditionalFormatting>
  <conditionalFormatting sqref="M148:M149">
    <cfRule type="cellIs" dxfId="3784" priority="12586" operator="equal">
      <formula>"value일 미도래"</formula>
    </cfRule>
  </conditionalFormatting>
  <conditionalFormatting sqref="M148">
    <cfRule type="cellIs" dxfId="3783" priority="12585" operator="equal">
      <formula>"value일 미도래"</formula>
    </cfRule>
  </conditionalFormatting>
  <conditionalFormatting sqref="M148">
    <cfRule type="cellIs" dxfId="3782" priority="12584" operator="equal">
      <formula>"value일 미도래"</formula>
    </cfRule>
  </conditionalFormatting>
  <conditionalFormatting sqref="M148">
    <cfRule type="cellIs" dxfId="3781" priority="12583" operator="equal">
      <formula>"value일 미도래"</formula>
    </cfRule>
  </conditionalFormatting>
  <conditionalFormatting sqref="M148">
    <cfRule type="cellIs" dxfId="3780" priority="12582" operator="equal">
      <formula>"value일 미도래"</formula>
    </cfRule>
  </conditionalFormatting>
  <conditionalFormatting sqref="M148">
    <cfRule type="cellIs" dxfId="3779" priority="12581" operator="equal">
      <formula>"value일 미도래"</formula>
    </cfRule>
  </conditionalFormatting>
  <conditionalFormatting sqref="M148">
    <cfRule type="cellIs" dxfId="3778" priority="12580" operator="equal">
      <formula>"value일 미도래"</formula>
    </cfRule>
  </conditionalFormatting>
  <conditionalFormatting sqref="M151:M152">
    <cfRule type="cellIs" dxfId="3777" priority="12579" operator="equal">
      <formula>"value일 미도래"</formula>
    </cfRule>
  </conditionalFormatting>
  <conditionalFormatting sqref="M151:M152">
    <cfRule type="cellIs" dxfId="3776" priority="12578" operator="equal">
      <formula>"value일 미도래"</formula>
    </cfRule>
  </conditionalFormatting>
  <conditionalFormatting sqref="M151:M152">
    <cfRule type="cellIs" dxfId="3775" priority="12577" operator="equal">
      <formula>"value일 미도래"</formula>
    </cfRule>
  </conditionalFormatting>
  <conditionalFormatting sqref="M151:M152">
    <cfRule type="cellIs" dxfId="3774" priority="12576" operator="equal">
      <formula>"value일 미도래"</formula>
    </cfRule>
  </conditionalFormatting>
  <conditionalFormatting sqref="M151:M152">
    <cfRule type="cellIs" dxfId="3773" priority="12575" operator="equal">
      <formula>"value일 미도래"</formula>
    </cfRule>
  </conditionalFormatting>
  <conditionalFormatting sqref="M151:M152">
    <cfRule type="cellIs" dxfId="3772" priority="12574" operator="equal">
      <formula>"value일 미도래"</formula>
    </cfRule>
  </conditionalFormatting>
  <conditionalFormatting sqref="M151:M152">
    <cfRule type="cellIs" dxfId="3771" priority="12572" operator="equal">
      <formula>"value일 미도래"</formula>
    </cfRule>
  </conditionalFormatting>
  <conditionalFormatting sqref="M151:M152">
    <cfRule type="cellIs" dxfId="3770" priority="12571" operator="equal">
      <formula>"value일 미도래"</formula>
    </cfRule>
  </conditionalFormatting>
  <conditionalFormatting sqref="M151:M152">
    <cfRule type="cellIs" dxfId="3769" priority="12570" operator="equal">
      <formula>"value일 미도래"</formula>
    </cfRule>
  </conditionalFormatting>
  <conditionalFormatting sqref="M151:M152">
    <cfRule type="cellIs" dxfId="3768" priority="12569" operator="equal">
      <formula>"value일 미도래"</formula>
    </cfRule>
  </conditionalFormatting>
  <conditionalFormatting sqref="M151:M152">
    <cfRule type="cellIs" dxfId="3767" priority="12568" operator="equal">
      <formula>"value일 미도래"</formula>
    </cfRule>
  </conditionalFormatting>
  <conditionalFormatting sqref="M151:M152">
    <cfRule type="cellIs" dxfId="3766" priority="12567" operator="equal">
      <formula>"value일 미도래"</formula>
    </cfRule>
  </conditionalFormatting>
  <conditionalFormatting sqref="M151:M152">
    <cfRule type="cellIs" dxfId="3765" priority="12566" operator="equal">
      <formula>"value일 미도래"</formula>
    </cfRule>
  </conditionalFormatting>
  <conditionalFormatting sqref="M151:M152">
    <cfRule type="cellIs" dxfId="3764" priority="12565" operator="equal">
      <formula>"value일 미도래"</formula>
    </cfRule>
  </conditionalFormatting>
  <conditionalFormatting sqref="M151:M152">
    <cfRule type="cellIs" dxfId="3763" priority="12563" operator="equal">
      <formula>"value일 미도래"</formula>
    </cfRule>
  </conditionalFormatting>
  <conditionalFormatting sqref="M151:M152">
    <cfRule type="cellIs" dxfId="3762" priority="12562" operator="equal">
      <formula>"value일 미도래"</formula>
    </cfRule>
  </conditionalFormatting>
  <conditionalFormatting sqref="M151:M152">
    <cfRule type="cellIs" dxfId="3761" priority="12561" operator="equal">
      <formula>"value일 미도래"</formula>
    </cfRule>
  </conditionalFormatting>
  <conditionalFormatting sqref="M151:M152">
    <cfRule type="cellIs" dxfId="3760" priority="12560" operator="equal">
      <formula>"value일 미도래"</formula>
    </cfRule>
  </conditionalFormatting>
  <conditionalFormatting sqref="M151:M152">
    <cfRule type="cellIs" dxfId="3759" priority="12559" operator="equal">
      <formula>"value일 미도래"</formula>
    </cfRule>
  </conditionalFormatting>
  <conditionalFormatting sqref="M151:M152">
    <cfRule type="cellIs" dxfId="3758" priority="12558" operator="equal">
      <formula>"value일 미도래"</formula>
    </cfRule>
  </conditionalFormatting>
  <conditionalFormatting sqref="M151:M152">
    <cfRule type="cellIs" dxfId="3757" priority="12557" operator="equal">
      <formula>"value일 미도래"</formula>
    </cfRule>
  </conditionalFormatting>
  <conditionalFormatting sqref="M151:M152">
    <cfRule type="cellIs" dxfId="3756" priority="12556" operator="equal">
      <formula>"value일 미도래"</formula>
    </cfRule>
  </conditionalFormatting>
  <conditionalFormatting sqref="M151:M152">
    <cfRule type="cellIs" dxfId="3755" priority="12555" operator="equal">
      <formula>"value일 미도래"</formula>
    </cfRule>
  </conditionalFormatting>
  <conditionalFormatting sqref="M151:M152">
    <cfRule type="cellIs" dxfId="3754" priority="12554" operator="equal">
      <formula>"value일 미도래"</formula>
    </cfRule>
  </conditionalFormatting>
  <conditionalFormatting sqref="M151:M152">
    <cfRule type="cellIs" dxfId="3753" priority="12553" operator="equal">
      <formula>"value일 미도래"</formula>
    </cfRule>
  </conditionalFormatting>
  <conditionalFormatting sqref="M151:M152">
    <cfRule type="cellIs" dxfId="3752" priority="12551" operator="equal">
      <formula>"value일 미도래"</formula>
    </cfRule>
  </conditionalFormatting>
  <conditionalFormatting sqref="M151:M152">
    <cfRule type="cellIs" dxfId="3751" priority="12550" operator="equal">
      <formula>"value일 미도래"</formula>
    </cfRule>
  </conditionalFormatting>
  <conditionalFormatting sqref="M151:M152">
    <cfRule type="cellIs" dxfId="3750" priority="12549" operator="equal">
      <formula>"value일 미도래"</formula>
    </cfRule>
  </conditionalFormatting>
  <conditionalFormatting sqref="M151:M152">
    <cfRule type="cellIs" dxfId="3749" priority="12548" operator="equal">
      <formula>"value일 미도래"</formula>
    </cfRule>
  </conditionalFormatting>
  <conditionalFormatting sqref="M151:M152">
    <cfRule type="cellIs" dxfId="3748" priority="12547" operator="equal">
      <formula>"value일 미도래"</formula>
    </cfRule>
  </conditionalFormatting>
  <conditionalFormatting sqref="M151:M152">
    <cfRule type="cellIs" dxfId="3747" priority="12546" operator="equal">
      <formula>"value일 미도래"</formula>
    </cfRule>
  </conditionalFormatting>
  <conditionalFormatting sqref="M151:M152">
    <cfRule type="cellIs" dxfId="3746" priority="12545" operator="equal">
      <formula>"value일 미도래"</formula>
    </cfRule>
  </conditionalFormatting>
  <conditionalFormatting sqref="M151:M152">
    <cfRule type="cellIs" dxfId="3745" priority="12544" operator="equal">
      <formula>"value일 미도래"</formula>
    </cfRule>
  </conditionalFormatting>
  <conditionalFormatting sqref="M151:M152">
    <cfRule type="cellIs" dxfId="3744" priority="12543" operator="equal">
      <formula>"value일 미도래"</formula>
    </cfRule>
  </conditionalFormatting>
  <conditionalFormatting sqref="M151:M152">
    <cfRule type="cellIs" dxfId="3743" priority="12542" operator="equal">
      <formula>"value일 미도래"</formula>
    </cfRule>
  </conditionalFormatting>
  <conditionalFormatting sqref="M151:M152">
    <cfRule type="cellIs" dxfId="3742" priority="12541" operator="equal">
      <formula>"value일 미도래"</formula>
    </cfRule>
  </conditionalFormatting>
  <conditionalFormatting sqref="M151:M152">
    <cfRule type="cellIs" dxfId="3741" priority="12539" operator="equal">
      <formula>"value일 미도래"</formula>
    </cfRule>
  </conditionalFormatting>
  <conditionalFormatting sqref="M151:M152">
    <cfRule type="cellIs" dxfId="3740" priority="12538" operator="equal">
      <formula>"value일 미도래"</formula>
    </cfRule>
  </conditionalFormatting>
  <conditionalFormatting sqref="M151:M152">
    <cfRule type="cellIs" dxfId="3739" priority="12537" operator="equal">
      <formula>"value일 미도래"</formula>
    </cfRule>
  </conditionalFormatting>
  <conditionalFormatting sqref="M151:M152">
    <cfRule type="cellIs" dxfId="3738" priority="12536" operator="equal">
      <formula>"value일 미도래"</formula>
    </cfRule>
  </conditionalFormatting>
  <conditionalFormatting sqref="M151:M152">
    <cfRule type="cellIs" dxfId="3737" priority="12535" operator="equal">
      <formula>"value일 미도래"</formula>
    </cfRule>
  </conditionalFormatting>
  <conditionalFormatting sqref="M151:M152">
    <cfRule type="cellIs" dxfId="3736" priority="12534" operator="equal">
      <formula>"value일 미도래"</formula>
    </cfRule>
  </conditionalFormatting>
  <conditionalFormatting sqref="M151:M152">
    <cfRule type="cellIs" dxfId="3735" priority="12533" operator="equal">
      <formula>"value일 미도래"</formula>
    </cfRule>
  </conditionalFormatting>
  <conditionalFormatting sqref="M151:M152">
    <cfRule type="cellIs" dxfId="3734" priority="12532" operator="equal">
      <formula>"value일 미도래"</formula>
    </cfRule>
  </conditionalFormatting>
  <conditionalFormatting sqref="M151:M152">
    <cfRule type="cellIs" dxfId="3733" priority="12531" operator="equal">
      <formula>"value일 미도래"</formula>
    </cfRule>
  </conditionalFormatting>
  <conditionalFormatting sqref="M151:M152">
    <cfRule type="cellIs" dxfId="3732" priority="12530" operator="equal">
      <formula>"value일 미도래"</formula>
    </cfRule>
  </conditionalFormatting>
  <conditionalFormatting sqref="M151:M152">
    <cfRule type="cellIs" dxfId="3731" priority="12529" operator="equal">
      <formula>"value일 미도래"</formula>
    </cfRule>
  </conditionalFormatting>
  <conditionalFormatting sqref="M151:M152">
    <cfRule type="cellIs" dxfId="3730" priority="12528" operator="equal">
      <formula>"value일 미도래"</formula>
    </cfRule>
  </conditionalFormatting>
  <conditionalFormatting sqref="M151:M152">
    <cfRule type="cellIs" dxfId="3729" priority="12527" operator="equal">
      <formula>"value일 미도래"</formula>
    </cfRule>
  </conditionalFormatting>
  <conditionalFormatting sqref="M151:M152">
    <cfRule type="cellIs" dxfId="3728" priority="12526" operator="equal">
      <formula>"value일 미도래"</formula>
    </cfRule>
  </conditionalFormatting>
  <conditionalFormatting sqref="M151:M152">
    <cfRule type="cellIs" dxfId="3727" priority="12524" operator="equal">
      <formula>"value일 미도래"</formula>
    </cfRule>
  </conditionalFormatting>
  <conditionalFormatting sqref="M151:M152">
    <cfRule type="cellIs" dxfId="3726" priority="12523" operator="equal">
      <formula>"value일 미도래"</formula>
    </cfRule>
  </conditionalFormatting>
  <conditionalFormatting sqref="M151:M152">
    <cfRule type="cellIs" dxfId="3725" priority="12522" operator="equal">
      <formula>"value일 미도래"</formula>
    </cfRule>
  </conditionalFormatting>
  <conditionalFormatting sqref="M151:M152">
    <cfRule type="cellIs" dxfId="3724" priority="12521" operator="equal">
      <formula>"value일 미도래"</formula>
    </cfRule>
  </conditionalFormatting>
  <conditionalFormatting sqref="M151:M152">
    <cfRule type="cellIs" dxfId="3723" priority="12520" operator="equal">
      <formula>"value일 미도래"</formula>
    </cfRule>
  </conditionalFormatting>
  <conditionalFormatting sqref="M151:M152">
    <cfRule type="cellIs" dxfId="3722" priority="12519" operator="equal">
      <formula>"value일 미도래"</formula>
    </cfRule>
  </conditionalFormatting>
  <conditionalFormatting sqref="M151:M152">
    <cfRule type="cellIs" dxfId="3721" priority="12518" operator="equal">
      <formula>"value일 미도래"</formula>
    </cfRule>
  </conditionalFormatting>
  <conditionalFormatting sqref="M151:M152">
    <cfRule type="cellIs" dxfId="3720" priority="12517" operator="equal">
      <formula>"value일 미도래"</formula>
    </cfRule>
  </conditionalFormatting>
  <conditionalFormatting sqref="M151:M152">
    <cfRule type="cellIs" dxfId="3719" priority="12516" operator="equal">
      <formula>"value일 미도래"</formula>
    </cfRule>
  </conditionalFormatting>
  <conditionalFormatting sqref="M151:M152">
    <cfRule type="cellIs" dxfId="3718" priority="12515" operator="equal">
      <formula>"value일 미도래"</formula>
    </cfRule>
  </conditionalFormatting>
  <conditionalFormatting sqref="M151:M152">
    <cfRule type="cellIs" dxfId="3717" priority="12514" operator="equal">
      <formula>"value일 미도래"</formula>
    </cfRule>
  </conditionalFormatting>
  <conditionalFormatting sqref="M151:M152">
    <cfRule type="cellIs" dxfId="3716" priority="12513" operator="equal">
      <formula>"value일 미도래"</formula>
    </cfRule>
  </conditionalFormatting>
  <conditionalFormatting sqref="M151:M152">
    <cfRule type="cellIs" dxfId="3715" priority="12512" operator="equal">
      <formula>"value일 미도래"</formula>
    </cfRule>
  </conditionalFormatting>
  <conditionalFormatting sqref="M151:M152">
    <cfRule type="cellIs" dxfId="3714" priority="12511" operator="equal">
      <formula>"value일 미도래"</formula>
    </cfRule>
  </conditionalFormatting>
  <conditionalFormatting sqref="M151:M152">
    <cfRule type="cellIs" dxfId="3713" priority="12510" operator="equal">
      <formula>"value일 미도래"</formula>
    </cfRule>
  </conditionalFormatting>
  <conditionalFormatting sqref="M151:M152">
    <cfRule type="cellIs" dxfId="3712" priority="12509" operator="equal">
      <formula>"value일 미도래"</formula>
    </cfRule>
  </conditionalFormatting>
  <conditionalFormatting sqref="M151:M152">
    <cfRule type="cellIs" dxfId="3711" priority="12508" operator="equal">
      <formula>"value일 미도래"</formula>
    </cfRule>
  </conditionalFormatting>
  <conditionalFormatting sqref="M151:M152">
    <cfRule type="cellIs" dxfId="3710" priority="12507" operator="equal">
      <formula>"value일 미도래"</formula>
    </cfRule>
  </conditionalFormatting>
  <conditionalFormatting sqref="M151:M152">
    <cfRule type="cellIs" dxfId="3709" priority="12506" operator="equal">
      <formula>"value일 미도래"</formula>
    </cfRule>
  </conditionalFormatting>
  <conditionalFormatting sqref="M151:M152">
    <cfRule type="cellIs" dxfId="3708" priority="12505" operator="equal">
      <formula>"value일 미도래"</formula>
    </cfRule>
  </conditionalFormatting>
  <conditionalFormatting sqref="M151:M152">
    <cfRule type="cellIs" dxfId="3707" priority="12503" operator="equal">
      <formula>"value일 미도래"</formula>
    </cfRule>
  </conditionalFormatting>
  <conditionalFormatting sqref="M151:M152">
    <cfRule type="cellIs" dxfId="3706" priority="12502" operator="equal">
      <formula>"value일 미도래"</formula>
    </cfRule>
  </conditionalFormatting>
  <conditionalFormatting sqref="M151:M152">
    <cfRule type="cellIs" dxfId="3705" priority="12501" operator="equal">
      <formula>"value일 미도래"</formula>
    </cfRule>
  </conditionalFormatting>
  <conditionalFormatting sqref="M151:M152">
    <cfRule type="cellIs" dxfId="3704" priority="12500" operator="equal">
      <formula>"value일 미도래"</formula>
    </cfRule>
  </conditionalFormatting>
  <conditionalFormatting sqref="M151:M152">
    <cfRule type="cellIs" dxfId="3703" priority="12499" operator="equal">
      <formula>"value일 미도래"</formula>
    </cfRule>
  </conditionalFormatting>
  <conditionalFormatting sqref="M151:M152">
    <cfRule type="cellIs" dxfId="3702" priority="12498" operator="equal">
      <formula>"value일 미도래"</formula>
    </cfRule>
  </conditionalFormatting>
  <conditionalFormatting sqref="M151:M152">
    <cfRule type="cellIs" dxfId="3701" priority="12497" operator="equal">
      <formula>"value일 미도래"</formula>
    </cfRule>
  </conditionalFormatting>
  <conditionalFormatting sqref="M151:M152">
    <cfRule type="cellIs" dxfId="3700" priority="12496" operator="equal">
      <formula>"value일 미도래"</formula>
    </cfRule>
  </conditionalFormatting>
  <conditionalFormatting sqref="M151:M152">
    <cfRule type="cellIs" dxfId="3699" priority="12495" operator="equal">
      <formula>"value일 미도래"</formula>
    </cfRule>
  </conditionalFormatting>
  <conditionalFormatting sqref="M151:M152">
    <cfRule type="cellIs" dxfId="3698" priority="12494" operator="equal">
      <formula>"value일 미도래"</formula>
    </cfRule>
  </conditionalFormatting>
  <conditionalFormatting sqref="M151:M152">
    <cfRule type="cellIs" dxfId="3697" priority="12493" operator="equal">
      <formula>"value일 미도래"</formula>
    </cfRule>
  </conditionalFormatting>
  <conditionalFormatting sqref="M151:M152">
    <cfRule type="cellIs" dxfId="3696" priority="12492" operator="equal">
      <formula>"value일 미도래"</formula>
    </cfRule>
  </conditionalFormatting>
  <conditionalFormatting sqref="M148:M149">
    <cfRule type="cellIs" dxfId="3695" priority="12491" operator="equal">
      <formula>"value일 미도래"</formula>
    </cfRule>
  </conditionalFormatting>
  <conditionalFormatting sqref="M148:M149">
    <cfRule type="cellIs" dxfId="3694" priority="12490" operator="equal">
      <formula>"value일 미도래"</formula>
    </cfRule>
  </conditionalFormatting>
  <conditionalFormatting sqref="M148:M149">
    <cfRule type="cellIs" dxfId="3693" priority="12489" operator="equal">
      <formula>"value일 미도래"</formula>
    </cfRule>
  </conditionalFormatting>
  <conditionalFormatting sqref="M148:M149">
    <cfRule type="cellIs" dxfId="3692" priority="12488" operator="equal">
      <formula>"value일 미도래"</formula>
    </cfRule>
  </conditionalFormatting>
  <conditionalFormatting sqref="M148:M149">
    <cfRule type="cellIs" dxfId="3691" priority="12487" operator="equal">
      <formula>"value일 미도래"</formula>
    </cfRule>
  </conditionalFormatting>
  <conditionalFormatting sqref="M148:M149">
    <cfRule type="cellIs" dxfId="3690" priority="12486" operator="equal">
      <formula>"value일 미도래"</formula>
    </cfRule>
  </conditionalFormatting>
  <conditionalFormatting sqref="M148:M149">
    <cfRule type="cellIs" dxfId="3689" priority="12485" operator="equal">
      <formula>"value일 미도래"</formula>
    </cfRule>
  </conditionalFormatting>
  <conditionalFormatting sqref="M148:M149">
    <cfRule type="cellIs" dxfId="3688" priority="12484" operator="equal">
      <formula>"value일 미도래"</formula>
    </cfRule>
  </conditionalFormatting>
  <conditionalFormatting sqref="M148:M149">
    <cfRule type="cellIs" dxfId="3687" priority="12483" operator="equal">
      <formula>"value일 미도래"</formula>
    </cfRule>
  </conditionalFormatting>
  <conditionalFormatting sqref="M148:M149">
    <cfRule type="cellIs" dxfId="3686" priority="12482" operator="equal">
      <formula>"value일 미도래"</formula>
    </cfRule>
  </conditionalFormatting>
  <conditionalFormatting sqref="M148:M149">
    <cfRule type="cellIs" dxfId="3685" priority="12481" operator="equal">
      <formula>"value일 미도래"</formula>
    </cfRule>
  </conditionalFormatting>
  <conditionalFormatting sqref="M148:M149">
    <cfRule type="cellIs" dxfId="3684" priority="12479" operator="equal">
      <formula>"value일 미도래"</formula>
    </cfRule>
  </conditionalFormatting>
  <conditionalFormatting sqref="M148:M149">
    <cfRule type="cellIs" dxfId="3683" priority="12478" operator="equal">
      <formula>"value일 미도래"</formula>
    </cfRule>
  </conditionalFormatting>
  <conditionalFormatting sqref="M148:M149">
    <cfRule type="cellIs" dxfId="3682" priority="12477" operator="equal">
      <formula>"value일 미도래"</formula>
    </cfRule>
  </conditionalFormatting>
  <conditionalFormatting sqref="M148:M149">
    <cfRule type="cellIs" dxfId="3681" priority="12476" operator="equal">
      <formula>"value일 미도래"</formula>
    </cfRule>
  </conditionalFormatting>
  <conditionalFormatting sqref="M148:M149">
    <cfRule type="cellIs" dxfId="3680" priority="12475" operator="equal">
      <formula>"value일 미도래"</formula>
    </cfRule>
  </conditionalFormatting>
  <conditionalFormatting sqref="M148:M149">
    <cfRule type="cellIs" dxfId="3679" priority="12474" operator="equal">
      <formula>"value일 미도래"</formula>
    </cfRule>
  </conditionalFormatting>
  <conditionalFormatting sqref="M148:M149">
    <cfRule type="cellIs" dxfId="3678" priority="12473" operator="equal">
      <formula>"value일 미도래"</formula>
    </cfRule>
  </conditionalFormatting>
  <conditionalFormatting sqref="M148:M149">
    <cfRule type="cellIs" dxfId="3677" priority="12472" operator="equal">
      <formula>"value일 미도래"</formula>
    </cfRule>
  </conditionalFormatting>
  <conditionalFormatting sqref="M148:M149">
    <cfRule type="cellIs" dxfId="3676" priority="12471" operator="equal">
      <formula>"value일 미도래"</formula>
    </cfRule>
  </conditionalFormatting>
  <conditionalFormatting sqref="M148">
    <cfRule type="cellIs" dxfId="3675" priority="12470" operator="equal">
      <formula>"value일 미도래"</formula>
    </cfRule>
  </conditionalFormatting>
  <conditionalFormatting sqref="M148">
    <cfRule type="cellIs" dxfId="3674" priority="12469" operator="equal">
      <formula>"value일 미도래"</formula>
    </cfRule>
  </conditionalFormatting>
  <conditionalFormatting sqref="M148">
    <cfRule type="cellIs" dxfId="3673" priority="12468" operator="equal">
      <formula>"value일 미도래"</formula>
    </cfRule>
  </conditionalFormatting>
  <conditionalFormatting sqref="M148">
    <cfRule type="cellIs" dxfId="3672" priority="12467" operator="equal">
      <formula>"value일 미도래"</formula>
    </cfRule>
  </conditionalFormatting>
  <conditionalFormatting sqref="M148">
    <cfRule type="cellIs" dxfId="3671" priority="12466" operator="equal">
      <formula>"value일 미도래"</formula>
    </cfRule>
  </conditionalFormatting>
  <conditionalFormatting sqref="M148">
    <cfRule type="cellIs" dxfId="3670" priority="12465" operator="equal">
      <formula>"value일 미도래"</formula>
    </cfRule>
  </conditionalFormatting>
  <conditionalFormatting sqref="M148">
    <cfRule type="cellIs" dxfId="3669" priority="12463" operator="equal">
      <formula>"value일 미도래"</formula>
    </cfRule>
  </conditionalFormatting>
  <conditionalFormatting sqref="M148">
    <cfRule type="cellIs" dxfId="3668" priority="12462" operator="equal">
      <formula>"value일 미도래"</formula>
    </cfRule>
  </conditionalFormatting>
  <conditionalFormatting sqref="M148">
    <cfRule type="cellIs" dxfId="3667" priority="12461" operator="equal">
      <formula>"value일 미도래"</formula>
    </cfRule>
  </conditionalFormatting>
  <conditionalFormatting sqref="M148">
    <cfRule type="cellIs" dxfId="3666" priority="12460" operator="equal">
      <formula>"value일 미도래"</formula>
    </cfRule>
  </conditionalFormatting>
  <conditionalFormatting sqref="M148">
    <cfRule type="cellIs" dxfId="3665" priority="12459" operator="equal">
      <formula>"value일 미도래"</formula>
    </cfRule>
  </conditionalFormatting>
  <conditionalFormatting sqref="M148">
    <cfRule type="cellIs" dxfId="3664" priority="12458" operator="equal">
      <formula>"value일 미도래"</formula>
    </cfRule>
  </conditionalFormatting>
  <conditionalFormatting sqref="M148">
    <cfRule type="cellIs" dxfId="3663" priority="12457" operator="equal">
      <formula>"value일 미도래"</formula>
    </cfRule>
  </conditionalFormatting>
  <conditionalFormatting sqref="M148">
    <cfRule type="cellIs" dxfId="3662" priority="12456" operator="equal">
      <formula>"value일 미도래"</formula>
    </cfRule>
  </conditionalFormatting>
  <conditionalFormatting sqref="M148">
    <cfRule type="cellIs" dxfId="3661" priority="12454" operator="equal">
      <formula>"value일 미도래"</formula>
    </cfRule>
  </conditionalFormatting>
  <conditionalFormatting sqref="M148">
    <cfRule type="cellIs" dxfId="3660" priority="12453" operator="equal">
      <formula>"value일 미도래"</formula>
    </cfRule>
  </conditionalFormatting>
  <conditionalFormatting sqref="M148">
    <cfRule type="cellIs" dxfId="3659" priority="12452" operator="equal">
      <formula>"value일 미도래"</formula>
    </cfRule>
  </conditionalFormatting>
  <conditionalFormatting sqref="M148">
    <cfRule type="cellIs" dxfId="3658" priority="12451" operator="equal">
      <formula>"value일 미도래"</formula>
    </cfRule>
  </conditionalFormatting>
  <conditionalFormatting sqref="M148">
    <cfRule type="cellIs" dxfId="3657" priority="12450" operator="equal">
      <formula>"value일 미도래"</formula>
    </cfRule>
  </conditionalFormatting>
  <conditionalFormatting sqref="M148">
    <cfRule type="cellIs" dxfId="3656" priority="12449" operator="equal">
      <formula>"value일 미도래"</formula>
    </cfRule>
  </conditionalFormatting>
  <conditionalFormatting sqref="M148">
    <cfRule type="cellIs" dxfId="3655" priority="12448" operator="equal">
      <formula>"value일 미도래"</formula>
    </cfRule>
  </conditionalFormatting>
  <conditionalFormatting sqref="M148">
    <cfRule type="cellIs" dxfId="3654" priority="12447" operator="equal">
      <formula>"value일 미도래"</formula>
    </cfRule>
  </conditionalFormatting>
  <conditionalFormatting sqref="M148">
    <cfRule type="cellIs" dxfId="3653" priority="12446" operator="equal">
      <formula>"value일 미도래"</formula>
    </cfRule>
  </conditionalFormatting>
  <conditionalFormatting sqref="M148">
    <cfRule type="cellIs" dxfId="3652" priority="12445" operator="equal">
      <formula>"value일 미도래"</formula>
    </cfRule>
  </conditionalFormatting>
  <conditionalFormatting sqref="M148">
    <cfRule type="cellIs" dxfId="3651" priority="12444" operator="equal">
      <formula>"value일 미도래"</formula>
    </cfRule>
  </conditionalFormatting>
  <conditionalFormatting sqref="M148">
    <cfRule type="cellIs" dxfId="3650" priority="12442" operator="equal">
      <formula>"value일 미도래"</formula>
    </cfRule>
  </conditionalFormatting>
  <conditionalFormatting sqref="M148">
    <cfRule type="cellIs" dxfId="3649" priority="12441" operator="equal">
      <formula>"value일 미도래"</formula>
    </cfRule>
  </conditionalFormatting>
  <conditionalFormatting sqref="M148">
    <cfRule type="cellIs" dxfId="3648" priority="12440" operator="equal">
      <formula>"value일 미도래"</formula>
    </cfRule>
  </conditionalFormatting>
  <conditionalFormatting sqref="M148">
    <cfRule type="cellIs" dxfId="3647" priority="12439" operator="equal">
      <formula>"value일 미도래"</formula>
    </cfRule>
  </conditionalFormatting>
  <conditionalFormatting sqref="M148">
    <cfRule type="cellIs" dxfId="3646" priority="12438" operator="equal">
      <formula>"value일 미도래"</formula>
    </cfRule>
  </conditionalFormatting>
  <conditionalFormatting sqref="M148">
    <cfRule type="cellIs" dxfId="3645" priority="12437" operator="equal">
      <formula>"value일 미도래"</formula>
    </cfRule>
  </conditionalFormatting>
  <conditionalFormatting sqref="M148">
    <cfRule type="cellIs" dxfId="3644" priority="12436" operator="equal">
      <formula>"value일 미도래"</formula>
    </cfRule>
  </conditionalFormatting>
  <conditionalFormatting sqref="M148">
    <cfRule type="cellIs" dxfId="3643" priority="12435" operator="equal">
      <formula>"value일 미도래"</formula>
    </cfRule>
  </conditionalFormatting>
  <conditionalFormatting sqref="M148">
    <cfRule type="cellIs" dxfId="3642" priority="12434" operator="equal">
      <formula>"value일 미도래"</formula>
    </cfRule>
  </conditionalFormatting>
  <conditionalFormatting sqref="M148">
    <cfRule type="cellIs" dxfId="3641" priority="12433" operator="equal">
      <formula>"value일 미도래"</formula>
    </cfRule>
  </conditionalFormatting>
  <conditionalFormatting sqref="M148">
    <cfRule type="cellIs" dxfId="3640" priority="12432" operator="equal">
      <formula>"value일 미도래"</formula>
    </cfRule>
  </conditionalFormatting>
  <conditionalFormatting sqref="M148">
    <cfRule type="cellIs" dxfId="3639" priority="12430" operator="equal">
      <formula>"value일 미도래"</formula>
    </cfRule>
  </conditionalFormatting>
  <conditionalFormatting sqref="M148">
    <cfRule type="cellIs" dxfId="3638" priority="12429" operator="equal">
      <formula>"value일 미도래"</formula>
    </cfRule>
  </conditionalFormatting>
  <conditionalFormatting sqref="M148">
    <cfRule type="cellIs" dxfId="3637" priority="12428" operator="equal">
      <formula>"value일 미도래"</formula>
    </cfRule>
  </conditionalFormatting>
  <conditionalFormatting sqref="M148">
    <cfRule type="cellIs" dxfId="3636" priority="12427" operator="equal">
      <formula>"value일 미도래"</formula>
    </cfRule>
  </conditionalFormatting>
  <conditionalFormatting sqref="M148">
    <cfRule type="cellIs" dxfId="3635" priority="12426" operator="equal">
      <formula>"value일 미도래"</formula>
    </cfRule>
  </conditionalFormatting>
  <conditionalFormatting sqref="M148">
    <cfRule type="cellIs" dxfId="3634" priority="12425" operator="equal">
      <formula>"value일 미도래"</formula>
    </cfRule>
  </conditionalFormatting>
  <conditionalFormatting sqref="M148:M149">
    <cfRule type="cellIs" dxfId="3633" priority="12424" operator="equal">
      <formula>"value일 미도래"</formula>
    </cfRule>
  </conditionalFormatting>
  <conditionalFormatting sqref="M148:M149">
    <cfRule type="cellIs" dxfId="3632" priority="12423" operator="equal">
      <formula>"value일 미도래"</formula>
    </cfRule>
  </conditionalFormatting>
  <conditionalFormatting sqref="M148:M149">
    <cfRule type="cellIs" dxfId="3631" priority="12422" operator="equal">
      <formula>"value일 미도래"</formula>
    </cfRule>
  </conditionalFormatting>
  <conditionalFormatting sqref="M148">
    <cfRule type="cellIs" dxfId="3630" priority="12421" operator="equal">
      <formula>"value일 미도래"</formula>
    </cfRule>
  </conditionalFormatting>
  <conditionalFormatting sqref="M148">
    <cfRule type="cellIs" dxfId="3629" priority="12420" operator="equal">
      <formula>"value일 미도래"</formula>
    </cfRule>
  </conditionalFormatting>
  <conditionalFormatting sqref="M148">
    <cfRule type="cellIs" dxfId="3628" priority="12419" operator="equal">
      <formula>"value일 미도래"</formula>
    </cfRule>
  </conditionalFormatting>
  <conditionalFormatting sqref="M148">
    <cfRule type="cellIs" dxfId="3627" priority="12418" operator="equal">
      <formula>"value일 미도래"</formula>
    </cfRule>
  </conditionalFormatting>
  <conditionalFormatting sqref="M148">
    <cfRule type="cellIs" dxfId="3626" priority="12417" operator="equal">
      <formula>"value일 미도래"</formula>
    </cfRule>
  </conditionalFormatting>
  <conditionalFormatting sqref="M148">
    <cfRule type="cellIs" dxfId="3625" priority="12416" operator="equal">
      <formula>"value일 미도래"</formula>
    </cfRule>
  </conditionalFormatting>
  <conditionalFormatting sqref="M148">
    <cfRule type="cellIs" dxfId="3624" priority="12415" operator="equal">
      <formula>"value일 미도래"</formula>
    </cfRule>
  </conditionalFormatting>
  <conditionalFormatting sqref="M148">
    <cfRule type="cellIs" dxfId="3623" priority="12414" operator="equal">
      <formula>"value일 미도래"</formula>
    </cfRule>
  </conditionalFormatting>
  <conditionalFormatting sqref="M148">
    <cfRule type="cellIs" dxfId="3622" priority="12413" operator="equal">
      <formula>"value일 미도래"</formula>
    </cfRule>
  </conditionalFormatting>
  <conditionalFormatting sqref="M148:M149">
    <cfRule type="cellIs" dxfId="3621" priority="12412" operator="equal">
      <formula>"value일 미도래"</formula>
    </cfRule>
  </conditionalFormatting>
  <conditionalFormatting sqref="M148:M149">
    <cfRule type="cellIs" dxfId="3620" priority="12411" operator="equal">
      <formula>"value일 미도래"</formula>
    </cfRule>
  </conditionalFormatting>
  <conditionalFormatting sqref="M148:M149">
    <cfRule type="cellIs" dxfId="3619" priority="12410" operator="equal">
      <formula>"value일 미도래"</formula>
    </cfRule>
  </conditionalFormatting>
  <conditionalFormatting sqref="M148">
    <cfRule type="cellIs" dxfId="3618" priority="12409" operator="equal">
      <formula>"value일 미도래"</formula>
    </cfRule>
  </conditionalFormatting>
  <conditionalFormatting sqref="M148">
    <cfRule type="cellIs" dxfId="3617" priority="12408" operator="equal">
      <formula>"value일 미도래"</formula>
    </cfRule>
  </conditionalFormatting>
  <conditionalFormatting sqref="M148">
    <cfRule type="cellIs" dxfId="3616" priority="12407" operator="equal">
      <formula>"value일 미도래"</formula>
    </cfRule>
  </conditionalFormatting>
  <conditionalFormatting sqref="M148">
    <cfRule type="cellIs" dxfId="3615" priority="12406" operator="equal">
      <formula>"value일 미도래"</formula>
    </cfRule>
  </conditionalFormatting>
  <conditionalFormatting sqref="M148">
    <cfRule type="cellIs" dxfId="3614" priority="12405" operator="equal">
      <formula>"value일 미도래"</formula>
    </cfRule>
  </conditionalFormatting>
  <conditionalFormatting sqref="M148">
    <cfRule type="cellIs" dxfId="3613" priority="12404" operator="equal">
      <formula>"value일 미도래"</formula>
    </cfRule>
  </conditionalFormatting>
  <conditionalFormatting sqref="M148:M149">
    <cfRule type="cellIs" dxfId="3612" priority="12403" operator="equal">
      <formula>"value일 미도래"</formula>
    </cfRule>
  </conditionalFormatting>
  <conditionalFormatting sqref="M148:M149">
    <cfRule type="cellIs" dxfId="3611" priority="12402" operator="equal">
      <formula>"value일 미도래"</formula>
    </cfRule>
  </conditionalFormatting>
  <conditionalFormatting sqref="M148:M149">
    <cfRule type="cellIs" dxfId="3610" priority="12401" operator="equal">
      <formula>"value일 미도래"</formula>
    </cfRule>
  </conditionalFormatting>
  <conditionalFormatting sqref="M148:M149">
    <cfRule type="cellIs" dxfId="3609" priority="12400" operator="equal">
      <formula>"value일 미도래"</formula>
    </cfRule>
  </conditionalFormatting>
  <conditionalFormatting sqref="M149:M150">
    <cfRule type="cellIs" dxfId="3608" priority="12399" operator="equal">
      <formula>"value일 미도래"</formula>
    </cfRule>
  </conditionalFormatting>
  <conditionalFormatting sqref="M149:M150">
    <cfRule type="cellIs" dxfId="3607" priority="12398" operator="equal">
      <formula>"value일 미도래"</formula>
    </cfRule>
  </conditionalFormatting>
  <conditionalFormatting sqref="M149:M150">
    <cfRule type="cellIs" dxfId="3606" priority="12397" operator="equal">
      <formula>"value일 미도래"</formula>
    </cfRule>
  </conditionalFormatting>
  <conditionalFormatting sqref="M149:M150">
    <cfRule type="cellIs" dxfId="3605" priority="12396" operator="equal">
      <formula>"value일 미도래"</formula>
    </cfRule>
  </conditionalFormatting>
  <conditionalFormatting sqref="M149:M150">
    <cfRule type="cellIs" dxfId="3604" priority="12395" operator="equal">
      <formula>"value일 미도래"</formula>
    </cfRule>
  </conditionalFormatting>
  <conditionalFormatting sqref="M149:M150">
    <cfRule type="cellIs" dxfId="3603" priority="12394" operator="equal">
      <formula>"value일 미도래"</formula>
    </cfRule>
  </conditionalFormatting>
  <conditionalFormatting sqref="M149:M150">
    <cfRule type="cellIs" dxfId="3602" priority="12393" operator="equal">
      <formula>"value일 미도래"</formula>
    </cfRule>
  </conditionalFormatting>
  <conditionalFormatting sqref="M149:M150">
    <cfRule type="cellIs" dxfId="3601" priority="12392" operator="equal">
      <formula>"value일 미도래"</formula>
    </cfRule>
  </conditionalFormatting>
  <conditionalFormatting sqref="M149:M150">
    <cfRule type="cellIs" dxfId="3600" priority="12391" operator="equal">
      <formula>"value일 미도래"</formula>
    </cfRule>
  </conditionalFormatting>
  <conditionalFormatting sqref="M149:M150">
    <cfRule type="cellIs" dxfId="3599" priority="12390" operator="equal">
      <formula>"value일 미도래"</formula>
    </cfRule>
  </conditionalFormatting>
  <conditionalFormatting sqref="M149:M150">
    <cfRule type="cellIs" dxfId="3598" priority="12389" operator="equal">
      <formula>"value일 미도래"</formula>
    </cfRule>
  </conditionalFormatting>
  <conditionalFormatting sqref="M149:M150">
    <cfRule type="cellIs" dxfId="3597" priority="12388" operator="equal">
      <formula>"value일 미도래"</formula>
    </cfRule>
  </conditionalFormatting>
  <conditionalFormatting sqref="M149:M150">
    <cfRule type="cellIs" dxfId="3596" priority="12387" operator="equal">
      <formula>"value일 미도래"</formula>
    </cfRule>
  </conditionalFormatting>
  <conditionalFormatting sqref="M149:M150">
    <cfRule type="cellIs" dxfId="3595" priority="12386" operator="equal">
      <formula>"value일 미도래"</formula>
    </cfRule>
  </conditionalFormatting>
  <conditionalFormatting sqref="M149:M150">
    <cfRule type="cellIs" dxfId="3594" priority="12385" operator="equal">
      <formula>"value일 미도래"</formula>
    </cfRule>
  </conditionalFormatting>
  <conditionalFormatting sqref="M149:M150">
    <cfRule type="cellIs" dxfId="3593" priority="12384" operator="equal">
      <formula>"value일 미도래"</formula>
    </cfRule>
  </conditionalFormatting>
  <conditionalFormatting sqref="M149:M150">
    <cfRule type="cellIs" dxfId="3592" priority="12383" operator="equal">
      <formula>"value일 미도래"</formula>
    </cfRule>
  </conditionalFormatting>
  <conditionalFormatting sqref="M149:M150">
    <cfRule type="cellIs" dxfId="3591" priority="12382" operator="equal">
      <formula>"value일 미도래"</formula>
    </cfRule>
  </conditionalFormatting>
  <conditionalFormatting sqref="M149:M150">
    <cfRule type="cellIs" dxfId="3590" priority="12381" operator="equal">
      <formula>"value일 미도래"</formula>
    </cfRule>
  </conditionalFormatting>
  <conditionalFormatting sqref="M149:M150">
    <cfRule type="cellIs" dxfId="3589" priority="12380" operator="equal">
      <formula>"value일 미도래"</formula>
    </cfRule>
  </conditionalFormatting>
  <conditionalFormatting sqref="M149:M150">
    <cfRule type="cellIs" dxfId="3588" priority="12379" operator="equal">
      <formula>"value일 미도래"</formula>
    </cfRule>
  </conditionalFormatting>
  <conditionalFormatting sqref="M149:M150">
    <cfRule type="cellIs" dxfId="3587" priority="12378" operator="equal">
      <formula>"value일 미도래"</formula>
    </cfRule>
  </conditionalFormatting>
  <conditionalFormatting sqref="M149:M150">
    <cfRule type="cellIs" dxfId="3586" priority="12377" operator="equal">
      <formula>"value일 미도래"</formula>
    </cfRule>
  </conditionalFormatting>
  <conditionalFormatting sqref="M149:M150">
    <cfRule type="cellIs" dxfId="3585" priority="12376" operator="equal">
      <formula>"value일 미도래"</formula>
    </cfRule>
  </conditionalFormatting>
  <conditionalFormatting sqref="M149:M150">
    <cfRule type="cellIs" dxfId="3584" priority="12375" operator="equal">
      <formula>"value일 미도래"</formula>
    </cfRule>
  </conditionalFormatting>
  <conditionalFormatting sqref="M149:M150">
    <cfRule type="cellIs" dxfId="3583" priority="12374" operator="equal">
      <formula>"value일 미도래"</formula>
    </cfRule>
  </conditionalFormatting>
  <conditionalFormatting sqref="M149:M150">
    <cfRule type="cellIs" dxfId="3582" priority="12373" operator="equal">
      <formula>"value일 미도래"</formula>
    </cfRule>
  </conditionalFormatting>
  <conditionalFormatting sqref="M149:M150">
    <cfRule type="cellIs" dxfId="3581" priority="12372" operator="equal">
      <formula>"value일 미도래"</formula>
    </cfRule>
  </conditionalFormatting>
  <conditionalFormatting sqref="M149:M150">
    <cfRule type="cellIs" dxfId="3580" priority="12371" operator="equal">
      <formula>"value일 미도래"</formula>
    </cfRule>
  </conditionalFormatting>
  <conditionalFormatting sqref="M149:M150">
    <cfRule type="cellIs" dxfId="3579" priority="12370" operator="equal">
      <formula>"value일 미도래"</formula>
    </cfRule>
  </conditionalFormatting>
  <conditionalFormatting sqref="M149:M150">
    <cfRule type="cellIs" dxfId="3578" priority="12369" operator="equal">
      <formula>"value일 미도래"</formula>
    </cfRule>
  </conditionalFormatting>
  <conditionalFormatting sqref="M149:M150">
    <cfRule type="cellIs" dxfId="3577" priority="12368" operator="equal">
      <formula>"value일 미도래"</formula>
    </cfRule>
  </conditionalFormatting>
  <conditionalFormatting sqref="M149:M150">
    <cfRule type="cellIs" dxfId="3576" priority="12367" operator="equal">
      <formula>"value일 미도래"</formula>
    </cfRule>
  </conditionalFormatting>
  <conditionalFormatting sqref="M149:M150">
    <cfRule type="cellIs" dxfId="3575" priority="12366" operator="equal">
      <formula>"value일 미도래"</formula>
    </cfRule>
  </conditionalFormatting>
  <conditionalFormatting sqref="M149:M150">
    <cfRule type="cellIs" dxfId="3574" priority="12365" operator="equal">
      <formula>"value일 미도래"</formula>
    </cfRule>
  </conditionalFormatting>
  <conditionalFormatting sqref="M149:M150">
    <cfRule type="cellIs" dxfId="3573" priority="12364" operator="equal">
      <formula>"value일 미도래"</formula>
    </cfRule>
  </conditionalFormatting>
  <conditionalFormatting sqref="M149:M150">
    <cfRule type="cellIs" dxfId="3572" priority="12363" operator="equal">
      <formula>"value일 미도래"</formula>
    </cfRule>
  </conditionalFormatting>
  <conditionalFormatting sqref="M149:M150">
    <cfRule type="cellIs" dxfId="3571" priority="12362" operator="equal">
      <formula>"value일 미도래"</formula>
    </cfRule>
  </conditionalFormatting>
  <conditionalFormatting sqref="M149:M150">
    <cfRule type="cellIs" dxfId="3570" priority="12361" operator="equal">
      <formula>"value일 미도래"</formula>
    </cfRule>
  </conditionalFormatting>
  <conditionalFormatting sqref="M149:M150">
    <cfRule type="cellIs" dxfId="3569" priority="12360" operator="equal">
      <formula>"value일 미도래"</formula>
    </cfRule>
  </conditionalFormatting>
  <conditionalFormatting sqref="M149:M150">
    <cfRule type="cellIs" dxfId="3568" priority="12359" operator="equal">
      <formula>"value일 미도래"</formula>
    </cfRule>
  </conditionalFormatting>
  <conditionalFormatting sqref="M149:M150">
    <cfRule type="cellIs" dxfId="3567" priority="12358" operator="equal">
      <formula>"value일 미도래"</formula>
    </cfRule>
  </conditionalFormatting>
  <conditionalFormatting sqref="M149:M150">
    <cfRule type="cellIs" dxfId="3566" priority="12357" operator="equal">
      <formula>"value일 미도래"</formula>
    </cfRule>
  </conditionalFormatting>
  <conditionalFormatting sqref="M149:M150">
    <cfRule type="cellIs" dxfId="3565" priority="12356" operator="equal">
      <formula>"value일 미도래"</formula>
    </cfRule>
  </conditionalFormatting>
  <conditionalFormatting sqref="M149:M150">
    <cfRule type="cellIs" dxfId="3564" priority="12355" operator="equal">
      <formula>"value일 미도래"</formula>
    </cfRule>
  </conditionalFormatting>
  <conditionalFormatting sqref="M149:M150">
    <cfRule type="cellIs" dxfId="3563" priority="12354" operator="equal">
      <formula>"value일 미도래"</formula>
    </cfRule>
  </conditionalFormatting>
  <conditionalFormatting sqref="M149:M150">
    <cfRule type="cellIs" dxfId="3562" priority="12353" operator="equal">
      <formula>"value일 미도래"</formula>
    </cfRule>
  </conditionalFormatting>
  <conditionalFormatting sqref="M149:M150">
    <cfRule type="cellIs" dxfId="3561" priority="12352" operator="equal">
      <formula>"value일 미도래"</formula>
    </cfRule>
  </conditionalFormatting>
  <conditionalFormatting sqref="M149:M150">
    <cfRule type="cellIs" dxfId="3560" priority="12351" operator="equal">
      <formula>"value일 미도래"</formula>
    </cfRule>
  </conditionalFormatting>
  <conditionalFormatting sqref="M149:M150">
    <cfRule type="cellIs" dxfId="3559" priority="12350" operator="equal">
      <formula>"value일 미도래"</formula>
    </cfRule>
  </conditionalFormatting>
  <conditionalFormatting sqref="M149:M150">
    <cfRule type="cellIs" dxfId="3558" priority="12349" operator="equal">
      <formula>"value일 미도래"</formula>
    </cfRule>
  </conditionalFormatting>
  <conditionalFormatting sqref="M149:M150">
    <cfRule type="cellIs" dxfId="3557" priority="12348" operator="equal">
      <formula>"value일 미도래"</formula>
    </cfRule>
  </conditionalFormatting>
  <conditionalFormatting sqref="M149:M150">
    <cfRule type="cellIs" dxfId="3556" priority="12347" operator="equal">
      <formula>"value일 미도래"</formula>
    </cfRule>
  </conditionalFormatting>
  <conditionalFormatting sqref="M149:M150">
    <cfRule type="cellIs" dxfId="3555" priority="12346" operator="equal">
      <formula>"value일 미도래"</formula>
    </cfRule>
  </conditionalFormatting>
  <conditionalFormatting sqref="M149:M150">
    <cfRule type="cellIs" dxfId="3554" priority="12345" operator="equal">
      <formula>"value일 미도래"</formula>
    </cfRule>
  </conditionalFormatting>
  <conditionalFormatting sqref="M149:M150">
    <cfRule type="cellIs" dxfId="3553" priority="12344" operator="equal">
      <formula>"value일 미도래"</formula>
    </cfRule>
  </conditionalFormatting>
  <conditionalFormatting sqref="M149:M150">
    <cfRule type="cellIs" dxfId="3552" priority="12343" operator="equal">
      <formula>"value일 미도래"</formula>
    </cfRule>
  </conditionalFormatting>
  <conditionalFormatting sqref="M149:M150">
    <cfRule type="cellIs" dxfId="3551" priority="12342" operator="equal">
      <formula>"value일 미도래"</formula>
    </cfRule>
  </conditionalFormatting>
  <conditionalFormatting sqref="M149:M150">
    <cfRule type="cellIs" dxfId="3550" priority="12341" operator="equal">
      <formula>"value일 미도래"</formula>
    </cfRule>
  </conditionalFormatting>
  <conditionalFormatting sqref="M149:M150">
    <cfRule type="cellIs" dxfId="3549" priority="12340" operator="equal">
      <formula>"value일 미도래"</formula>
    </cfRule>
  </conditionalFormatting>
  <conditionalFormatting sqref="M149:M150">
    <cfRule type="cellIs" dxfId="3548" priority="12339" operator="equal">
      <formula>"value일 미도래"</formula>
    </cfRule>
  </conditionalFormatting>
  <conditionalFormatting sqref="M149:M150">
    <cfRule type="cellIs" dxfId="3547" priority="12338" operator="equal">
      <formula>"value일 미도래"</formula>
    </cfRule>
  </conditionalFormatting>
  <conditionalFormatting sqref="M149:M150">
    <cfRule type="cellIs" dxfId="3546" priority="12337" operator="equal">
      <formula>"value일 미도래"</formula>
    </cfRule>
  </conditionalFormatting>
  <conditionalFormatting sqref="M149:M150">
    <cfRule type="cellIs" dxfId="3545" priority="12336" operator="equal">
      <formula>"value일 미도래"</formula>
    </cfRule>
  </conditionalFormatting>
  <conditionalFormatting sqref="M149:M150">
    <cfRule type="cellIs" dxfId="3544" priority="12335" operator="equal">
      <formula>"value일 미도래"</formula>
    </cfRule>
  </conditionalFormatting>
  <conditionalFormatting sqref="M149:M150">
    <cfRule type="cellIs" dxfId="3543" priority="12334" operator="equal">
      <formula>"value일 미도래"</formula>
    </cfRule>
  </conditionalFormatting>
  <conditionalFormatting sqref="M149:M150">
    <cfRule type="cellIs" dxfId="3542" priority="12333" operator="equal">
      <formula>"value일 미도래"</formula>
    </cfRule>
  </conditionalFormatting>
  <conditionalFormatting sqref="M149:M150">
    <cfRule type="cellIs" dxfId="3541" priority="12332" operator="equal">
      <formula>"value일 미도래"</formula>
    </cfRule>
  </conditionalFormatting>
  <conditionalFormatting sqref="M149:M150">
    <cfRule type="cellIs" dxfId="3540" priority="12331" operator="equal">
      <formula>"value일 미도래"</formula>
    </cfRule>
  </conditionalFormatting>
  <conditionalFormatting sqref="M149:M150">
    <cfRule type="cellIs" dxfId="3539" priority="12330" operator="equal">
      <formula>"value일 미도래"</formula>
    </cfRule>
  </conditionalFormatting>
  <conditionalFormatting sqref="M149:M150">
    <cfRule type="cellIs" dxfId="3538" priority="12329" operator="equal">
      <formula>"value일 미도래"</formula>
    </cfRule>
  </conditionalFormatting>
  <conditionalFormatting sqref="M149:M150">
    <cfRule type="cellIs" dxfId="3537" priority="12328" operator="equal">
      <formula>"value일 미도래"</formula>
    </cfRule>
  </conditionalFormatting>
  <conditionalFormatting sqref="M149:M150">
    <cfRule type="cellIs" dxfId="3536" priority="12327" operator="equal">
      <formula>"value일 미도래"</formula>
    </cfRule>
  </conditionalFormatting>
  <conditionalFormatting sqref="M149:M150">
    <cfRule type="cellIs" dxfId="3535" priority="12326" operator="equal">
      <formula>"value일 미도래"</formula>
    </cfRule>
  </conditionalFormatting>
  <conditionalFormatting sqref="M149:M150">
    <cfRule type="cellIs" dxfId="3534" priority="12325" operator="equal">
      <formula>"value일 미도래"</formula>
    </cfRule>
  </conditionalFormatting>
  <conditionalFormatting sqref="M149:M150">
    <cfRule type="cellIs" dxfId="3533" priority="12324" operator="equal">
      <formula>"value일 미도래"</formula>
    </cfRule>
  </conditionalFormatting>
  <conditionalFormatting sqref="M149:M150">
    <cfRule type="cellIs" dxfId="3532" priority="12323" operator="equal">
      <formula>"value일 미도래"</formula>
    </cfRule>
  </conditionalFormatting>
  <conditionalFormatting sqref="M149:M150">
    <cfRule type="cellIs" dxfId="3531" priority="12322" operator="equal">
      <formula>"value일 미도래"</formula>
    </cfRule>
  </conditionalFormatting>
  <conditionalFormatting sqref="M149:M150">
    <cfRule type="cellIs" dxfId="3530" priority="12321" operator="equal">
      <formula>"value일 미도래"</formula>
    </cfRule>
  </conditionalFormatting>
  <conditionalFormatting sqref="M149:M150">
    <cfRule type="cellIs" dxfId="3529" priority="12320" operator="equal">
      <formula>"value일 미도래"</formula>
    </cfRule>
  </conditionalFormatting>
  <conditionalFormatting sqref="M149:M150">
    <cfRule type="cellIs" dxfId="3528" priority="12319" operator="equal">
      <formula>"value일 미도래"</formula>
    </cfRule>
  </conditionalFormatting>
  <conditionalFormatting sqref="M149:M150">
    <cfRule type="cellIs" dxfId="3527" priority="12318" operator="equal">
      <formula>"value일 미도래"</formula>
    </cfRule>
  </conditionalFormatting>
  <conditionalFormatting sqref="M148">
    <cfRule type="cellIs" dxfId="3526" priority="12317" operator="equal">
      <formula>"value일 미도래"</formula>
    </cfRule>
  </conditionalFormatting>
  <conditionalFormatting sqref="M148">
    <cfRule type="cellIs" dxfId="3525" priority="12316" operator="equal">
      <formula>"value일 미도래"</formula>
    </cfRule>
  </conditionalFormatting>
  <conditionalFormatting sqref="M148">
    <cfRule type="cellIs" dxfId="3524" priority="12315" operator="equal">
      <formula>"value일 미도래"</formula>
    </cfRule>
  </conditionalFormatting>
  <conditionalFormatting sqref="M148">
    <cfRule type="cellIs" dxfId="3523" priority="12314" operator="equal">
      <formula>"value일 미도래"</formula>
    </cfRule>
  </conditionalFormatting>
  <conditionalFormatting sqref="M148">
    <cfRule type="cellIs" dxfId="3522" priority="12313" operator="equal">
      <formula>"value일 미도래"</formula>
    </cfRule>
  </conditionalFormatting>
  <conditionalFormatting sqref="M148">
    <cfRule type="cellIs" dxfId="3521" priority="12312" operator="equal">
      <formula>"value일 미도래"</formula>
    </cfRule>
  </conditionalFormatting>
  <conditionalFormatting sqref="M148">
    <cfRule type="cellIs" dxfId="3520" priority="12311" operator="equal">
      <formula>"value일 미도래"</formula>
    </cfRule>
  </conditionalFormatting>
  <conditionalFormatting sqref="M148">
    <cfRule type="cellIs" dxfId="3519" priority="12310" operator="equal">
      <formula>"value일 미도래"</formula>
    </cfRule>
  </conditionalFormatting>
  <conditionalFormatting sqref="M148">
    <cfRule type="cellIs" dxfId="3518" priority="12309" operator="equal">
      <formula>"value일 미도래"</formula>
    </cfRule>
  </conditionalFormatting>
  <conditionalFormatting sqref="M148">
    <cfRule type="cellIs" dxfId="3517" priority="12308" operator="equal">
      <formula>"value일 미도래"</formula>
    </cfRule>
  </conditionalFormatting>
  <conditionalFormatting sqref="M148">
    <cfRule type="cellIs" dxfId="3516" priority="12307" operator="equal">
      <formula>"value일 미도래"</formula>
    </cfRule>
  </conditionalFormatting>
  <conditionalFormatting sqref="M148">
    <cfRule type="cellIs" dxfId="3515" priority="12306" operator="equal">
      <formula>"value일 미도래"</formula>
    </cfRule>
  </conditionalFormatting>
  <conditionalFormatting sqref="M148">
    <cfRule type="cellIs" dxfId="3514" priority="12305" operator="equal">
      <formula>"value일 미도래"</formula>
    </cfRule>
  </conditionalFormatting>
  <conditionalFormatting sqref="M148">
    <cfRule type="cellIs" dxfId="3513" priority="12303" operator="equal">
      <formula>"value일 미도래"</formula>
    </cfRule>
  </conditionalFormatting>
  <conditionalFormatting sqref="M148">
    <cfRule type="cellIs" dxfId="3512" priority="12302" operator="equal">
      <formula>"value일 미도래"</formula>
    </cfRule>
  </conditionalFormatting>
  <conditionalFormatting sqref="M148">
    <cfRule type="cellIs" dxfId="3511" priority="12301" operator="equal">
      <formula>"value일 미도래"</formula>
    </cfRule>
  </conditionalFormatting>
  <conditionalFormatting sqref="M148">
    <cfRule type="cellIs" dxfId="3510" priority="12300" operator="equal">
      <formula>"value일 미도래"</formula>
    </cfRule>
  </conditionalFormatting>
  <conditionalFormatting sqref="M148">
    <cfRule type="cellIs" dxfId="3509" priority="12299" operator="equal">
      <formula>"value일 미도래"</formula>
    </cfRule>
  </conditionalFormatting>
  <conditionalFormatting sqref="M148">
    <cfRule type="cellIs" dxfId="3508" priority="12298" operator="equal">
      <formula>"value일 미도래"</formula>
    </cfRule>
  </conditionalFormatting>
  <conditionalFormatting sqref="M148">
    <cfRule type="cellIs" dxfId="3507" priority="12297" operator="equal">
      <formula>"value일 미도래"</formula>
    </cfRule>
  </conditionalFormatting>
  <conditionalFormatting sqref="M148">
    <cfRule type="cellIs" dxfId="3506" priority="12296" operator="equal">
      <formula>"value일 미도래"</formula>
    </cfRule>
  </conditionalFormatting>
  <conditionalFormatting sqref="M148">
    <cfRule type="cellIs" dxfId="3505" priority="12295" operator="equal">
      <formula>"value일 미도래"</formula>
    </cfRule>
  </conditionalFormatting>
  <conditionalFormatting sqref="M148">
    <cfRule type="cellIs" dxfId="3504" priority="12294" operator="equal">
      <formula>"value일 미도래"</formula>
    </cfRule>
  </conditionalFormatting>
  <conditionalFormatting sqref="M148">
    <cfRule type="cellIs" dxfId="3503" priority="12293" operator="equal">
      <formula>"value일 미도래"</formula>
    </cfRule>
  </conditionalFormatting>
  <conditionalFormatting sqref="M148">
    <cfRule type="cellIs" dxfId="3502" priority="12291" operator="equal">
      <formula>"value일 미도래"</formula>
    </cfRule>
  </conditionalFormatting>
  <conditionalFormatting sqref="M148">
    <cfRule type="cellIs" dxfId="3501" priority="12290" operator="equal">
      <formula>"value일 미도래"</formula>
    </cfRule>
  </conditionalFormatting>
  <conditionalFormatting sqref="M148">
    <cfRule type="cellIs" dxfId="3500" priority="12289" operator="equal">
      <formula>"value일 미도래"</formula>
    </cfRule>
  </conditionalFormatting>
  <conditionalFormatting sqref="M148">
    <cfRule type="cellIs" dxfId="3499" priority="12288" operator="equal">
      <formula>"value일 미도래"</formula>
    </cfRule>
  </conditionalFormatting>
  <conditionalFormatting sqref="M148">
    <cfRule type="cellIs" dxfId="3498" priority="12287" operator="equal">
      <formula>"value일 미도래"</formula>
    </cfRule>
  </conditionalFormatting>
  <conditionalFormatting sqref="M148">
    <cfRule type="cellIs" dxfId="3497" priority="12286" operator="equal">
      <formula>"value일 미도래"</formula>
    </cfRule>
  </conditionalFormatting>
  <conditionalFormatting sqref="M148">
    <cfRule type="cellIs" dxfId="3496" priority="12285" operator="equal">
      <formula>"value일 미도래"</formula>
    </cfRule>
  </conditionalFormatting>
  <conditionalFormatting sqref="M148">
    <cfRule type="cellIs" dxfId="3495" priority="12284" operator="equal">
      <formula>"value일 미도래"</formula>
    </cfRule>
  </conditionalFormatting>
  <conditionalFormatting sqref="M148">
    <cfRule type="cellIs" dxfId="3494" priority="12283" operator="equal">
      <formula>"value일 미도래"</formula>
    </cfRule>
  </conditionalFormatting>
  <conditionalFormatting sqref="M148">
    <cfRule type="cellIs" dxfId="3493" priority="12282" operator="equal">
      <formula>"value일 미도래"</formula>
    </cfRule>
  </conditionalFormatting>
  <conditionalFormatting sqref="M148">
    <cfRule type="cellIs" dxfId="3492" priority="12281" operator="equal">
      <formula>"value일 미도래"</formula>
    </cfRule>
  </conditionalFormatting>
  <conditionalFormatting sqref="M148">
    <cfRule type="cellIs" dxfId="3491" priority="12279" operator="equal">
      <formula>"value일 미도래"</formula>
    </cfRule>
  </conditionalFormatting>
  <conditionalFormatting sqref="M148">
    <cfRule type="cellIs" dxfId="3490" priority="12278" operator="equal">
      <formula>"value일 미도래"</formula>
    </cfRule>
  </conditionalFormatting>
  <conditionalFormatting sqref="M148">
    <cfRule type="cellIs" dxfId="3489" priority="12277" operator="equal">
      <formula>"value일 미도래"</formula>
    </cfRule>
  </conditionalFormatting>
  <conditionalFormatting sqref="M148:M149">
    <cfRule type="cellIs" dxfId="3488" priority="12276" operator="equal">
      <formula>"value일 미도래"</formula>
    </cfRule>
  </conditionalFormatting>
  <conditionalFormatting sqref="M148:M149">
    <cfRule type="cellIs" dxfId="3487" priority="12275" operator="equal">
      <formula>"value일 미도래"</formula>
    </cfRule>
  </conditionalFormatting>
  <conditionalFormatting sqref="M148:M149">
    <cfRule type="cellIs" dxfId="3486" priority="12274" operator="equal">
      <formula>"value일 미도래"</formula>
    </cfRule>
  </conditionalFormatting>
  <conditionalFormatting sqref="M148:M149">
    <cfRule type="cellIs" dxfId="3485" priority="12273" operator="equal">
      <formula>"value일 미도래"</formula>
    </cfRule>
  </conditionalFormatting>
  <conditionalFormatting sqref="M148:M149">
    <cfRule type="cellIs" dxfId="3484" priority="12272" operator="equal">
      <formula>"value일 미도래"</formula>
    </cfRule>
  </conditionalFormatting>
  <conditionalFormatting sqref="M148:M149">
    <cfRule type="cellIs" dxfId="3483" priority="12271" operator="equal">
      <formula>"value일 미도래"</formula>
    </cfRule>
  </conditionalFormatting>
  <conditionalFormatting sqref="M148:M149">
    <cfRule type="cellIs" dxfId="3482" priority="12269" operator="equal">
      <formula>"value일 미도래"</formula>
    </cfRule>
  </conditionalFormatting>
  <conditionalFormatting sqref="M148:M149">
    <cfRule type="cellIs" dxfId="3481" priority="12268" operator="equal">
      <formula>"value일 미도래"</formula>
    </cfRule>
  </conditionalFormatting>
  <conditionalFormatting sqref="M148:M149">
    <cfRule type="cellIs" dxfId="3480" priority="12267" operator="equal">
      <formula>"value일 미도래"</formula>
    </cfRule>
  </conditionalFormatting>
  <conditionalFormatting sqref="M148:M149">
    <cfRule type="cellIs" dxfId="3479" priority="12266" operator="equal">
      <formula>"value일 미도래"</formula>
    </cfRule>
  </conditionalFormatting>
  <conditionalFormatting sqref="M148:M149">
    <cfRule type="cellIs" dxfId="3478" priority="12265" operator="equal">
      <formula>"value일 미도래"</formula>
    </cfRule>
  </conditionalFormatting>
  <conditionalFormatting sqref="M148:M149">
    <cfRule type="cellIs" dxfId="3477" priority="12264" operator="equal">
      <formula>"value일 미도래"</formula>
    </cfRule>
  </conditionalFormatting>
  <conditionalFormatting sqref="M148:M149">
    <cfRule type="cellIs" dxfId="3476" priority="12263" operator="equal">
      <formula>"value일 미도래"</formula>
    </cfRule>
  </conditionalFormatting>
  <conditionalFormatting sqref="M148:M149">
    <cfRule type="cellIs" dxfId="3475" priority="12262" operator="equal">
      <formula>"value일 미도래"</formula>
    </cfRule>
  </conditionalFormatting>
  <conditionalFormatting sqref="M148:M149">
    <cfRule type="cellIs" dxfId="3474" priority="12260" operator="equal">
      <formula>"value일 미도래"</formula>
    </cfRule>
  </conditionalFormatting>
  <conditionalFormatting sqref="M148:M149">
    <cfRule type="cellIs" dxfId="3473" priority="12259" operator="equal">
      <formula>"value일 미도래"</formula>
    </cfRule>
  </conditionalFormatting>
  <conditionalFormatting sqref="M148:M149">
    <cfRule type="cellIs" dxfId="3472" priority="12258" operator="equal">
      <formula>"value일 미도래"</formula>
    </cfRule>
  </conditionalFormatting>
  <conditionalFormatting sqref="M148:M149">
    <cfRule type="cellIs" dxfId="3471" priority="12257" operator="equal">
      <formula>"value일 미도래"</formula>
    </cfRule>
  </conditionalFormatting>
  <conditionalFormatting sqref="M148:M149">
    <cfRule type="cellIs" dxfId="3470" priority="12256" operator="equal">
      <formula>"value일 미도래"</formula>
    </cfRule>
  </conditionalFormatting>
  <conditionalFormatting sqref="M148:M149">
    <cfRule type="cellIs" dxfId="3469" priority="12255" operator="equal">
      <formula>"value일 미도래"</formula>
    </cfRule>
  </conditionalFormatting>
  <conditionalFormatting sqref="M148:M149">
    <cfRule type="cellIs" dxfId="3468" priority="12254" operator="equal">
      <formula>"value일 미도래"</formula>
    </cfRule>
  </conditionalFormatting>
  <conditionalFormatting sqref="M148:M149">
    <cfRule type="cellIs" dxfId="3467" priority="12253" operator="equal">
      <formula>"value일 미도래"</formula>
    </cfRule>
  </conditionalFormatting>
  <conditionalFormatting sqref="M148:M149">
    <cfRule type="cellIs" dxfId="3466" priority="12252" operator="equal">
      <formula>"value일 미도래"</formula>
    </cfRule>
  </conditionalFormatting>
  <conditionalFormatting sqref="M148:M149">
    <cfRule type="cellIs" dxfId="3465" priority="12251" operator="equal">
      <formula>"value일 미도래"</formula>
    </cfRule>
  </conditionalFormatting>
  <conditionalFormatting sqref="M148:M149">
    <cfRule type="cellIs" dxfId="3464" priority="12250" operator="equal">
      <formula>"value일 미도래"</formula>
    </cfRule>
  </conditionalFormatting>
  <conditionalFormatting sqref="M148:M149">
    <cfRule type="cellIs" dxfId="3463" priority="12248" operator="equal">
      <formula>"value일 미도래"</formula>
    </cfRule>
  </conditionalFormatting>
  <conditionalFormatting sqref="M148:M149">
    <cfRule type="cellIs" dxfId="3462" priority="12247" operator="equal">
      <formula>"value일 미도래"</formula>
    </cfRule>
  </conditionalFormatting>
  <conditionalFormatting sqref="M148:M149">
    <cfRule type="cellIs" dxfId="3461" priority="12246" operator="equal">
      <formula>"value일 미도래"</formula>
    </cfRule>
  </conditionalFormatting>
  <conditionalFormatting sqref="M148:M149">
    <cfRule type="cellIs" dxfId="3460" priority="12245" operator="equal">
      <formula>"value일 미도래"</formula>
    </cfRule>
  </conditionalFormatting>
  <conditionalFormatting sqref="M148:M149">
    <cfRule type="cellIs" dxfId="3459" priority="12244" operator="equal">
      <formula>"value일 미도래"</formula>
    </cfRule>
  </conditionalFormatting>
  <conditionalFormatting sqref="M148:M149">
    <cfRule type="cellIs" dxfId="3458" priority="12243" operator="equal">
      <formula>"value일 미도래"</formula>
    </cfRule>
  </conditionalFormatting>
  <conditionalFormatting sqref="M148:M149">
    <cfRule type="cellIs" dxfId="3457" priority="12242" operator="equal">
      <formula>"value일 미도래"</formula>
    </cfRule>
  </conditionalFormatting>
  <conditionalFormatting sqref="M148:M149">
    <cfRule type="cellIs" dxfId="3456" priority="12241" operator="equal">
      <formula>"value일 미도래"</formula>
    </cfRule>
  </conditionalFormatting>
  <conditionalFormatting sqref="M148:M149">
    <cfRule type="cellIs" dxfId="3455" priority="12240" operator="equal">
      <formula>"value일 미도래"</formula>
    </cfRule>
  </conditionalFormatting>
  <conditionalFormatting sqref="M148:M149">
    <cfRule type="cellIs" dxfId="3454" priority="12239" operator="equal">
      <formula>"value일 미도래"</formula>
    </cfRule>
  </conditionalFormatting>
  <conditionalFormatting sqref="M148:M149">
    <cfRule type="cellIs" dxfId="3453" priority="12238" operator="equal">
      <formula>"value일 미도래"</formula>
    </cfRule>
  </conditionalFormatting>
  <conditionalFormatting sqref="M148:M149">
    <cfRule type="cellIs" dxfId="3452" priority="12236" operator="equal">
      <formula>"value일 미도래"</formula>
    </cfRule>
  </conditionalFormatting>
  <conditionalFormatting sqref="M148:M149">
    <cfRule type="cellIs" dxfId="3451" priority="12235" operator="equal">
      <formula>"value일 미도래"</formula>
    </cfRule>
  </conditionalFormatting>
  <conditionalFormatting sqref="M148:M149">
    <cfRule type="cellIs" dxfId="3450" priority="12234" operator="equal">
      <formula>"value일 미도래"</formula>
    </cfRule>
  </conditionalFormatting>
  <conditionalFormatting sqref="M148">
    <cfRule type="cellIs" dxfId="3449" priority="12233" operator="equal">
      <formula>"value일 미도래"</formula>
    </cfRule>
  </conditionalFormatting>
  <conditionalFormatting sqref="M148">
    <cfRule type="cellIs" dxfId="3448" priority="12232" operator="equal">
      <formula>"value일 미도래"</formula>
    </cfRule>
  </conditionalFormatting>
  <conditionalFormatting sqref="M148:M149">
    <cfRule type="cellIs" dxfId="3447" priority="12231" operator="equal">
      <formula>"value일 미도래"</formula>
    </cfRule>
  </conditionalFormatting>
  <conditionalFormatting sqref="M148:M149">
    <cfRule type="cellIs" dxfId="3446" priority="12230" operator="equal">
      <formula>"value일 미도래"</formula>
    </cfRule>
  </conditionalFormatting>
  <conditionalFormatting sqref="M148:M149">
    <cfRule type="cellIs" dxfId="3445" priority="12229" operator="equal">
      <formula>"value일 미도래"</formula>
    </cfRule>
  </conditionalFormatting>
  <conditionalFormatting sqref="M148">
    <cfRule type="cellIs" dxfId="3444" priority="12228" operator="equal">
      <formula>"value일 미도래"</formula>
    </cfRule>
  </conditionalFormatting>
  <conditionalFormatting sqref="M148">
    <cfRule type="cellIs" dxfId="3443" priority="12227" operator="equal">
      <formula>"value일 미도래"</formula>
    </cfRule>
  </conditionalFormatting>
  <conditionalFormatting sqref="M148">
    <cfRule type="cellIs" dxfId="3442" priority="12226" operator="equal">
      <formula>"value일 미도래"</formula>
    </cfRule>
  </conditionalFormatting>
  <conditionalFormatting sqref="M148">
    <cfRule type="cellIs" dxfId="3441" priority="12225" operator="equal">
      <formula>"value일 미도래"</formula>
    </cfRule>
  </conditionalFormatting>
  <conditionalFormatting sqref="M148">
    <cfRule type="cellIs" dxfId="3440" priority="12224" operator="equal">
      <formula>"value일 미도래"</formula>
    </cfRule>
  </conditionalFormatting>
  <conditionalFormatting sqref="M148">
    <cfRule type="cellIs" dxfId="3439" priority="12223" operator="equal">
      <formula>"value일 미도래"</formula>
    </cfRule>
  </conditionalFormatting>
  <conditionalFormatting sqref="M148">
    <cfRule type="cellIs" dxfId="3438" priority="12222" operator="equal">
      <formula>"value일 미도래"</formula>
    </cfRule>
  </conditionalFormatting>
  <conditionalFormatting sqref="M148">
    <cfRule type="cellIs" dxfId="3437" priority="12221" operator="equal">
      <formula>"value일 미도래"</formula>
    </cfRule>
  </conditionalFormatting>
  <conditionalFormatting sqref="M148">
    <cfRule type="cellIs" dxfId="3436" priority="12220" operator="equal">
      <formula>"value일 미도래"</formula>
    </cfRule>
  </conditionalFormatting>
  <conditionalFormatting sqref="M148">
    <cfRule type="cellIs" dxfId="3435" priority="12218" operator="equal">
      <formula>"value일 미도래"</formula>
    </cfRule>
  </conditionalFormatting>
  <conditionalFormatting sqref="M148">
    <cfRule type="cellIs" dxfId="3434" priority="12217" operator="equal">
      <formula>"value일 미도래"</formula>
    </cfRule>
  </conditionalFormatting>
  <conditionalFormatting sqref="M148">
    <cfRule type="cellIs" dxfId="3433" priority="12216" operator="equal">
      <formula>"value일 미도래"</formula>
    </cfRule>
  </conditionalFormatting>
  <conditionalFormatting sqref="M148:M149">
    <cfRule type="cellIs" dxfId="3432" priority="12215" operator="equal">
      <formula>"value일 미도래"</formula>
    </cfRule>
  </conditionalFormatting>
  <conditionalFormatting sqref="M148:M149">
    <cfRule type="cellIs" dxfId="3431" priority="12214" operator="equal">
      <formula>"value일 미도래"</formula>
    </cfRule>
  </conditionalFormatting>
  <conditionalFormatting sqref="M148:M149">
    <cfRule type="cellIs" dxfId="3430" priority="12213" operator="equal">
      <formula>"value일 미도래"</formula>
    </cfRule>
  </conditionalFormatting>
  <conditionalFormatting sqref="M148">
    <cfRule type="cellIs" dxfId="3429" priority="12212" operator="equal">
      <formula>"value일 미도래"</formula>
    </cfRule>
  </conditionalFormatting>
  <conditionalFormatting sqref="M148">
    <cfRule type="cellIs" dxfId="3428" priority="12211" operator="equal">
      <formula>"value일 미도래"</formula>
    </cfRule>
  </conditionalFormatting>
  <conditionalFormatting sqref="M148">
    <cfRule type="cellIs" dxfId="3427" priority="12210" operator="equal">
      <formula>"value일 미도래"</formula>
    </cfRule>
  </conditionalFormatting>
  <conditionalFormatting sqref="M148:M149">
    <cfRule type="cellIs" dxfId="3426" priority="12209" operator="equal">
      <formula>"value일 미도래"</formula>
    </cfRule>
  </conditionalFormatting>
  <conditionalFormatting sqref="M148:M149">
    <cfRule type="cellIs" dxfId="3425" priority="12208" operator="equal">
      <formula>"value일 미도래"</formula>
    </cfRule>
  </conditionalFormatting>
  <conditionalFormatting sqref="M148:M149">
    <cfRule type="cellIs" dxfId="3424" priority="12207" operator="equal">
      <formula>"value일 미도래"</formula>
    </cfRule>
  </conditionalFormatting>
  <conditionalFormatting sqref="M148">
    <cfRule type="cellIs" dxfId="3423" priority="12206" operator="equal">
      <formula>"value일 미도래"</formula>
    </cfRule>
  </conditionalFormatting>
  <conditionalFormatting sqref="M148">
    <cfRule type="cellIs" dxfId="3422" priority="12205" operator="equal">
      <formula>"value일 미도래"</formula>
    </cfRule>
  </conditionalFormatting>
  <conditionalFormatting sqref="M148">
    <cfRule type="cellIs" dxfId="3421" priority="12204" operator="equal">
      <formula>"value일 미도래"</formula>
    </cfRule>
  </conditionalFormatting>
  <conditionalFormatting sqref="M148">
    <cfRule type="cellIs" dxfId="3420" priority="12203" operator="equal">
      <formula>"value일 미도래"</formula>
    </cfRule>
  </conditionalFormatting>
  <conditionalFormatting sqref="M148">
    <cfRule type="cellIs" dxfId="3419" priority="12202" operator="equal">
      <formula>"value일 미도래"</formula>
    </cfRule>
  </conditionalFormatting>
  <conditionalFormatting sqref="M148:M149">
    <cfRule type="cellIs" dxfId="3418" priority="12201" operator="equal">
      <formula>"value일 미도래"</formula>
    </cfRule>
  </conditionalFormatting>
  <conditionalFormatting sqref="M148:M149">
    <cfRule type="cellIs" dxfId="3417" priority="12200" operator="equal">
      <formula>"value일 미도래"</formula>
    </cfRule>
  </conditionalFormatting>
  <conditionalFormatting sqref="M148:M149">
    <cfRule type="cellIs" dxfId="3416" priority="12199" operator="equal">
      <formula>"value일 미도래"</formula>
    </cfRule>
  </conditionalFormatting>
  <conditionalFormatting sqref="M148">
    <cfRule type="cellIs" dxfId="3415" priority="12198" operator="equal">
      <formula>"value일 미도래"</formula>
    </cfRule>
  </conditionalFormatting>
  <conditionalFormatting sqref="M148">
    <cfRule type="cellIs" dxfId="3414" priority="12197" operator="equal">
      <formula>"value일 미도래"</formula>
    </cfRule>
  </conditionalFormatting>
  <conditionalFormatting sqref="M148">
    <cfRule type="cellIs" dxfId="3413" priority="12196" operator="equal">
      <formula>"value일 미도래"</formula>
    </cfRule>
  </conditionalFormatting>
  <conditionalFormatting sqref="M148">
    <cfRule type="cellIs" dxfId="3412" priority="12195" operator="equal">
      <formula>"value일 미도래"</formula>
    </cfRule>
  </conditionalFormatting>
  <conditionalFormatting sqref="M148">
    <cfRule type="cellIs" dxfId="3411" priority="12194" operator="equal">
      <formula>"value일 미도래"</formula>
    </cfRule>
  </conditionalFormatting>
  <conditionalFormatting sqref="M148">
    <cfRule type="cellIs" dxfId="3410" priority="12193" operator="equal">
      <formula>"value일 미도래"</formula>
    </cfRule>
  </conditionalFormatting>
  <conditionalFormatting sqref="M148">
    <cfRule type="cellIs" dxfId="3409" priority="12192" operator="equal">
      <formula>"value일 미도래"</formula>
    </cfRule>
  </conditionalFormatting>
  <conditionalFormatting sqref="M148">
    <cfRule type="cellIs" dxfId="3408" priority="12191" operator="equal">
      <formula>"value일 미도래"</formula>
    </cfRule>
  </conditionalFormatting>
  <conditionalFormatting sqref="M148">
    <cfRule type="cellIs" dxfId="3407" priority="12190" operator="equal">
      <formula>"value일 미도래"</formula>
    </cfRule>
  </conditionalFormatting>
  <conditionalFormatting sqref="M148">
    <cfRule type="cellIs" dxfId="3406" priority="12188" operator="equal">
      <formula>"value일 미도래"</formula>
    </cfRule>
  </conditionalFormatting>
  <conditionalFormatting sqref="M148">
    <cfRule type="cellIs" dxfId="3405" priority="12187" operator="equal">
      <formula>"value일 미도래"</formula>
    </cfRule>
  </conditionalFormatting>
  <conditionalFormatting sqref="M148">
    <cfRule type="cellIs" dxfId="3404" priority="12186" operator="equal">
      <formula>"value일 미도래"</formula>
    </cfRule>
  </conditionalFormatting>
  <conditionalFormatting sqref="M148:M149">
    <cfRule type="cellIs" dxfId="3403" priority="12185" operator="equal">
      <formula>"value일 미도래"</formula>
    </cfRule>
  </conditionalFormatting>
  <conditionalFormatting sqref="M148:M149">
    <cfRule type="cellIs" dxfId="3402" priority="12184" operator="equal">
      <formula>"value일 미도래"</formula>
    </cfRule>
  </conditionalFormatting>
  <conditionalFormatting sqref="M148:M149">
    <cfRule type="cellIs" dxfId="3401" priority="12183" operator="equal">
      <formula>"value일 미도래"</formula>
    </cfRule>
  </conditionalFormatting>
  <conditionalFormatting sqref="M148">
    <cfRule type="cellIs" dxfId="3400" priority="12182" operator="equal">
      <formula>"value일 미도래"</formula>
    </cfRule>
  </conditionalFormatting>
  <conditionalFormatting sqref="M148">
    <cfRule type="cellIs" dxfId="3399" priority="12181" operator="equal">
      <formula>"value일 미도래"</formula>
    </cfRule>
  </conditionalFormatting>
  <conditionalFormatting sqref="M148">
    <cfRule type="cellIs" dxfId="3398" priority="12180" operator="equal">
      <formula>"value일 미도래"</formula>
    </cfRule>
  </conditionalFormatting>
  <conditionalFormatting sqref="M148:M149">
    <cfRule type="cellIs" dxfId="3397" priority="12179" operator="equal">
      <formula>"value일 미도래"</formula>
    </cfRule>
  </conditionalFormatting>
  <conditionalFormatting sqref="M148:M149">
    <cfRule type="cellIs" dxfId="3396" priority="12178" operator="equal">
      <formula>"value일 미도래"</formula>
    </cfRule>
  </conditionalFormatting>
  <conditionalFormatting sqref="M148:M149">
    <cfRule type="cellIs" dxfId="3395" priority="12177" operator="equal">
      <formula>"value일 미도래"</formula>
    </cfRule>
  </conditionalFormatting>
  <conditionalFormatting sqref="M148">
    <cfRule type="cellIs" dxfId="3394" priority="12176" operator="equal">
      <formula>"value일 미도래"</formula>
    </cfRule>
  </conditionalFormatting>
  <conditionalFormatting sqref="M148">
    <cfRule type="cellIs" dxfId="3393" priority="12175" operator="equal">
      <formula>"value일 미도래"</formula>
    </cfRule>
  </conditionalFormatting>
  <conditionalFormatting sqref="M148">
    <cfRule type="cellIs" dxfId="3392" priority="12174" operator="equal">
      <formula>"value일 미도래"</formula>
    </cfRule>
  </conditionalFormatting>
  <conditionalFormatting sqref="M148">
    <cfRule type="cellIs" dxfId="3391" priority="12173" operator="equal">
      <formula>"value일 미도래"</formula>
    </cfRule>
  </conditionalFormatting>
  <conditionalFormatting sqref="M148">
    <cfRule type="cellIs" dxfId="3390" priority="12172" operator="equal">
      <formula>"value일 미도래"</formula>
    </cfRule>
  </conditionalFormatting>
  <conditionalFormatting sqref="M148">
    <cfRule type="cellIs" dxfId="3389" priority="12171" operator="equal">
      <formula>"value일 미도래"</formula>
    </cfRule>
  </conditionalFormatting>
  <conditionalFormatting sqref="M148">
    <cfRule type="cellIs" dxfId="3388" priority="12170" operator="equal">
      <formula>"value일 미도래"</formula>
    </cfRule>
  </conditionalFormatting>
  <conditionalFormatting sqref="M148">
    <cfRule type="cellIs" dxfId="3387" priority="12169" operator="equal">
      <formula>"value일 미도래"</formula>
    </cfRule>
  </conditionalFormatting>
  <conditionalFormatting sqref="M148">
    <cfRule type="cellIs" dxfId="3386" priority="12168" operator="equal">
      <formula>"value일 미도래"</formula>
    </cfRule>
  </conditionalFormatting>
  <conditionalFormatting sqref="M148">
    <cfRule type="cellIs" dxfId="3385" priority="12167" operator="equal">
      <formula>"value일 미도래"</formula>
    </cfRule>
  </conditionalFormatting>
  <conditionalFormatting sqref="M148">
    <cfRule type="cellIs" dxfId="3384" priority="12166" operator="equal">
      <formula>"value일 미도래"</formula>
    </cfRule>
  </conditionalFormatting>
  <conditionalFormatting sqref="M148">
    <cfRule type="cellIs" dxfId="3383" priority="12165" operator="equal">
      <formula>"value일 미도래"</formula>
    </cfRule>
  </conditionalFormatting>
  <conditionalFormatting sqref="M148">
    <cfRule type="cellIs" dxfId="3382" priority="12164" operator="equal">
      <formula>"value일 미도래"</formula>
    </cfRule>
  </conditionalFormatting>
  <conditionalFormatting sqref="M148">
    <cfRule type="cellIs" dxfId="3381" priority="12163" operator="equal">
      <formula>"value일 미도래"</formula>
    </cfRule>
  </conditionalFormatting>
  <conditionalFormatting sqref="M148">
    <cfRule type="cellIs" dxfId="3380" priority="12162" operator="equal">
      <formula>"value일 미도래"</formula>
    </cfRule>
  </conditionalFormatting>
  <conditionalFormatting sqref="M148">
    <cfRule type="cellIs" dxfId="3379" priority="12161" operator="equal">
      <formula>"value일 미도래"</formula>
    </cfRule>
  </conditionalFormatting>
  <conditionalFormatting sqref="M148">
    <cfRule type="cellIs" dxfId="3378" priority="12160" operator="equal">
      <formula>"value일 미도래"</formula>
    </cfRule>
  </conditionalFormatting>
  <conditionalFormatting sqref="M148">
    <cfRule type="cellIs" dxfId="3377" priority="12158" operator="equal">
      <formula>"value일 미도래"</formula>
    </cfRule>
  </conditionalFormatting>
  <conditionalFormatting sqref="M148">
    <cfRule type="cellIs" dxfId="3376" priority="12157" operator="equal">
      <formula>"value일 미도래"</formula>
    </cfRule>
  </conditionalFormatting>
  <conditionalFormatting sqref="M148">
    <cfRule type="cellIs" dxfId="3375" priority="12156" operator="equal">
      <formula>"value일 미도래"</formula>
    </cfRule>
  </conditionalFormatting>
  <conditionalFormatting sqref="M148">
    <cfRule type="cellIs" dxfId="3374" priority="12155" operator="equal">
      <formula>"value일 미도래"</formula>
    </cfRule>
  </conditionalFormatting>
  <conditionalFormatting sqref="M148">
    <cfRule type="cellIs" dxfId="3373" priority="12154" operator="equal">
      <formula>"value일 미도래"</formula>
    </cfRule>
  </conditionalFormatting>
  <conditionalFormatting sqref="M148">
    <cfRule type="cellIs" dxfId="3372" priority="12153" operator="equal">
      <formula>"value일 미도래"</formula>
    </cfRule>
  </conditionalFormatting>
  <conditionalFormatting sqref="M148">
    <cfRule type="cellIs" dxfId="3371" priority="12152" operator="equal">
      <formula>"value일 미도래"</formula>
    </cfRule>
  </conditionalFormatting>
  <conditionalFormatting sqref="M148">
    <cfRule type="cellIs" dxfId="3370" priority="12151" operator="equal">
      <formula>"value일 미도래"</formula>
    </cfRule>
  </conditionalFormatting>
  <conditionalFormatting sqref="M148">
    <cfRule type="cellIs" dxfId="3369" priority="12150" operator="equal">
      <formula>"value일 미도래"</formula>
    </cfRule>
  </conditionalFormatting>
  <conditionalFormatting sqref="M148">
    <cfRule type="cellIs" dxfId="3368" priority="12149" operator="equal">
      <formula>"value일 미도래"</formula>
    </cfRule>
  </conditionalFormatting>
  <conditionalFormatting sqref="M148">
    <cfRule type="cellIs" dxfId="3367" priority="12148" operator="equal">
      <formula>"value일 미도래"</formula>
    </cfRule>
  </conditionalFormatting>
  <conditionalFormatting sqref="M148">
    <cfRule type="cellIs" dxfId="3366" priority="12147" operator="equal">
      <formula>"value일 미도래"</formula>
    </cfRule>
  </conditionalFormatting>
  <conditionalFormatting sqref="M148">
    <cfRule type="cellIs" dxfId="3365" priority="12146" operator="equal">
      <formula>"value일 미도래"</formula>
    </cfRule>
  </conditionalFormatting>
  <conditionalFormatting sqref="M148">
    <cfRule type="cellIs" dxfId="3364" priority="12145" operator="equal">
      <formula>"value일 미도래"</formula>
    </cfRule>
  </conditionalFormatting>
  <conditionalFormatting sqref="M148">
    <cfRule type="cellIs" dxfId="3363" priority="12144" operator="equal">
      <formula>"value일 미도래"</formula>
    </cfRule>
  </conditionalFormatting>
  <conditionalFormatting sqref="M148">
    <cfRule type="cellIs" dxfId="3362" priority="12143" operator="equal">
      <formula>"value일 미도래"</formula>
    </cfRule>
  </conditionalFormatting>
  <conditionalFormatting sqref="M148">
    <cfRule type="cellIs" dxfId="3361" priority="12142" operator="equal">
      <formula>"value일 미도래"</formula>
    </cfRule>
  </conditionalFormatting>
  <conditionalFormatting sqref="M148">
    <cfRule type="cellIs" dxfId="3360" priority="12141" operator="equal">
      <formula>"value일 미도래"</formula>
    </cfRule>
  </conditionalFormatting>
  <conditionalFormatting sqref="M148">
    <cfRule type="cellIs" dxfId="3359" priority="12140" operator="equal">
      <formula>"value일 미도래"</formula>
    </cfRule>
  </conditionalFormatting>
  <conditionalFormatting sqref="M148:M149">
    <cfRule type="cellIs" dxfId="3358" priority="12139" operator="equal">
      <formula>"value일 미도래"</formula>
    </cfRule>
  </conditionalFormatting>
  <conditionalFormatting sqref="M148:M149">
    <cfRule type="cellIs" dxfId="3357" priority="12138" operator="equal">
      <formula>"value일 미도래"</formula>
    </cfRule>
  </conditionalFormatting>
  <conditionalFormatting sqref="M148:M149">
    <cfRule type="cellIs" dxfId="3356" priority="12137" operator="equal">
      <formula>"value일 미도래"</formula>
    </cfRule>
  </conditionalFormatting>
  <conditionalFormatting sqref="M148:M149">
    <cfRule type="cellIs" dxfId="3355" priority="12136" operator="equal">
      <formula>"value일 미도래"</formula>
    </cfRule>
  </conditionalFormatting>
  <conditionalFormatting sqref="M148:M149">
    <cfRule type="cellIs" dxfId="3354" priority="12135" operator="equal">
      <formula>"value일 미도래"</formula>
    </cfRule>
  </conditionalFormatting>
  <conditionalFormatting sqref="M148:M149">
    <cfRule type="cellIs" dxfId="3353" priority="12134" operator="equal">
      <formula>"value일 미도래"</formula>
    </cfRule>
  </conditionalFormatting>
  <conditionalFormatting sqref="M148:M149">
    <cfRule type="cellIs" dxfId="3352" priority="12132" operator="equal">
      <formula>"value일 미도래"</formula>
    </cfRule>
  </conditionalFormatting>
  <conditionalFormatting sqref="M148:M149">
    <cfRule type="cellIs" dxfId="3351" priority="12131" operator="equal">
      <formula>"value일 미도래"</formula>
    </cfRule>
  </conditionalFormatting>
  <conditionalFormatting sqref="M148:M149">
    <cfRule type="cellIs" dxfId="3350" priority="12130" operator="equal">
      <formula>"value일 미도래"</formula>
    </cfRule>
  </conditionalFormatting>
  <conditionalFormatting sqref="M148:M149">
    <cfRule type="cellIs" dxfId="3349" priority="12129" operator="equal">
      <formula>"value일 미도래"</formula>
    </cfRule>
  </conditionalFormatting>
  <conditionalFormatting sqref="M148:M149">
    <cfRule type="cellIs" dxfId="3348" priority="12128" operator="equal">
      <formula>"value일 미도래"</formula>
    </cfRule>
  </conditionalFormatting>
  <conditionalFormatting sqref="M148:M149">
    <cfRule type="cellIs" dxfId="3347" priority="12127" operator="equal">
      <formula>"value일 미도래"</formula>
    </cfRule>
  </conditionalFormatting>
  <conditionalFormatting sqref="M148:M149">
    <cfRule type="cellIs" dxfId="3346" priority="12126" operator="equal">
      <formula>"value일 미도래"</formula>
    </cfRule>
  </conditionalFormatting>
  <conditionalFormatting sqref="M148:M149">
    <cfRule type="cellIs" dxfId="3345" priority="12125" operator="equal">
      <formula>"value일 미도래"</formula>
    </cfRule>
  </conditionalFormatting>
  <conditionalFormatting sqref="M148:M149">
    <cfRule type="cellIs" dxfId="3344" priority="12123" operator="equal">
      <formula>"value일 미도래"</formula>
    </cfRule>
  </conditionalFormatting>
  <conditionalFormatting sqref="M148:M149">
    <cfRule type="cellIs" dxfId="3343" priority="12122" operator="equal">
      <formula>"value일 미도래"</formula>
    </cfRule>
  </conditionalFormatting>
  <conditionalFormatting sqref="M148:M149">
    <cfRule type="cellIs" dxfId="3342" priority="12121" operator="equal">
      <formula>"value일 미도래"</formula>
    </cfRule>
  </conditionalFormatting>
  <conditionalFormatting sqref="M148:M149">
    <cfRule type="cellIs" dxfId="3341" priority="12120" operator="equal">
      <formula>"value일 미도래"</formula>
    </cfRule>
  </conditionalFormatting>
  <conditionalFormatting sqref="M148:M149">
    <cfRule type="cellIs" dxfId="3340" priority="12119" operator="equal">
      <formula>"value일 미도래"</formula>
    </cfRule>
  </conditionalFormatting>
  <conditionalFormatting sqref="M148:M149">
    <cfRule type="cellIs" dxfId="3339" priority="12118" operator="equal">
      <formula>"value일 미도래"</formula>
    </cfRule>
  </conditionalFormatting>
  <conditionalFormatting sqref="M148:M149">
    <cfRule type="cellIs" dxfId="3338" priority="12117" operator="equal">
      <formula>"value일 미도래"</formula>
    </cfRule>
  </conditionalFormatting>
  <conditionalFormatting sqref="M148:M149">
    <cfRule type="cellIs" dxfId="3337" priority="12116" operator="equal">
      <formula>"value일 미도래"</formula>
    </cfRule>
  </conditionalFormatting>
  <conditionalFormatting sqref="M148:M149">
    <cfRule type="cellIs" dxfId="3336" priority="12115" operator="equal">
      <formula>"value일 미도래"</formula>
    </cfRule>
  </conditionalFormatting>
  <conditionalFormatting sqref="M148:M149">
    <cfRule type="cellIs" dxfId="3335" priority="12114" operator="equal">
      <formula>"value일 미도래"</formula>
    </cfRule>
  </conditionalFormatting>
  <conditionalFormatting sqref="M148:M149">
    <cfRule type="cellIs" dxfId="3334" priority="12113" operator="equal">
      <formula>"value일 미도래"</formula>
    </cfRule>
  </conditionalFormatting>
  <conditionalFormatting sqref="M148:M149">
    <cfRule type="cellIs" dxfId="3333" priority="12111" operator="equal">
      <formula>"value일 미도래"</formula>
    </cfRule>
  </conditionalFormatting>
  <conditionalFormatting sqref="M148:M149">
    <cfRule type="cellIs" dxfId="3332" priority="12110" operator="equal">
      <formula>"value일 미도래"</formula>
    </cfRule>
  </conditionalFormatting>
  <conditionalFormatting sqref="M148:M149">
    <cfRule type="cellIs" dxfId="3331" priority="12109" operator="equal">
      <formula>"value일 미도래"</formula>
    </cfRule>
  </conditionalFormatting>
  <conditionalFormatting sqref="M148:M149">
    <cfRule type="cellIs" dxfId="3330" priority="12108" operator="equal">
      <formula>"value일 미도래"</formula>
    </cfRule>
  </conditionalFormatting>
  <conditionalFormatting sqref="M148:M149">
    <cfRule type="cellIs" dxfId="3329" priority="12107" operator="equal">
      <formula>"value일 미도래"</formula>
    </cfRule>
  </conditionalFormatting>
  <conditionalFormatting sqref="M148:M149">
    <cfRule type="cellIs" dxfId="3328" priority="12106" operator="equal">
      <formula>"value일 미도래"</formula>
    </cfRule>
  </conditionalFormatting>
  <conditionalFormatting sqref="M148:M149">
    <cfRule type="cellIs" dxfId="3327" priority="12105" operator="equal">
      <formula>"value일 미도래"</formula>
    </cfRule>
  </conditionalFormatting>
  <conditionalFormatting sqref="M148:M149">
    <cfRule type="cellIs" dxfId="3326" priority="12104" operator="equal">
      <formula>"value일 미도래"</formula>
    </cfRule>
  </conditionalFormatting>
  <conditionalFormatting sqref="M148:M149">
    <cfRule type="cellIs" dxfId="3325" priority="12103" operator="equal">
      <formula>"value일 미도래"</formula>
    </cfRule>
  </conditionalFormatting>
  <conditionalFormatting sqref="M148:M149">
    <cfRule type="cellIs" dxfId="3324" priority="12102" operator="equal">
      <formula>"value일 미도래"</formula>
    </cfRule>
  </conditionalFormatting>
  <conditionalFormatting sqref="M148:M149">
    <cfRule type="cellIs" dxfId="3323" priority="12101" operator="equal">
      <formula>"value일 미도래"</formula>
    </cfRule>
  </conditionalFormatting>
  <conditionalFormatting sqref="M148:M149">
    <cfRule type="cellIs" dxfId="3322" priority="12099" operator="equal">
      <formula>"value일 미도래"</formula>
    </cfRule>
  </conditionalFormatting>
  <conditionalFormatting sqref="M148:M149">
    <cfRule type="cellIs" dxfId="3321" priority="12098" operator="equal">
      <formula>"value일 미도래"</formula>
    </cfRule>
  </conditionalFormatting>
  <conditionalFormatting sqref="M148:M149">
    <cfRule type="cellIs" dxfId="3320" priority="12097" operator="equal">
      <formula>"value일 미도래"</formula>
    </cfRule>
  </conditionalFormatting>
  <conditionalFormatting sqref="M148:M149">
    <cfRule type="cellIs" dxfId="3319" priority="12096" operator="equal">
      <formula>"value일 미도래"</formula>
    </cfRule>
  </conditionalFormatting>
  <conditionalFormatting sqref="M148:M149">
    <cfRule type="cellIs" dxfId="3318" priority="12095" operator="equal">
      <formula>"value일 미도래"</formula>
    </cfRule>
  </conditionalFormatting>
  <conditionalFormatting sqref="M148:M149">
    <cfRule type="cellIs" dxfId="3317" priority="12094" operator="equal">
      <formula>"value일 미도래"</formula>
    </cfRule>
  </conditionalFormatting>
  <conditionalFormatting sqref="M148:M149">
    <cfRule type="cellIs" dxfId="3316" priority="12093" operator="equal">
      <formula>"value일 미도래"</formula>
    </cfRule>
  </conditionalFormatting>
  <conditionalFormatting sqref="M148:M149">
    <cfRule type="cellIs" dxfId="3315" priority="12092" operator="equal">
      <formula>"value일 미도래"</formula>
    </cfRule>
  </conditionalFormatting>
  <conditionalFormatting sqref="M148:M149">
    <cfRule type="cellIs" dxfId="3314" priority="12091" operator="equal">
      <formula>"value일 미도래"</formula>
    </cfRule>
  </conditionalFormatting>
  <conditionalFormatting sqref="M148:M149">
    <cfRule type="cellIs" dxfId="3313" priority="12090" operator="equal">
      <formula>"value일 미도래"</formula>
    </cfRule>
  </conditionalFormatting>
  <conditionalFormatting sqref="M148:M149">
    <cfRule type="cellIs" dxfId="3312" priority="12089" operator="equal">
      <formula>"value일 미도래"</formula>
    </cfRule>
  </conditionalFormatting>
  <conditionalFormatting sqref="M148:M149">
    <cfRule type="cellIs" dxfId="3311" priority="12088" operator="equal">
      <formula>"value일 미도래"</formula>
    </cfRule>
  </conditionalFormatting>
  <conditionalFormatting sqref="M148:M149">
    <cfRule type="cellIs" dxfId="3310" priority="12087" operator="equal">
      <formula>"value일 미도래"</formula>
    </cfRule>
  </conditionalFormatting>
  <conditionalFormatting sqref="M148:M149">
    <cfRule type="cellIs" dxfId="3309" priority="12086" operator="equal">
      <formula>"value일 미도래"</formula>
    </cfRule>
  </conditionalFormatting>
  <conditionalFormatting sqref="M148:M149">
    <cfRule type="cellIs" dxfId="3308" priority="12084" operator="equal">
      <formula>"value일 미도래"</formula>
    </cfRule>
  </conditionalFormatting>
  <conditionalFormatting sqref="M148:M149">
    <cfRule type="cellIs" dxfId="3307" priority="12083" operator="equal">
      <formula>"value일 미도래"</formula>
    </cfRule>
  </conditionalFormatting>
  <conditionalFormatting sqref="M148:M149">
    <cfRule type="cellIs" dxfId="3306" priority="12082" operator="equal">
      <formula>"value일 미도래"</formula>
    </cfRule>
  </conditionalFormatting>
  <conditionalFormatting sqref="M148:M149">
    <cfRule type="cellIs" dxfId="3305" priority="12081" operator="equal">
      <formula>"value일 미도래"</formula>
    </cfRule>
  </conditionalFormatting>
  <conditionalFormatting sqref="M148:M149">
    <cfRule type="cellIs" dxfId="3304" priority="12080" operator="equal">
      <formula>"value일 미도래"</formula>
    </cfRule>
  </conditionalFormatting>
  <conditionalFormatting sqref="M148:M149">
    <cfRule type="cellIs" dxfId="3303" priority="12079" operator="equal">
      <formula>"value일 미도래"</formula>
    </cfRule>
  </conditionalFormatting>
  <conditionalFormatting sqref="M148:M149">
    <cfRule type="cellIs" dxfId="3302" priority="12078" operator="equal">
      <formula>"value일 미도래"</formula>
    </cfRule>
  </conditionalFormatting>
  <conditionalFormatting sqref="M148:M149">
    <cfRule type="cellIs" dxfId="3301" priority="12077" operator="equal">
      <formula>"value일 미도래"</formula>
    </cfRule>
  </conditionalFormatting>
  <conditionalFormatting sqref="M148:M149">
    <cfRule type="cellIs" dxfId="3300" priority="12076" operator="equal">
      <formula>"value일 미도래"</formula>
    </cfRule>
  </conditionalFormatting>
  <conditionalFormatting sqref="M148:M149">
    <cfRule type="cellIs" dxfId="3299" priority="12075" operator="equal">
      <formula>"value일 미도래"</formula>
    </cfRule>
  </conditionalFormatting>
  <conditionalFormatting sqref="M148:M149">
    <cfRule type="cellIs" dxfId="3298" priority="12074" operator="equal">
      <formula>"value일 미도래"</formula>
    </cfRule>
  </conditionalFormatting>
  <conditionalFormatting sqref="M148:M149">
    <cfRule type="cellIs" dxfId="3297" priority="12073" operator="equal">
      <formula>"value일 미도래"</formula>
    </cfRule>
  </conditionalFormatting>
  <conditionalFormatting sqref="M148:M149">
    <cfRule type="cellIs" dxfId="3296" priority="12072" operator="equal">
      <formula>"value일 미도래"</formula>
    </cfRule>
  </conditionalFormatting>
  <conditionalFormatting sqref="M148:M149">
    <cfRule type="cellIs" dxfId="3295" priority="12071" operator="equal">
      <formula>"value일 미도래"</formula>
    </cfRule>
  </conditionalFormatting>
  <conditionalFormatting sqref="M148:M149">
    <cfRule type="cellIs" dxfId="3294" priority="12070" operator="equal">
      <formula>"value일 미도래"</formula>
    </cfRule>
  </conditionalFormatting>
  <conditionalFormatting sqref="M148:M149">
    <cfRule type="cellIs" dxfId="3293" priority="12069" operator="equal">
      <formula>"value일 미도래"</formula>
    </cfRule>
  </conditionalFormatting>
  <conditionalFormatting sqref="M148:M149">
    <cfRule type="cellIs" dxfId="3292" priority="12068" operator="equal">
      <formula>"value일 미도래"</formula>
    </cfRule>
  </conditionalFormatting>
  <conditionalFormatting sqref="M148:M149">
    <cfRule type="cellIs" dxfId="3291" priority="12067" operator="equal">
      <formula>"value일 미도래"</formula>
    </cfRule>
  </conditionalFormatting>
  <conditionalFormatting sqref="M148:M149">
    <cfRule type="cellIs" dxfId="3290" priority="12066" operator="equal">
      <formula>"value일 미도래"</formula>
    </cfRule>
  </conditionalFormatting>
  <conditionalFormatting sqref="M148:M149">
    <cfRule type="cellIs" dxfId="3289" priority="12065" operator="equal">
      <formula>"value일 미도래"</formula>
    </cfRule>
  </conditionalFormatting>
  <conditionalFormatting sqref="M148:M149">
    <cfRule type="cellIs" dxfId="3288" priority="12063" operator="equal">
      <formula>"value일 미도래"</formula>
    </cfRule>
  </conditionalFormatting>
  <conditionalFormatting sqref="M148:M149">
    <cfRule type="cellIs" dxfId="3287" priority="12062" operator="equal">
      <formula>"value일 미도래"</formula>
    </cfRule>
  </conditionalFormatting>
  <conditionalFormatting sqref="M148:M149">
    <cfRule type="cellIs" dxfId="3286" priority="12061" operator="equal">
      <formula>"value일 미도래"</formula>
    </cfRule>
  </conditionalFormatting>
  <conditionalFormatting sqref="M148:M149">
    <cfRule type="cellIs" dxfId="3285" priority="12060" operator="equal">
      <formula>"value일 미도래"</formula>
    </cfRule>
  </conditionalFormatting>
  <conditionalFormatting sqref="M148:M149">
    <cfRule type="cellIs" dxfId="3284" priority="12059" operator="equal">
      <formula>"value일 미도래"</formula>
    </cfRule>
  </conditionalFormatting>
  <conditionalFormatting sqref="M148:M149">
    <cfRule type="cellIs" dxfId="3283" priority="12058" operator="equal">
      <formula>"value일 미도래"</formula>
    </cfRule>
  </conditionalFormatting>
  <conditionalFormatting sqref="M148:M149">
    <cfRule type="cellIs" dxfId="3282" priority="12057" operator="equal">
      <formula>"value일 미도래"</formula>
    </cfRule>
  </conditionalFormatting>
  <conditionalFormatting sqref="M148:M149">
    <cfRule type="cellIs" dxfId="3281" priority="12056" operator="equal">
      <formula>"value일 미도래"</formula>
    </cfRule>
  </conditionalFormatting>
  <conditionalFormatting sqref="M148:M149">
    <cfRule type="cellIs" dxfId="3280" priority="12055" operator="equal">
      <formula>"value일 미도래"</formula>
    </cfRule>
  </conditionalFormatting>
  <conditionalFormatting sqref="M148:M149">
    <cfRule type="cellIs" dxfId="3279" priority="12054" operator="equal">
      <formula>"value일 미도래"</formula>
    </cfRule>
  </conditionalFormatting>
  <conditionalFormatting sqref="M148:M149">
    <cfRule type="cellIs" dxfId="3278" priority="12053" operator="equal">
      <formula>"value일 미도래"</formula>
    </cfRule>
  </conditionalFormatting>
  <conditionalFormatting sqref="M148:M149">
    <cfRule type="cellIs" dxfId="3277" priority="12052" operator="equal">
      <formula>"value일 미도래"</formula>
    </cfRule>
  </conditionalFormatting>
  <conditionalFormatting sqref="M148:M149">
    <cfRule type="cellIs" dxfId="3276" priority="12045" operator="equal">
      <formula>"value일 미도래"</formula>
    </cfRule>
  </conditionalFormatting>
  <conditionalFormatting sqref="M148:M149">
    <cfRule type="cellIs" dxfId="3275" priority="12044" operator="equal">
      <formula>"value일 미도래"</formula>
    </cfRule>
  </conditionalFormatting>
  <conditionalFormatting sqref="M150:M151">
    <cfRule type="cellIs" dxfId="3274" priority="12043" operator="equal">
      <formula>"value일 미도래"</formula>
    </cfRule>
  </conditionalFormatting>
  <conditionalFormatting sqref="M150:M151">
    <cfRule type="cellIs" dxfId="3273" priority="12042" operator="equal">
      <formula>"value일 미도래"</formula>
    </cfRule>
  </conditionalFormatting>
  <conditionalFormatting sqref="M150:M151">
    <cfRule type="cellIs" dxfId="3272" priority="12041" operator="equal">
      <formula>"value일 미도래"</formula>
    </cfRule>
  </conditionalFormatting>
  <conditionalFormatting sqref="M148:M149">
    <cfRule type="cellIs" dxfId="3271" priority="12040" operator="equal">
      <formula>"value일 미도래"</formula>
    </cfRule>
  </conditionalFormatting>
  <conditionalFormatting sqref="M148:M149">
    <cfRule type="cellIs" dxfId="3270" priority="12039" operator="equal">
      <formula>"value일 미도래"</formula>
    </cfRule>
  </conditionalFormatting>
  <conditionalFormatting sqref="M148:M149">
    <cfRule type="cellIs" dxfId="3269" priority="12038" operator="equal">
      <formula>"value일 미도래"</formula>
    </cfRule>
  </conditionalFormatting>
  <conditionalFormatting sqref="M148:M149">
    <cfRule type="cellIs" dxfId="3268" priority="12037" operator="equal">
      <formula>"value일 미도래"</formula>
    </cfRule>
  </conditionalFormatting>
  <conditionalFormatting sqref="M148:M149">
    <cfRule type="cellIs" dxfId="3267" priority="12036" operator="equal">
      <formula>"value일 미도래"</formula>
    </cfRule>
  </conditionalFormatting>
  <conditionalFormatting sqref="M148:M149">
    <cfRule type="cellIs" dxfId="3266" priority="12035" operator="equal">
      <formula>"value일 미도래"</formula>
    </cfRule>
  </conditionalFormatting>
  <conditionalFormatting sqref="M148:M149">
    <cfRule type="cellIs" dxfId="3265" priority="12034" operator="equal">
      <formula>"value일 미도래"</formula>
    </cfRule>
  </conditionalFormatting>
  <conditionalFormatting sqref="M148:M149">
    <cfRule type="cellIs" dxfId="3264" priority="12033" operator="equal">
      <formula>"value일 미도래"</formula>
    </cfRule>
  </conditionalFormatting>
  <conditionalFormatting sqref="M148:M149">
    <cfRule type="cellIs" dxfId="3263" priority="12032" operator="equal">
      <formula>"value일 미도래"</formula>
    </cfRule>
  </conditionalFormatting>
  <conditionalFormatting sqref="M148:M149">
    <cfRule type="cellIs" dxfId="3262" priority="12030" operator="equal">
      <formula>"value일 미도래"</formula>
    </cfRule>
  </conditionalFormatting>
  <conditionalFormatting sqref="M148:M149">
    <cfRule type="cellIs" dxfId="3261" priority="12029" operator="equal">
      <formula>"value일 미도래"</formula>
    </cfRule>
  </conditionalFormatting>
  <conditionalFormatting sqref="M148:M149">
    <cfRule type="cellIs" dxfId="3260" priority="12028" operator="equal">
      <formula>"value일 미도래"</formula>
    </cfRule>
  </conditionalFormatting>
  <conditionalFormatting sqref="M148:M149">
    <cfRule type="cellIs" dxfId="3259" priority="12027" operator="equal">
      <formula>"value일 미도래"</formula>
    </cfRule>
  </conditionalFormatting>
  <conditionalFormatting sqref="M148:M149">
    <cfRule type="cellIs" dxfId="3258" priority="12026" operator="equal">
      <formula>"value일 미도래"</formula>
    </cfRule>
  </conditionalFormatting>
  <conditionalFormatting sqref="M148:M149">
    <cfRule type="cellIs" dxfId="3257" priority="12025" operator="equal">
      <formula>"value일 미도래"</formula>
    </cfRule>
  </conditionalFormatting>
  <conditionalFormatting sqref="M148:M149">
    <cfRule type="cellIs" dxfId="3256" priority="12024" operator="equal">
      <formula>"value일 미도래"</formula>
    </cfRule>
  </conditionalFormatting>
  <conditionalFormatting sqref="M148:M149">
    <cfRule type="cellIs" dxfId="3255" priority="12023" operator="equal">
      <formula>"value일 미도래"</formula>
    </cfRule>
  </conditionalFormatting>
  <conditionalFormatting sqref="M148:M149">
    <cfRule type="cellIs" dxfId="3254" priority="12022" operator="equal">
      <formula>"value일 미도래"</formula>
    </cfRule>
  </conditionalFormatting>
  <conditionalFormatting sqref="M148">
    <cfRule type="cellIs" dxfId="3253" priority="12021" operator="equal">
      <formula>"value일 미도래"</formula>
    </cfRule>
  </conditionalFormatting>
  <conditionalFormatting sqref="M148">
    <cfRule type="cellIs" dxfId="3252" priority="12020" operator="equal">
      <formula>"value일 미도래"</formula>
    </cfRule>
  </conditionalFormatting>
  <conditionalFormatting sqref="M148">
    <cfRule type="cellIs" dxfId="3251" priority="12019" operator="equal">
      <formula>"value일 미도래"</formula>
    </cfRule>
  </conditionalFormatting>
  <conditionalFormatting sqref="M148">
    <cfRule type="cellIs" dxfId="3250" priority="12018" operator="equal">
      <formula>"value일 미도래"</formula>
    </cfRule>
  </conditionalFormatting>
  <conditionalFormatting sqref="M148">
    <cfRule type="cellIs" dxfId="3249" priority="12017" operator="equal">
      <formula>"value일 미도래"</formula>
    </cfRule>
  </conditionalFormatting>
  <conditionalFormatting sqref="M148">
    <cfRule type="cellIs" dxfId="3248" priority="12016" operator="equal">
      <formula>"value일 미도래"</formula>
    </cfRule>
  </conditionalFormatting>
  <conditionalFormatting sqref="M148">
    <cfRule type="cellIs" dxfId="3247" priority="12014" operator="equal">
      <formula>"value일 미도래"</formula>
    </cfRule>
  </conditionalFormatting>
  <conditionalFormatting sqref="M148">
    <cfRule type="cellIs" dxfId="3246" priority="12013" operator="equal">
      <formula>"value일 미도래"</formula>
    </cfRule>
  </conditionalFormatting>
  <conditionalFormatting sqref="M148">
    <cfRule type="cellIs" dxfId="3245" priority="12012" operator="equal">
      <formula>"value일 미도래"</formula>
    </cfRule>
  </conditionalFormatting>
  <conditionalFormatting sqref="M148">
    <cfRule type="cellIs" dxfId="3244" priority="12011" operator="equal">
      <formula>"value일 미도래"</formula>
    </cfRule>
  </conditionalFormatting>
  <conditionalFormatting sqref="M148">
    <cfRule type="cellIs" dxfId="3243" priority="12010" operator="equal">
      <formula>"value일 미도래"</formula>
    </cfRule>
  </conditionalFormatting>
  <conditionalFormatting sqref="M148">
    <cfRule type="cellIs" dxfId="3242" priority="12009" operator="equal">
      <formula>"value일 미도래"</formula>
    </cfRule>
  </conditionalFormatting>
  <conditionalFormatting sqref="M148">
    <cfRule type="cellIs" dxfId="3241" priority="12008" operator="equal">
      <formula>"value일 미도래"</formula>
    </cfRule>
  </conditionalFormatting>
  <conditionalFormatting sqref="M148">
    <cfRule type="cellIs" dxfId="3240" priority="12007" operator="equal">
      <formula>"value일 미도래"</formula>
    </cfRule>
  </conditionalFormatting>
  <conditionalFormatting sqref="M148">
    <cfRule type="cellIs" dxfId="3239" priority="12005" operator="equal">
      <formula>"value일 미도래"</formula>
    </cfRule>
  </conditionalFormatting>
  <conditionalFormatting sqref="M148">
    <cfRule type="cellIs" dxfId="3238" priority="12004" operator="equal">
      <formula>"value일 미도래"</formula>
    </cfRule>
  </conditionalFormatting>
  <conditionalFormatting sqref="M148">
    <cfRule type="cellIs" dxfId="3237" priority="12003" operator="equal">
      <formula>"value일 미도래"</formula>
    </cfRule>
  </conditionalFormatting>
  <conditionalFormatting sqref="M148">
    <cfRule type="cellIs" dxfId="3236" priority="12002" operator="equal">
      <formula>"value일 미도래"</formula>
    </cfRule>
  </conditionalFormatting>
  <conditionalFormatting sqref="M148">
    <cfRule type="cellIs" dxfId="3235" priority="12001" operator="equal">
      <formula>"value일 미도래"</formula>
    </cfRule>
  </conditionalFormatting>
  <conditionalFormatting sqref="M148">
    <cfRule type="cellIs" dxfId="3234" priority="12000" operator="equal">
      <formula>"value일 미도래"</formula>
    </cfRule>
  </conditionalFormatting>
  <conditionalFormatting sqref="M148">
    <cfRule type="cellIs" dxfId="3233" priority="11999" operator="equal">
      <formula>"value일 미도래"</formula>
    </cfRule>
  </conditionalFormatting>
  <conditionalFormatting sqref="M148">
    <cfRule type="cellIs" dxfId="3232" priority="11998" operator="equal">
      <formula>"value일 미도래"</formula>
    </cfRule>
  </conditionalFormatting>
  <conditionalFormatting sqref="M148">
    <cfRule type="cellIs" dxfId="3231" priority="11997" operator="equal">
      <formula>"value일 미도래"</formula>
    </cfRule>
  </conditionalFormatting>
  <conditionalFormatting sqref="M148">
    <cfRule type="cellIs" dxfId="3230" priority="11996" operator="equal">
      <formula>"value일 미도래"</formula>
    </cfRule>
  </conditionalFormatting>
  <conditionalFormatting sqref="M148">
    <cfRule type="cellIs" dxfId="3229" priority="11995" operator="equal">
      <formula>"value일 미도래"</formula>
    </cfRule>
  </conditionalFormatting>
  <conditionalFormatting sqref="M148">
    <cfRule type="cellIs" dxfId="3228" priority="11993" operator="equal">
      <formula>"value일 미도래"</formula>
    </cfRule>
  </conditionalFormatting>
  <conditionalFormatting sqref="M148">
    <cfRule type="cellIs" dxfId="3227" priority="11992" operator="equal">
      <formula>"value일 미도래"</formula>
    </cfRule>
  </conditionalFormatting>
  <conditionalFormatting sqref="M148">
    <cfRule type="cellIs" dxfId="3226" priority="11991" operator="equal">
      <formula>"value일 미도래"</formula>
    </cfRule>
  </conditionalFormatting>
  <conditionalFormatting sqref="M148">
    <cfRule type="cellIs" dxfId="3225" priority="11990" operator="equal">
      <formula>"value일 미도래"</formula>
    </cfRule>
  </conditionalFormatting>
  <conditionalFormatting sqref="M148">
    <cfRule type="cellIs" dxfId="3224" priority="11989" operator="equal">
      <formula>"value일 미도래"</formula>
    </cfRule>
  </conditionalFormatting>
  <conditionalFormatting sqref="M148">
    <cfRule type="cellIs" dxfId="3223" priority="11988" operator="equal">
      <formula>"value일 미도래"</formula>
    </cfRule>
  </conditionalFormatting>
  <conditionalFormatting sqref="M148">
    <cfRule type="cellIs" dxfId="3222" priority="11987" operator="equal">
      <formula>"value일 미도래"</formula>
    </cfRule>
  </conditionalFormatting>
  <conditionalFormatting sqref="M148">
    <cfRule type="cellIs" dxfId="3221" priority="11986" operator="equal">
      <formula>"value일 미도래"</formula>
    </cfRule>
  </conditionalFormatting>
  <conditionalFormatting sqref="M148">
    <cfRule type="cellIs" dxfId="3220" priority="11985" operator="equal">
      <formula>"value일 미도래"</formula>
    </cfRule>
  </conditionalFormatting>
  <conditionalFormatting sqref="M148">
    <cfRule type="cellIs" dxfId="3219" priority="11984" operator="equal">
      <formula>"value일 미도래"</formula>
    </cfRule>
  </conditionalFormatting>
  <conditionalFormatting sqref="M148">
    <cfRule type="cellIs" dxfId="3218" priority="11983" operator="equal">
      <formula>"value일 미도래"</formula>
    </cfRule>
  </conditionalFormatting>
  <conditionalFormatting sqref="M148">
    <cfRule type="cellIs" dxfId="3217" priority="11981" operator="equal">
      <formula>"value일 미도래"</formula>
    </cfRule>
  </conditionalFormatting>
  <conditionalFormatting sqref="M148">
    <cfRule type="cellIs" dxfId="3216" priority="11980" operator="equal">
      <formula>"value일 미도래"</formula>
    </cfRule>
  </conditionalFormatting>
  <conditionalFormatting sqref="M148">
    <cfRule type="cellIs" dxfId="3215" priority="11979" operator="equal">
      <formula>"value일 미도래"</formula>
    </cfRule>
  </conditionalFormatting>
  <conditionalFormatting sqref="M150:M151">
    <cfRule type="cellIs" dxfId="3214" priority="11978" operator="equal">
      <formula>"value일 미도래"</formula>
    </cfRule>
  </conditionalFormatting>
  <conditionalFormatting sqref="M150:M151">
    <cfRule type="cellIs" dxfId="3213" priority="11977" operator="equal">
      <formula>"value일 미도래"</formula>
    </cfRule>
  </conditionalFormatting>
  <conditionalFormatting sqref="M150:M151">
    <cfRule type="cellIs" dxfId="3212" priority="11976" operator="equal">
      <formula>"value일 미도래"</formula>
    </cfRule>
  </conditionalFormatting>
  <conditionalFormatting sqref="M150:M151">
    <cfRule type="cellIs" dxfId="3211" priority="11975" operator="equal">
      <formula>"value일 미도래"</formula>
    </cfRule>
  </conditionalFormatting>
  <conditionalFormatting sqref="M148">
    <cfRule type="cellIs" dxfId="3210" priority="11974" operator="equal">
      <formula>"value일 미도래"</formula>
    </cfRule>
  </conditionalFormatting>
  <conditionalFormatting sqref="M148">
    <cfRule type="cellIs" dxfId="3209" priority="11973" operator="equal">
      <formula>"value일 미도래"</formula>
    </cfRule>
  </conditionalFormatting>
  <conditionalFormatting sqref="M148">
    <cfRule type="cellIs" dxfId="3208" priority="11972" operator="equal">
      <formula>"value일 미도래"</formula>
    </cfRule>
  </conditionalFormatting>
  <conditionalFormatting sqref="M148:M149">
    <cfRule type="cellIs" dxfId="3207" priority="11971" operator="equal">
      <formula>"value일 미도래"</formula>
    </cfRule>
  </conditionalFormatting>
  <conditionalFormatting sqref="M148:M149">
    <cfRule type="cellIs" dxfId="3206" priority="11970" operator="equal">
      <formula>"value일 미도래"</formula>
    </cfRule>
  </conditionalFormatting>
  <conditionalFormatting sqref="M148:M149">
    <cfRule type="cellIs" dxfId="3205" priority="11969" operator="equal">
      <formula>"value일 미도래"</formula>
    </cfRule>
  </conditionalFormatting>
  <conditionalFormatting sqref="M148">
    <cfRule type="cellIs" dxfId="3204" priority="11968" operator="equal">
      <formula>"value일 미도래"</formula>
    </cfRule>
  </conditionalFormatting>
  <conditionalFormatting sqref="M148">
    <cfRule type="cellIs" dxfId="3203" priority="11967" operator="equal">
      <formula>"value일 미도래"</formula>
    </cfRule>
  </conditionalFormatting>
  <conditionalFormatting sqref="M148">
    <cfRule type="cellIs" dxfId="3202" priority="11966" operator="equal">
      <formula>"value일 미도래"</formula>
    </cfRule>
  </conditionalFormatting>
  <conditionalFormatting sqref="M148">
    <cfRule type="cellIs" dxfId="3201" priority="11965" operator="equal">
      <formula>"value일 미도래"</formula>
    </cfRule>
  </conditionalFormatting>
  <conditionalFormatting sqref="M148">
    <cfRule type="cellIs" dxfId="3200" priority="11964" operator="equal">
      <formula>"value일 미도래"</formula>
    </cfRule>
  </conditionalFormatting>
  <conditionalFormatting sqref="M148">
    <cfRule type="cellIs" dxfId="3199" priority="11963" operator="equal">
      <formula>"value일 미도래"</formula>
    </cfRule>
  </conditionalFormatting>
  <conditionalFormatting sqref="M148">
    <cfRule type="cellIs" dxfId="3198" priority="11962" operator="equal">
      <formula>"value일 미도래"</formula>
    </cfRule>
  </conditionalFormatting>
  <conditionalFormatting sqref="M148">
    <cfRule type="cellIs" dxfId="3197" priority="11961" operator="equal">
      <formula>"value일 미도래"</formula>
    </cfRule>
  </conditionalFormatting>
  <conditionalFormatting sqref="M148">
    <cfRule type="cellIs" dxfId="3196" priority="11960" operator="equal">
      <formula>"value일 미도래"</formula>
    </cfRule>
  </conditionalFormatting>
  <conditionalFormatting sqref="M148:M149">
    <cfRule type="cellIs" dxfId="3195" priority="11959" operator="equal">
      <formula>"value일 미도래"</formula>
    </cfRule>
  </conditionalFormatting>
  <conditionalFormatting sqref="M148:M149">
    <cfRule type="cellIs" dxfId="3194" priority="11958" operator="equal">
      <formula>"value일 미도래"</formula>
    </cfRule>
  </conditionalFormatting>
  <conditionalFormatting sqref="M148:M149">
    <cfRule type="cellIs" dxfId="3193" priority="11957" operator="equal">
      <formula>"value일 미도래"</formula>
    </cfRule>
  </conditionalFormatting>
  <conditionalFormatting sqref="M148">
    <cfRule type="cellIs" dxfId="3192" priority="11956" operator="equal">
      <formula>"value일 미도래"</formula>
    </cfRule>
  </conditionalFormatting>
  <conditionalFormatting sqref="M148">
    <cfRule type="cellIs" dxfId="3191" priority="11955" operator="equal">
      <formula>"value일 미도래"</formula>
    </cfRule>
  </conditionalFormatting>
  <conditionalFormatting sqref="M148">
    <cfRule type="cellIs" dxfId="3190" priority="11954" operator="equal">
      <formula>"value일 미도래"</formula>
    </cfRule>
  </conditionalFormatting>
  <conditionalFormatting sqref="M148">
    <cfRule type="cellIs" dxfId="3189" priority="11953" operator="equal">
      <formula>"value일 미도래"</formula>
    </cfRule>
  </conditionalFormatting>
  <conditionalFormatting sqref="M148">
    <cfRule type="cellIs" dxfId="3188" priority="11952" operator="equal">
      <formula>"value일 미도래"</formula>
    </cfRule>
  </conditionalFormatting>
  <conditionalFormatting sqref="M148">
    <cfRule type="cellIs" dxfId="3187" priority="11951" operator="equal">
      <formula>"value일 미도래"</formula>
    </cfRule>
  </conditionalFormatting>
  <conditionalFormatting sqref="M148:M149">
    <cfRule type="cellIs" dxfId="3186" priority="11950" operator="equal">
      <formula>"value일 미도래"</formula>
    </cfRule>
  </conditionalFormatting>
  <conditionalFormatting sqref="M148:M149">
    <cfRule type="cellIs" dxfId="3185" priority="11949" operator="equal">
      <formula>"value일 미도래"</formula>
    </cfRule>
  </conditionalFormatting>
  <conditionalFormatting sqref="M148:M149">
    <cfRule type="cellIs" dxfId="3184" priority="11948" operator="equal">
      <formula>"value일 미도래"</formula>
    </cfRule>
  </conditionalFormatting>
  <conditionalFormatting sqref="M148:M149">
    <cfRule type="cellIs" dxfId="3183" priority="11947" operator="equal">
      <formula>"value일 미도래"</formula>
    </cfRule>
  </conditionalFormatting>
  <conditionalFormatting sqref="M149:M150">
    <cfRule type="cellIs" dxfId="3182" priority="11946" operator="equal">
      <formula>"value일 미도래"</formula>
    </cfRule>
  </conditionalFormatting>
  <conditionalFormatting sqref="M149:M150">
    <cfRule type="cellIs" dxfId="3181" priority="11945" operator="equal">
      <formula>"value일 미도래"</formula>
    </cfRule>
  </conditionalFormatting>
  <conditionalFormatting sqref="M149:M150">
    <cfRule type="cellIs" dxfId="3180" priority="11944" operator="equal">
      <formula>"value일 미도래"</formula>
    </cfRule>
  </conditionalFormatting>
  <conditionalFormatting sqref="M149:M150">
    <cfRule type="cellIs" dxfId="3179" priority="11943" operator="equal">
      <formula>"value일 미도래"</formula>
    </cfRule>
  </conditionalFormatting>
  <conditionalFormatting sqref="M149:M150">
    <cfRule type="cellIs" dxfId="3178" priority="11942" operator="equal">
      <formula>"value일 미도래"</formula>
    </cfRule>
  </conditionalFormatting>
  <conditionalFormatting sqref="M149:M150">
    <cfRule type="cellIs" dxfId="3177" priority="11941" operator="equal">
      <formula>"value일 미도래"</formula>
    </cfRule>
  </conditionalFormatting>
  <conditionalFormatting sqref="M149:M150">
    <cfRule type="cellIs" dxfId="3176" priority="11940" operator="equal">
      <formula>"value일 미도래"</formula>
    </cfRule>
  </conditionalFormatting>
  <conditionalFormatting sqref="M149:M150">
    <cfRule type="cellIs" dxfId="3175" priority="11939" operator="equal">
      <formula>"value일 미도래"</formula>
    </cfRule>
  </conditionalFormatting>
  <conditionalFormatting sqref="M149:M150">
    <cfRule type="cellIs" dxfId="3174" priority="11938" operator="equal">
      <formula>"value일 미도래"</formula>
    </cfRule>
  </conditionalFormatting>
  <conditionalFormatting sqref="M149:M150">
    <cfRule type="cellIs" dxfId="3173" priority="11937" operator="equal">
      <formula>"value일 미도래"</formula>
    </cfRule>
  </conditionalFormatting>
  <conditionalFormatting sqref="M149:M150">
    <cfRule type="cellIs" dxfId="3172" priority="11936" operator="equal">
      <formula>"value일 미도래"</formula>
    </cfRule>
  </conditionalFormatting>
  <conditionalFormatting sqref="M149:M150">
    <cfRule type="cellIs" dxfId="3171" priority="11935" operator="equal">
      <formula>"value일 미도래"</formula>
    </cfRule>
  </conditionalFormatting>
  <conditionalFormatting sqref="M149:M150">
    <cfRule type="cellIs" dxfId="3170" priority="11934" operator="equal">
      <formula>"value일 미도래"</formula>
    </cfRule>
  </conditionalFormatting>
  <conditionalFormatting sqref="M149:M150">
    <cfRule type="cellIs" dxfId="3169" priority="11933" operator="equal">
      <formula>"value일 미도래"</formula>
    </cfRule>
  </conditionalFormatting>
  <conditionalFormatting sqref="M149:M150">
    <cfRule type="cellIs" dxfId="3168" priority="11932" operator="equal">
      <formula>"value일 미도래"</formula>
    </cfRule>
  </conditionalFormatting>
  <conditionalFormatting sqref="M149:M150">
    <cfRule type="cellIs" dxfId="3167" priority="11931" operator="equal">
      <formula>"value일 미도래"</formula>
    </cfRule>
  </conditionalFormatting>
  <conditionalFormatting sqref="M149:M150">
    <cfRule type="cellIs" dxfId="3166" priority="11930" operator="equal">
      <formula>"value일 미도래"</formula>
    </cfRule>
  </conditionalFormatting>
  <conditionalFormatting sqref="M149:M150">
    <cfRule type="cellIs" dxfId="3165" priority="11929" operator="equal">
      <formula>"value일 미도래"</formula>
    </cfRule>
  </conditionalFormatting>
  <conditionalFormatting sqref="M149:M150">
    <cfRule type="cellIs" dxfId="3164" priority="11928" operator="equal">
      <formula>"value일 미도래"</formula>
    </cfRule>
  </conditionalFormatting>
  <conditionalFormatting sqref="M149:M150">
    <cfRule type="cellIs" dxfId="3163" priority="11927" operator="equal">
      <formula>"value일 미도래"</formula>
    </cfRule>
  </conditionalFormatting>
  <conditionalFormatting sqref="M149:M150">
    <cfRule type="cellIs" dxfId="3162" priority="11926" operator="equal">
      <formula>"value일 미도래"</formula>
    </cfRule>
  </conditionalFormatting>
  <conditionalFormatting sqref="M149:M150">
    <cfRule type="cellIs" dxfId="3161" priority="11925" operator="equal">
      <formula>"value일 미도래"</formula>
    </cfRule>
  </conditionalFormatting>
  <conditionalFormatting sqref="M149:M150">
    <cfRule type="cellIs" dxfId="3160" priority="11924" operator="equal">
      <formula>"value일 미도래"</formula>
    </cfRule>
  </conditionalFormatting>
  <conditionalFormatting sqref="M149:M150">
    <cfRule type="cellIs" dxfId="3159" priority="11923" operator="equal">
      <formula>"value일 미도래"</formula>
    </cfRule>
  </conditionalFormatting>
  <conditionalFormatting sqref="M149:M150">
    <cfRule type="cellIs" dxfId="3158" priority="11922" operator="equal">
      <formula>"value일 미도래"</formula>
    </cfRule>
  </conditionalFormatting>
  <conditionalFormatting sqref="M149:M150">
    <cfRule type="cellIs" dxfId="3157" priority="11921" operator="equal">
      <formula>"value일 미도래"</formula>
    </cfRule>
  </conditionalFormatting>
  <conditionalFormatting sqref="M149:M150">
    <cfRule type="cellIs" dxfId="3156" priority="11920" operator="equal">
      <formula>"value일 미도래"</formula>
    </cfRule>
  </conditionalFormatting>
  <conditionalFormatting sqref="M149:M150">
    <cfRule type="cellIs" dxfId="3155" priority="11919" operator="equal">
      <formula>"value일 미도래"</formula>
    </cfRule>
  </conditionalFormatting>
  <conditionalFormatting sqref="M149:M150">
    <cfRule type="cellIs" dxfId="3154" priority="11918" operator="equal">
      <formula>"value일 미도래"</formula>
    </cfRule>
  </conditionalFormatting>
  <conditionalFormatting sqref="M149:M150">
    <cfRule type="cellIs" dxfId="3153" priority="11917" operator="equal">
      <formula>"value일 미도래"</formula>
    </cfRule>
  </conditionalFormatting>
  <conditionalFormatting sqref="M149:M150">
    <cfRule type="cellIs" dxfId="3152" priority="11916" operator="equal">
      <formula>"value일 미도래"</formula>
    </cfRule>
  </conditionalFormatting>
  <conditionalFormatting sqref="M149:M150">
    <cfRule type="cellIs" dxfId="3151" priority="11915" operator="equal">
      <formula>"value일 미도래"</formula>
    </cfRule>
  </conditionalFormatting>
  <conditionalFormatting sqref="M149:M150">
    <cfRule type="cellIs" dxfId="3150" priority="11914" operator="equal">
      <formula>"value일 미도래"</formula>
    </cfRule>
  </conditionalFormatting>
  <conditionalFormatting sqref="M149:M150">
    <cfRule type="cellIs" dxfId="3149" priority="11913" operator="equal">
      <formula>"value일 미도래"</formula>
    </cfRule>
  </conditionalFormatting>
  <conditionalFormatting sqref="M149:M150">
    <cfRule type="cellIs" dxfId="3148" priority="11912" operator="equal">
      <formula>"value일 미도래"</formula>
    </cfRule>
  </conditionalFormatting>
  <conditionalFormatting sqref="M149:M150">
    <cfRule type="cellIs" dxfId="3147" priority="11911" operator="equal">
      <formula>"value일 미도래"</formula>
    </cfRule>
  </conditionalFormatting>
  <conditionalFormatting sqref="M149:M150">
    <cfRule type="cellIs" dxfId="3146" priority="11910" operator="equal">
      <formula>"value일 미도래"</formula>
    </cfRule>
  </conditionalFormatting>
  <conditionalFormatting sqref="M149:M150">
    <cfRule type="cellIs" dxfId="3145" priority="11909" operator="equal">
      <formula>"value일 미도래"</formula>
    </cfRule>
  </conditionalFormatting>
  <conditionalFormatting sqref="M149:M150">
    <cfRule type="cellIs" dxfId="3144" priority="11908" operator="equal">
      <formula>"value일 미도래"</formula>
    </cfRule>
  </conditionalFormatting>
  <conditionalFormatting sqref="M149:M150">
    <cfRule type="cellIs" dxfId="3143" priority="11907" operator="equal">
      <formula>"value일 미도래"</formula>
    </cfRule>
  </conditionalFormatting>
  <conditionalFormatting sqref="M149:M150">
    <cfRule type="cellIs" dxfId="3142" priority="11906" operator="equal">
      <formula>"value일 미도래"</formula>
    </cfRule>
  </conditionalFormatting>
  <conditionalFormatting sqref="M149:M150">
    <cfRule type="cellIs" dxfId="3141" priority="11905" operator="equal">
      <formula>"value일 미도래"</formula>
    </cfRule>
  </conditionalFormatting>
  <conditionalFormatting sqref="M149:M150">
    <cfRule type="cellIs" dxfId="3140" priority="11904" operator="equal">
      <formula>"value일 미도래"</formula>
    </cfRule>
  </conditionalFormatting>
  <conditionalFormatting sqref="M149:M150">
    <cfRule type="cellIs" dxfId="3139" priority="11903" operator="equal">
      <formula>"value일 미도래"</formula>
    </cfRule>
  </conditionalFormatting>
  <conditionalFormatting sqref="M149:M150">
    <cfRule type="cellIs" dxfId="3138" priority="11902" operator="equal">
      <formula>"value일 미도래"</formula>
    </cfRule>
  </conditionalFormatting>
  <conditionalFormatting sqref="M149:M150">
    <cfRule type="cellIs" dxfId="3137" priority="11901" operator="equal">
      <formula>"value일 미도래"</formula>
    </cfRule>
  </conditionalFormatting>
  <conditionalFormatting sqref="M149:M150">
    <cfRule type="cellIs" dxfId="3136" priority="11900" operator="equal">
      <formula>"value일 미도래"</formula>
    </cfRule>
  </conditionalFormatting>
  <conditionalFormatting sqref="M149:M150">
    <cfRule type="cellIs" dxfId="3135" priority="11899" operator="equal">
      <formula>"value일 미도래"</formula>
    </cfRule>
  </conditionalFormatting>
  <conditionalFormatting sqref="M149:M150">
    <cfRule type="cellIs" dxfId="3134" priority="11898" operator="equal">
      <formula>"value일 미도래"</formula>
    </cfRule>
  </conditionalFormatting>
  <conditionalFormatting sqref="M149:M150">
    <cfRule type="cellIs" dxfId="3133" priority="11897" operator="equal">
      <formula>"value일 미도래"</formula>
    </cfRule>
  </conditionalFormatting>
  <conditionalFormatting sqref="M149:M150">
    <cfRule type="cellIs" dxfId="3132" priority="11896" operator="equal">
      <formula>"value일 미도래"</formula>
    </cfRule>
  </conditionalFormatting>
  <conditionalFormatting sqref="M149:M150">
    <cfRule type="cellIs" dxfId="3131" priority="11895" operator="equal">
      <formula>"value일 미도래"</formula>
    </cfRule>
  </conditionalFormatting>
  <conditionalFormatting sqref="M149:M150">
    <cfRule type="cellIs" dxfId="3130" priority="11894" operator="equal">
      <formula>"value일 미도래"</formula>
    </cfRule>
  </conditionalFormatting>
  <conditionalFormatting sqref="M149:M150">
    <cfRule type="cellIs" dxfId="3129" priority="11893" operator="equal">
      <formula>"value일 미도래"</formula>
    </cfRule>
  </conditionalFormatting>
  <conditionalFormatting sqref="M149:M150">
    <cfRule type="cellIs" dxfId="3128" priority="11892" operator="equal">
      <formula>"value일 미도래"</formula>
    </cfRule>
  </conditionalFormatting>
  <conditionalFormatting sqref="M149:M150">
    <cfRule type="cellIs" dxfId="3127" priority="11891" operator="equal">
      <formula>"value일 미도래"</formula>
    </cfRule>
  </conditionalFormatting>
  <conditionalFormatting sqref="M149:M150">
    <cfRule type="cellIs" dxfId="3126" priority="11890" operator="equal">
      <formula>"value일 미도래"</formula>
    </cfRule>
  </conditionalFormatting>
  <conditionalFormatting sqref="M149:M150">
    <cfRule type="cellIs" dxfId="3125" priority="11889" operator="equal">
      <formula>"value일 미도래"</formula>
    </cfRule>
  </conditionalFormatting>
  <conditionalFormatting sqref="M149:M150">
    <cfRule type="cellIs" dxfId="3124" priority="11888" operator="equal">
      <formula>"value일 미도래"</formula>
    </cfRule>
  </conditionalFormatting>
  <conditionalFormatting sqref="M149:M150">
    <cfRule type="cellIs" dxfId="3123" priority="11887" operator="equal">
      <formula>"value일 미도래"</formula>
    </cfRule>
  </conditionalFormatting>
  <conditionalFormatting sqref="M149:M150">
    <cfRule type="cellIs" dxfId="3122" priority="11886" operator="equal">
      <formula>"value일 미도래"</formula>
    </cfRule>
  </conditionalFormatting>
  <conditionalFormatting sqref="M149:M150">
    <cfRule type="cellIs" dxfId="3121" priority="11885" operator="equal">
      <formula>"value일 미도래"</formula>
    </cfRule>
  </conditionalFormatting>
  <conditionalFormatting sqref="M149:M150">
    <cfRule type="cellIs" dxfId="3120" priority="11884" operator="equal">
      <formula>"value일 미도래"</formula>
    </cfRule>
  </conditionalFormatting>
  <conditionalFormatting sqref="M149:M150">
    <cfRule type="cellIs" dxfId="3119" priority="11883" operator="equal">
      <formula>"value일 미도래"</formula>
    </cfRule>
  </conditionalFormatting>
  <conditionalFormatting sqref="M149:M150">
    <cfRule type="cellIs" dxfId="3118" priority="11882" operator="equal">
      <formula>"value일 미도래"</formula>
    </cfRule>
  </conditionalFormatting>
  <conditionalFormatting sqref="M149:M150">
    <cfRule type="cellIs" dxfId="3117" priority="11881" operator="equal">
      <formula>"value일 미도래"</formula>
    </cfRule>
  </conditionalFormatting>
  <conditionalFormatting sqref="M149:M150">
    <cfRule type="cellIs" dxfId="3116" priority="11880" operator="equal">
      <formula>"value일 미도래"</formula>
    </cfRule>
  </conditionalFormatting>
  <conditionalFormatting sqref="M149:M150">
    <cfRule type="cellIs" dxfId="3115" priority="11879" operator="equal">
      <formula>"value일 미도래"</formula>
    </cfRule>
  </conditionalFormatting>
  <conditionalFormatting sqref="M149:M150">
    <cfRule type="cellIs" dxfId="3114" priority="11878" operator="equal">
      <formula>"value일 미도래"</formula>
    </cfRule>
  </conditionalFormatting>
  <conditionalFormatting sqref="M149:M150">
    <cfRule type="cellIs" dxfId="3113" priority="11877" operator="equal">
      <formula>"value일 미도래"</formula>
    </cfRule>
  </conditionalFormatting>
  <conditionalFormatting sqref="M149:M150">
    <cfRule type="cellIs" dxfId="3112" priority="11876" operator="equal">
      <formula>"value일 미도래"</formula>
    </cfRule>
  </conditionalFormatting>
  <conditionalFormatting sqref="M149:M150">
    <cfRule type="cellIs" dxfId="3111" priority="11875" operator="equal">
      <formula>"value일 미도래"</formula>
    </cfRule>
  </conditionalFormatting>
  <conditionalFormatting sqref="M149:M150">
    <cfRule type="cellIs" dxfId="3110" priority="11874" operator="equal">
      <formula>"value일 미도래"</formula>
    </cfRule>
  </conditionalFormatting>
  <conditionalFormatting sqref="M149:M150">
    <cfRule type="cellIs" dxfId="3109" priority="11873" operator="equal">
      <formula>"value일 미도래"</formula>
    </cfRule>
  </conditionalFormatting>
  <conditionalFormatting sqref="M149:M150">
    <cfRule type="cellIs" dxfId="3108" priority="11872" operator="equal">
      <formula>"value일 미도래"</formula>
    </cfRule>
  </conditionalFormatting>
  <conditionalFormatting sqref="M149:M150">
    <cfRule type="cellIs" dxfId="3107" priority="11871" operator="equal">
      <formula>"value일 미도래"</formula>
    </cfRule>
  </conditionalFormatting>
  <conditionalFormatting sqref="M149:M150">
    <cfRule type="cellIs" dxfId="3106" priority="11870" operator="equal">
      <formula>"value일 미도래"</formula>
    </cfRule>
  </conditionalFormatting>
  <conditionalFormatting sqref="M149:M150">
    <cfRule type="cellIs" dxfId="3105" priority="11869" operator="equal">
      <formula>"value일 미도래"</formula>
    </cfRule>
  </conditionalFormatting>
  <conditionalFormatting sqref="M149:M150">
    <cfRule type="cellIs" dxfId="3104" priority="11868" operator="equal">
      <formula>"value일 미도래"</formula>
    </cfRule>
  </conditionalFormatting>
  <conditionalFormatting sqref="M149:M150">
    <cfRule type="cellIs" dxfId="3103" priority="11867" operator="equal">
      <formula>"value일 미도래"</formula>
    </cfRule>
  </conditionalFormatting>
  <conditionalFormatting sqref="M149:M150">
    <cfRule type="cellIs" dxfId="3102" priority="11866" operator="equal">
      <formula>"value일 미도래"</formula>
    </cfRule>
  </conditionalFormatting>
  <conditionalFormatting sqref="M149:M150">
    <cfRule type="cellIs" dxfId="3101" priority="11865" operator="equal">
      <formula>"value일 미도래"</formula>
    </cfRule>
  </conditionalFormatting>
  <conditionalFormatting sqref="M148">
    <cfRule type="cellIs" dxfId="3100" priority="11864" operator="equal">
      <formula>"value일 미도래"</formula>
    </cfRule>
  </conditionalFormatting>
  <conditionalFormatting sqref="M148">
    <cfRule type="cellIs" dxfId="3099" priority="11863" operator="equal">
      <formula>"value일 미도래"</formula>
    </cfRule>
  </conditionalFormatting>
  <conditionalFormatting sqref="M148">
    <cfRule type="cellIs" dxfId="3098" priority="11862" operator="equal">
      <formula>"value일 미도래"</formula>
    </cfRule>
  </conditionalFormatting>
  <conditionalFormatting sqref="M148">
    <cfRule type="cellIs" dxfId="3097" priority="11861" operator="equal">
      <formula>"value일 미도래"</formula>
    </cfRule>
  </conditionalFormatting>
  <conditionalFormatting sqref="M148">
    <cfRule type="cellIs" dxfId="3096" priority="11860" operator="equal">
      <formula>"value일 미도래"</formula>
    </cfRule>
  </conditionalFormatting>
  <conditionalFormatting sqref="M148">
    <cfRule type="cellIs" dxfId="3095" priority="11859" operator="equal">
      <formula>"value일 미도래"</formula>
    </cfRule>
  </conditionalFormatting>
  <conditionalFormatting sqref="M148">
    <cfRule type="cellIs" dxfId="3094" priority="11857" operator="equal">
      <formula>"value일 미도래"</formula>
    </cfRule>
  </conditionalFormatting>
  <conditionalFormatting sqref="M148">
    <cfRule type="cellIs" dxfId="3093" priority="11856" operator="equal">
      <formula>"value일 미도래"</formula>
    </cfRule>
  </conditionalFormatting>
  <conditionalFormatting sqref="M148">
    <cfRule type="cellIs" dxfId="3092" priority="11855" operator="equal">
      <formula>"value일 미도래"</formula>
    </cfRule>
  </conditionalFormatting>
  <conditionalFormatting sqref="M148">
    <cfRule type="cellIs" dxfId="3091" priority="11854" operator="equal">
      <formula>"value일 미도래"</formula>
    </cfRule>
  </conditionalFormatting>
  <conditionalFormatting sqref="M148">
    <cfRule type="cellIs" dxfId="3090" priority="11853" operator="equal">
      <formula>"value일 미도래"</formula>
    </cfRule>
  </conditionalFormatting>
  <conditionalFormatting sqref="M148">
    <cfRule type="cellIs" dxfId="3089" priority="11852" operator="equal">
      <formula>"value일 미도래"</formula>
    </cfRule>
  </conditionalFormatting>
  <conditionalFormatting sqref="M148">
    <cfRule type="cellIs" dxfId="3088" priority="11851" operator="equal">
      <formula>"value일 미도래"</formula>
    </cfRule>
  </conditionalFormatting>
  <conditionalFormatting sqref="M148">
    <cfRule type="cellIs" dxfId="3087" priority="11850" operator="equal">
      <formula>"value일 미도래"</formula>
    </cfRule>
  </conditionalFormatting>
  <conditionalFormatting sqref="M148">
    <cfRule type="cellIs" dxfId="3086" priority="11848" operator="equal">
      <formula>"value일 미도래"</formula>
    </cfRule>
  </conditionalFormatting>
  <conditionalFormatting sqref="M148">
    <cfRule type="cellIs" dxfId="3085" priority="11847" operator="equal">
      <formula>"value일 미도래"</formula>
    </cfRule>
  </conditionalFormatting>
  <conditionalFormatting sqref="M148">
    <cfRule type="cellIs" dxfId="3084" priority="11846" operator="equal">
      <formula>"value일 미도래"</formula>
    </cfRule>
  </conditionalFormatting>
  <conditionalFormatting sqref="M148">
    <cfRule type="cellIs" dxfId="3083" priority="11845" operator="equal">
      <formula>"value일 미도래"</formula>
    </cfRule>
  </conditionalFormatting>
  <conditionalFormatting sqref="M148">
    <cfRule type="cellIs" dxfId="3082" priority="11844" operator="equal">
      <formula>"value일 미도래"</formula>
    </cfRule>
  </conditionalFormatting>
  <conditionalFormatting sqref="M148">
    <cfRule type="cellIs" dxfId="3081" priority="11843" operator="equal">
      <formula>"value일 미도래"</formula>
    </cfRule>
  </conditionalFormatting>
  <conditionalFormatting sqref="M148">
    <cfRule type="cellIs" dxfId="3080" priority="11842" operator="equal">
      <formula>"value일 미도래"</formula>
    </cfRule>
  </conditionalFormatting>
  <conditionalFormatting sqref="M148">
    <cfRule type="cellIs" dxfId="3079" priority="11841" operator="equal">
      <formula>"value일 미도래"</formula>
    </cfRule>
  </conditionalFormatting>
  <conditionalFormatting sqref="M148">
    <cfRule type="cellIs" dxfId="3078" priority="11840" operator="equal">
      <formula>"value일 미도래"</formula>
    </cfRule>
  </conditionalFormatting>
  <conditionalFormatting sqref="M148">
    <cfRule type="cellIs" dxfId="3077" priority="11839" operator="equal">
      <formula>"value일 미도래"</formula>
    </cfRule>
  </conditionalFormatting>
  <conditionalFormatting sqref="M148">
    <cfRule type="cellIs" dxfId="3076" priority="11838" operator="equal">
      <formula>"value일 미도래"</formula>
    </cfRule>
  </conditionalFormatting>
  <conditionalFormatting sqref="M148">
    <cfRule type="cellIs" dxfId="3075" priority="11836" operator="equal">
      <formula>"value일 미도래"</formula>
    </cfRule>
  </conditionalFormatting>
  <conditionalFormatting sqref="M148">
    <cfRule type="cellIs" dxfId="3074" priority="11835" operator="equal">
      <formula>"value일 미도래"</formula>
    </cfRule>
  </conditionalFormatting>
  <conditionalFormatting sqref="M148">
    <cfRule type="cellIs" dxfId="3073" priority="11834" operator="equal">
      <formula>"value일 미도래"</formula>
    </cfRule>
  </conditionalFormatting>
  <conditionalFormatting sqref="M148">
    <cfRule type="cellIs" dxfId="3072" priority="11833" operator="equal">
      <formula>"value일 미도래"</formula>
    </cfRule>
  </conditionalFormatting>
  <conditionalFormatting sqref="M148">
    <cfRule type="cellIs" dxfId="3071" priority="11832" operator="equal">
      <formula>"value일 미도래"</formula>
    </cfRule>
  </conditionalFormatting>
  <conditionalFormatting sqref="M148">
    <cfRule type="cellIs" dxfId="3070" priority="11831" operator="equal">
      <formula>"value일 미도래"</formula>
    </cfRule>
  </conditionalFormatting>
  <conditionalFormatting sqref="M148">
    <cfRule type="cellIs" dxfId="3069" priority="11830" operator="equal">
      <formula>"value일 미도래"</formula>
    </cfRule>
  </conditionalFormatting>
  <conditionalFormatting sqref="M148">
    <cfRule type="cellIs" dxfId="3068" priority="11829" operator="equal">
      <formula>"value일 미도래"</formula>
    </cfRule>
  </conditionalFormatting>
  <conditionalFormatting sqref="M148">
    <cfRule type="cellIs" dxfId="3067" priority="11828" operator="equal">
      <formula>"value일 미도래"</formula>
    </cfRule>
  </conditionalFormatting>
  <conditionalFormatting sqref="M148">
    <cfRule type="cellIs" dxfId="3066" priority="11827" operator="equal">
      <formula>"value일 미도래"</formula>
    </cfRule>
  </conditionalFormatting>
  <conditionalFormatting sqref="M148">
    <cfRule type="cellIs" dxfId="3065" priority="11826" operator="equal">
      <formula>"value일 미도래"</formula>
    </cfRule>
  </conditionalFormatting>
  <conditionalFormatting sqref="M148">
    <cfRule type="cellIs" dxfId="3064" priority="11824" operator="equal">
      <formula>"value일 미도래"</formula>
    </cfRule>
  </conditionalFormatting>
  <conditionalFormatting sqref="M148">
    <cfRule type="cellIs" dxfId="3063" priority="11823" operator="equal">
      <formula>"value일 미도래"</formula>
    </cfRule>
  </conditionalFormatting>
  <conditionalFormatting sqref="M148">
    <cfRule type="cellIs" dxfId="3062" priority="11822" operator="equal">
      <formula>"value일 미도래"</formula>
    </cfRule>
  </conditionalFormatting>
  <conditionalFormatting sqref="M148">
    <cfRule type="cellIs" dxfId="3061" priority="11821" operator="equal">
      <formula>"value일 미도래"</formula>
    </cfRule>
  </conditionalFormatting>
  <conditionalFormatting sqref="M148">
    <cfRule type="cellIs" dxfId="3060" priority="11820" operator="equal">
      <formula>"value일 미도래"</formula>
    </cfRule>
  </conditionalFormatting>
  <conditionalFormatting sqref="M148">
    <cfRule type="cellIs" dxfId="3059" priority="11819" operator="equal">
      <formula>"value일 미도래"</formula>
    </cfRule>
  </conditionalFormatting>
  <conditionalFormatting sqref="M148">
    <cfRule type="cellIs" dxfId="3058" priority="11818" operator="equal">
      <formula>"value일 미도래"</formula>
    </cfRule>
  </conditionalFormatting>
  <conditionalFormatting sqref="M148">
    <cfRule type="cellIs" dxfId="3057" priority="11817" operator="equal">
      <formula>"value일 미도래"</formula>
    </cfRule>
  </conditionalFormatting>
  <conditionalFormatting sqref="M148">
    <cfRule type="cellIs" dxfId="3056" priority="11816" operator="equal">
      <formula>"value일 미도래"</formula>
    </cfRule>
  </conditionalFormatting>
  <conditionalFormatting sqref="M148">
    <cfRule type="cellIs" dxfId="3055" priority="11815" operator="equal">
      <formula>"value일 미도래"</formula>
    </cfRule>
  </conditionalFormatting>
  <conditionalFormatting sqref="M148">
    <cfRule type="cellIs" dxfId="3054" priority="11814" operator="equal">
      <formula>"value일 미도래"</formula>
    </cfRule>
  </conditionalFormatting>
  <conditionalFormatting sqref="M148">
    <cfRule type="cellIs" dxfId="3053" priority="11813" operator="equal">
      <formula>"value일 미도래"</formula>
    </cfRule>
  </conditionalFormatting>
  <conditionalFormatting sqref="M148">
    <cfRule type="cellIs" dxfId="3052" priority="11812" operator="equal">
      <formula>"value일 미도래"</formula>
    </cfRule>
  </conditionalFormatting>
  <conditionalFormatting sqref="M148">
    <cfRule type="cellIs" dxfId="3051" priority="11811" operator="equal">
      <formula>"value일 미도래"</formula>
    </cfRule>
  </conditionalFormatting>
  <conditionalFormatting sqref="M148">
    <cfRule type="cellIs" dxfId="3050" priority="11809" operator="equal">
      <formula>"value일 미도래"</formula>
    </cfRule>
  </conditionalFormatting>
  <conditionalFormatting sqref="M148">
    <cfRule type="cellIs" dxfId="3049" priority="11808" operator="equal">
      <formula>"value일 미도래"</formula>
    </cfRule>
  </conditionalFormatting>
  <conditionalFormatting sqref="M148">
    <cfRule type="cellIs" dxfId="3048" priority="11807" operator="equal">
      <formula>"value일 미도래"</formula>
    </cfRule>
  </conditionalFormatting>
  <conditionalFormatting sqref="M148">
    <cfRule type="cellIs" dxfId="3047" priority="11806" operator="equal">
      <formula>"value일 미도래"</formula>
    </cfRule>
  </conditionalFormatting>
  <conditionalFormatting sqref="M148">
    <cfRule type="cellIs" dxfId="3046" priority="11805" operator="equal">
      <formula>"value일 미도래"</formula>
    </cfRule>
  </conditionalFormatting>
  <conditionalFormatting sqref="M148">
    <cfRule type="cellIs" dxfId="3045" priority="11804" operator="equal">
      <formula>"value일 미도래"</formula>
    </cfRule>
  </conditionalFormatting>
  <conditionalFormatting sqref="M148">
    <cfRule type="cellIs" dxfId="3044" priority="11803" operator="equal">
      <formula>"value일 미도래"</formula>
    </cfRule>
  </conditionalFormatting>
  <conditionalFormatting sqref="M148">
    <cfRule type="cellIs" dxfId="3043" priority="11802" operator="equal">
      <formula>"value일 미도래"</formula>
    </cfRule>
  </conditionalFormatting>
  <conditionalFormatting sqref="M148">
    <cfRule type="cellIs" dxfId="3042" priority="11801" operator="equal">
      <formula>"value일 미도래"</formula>
    </cfRule>
  </conditionalFormatting>
  <conditionalFormatting sqref="M148">
    <cfRule type="cellIs" dxfId="3041" priority="11800" operator="equal">
      <formula>"value일 미도래"</formula>
    </cfRule>
  </conditionalFormatting>
  <conditionalFormatting sqref="M148">
    <cfRule type="cellIs" dxfId="3040" priority="11799" operator="equal">
      <formula>"value일 미도래"</formula>
    </cfRule>
  </conditionalFormatting>
  <conditionalFormatting sqref="M148">
    <cfRule type="cellIs" dxfId="3039" priority="11798" operator="equal">
      <formula>"value일 미도래"</formula>
    </cfRule>
  </conditionalFormatting>
  <conditionalFormatting sqref="M148">
    <cfRule type="cellIs" dxfId="3038" priority="11797" operator="equal">
      <formula>"value일 미도래"</formula>
    </cfRule>
  </conditionalFormatting>
  <conditionalFormatting sqref="M148">
    <cfRule type="cellIs" dxfId="3037" priority="11796" operator="equal">
      <formula>"value일 미도래"</formula>
    </cfRule>
  </conditionalFormatting>
  <conditionalFormatting sqref="M148">
    <cfRule type="cellIs" dxfId="3036" priority="11795" operator="equal">
      <formula>"value일 미도래"</formula>
    </cfRule>
  </conditionalFormatting>
  <conditionalFormatting sqref="M148">
    <cfRule type="cellIs" dxfId="3035" priority="11794" operator="equal">
      <formula>"value일 미도래"</formula>
    </cfRule>
  </conditionalFormatting>
  <conditionalFormatting sqref="M148">
    <cfRule type="cellIs" dxfId="3034" priority="11793" operator="equal">
      <formula>"value일 미도래"</formula>
    </cfRule>
  </conditionalFormatting>
  <conditionalFormatting sqref="M148">
    <cfRule type="cellIs" dxfId="3033" priority="11792" operator="equal">
      <formula>"value일 미도래"</formula>
    </cfRule>
  </conditionalFormatting>
  <conditionalFormatting sqref="M148">
    <cfRule type="cellIs" dxfId="3032" priority="11791" operator="equal">
      <formula>"value일 미도래"</formula>
    </cfRule>
  </conditionalFormatting>
  <conditionalFormatting sqref="M148">
    <cfRule type="cellIs" dxfId="3031" priority="11790" operator="equal">
      <formula>"value일 미도래"</formula>
    </cfRule>
  </conditionalFormatting>
  <conditionalFormatting sqref="M148">
    <cfRule type="cellIs" dxfId="3030" priority="11788" operator="equal">
      <formula>"value일 미도래"</formula>
    </cfRule>
  </conditionalFormatting>
  <conditionalFormatting sqref="M148">
    <cfRule type="cellIs" dxfId="3029" priority="11787" operator="equal">
      <formula>"value일 미도래"</formula>
    </cfRule>
  </conditionalFormatting>
  <conditionalFormatting sqref="M148">
    <cfRule type="cellIs" dxfId="3028" priority="11786" operator="equal">
      <formula>"value일 미도래"</formula>
    </cfRule>
  </conditionalFormatting>
  <conditionalFormatting sqref="M148">
    <cfRule type="cellIs" dxfId="3027" priority="11785" operator="equal">
      <formula>"value일 미도래"</formula>
    </cfRule>
  </conditionalFormatting>
  <conditionalFormatting sqref="M148">
    <cfRule type="cellIs" dxfId="3026" priority="11784" operator="equal">
      <formula>"value일 미도래"</formula>
    </cfRule>
  </conditionalFormatting>
  <conditionalFormatting sqref="M148">
    <cfRule type="cellIs" dxfId="3025" priority="11783" operator="equal">
      <formula>"value일 미도래"</formula>
    </cfRule>
  </conditionalFormatting>
  <conditionalFormatting sqref="M148">
    <cfRule type="cellIs" dxfId="3024" priority="11782" operator="equal">
      <formula>"value일 미도래"</formula>
    </cfRule>
  </conditionalFormatting>
  <conditionalFormatting sqref="M148">
    <cfRule type="cellIs" dxfId="3023" priority="11781" operator="equal">
      <formula>"value일 미도래"</formula>
    </cfRule>
  </conditionalFormatting>
  <conditionalFormatting sqref="M148">
    <cfRule type="cellIs" dxfId="3022" priority="11780" operator="equal">
      <formula>"value일 미도래"</formula>
    </cfRule>
  </conditionalFormatting>
  <conditionalFormatting sqref="M148">
    <cfRule type="cellIs" dxfId="3021" priority="11779" operator="equal">
      <formula>"value일 미도래"</formula>
    </cfRule>
  </conditionalFormatting>
  <conditionalFormatting sqref="M148">
    <cfRule type="cellIs" dxfId="3020" priority="11778" operator="equal">
      <formula>"value일 미도래"</formula>
    </cfRule>
  </conditionalFormatting>
  <conditionalFormatting sqref="M148">
    <cfRule type="cellIs" dxfId="3019" priority="11777" operator="equal">
      <formula>"value일 미도래"</formula>
    </cfRule>
  </conditionalFormatting>
  <conditionalFormatting sqref="M148">
    <cfRule type="cellIs" dxfId="3018" priority="11741" operator="equal">
      <formula>"value일 미도래"</formula>
    </cfRule>
  </conditionalFormatting>
  <conditionalFormatting sqref="M148">
    <cfRule type="cellIs" dxfId="3017" priority="11740" operator="equal">
      <formula>"value일 미도래"</formula>
    </cfRule>
  </conditionalFormatting>
  <conditionalFormatting sqref="M149:M150">
    <cfRule type="cellIs" dxfId="3016" priority="11739" operator="equal">
      <formula>"value일 미도래"</formula>
    </cfRule>
  </conditionalFormatting>
  <conditionalFormatting sqref="M149:M150">
    <cfRule type="cellIs" dxfId="3015" priority="11738" operator="equal">
      <formula>"value일 미도래"</formula>
    </cfRule>
  </conditionalFormatting>
  <conditionalFormatting sqref="M151:M152">
    <cfRule type="cellIs" dxfId="3014" priority="11737" operator="equal">
      <formula>"value일 미도래"</formula>
    </cfRule>
  </conditionalFormatting>
  <conditionalFormatting sqref="M151:M152">
    <cfRule type="cellIs" dxfId="3013" priority="11736" operator="equal">
      <formula>"value일 미도래"</formula>
    </cfRule>
  </conditionalFormatting>
  <conditionalFormatting sqref="M151:M152">
    <cfRule type="cellIs" dxfId="3012" priority="11735" operator="equal">
      <formula>"value일 미도래"</formula>
    </cfRule>
  </conditionalFormatting>
  <conditionalFormatting sqref="M148">
    <cfRule type="cellIs" dxfId="3011" priority="11734" operator="equal">
      <formula>"value일 미도래"</formula>
    </cfRule>
  </conditionalFormatting>
  <conditionalFormatting sqref="M148">
    <cfRule type="cellIs" dxfId="3010" priority="11733" operator="equal">
      <formula>"value일 미도래"</formula>
    </cfRule>
  </conditionalFormatting>
  <conditionalFormatting sqref="M148">
    <cfRule type="cellIs" dxfId="3009" priority="11732" operator="equal">
      <formula>"value일 미도래"</formula>
    </cfRule>
  </conditionalFormatting>
  <conditionalFormatting sqref="M149:M150">
    <cfRule type="cellIs" dxfId="3008" priority="11731" operator="equal">
      <formula>"value일 미도래"</formula>
    </cfRule>
  </conditionalFormatting>
  <conditionalFormatting sqref="M149:M150">
    <cfRule type="cellIs" dxfId="3007" priority="11730" operator="equal">
      <formula>"value일 미도래"</formula>
    </cfRule>
  </conditionalFormatting>
  <conditionalFormatting sqref="M149:M150">
    <cfRule type="cellIs" dxfId="3006" priority="11729" operator="equal">
      <formula>"value일 미도래"</formula>
    </cfRule>
  </conditionalFormatting>
  <conditionalFormatting sqref="M148">
    <cfRule type="cellIs" dxfId="3005" priority="11728" operator="equal">
      <formula>"value일 미도래"</formula>
    </cfRule>
  </conditionalFormatting>
  <conditionalFormatting sqref="M148">
    <cfRule type="cellIs" dxfId="3004" priority="11727" operator="equal">
      <formula>"value일 미도래"</formula>
    </cfRule>
  </conditionalFormatting>
  <conditionalFormatting sqref="M149:M150">
    <cfRule type="cellIs" dxfId="3003" priority="11726" operator="equal">
      <formula>"value일 미도래"</formula>
    </cfRule>
  </conditionalFormatting>
  <conditionalFormatting sqref="M149:M150">
    <cfRule type="cellIs" dxfId="3002" priority="11725" operator="equal">
      <formula>"value일 미도래"</formula>
    </cfRule>
  </conditionalFormatting>
  <conditionalFormatting sqref="M149:M150">
    <cfRule type="cellIs" dxfId="3001" priority="11724" operator="equal">
      <formula>"value일 미도래"</formula>
    </cfRule>
  </conditionalFormatting>
  <conditionalFormatting sqref="M148">
    <cfRule type="cellIs" dxfId="3000" priority="11723" operator="equal">
      <formula>"value일 미도래"</formula>
    </cfRule>
  </conditionalFormatting>
  <conditionalFormatting sqref="M148">
    <cfRule type="cellIs" dxfId="2999" priority="11722" operator="equal">
      <formula>"value일 미도래"</formula>
    </cfRule>
  </conditionalFormatting>
  <conditionalFormatting sqref="M148">
    <cfRule type="cellIs" dxfId="2998" priority="11721" operator="equal">
      <formula>"value일 미도래"</formula>
    </cfRule>
  </conditionalFormatting>
  <conditionalFormatting sqref="M148">
    <cfRule type="cellIs" dxfId="2997" priority="11720" operator="equal">
      <formula>"value일 미도래"</formula>
    </cfRule>
  </conditionalFormatting>
  <conditionalFormatting sqref="M148">
    <cfRule type="cellIs" dxfId="2996" priority="11719" operator="equal">
      <formula>"value일 미도래"</formula>
    </cfRule>
  </conditionalFormatting>
  <conditionalFormatting sqref="M148">
    <cfRule type="cellIs" dxfId="2995" priority="11718" operator="equal">
      <formula>"value일 미도래"</formula>
    </cfRule>
  </conditionalFormatting>
  <conditionalFormatting sqref="M149:M150">
    <cfRule type="cellIs" dxfId="2994" priority="11717" operator="equal">
      <formula>"value일 미도래"</formula>
    </cfRule>
  </conditionalFormatting>
  <conditionalFormatting sqref="M149:M150">
    <cfRule type="cellIs" dxfId="2993" priority="11716" operator="equal">
      <formula>"value일 미도래"</formula>
    </cfRule>
  </conditionalFormatting>
  <conditionalFormatting sqref="M149:M150">
    <cfRule type="cellIs" dxfId="2992" priority="11715" operator="equal">
      <formula>"value일 미도래"</formula>
    </cfRule>
  </conditionalFormatting>
  <conditionalFormatting sqref="M148">
    <cfRule type="cellIs" dxfId="2991" priority="11713" operator="equal">
      <formula>"value일 미도래"</formula>
    </cfRule>
  </conditionalFormatting>
  <conditionalFormatting sqref="M148">
    <cfRule type="cellIs" dxfId="2990" priority="11712" operator="equal">
      <formula>"value일 미도래"</formula>
    </cfRule>
  </conditionalFormatting>
  <conditionalFormatting sqref="M149:M150">
    <cfRule type="cellIs" dxfId="2989" priority="11711" operator="equal">
      <formula>"value일 미도래"</formula>
    </cfRule>
  </conditionalFormatting>
  <conditionalFormatting sqref="M149:M150">
    <cfRule type="cellIs" dxfId="2988" priority="11710" operator="equal">
      <formula>"value일 미도래"</formula>
    </cfRule>
  </conditionalFormatting>
  <conditionalFormatting sqref="M149:M150">
    <cfRule type="cellIs" dxfId="2987" priority="11709" operator="equal">
      <formula>"value일 미도래"</formula>
    </cfRule>
  </conditionalFormatting>
  <conditionalFormatting sqref="M148">
    <cfRule type="cellIs" dxfId="2986" priority="11708" operator="equal">
      <formula>"value일 미도래"</formula>
    </cfRule>
  </conditionalFormatting>
  <conditionalFormatting sqref="M148">
    <cfRule type="cellIs" dxfId="2985" priority="11707" operator="equal">
      <formula>"value일 미도래"</formula>
    </cfRule>
  </conditionalFormatting>
  <conditionalFormatting sqref="M148">
    <cfRule type="cellIs" dxfId="2984" priority="11706" operator="equal">
      <formula>"value일 미도래"</formula>
    </cfRule>
  </conditionalFormatting>
  <conditionalFormatting sqref="M148">
    <cfRule type="cellIs" dxfId="2983" priority="11705" operator="equal">
      <formula>"value일 미도래"</formula>
    </cfRule>
  </conditionalFormatting>
  <conditionalFormatting sqref="M148">
    <cfRule type="cellIs" dxfId="2982" priority="11704" operator="equal">
      <formula>"value일 미도래"</formula>
    </cfRule>
  </conditionalFormatting>
  <conditionalFormatting sqref="M148">
    <cfRule type="cellIs" dxfId="2981" priority="11703" operator="equal">
      <formula>"value일 미도래"</formula>
    </cfRule>
  </conditionalFormatting>
  <conditionalFormatting sqref="M148">
    <cfRule type="cellIs" dxfId="2980" priority="11702" operator="equal">
      <formula>"value일 미도래"</formula>
    </cfRule>
  </conditionalFormatting>
  <conditionalFormatting sqref="M148">
    <cfRule type="cellIs" dxfId="2979" priority="11701" operator="equal">
      <formula>"value일 미도래"</formula>
    </cfRule>
  </conditionalFormatting>
  <conditionalFormatting sqref="M148">
    <cfRule type="cellIs" dxfId="2978" priority="11700" operator="equal">
      <formula>"value일 미도래"</formula>
    </cfRule>
  </conditionalFormatting>
  <conditionalFormatting sqref="M148">
    <cfRule type="cellIs" dxfId="2977" priority="11698" operator="equal">
      <formula>"value일 미도래"</formula>
    </cfRule>
  </conditionalFormatting>
  <conditionalFormatting sqref="M148">
    <cfRule type="cellIs" dxfId="2976" priority="11697" operator="equal">
      <formula>"value일 미도래"</formula>
    </cfRule>
  </conditionalFormatting>
  <conditionalFormatting sqref="M149:M150">
    <cfRule type="cellIs" dxfId="2975" priority="11696" operator="equal">
      <formula>"value일 미도래"</formula>
    </cfRule>
  </conditionalFormatting>
  <conditionalFormatting sqref="M149:M150">
    <cfRule type="cellIs" dxfId="2974" priority="11695" operator="equal">
      <formula>"value일 미도래"</formula>
    </cfRule>
  </conditionalFormatting>
  <conditionalFormatting sqref="M149:M150">
    <cfRule type="cellIs" dxfId="2973" priority="11694" operator="equal">
      <formula>"value일 미도래"</formula>
    </cfRule>
  </conditionalFormatting>
  <conditionalFormatting sqref="M148">
    <cfRule type="cellIs" dxfId="2972" priority="11693" operator="equal">
      <formula>"value일 미도래"</formula>
    </cfRule>
  </conditionalFormatting>
  <conditionalFormatting sqref="M148">
    <cfRule type="cellIs" dxfId="2971" priority="11692" operator="equal">
      <formula>"value일 미도래"</formula>
    </cfRule>
  </conditionalFormatting>
  <conditionalFormatting sqref="M148">
    <cfRule type="cellIs" dxfId="2970" priority="11691" operator="equal">
      <formula>"value일 미도래"</formula>
    </cfRule>
  </conditionalFormatting>
  <conditionalFormatting sqref="M148">
    <cfRule type="cellIs" dxfId="2969" priority="11690" operator="equal">
      <formula>"value일 미도래"</formula>
    </cfRule>
  </conditionalFormatting>
  <conditionalFormatting sqref="M148">
    <cfRule type="cellIs" dxfId="2968" priority="11689" operator="equal">
      <formula>"value일 미도래"</formula>
    </cfRule>
  </conditionalFormatting>
  <conditionalFormatting sqref="M148">
    <cfRule type="cellIs" dxfId="2967" priority="11688" operator="equal">
      <formula>"value일 미도래"</formula>
    </cfRule>
  </conditionalFormatting>
  <conditionalFormatting sqref="M148">
    <cfRule type="cellIs" dxfId="2966" priority="11687" operator="equal">
      <formula>"value일 미도래"</formula>
    </cfRule>
  </conditionalFormatting>
  <conditionalFormatting sqref="M148">
    <cfRule type="cellIs" dxfId="2965" priority="11686" operator="equal">
      <formula>"value일 미도래"</formula>
    </cfRule>
  </conditionalFormatting>
  <conditionalFormatting sqref="M148">
    <cfRule type="cellIs" dxfId="2964" priority="11685" operator="equal">
      <formula>"value일 미도래"</formula>
    </cfRule>
  </conditionalFormatting>
  <conditionalFormatting sqref="M148">
    <cfRule type="cellIs" dxfId="2963" priority="11683" operator="equal">
      <formula>"value일 미도래"</formula>
    </cfRule>
  </conditionalFormatting>
  <conditionalFormatting sqref="M148">
    <cfRule type="cellIs" dxfId="2962" priority="11682" operator="equal">
      <formula>"value일 미도래"</formula>
    </cfRule>
  </conditionalFormatting>
  <conditionalFormatting sqref="M148">
    <cfRule type="cellIs" dxfId="2961" priority="11681" operator="equal">
      <formula>"value일 미도래"</formula>
    </cfRule>
  </conditionalFormatting>
  <conditionalFormatting sqref="M149:M150">
    <cfRule type="cellIs" dxfId="2960" priority="11680" operator="equal">
      <formula>"value일 미도래"</formula>
    </cfRule>
  </conditionalFormatting>
  <conditionalFormatting sqref="M149:M150">
    <cfRule type="cellIs" dxfId="2959" priority="11679" operator="equal">
      <formula>"value일 미도래"</formula>
    </cfRule>
  </conditionalFormatting>
  <conditionalFormatting sqref="M149:M150">
    <cfRule type="cellIs" dxfId="2958" priority="11678" operator="equal">
      <formula>"value일 미도래"</formula>
    </cfRule>
  </conditionalFormatting>
  <conditionalFormatting sqref="M148:M149">
    <cfRule type="cellIs" dxfId="2957" priority="11677" operator="equal">
      <formula>"value일 미도래"</formula>
    </cfRule>
  </conditionalFormatting>
  <conditionalFormatting sqref="M148:M149">
    <cfRule type="cellIs" dxfId="2956" priority="11676" operator="equal">
      <formula>"value일 미도래"</formula>
    </cfRule>
  </conditionalFormatting>
  <conditionalFormatting sqref="M148:M149">
    <cfRule type="cellIs" dxfId="2955" priority="11675" operator="equal">
      <formula>"value일 미도래"</formula>
    </cfRule>
  </conditionalFormatting>
  <conditionalFormatting sqref="M148:M149">
    <cfRule type="cellIs" dxfId="2954" priority="11674" operator="equal">
      <formula>"value일 미도래"</formula>
    </cfRule>
  </conditionalFormatting>
  <conditionalFormatting sqref="M148:M149">
    <cfRule type="cellIs" dxfId="2953" priority="11673" operator="equal">
      <formula>"value일 미도래"</formula>
    </cfRule>
  </conditionalFormatting>
  <conditionalFormatting sqref="M148:M149">
    <cfRule type="cellIs" dxfId="2952" priority="11672" operator="equal">
      <formula>"value일 미도래"</formula>
    </cfRule>
  </conditionalFormatting>
  <conditionalFormatting sqref="M148:M149">
    <cfRule type="cellIs" dxfId="2951" priority="11670" operator="equal">
      <formula>"value일 미도래"</formula>
    </cfRule>
  </conditionalFormatting>
  <conditionalFormatting sqref="M148:M149">
    <cfRule type="cellIs" dxfId="2950" priority="11669" operator="equal">
      <formula>"value일 미도래"</formula>
    </cfRule>
  </conditionalFormatting>
  <conditionalFormatting sqref="M148:M149">
    <cfRule type="cellIs" dxfId="2949" priority="11668" operator="equal">
      <formula>"value일 미도래"</formula>
    </cfRule>
  </conditionalFormatting>
  <conditionalFormatting sqref="M148:M149">
    <cfRule type="cellIs" dxfId="2948" priority="11667" operator="equal">
      <formula>"value일 미도래"</formula>
    </cfRule>
  </conditionalFormatting>
  <conditionalFormatting sqref="M148:M149">
    <cfRule type="cellIs" dxfId="2947" priority="11666" operator="equal">
      <formula>"value일 미도래"</formula>
    </cfRule>
  </conditionalFormatting>
  <conditionalFormatting sqref="M148:M149">
    <cfRule type="cellIs" dxfId="2946" priority="11665" operator="equal">
      <formula>"value일 미도래"</formula>
    </cfRule>
  </conditionalFormatting>
  <conditionalFormatting sqref="M148:M149">
    <cfRule type="cellIs" dxfId="2945" priority="11664" operator="equal">
      <formula>"value일 미도래"</formula>
    </cfRule>
  </conditionalFormatting>
  <conditionalFormatting sqref="M148:M149">
    <cfRule type="cellIs" dxfId="2944" priority="11663" operator="equal">
      <formula>"value일 미도래"</formula>
    </cfRule>
  </conditionalFormatting>
  <conditionalFormatting sqref="M148:M149">
    <cfRule type="cellIs" dxfId="2943" priority="11661" operator="equal">
      <formula>"value일 미도래"</formula>
    </cfRule>
  </conditionalFormatting>
  <conditionalFormatting sqref="M148:M149">
    <cfRule type="cellIs" dxfId="2942" priority="11660" operator="equal">
      <formula>"value일 미도래"</formula>
    </cfRule>
  </conditionalFormatting>
  <conditionalFormatting sqref="M148:M149">
    <cfRule type="cellIs" dxfId="2941" priority="11659" operator="equal">
      <formula>"value일 미도래"</formula>
    </cfRule>
  </conditionalFormatting>
  <conditionalFormatting sqref="M148:M149">
    <cfRule type="cellIs" dxfId="2940" priority="11658" operator="equal">
      <formula>"value일 미도래"</formula>
    </cfRule>
  </conditionalFormatting>
  <conditionalFormatting sqref="M148:M149">
    <cfRule type="cellIs" dxfId="2939" priority="11657" operator="equal">
      <formula>"value일 미도래"</formula>
    </cfRule>
  </conditionalFormatting>
  <conditionalFormatting sqref="M148:M149">
    <cfRule type="cellIs" dxfId="2938" priority="11656" operator="equal">
      <formula>"value일 미도래"</formula>
    </cfRule>
  </conditionalFormatting>
  <conditionalFormatting sqref="M148:M149">
    <cfRule type="cellIs" dxfId="2937" priority="11655" operator="equal">
      <formula>"value일 미도래"</formula>
    </cfRule>
  </conditionalFormatting>
  <conditionalFormatting sqref="M148:M149">
    <cfRule type="cellIs" dxfId="2936" priority="11654" operator="equal">
      <formula>"value일 미도래"</formula>
    </cfRule>
  </conditionalFormatting>
  <conditionalFormatting sqref="M148:M149">
    <cfRule type="cellIs" dxfId="2935" priority="11653" operator="equal">
      <formula>"value일 미도래"</formula>
    </cfRule>
  </conditionalFormatting>
  <conditionalFormatting sqref="M148:M149">
    <cfRule type="cellIs" dxfId="2934" priority="11652" operator="equal">
      <formula>"value일 미도래"</formula>
    </cfRule>
  </conditionalFormatting>
  <conditionalFormatting sqref="M148:M149">
    <cfRule type="cellIs" dxfId="2933" priority="11651" operator="equal">
      <formula>"value일 미도래"</formula>
    </cfRule>
  </conditionalFormatting>
  <conditionalFormatting sqref="M148:M149">
    <cfRule type="cellIs" dxfId="2932" priority="11649" operator="equal">
      <formula>"value일 미도래"</formula>
    </cfRule>
  </conditionalFormatting>
  <conditionalFormatting sqref="M148:M149">
    <cfRule type="cellIs" dxfId="2931" priority="11648" operator="equal">
      <formula>"value일 미도래"</formula>
    </cfRule>
  </conditionalFormatting>
  <conditionalFormatting sqref="M148:M149">
    <cfRule type="cellIs" dxfId="2930" priority="11647" operator="equal">
      <formula>"value일 미도래"</formula>
    </cfRule>
  </conditionalFormatting>
  <conditionalFormatting sqref="M148:M149">
    <cfRule type="cellIs" dxfId="2929" priority="11646" operator="equal">
      <formula>"value일 미도래"</formula>
    </cfRule>
  </conditionalFormatting>
  <conditionalFormatting sqref="M148:M149">
    <cfRule type="cellIs" dxfId="2928" priority="11645" operator="equal">
      <formula>"value일 미도래"</formula>
    </cfRule>
  </conditionalFormatting>
  <conditionalFormatting sqref="M148:M149">
    <cfRule type="cellIs" dxfId="2927" priority="11644" operator="equal">
      <formula>"value일 미도래"</formula>
    </cfRule>
  </conditionalFormatting>
  <conditionalFormatting sqref="M148:M149">
    <cfRule type="cellIs" dxfId="2926" priority="11643" operator="equal">
      <formula>"value일 미도래"</formula>
    </cfRule>
  </conditionalFormatting>
  <conditionalFormatting sqref="M148:M149">
    <cfRule type="cellIs" dxfId="2925" priority="11642" operator="equal">
      <formula>"value일 미도래"</formula>
    </cfRule>
  </conditionalFormatting>
  <conditionalFormatting sqref="M148:M149">
    <cfRule type="cellIs" dxfId="2924" priority="11641" operator="equal">
      <formula>"value일 미도래"</formula>
    </cfRule>
  </conditionalFormatting>
  <conditionalFormatting sqref="M148:M149">
    <cfRule type="cellIs" dxfId="2923" priority="11640" operator="equal">
      <formula>"value일 미도래"</formula>
    </cfRule>
  </conditionalFormatting>
  <conditionalFormatting sqref="M148:M149">
    <cfRule type="cellIs" dxfId="2922" priority="11639" operator="equal">
      <formula>"value일 미도래"</formula>
    </cfRule>
  </conditionalFormatting>
  <conditionalFormatting sqref="M148:M149">
    <cfRule type="cellIs" dxfId="2921" priority="11637" operator="equal">
      <formula>"value일 미도래"</formula>
    </cfRule>
  </conditionalFormatting>
  <conditionalFormatting sqref="M148:M149">
    <cfRule type="cellIs" dxfId="2920" priority="11636" operator="equal">
      <formula>"value일 미도래"</formula>
    </cfRule>
  </conditionalFormatting>
  <conditionalFormatting sqref="M148:M149">
    <cfRule type="cellIs" dxfId="2919" priority="11635" operator="equal">
      <formula>"value일 미도래"</formula>
    </cfRule>
  </conditionalFormatting>
  <conditionalFormatting sqref="M148">
    <cfRule type="cellIs" dxfId="2918" priority="11634" operator="equal">
      <formula>"value일 미도래"</formula>
    </cfRule>
  </conditionalFormatting>
  <conditionalFormatting sqref="M148">
    <cfRule type="cellIs" dxfId="2917" priority="11633" operator="equal">
      <formula>"value일 미도래"</formula>
    </cfRule>
  </conditionalFormatting>
  <conditionalFormatting sqref="M151:M152">
    <cfRule type="cellIs" dxfId="2916" priority="11632" operator="equal">
      <formula>"value일 미도래"</formula>
    </cfRule>
  </conditionalFormatting>
  <conditionalFormatting sqref="M151:M152">
    <cfRule type="cellIs" dxfId="2915" priority="11631" operator="equal">
      <formula>"value일 미도래"</formula>
    </cfRule>
  </conditionalFormatting>
  <conditionalFormatting sqref="M151:M152">
    <cfRule type="cellIs" dxfId="2914" priority="11630" operator="equal">
      <formula>"value일 미도래"</formula>
    </cfRule>
  </conditionalFormatting>
  <conditionalFormatting sqref="M151:M152">
    <cfRule type="cellIs" dxfId="2913" priority="11629" operator="equal">
      <formula>"value일 미도래"</formula>
    </cfRule>
  </conditionalFormatting>
  <conditionalFormatting sqref="M148:M149">
    <cfRule type="cellIs" dxfId="2912" priority="11628" operator="equal">
      <formula>"value일 미도래"</formula>
    </cfRule>
  </conditionalFormatting>
  <conditionalFormatting sqref="M148:M149">
    <cfRule type="cellIs" dxfId="2911" priority="11627" operator="equal">
      <formula>"value일 미도래"</formula>
    </cfRule>
  </conditionalFormatting>
  <conditionalFormatting sqref="M148:M149">
    <cfRule type="cellIs" dxfId="2910" priority="11626" operator="equal">
      <formula>"value일 미도래"</formula>
    </cfRule>
  </conditionalFormatting>
  <conditionalFormatting sqref="M149:M150">
    <cfRule type="cellIs" dxfId="2909" priority="11625" operator="equal">
      <formula>"value일 미도래"</formula>
    </cfRule>
  </conditionalFormatting>
  <conditionalFormatting sqref="M149:M150">
    <cfRule type="cellIs" dxfId="2908" priority="11624" operator="equal">
      <formula>"value일 미도래"</formula>
    </cfRule>
  </conditionalFormatting>
  <conditionalFormatting sqref="M149:M150">
    <cfRule type="cellIs" dxfId="2907" priority="11623" operator="equal">
      <formula>"value일 미도래"</formula>
    </cfRule>
  </conditionalFormatting>
  <conditionalFormatting sqref="M148">
    <cfRule type="cellIs" dxfId="2906" priority="11622" operator="equal">
      <formula>"value일 미도래"</formula>
    </cfRule>
  </conditionalFormatting>
  <conditionalFormatting sqref="M148">
    <cfRule type="cellIs" dxfId="2905" priority="11621" operator="equal">
      <formula>"value일 미도래"</formula>
    </cfRule>
  </conditionalFormatting>
  <conditionalFormatting sqref="M148">
    <cfRule type="cellIs" dxfId="2904" priority="11620" operator="equal">
      <formula>"value일 미도래"</formula>
    </cfRule>
  </conditionalFormatting>
  <conditionalFormatting sqref="M148">
    <cfRule type="cellIs" dxfId="2903" priority="11619" operator="equal">
      <formula>"value일 미도래"</formula>
    </cfRule>
  </conditionalFormatting>
  <conditionalFormatting sqref="M148">
    <cfRule type="cellIs" dxfId="2902" priority="11618" operator="equal">
      <formula>"value일 미도래"</formula>
    </cfRule>
  </conditionalFormatting>
  <conditionalFormatting sqref="M148">
    <cfRule type="cellIs" dxfId="2901" priority="11617" operator="equal">
      <formula>"value일 미도래"</formula>
    </cfRule>
  </conditionalFormatting>
  <conditionalFormatting sqref="M148">
    <cfRule type="cellIs" dxfId="2900" priority="11616" operator="equal">
      <formula>"value일 미도래"</formula>
    </cfRule>
  </conditionalFormatting>
  <conditionalFormatting sqref="M148">
    <cfRule type="cellIs" dxfId="2899" priority="11615" operator="equal">
      <formula>"value일 미도래"</formula>
    </cfRule>
  </conditionalFormatting>
  <conditionalFormatting sqref="M148">
    <cfRule type="cellIs" dxfId="2898" priority="11614" operator="equal">
      <formula>"value일 미도래"</formula>
    </cfRule>
  </conditionalFormatting>
  <conditionalFormatting sqref="M148">
    <cfRule type="cellIs" dxfId="2897" priority="11612" operator="equal">
      <formula>"value일 미도래"</formula>
    </cfRule>
  </conditionalFormatting>
  <conditionalFormatting sqref="M148">
    <cfRule type="cellIs" dxfId="2896" priority="11611" operator="equal">
      <formula>"value일 미도래"</formula>
    </cfRule>
  </conditionalFormatting>
  <conditionalFormatting sqref="M148">
    <cfRule type="cellIs" dxfId="2895" priority="11610" operator="equal">
      <formula>"value일 미도래"</formula>
    </cfRule>
  </conditionalFormatting>
  <conditionalFormatting sqref="M148:M149">
    <cfRule type="cellIs" dxfId="2894" priority="11609" operator="equal">
      <formula>"value일 미도래"</formula>
    </cfRule>
  </conditionalFormatting>
  <conditionalFormatting sqref="M148:M149">
    <cfRule type="cellIs" dxfId="2893" priority="11608" operator="equal">
      <formula>"value일 미도래"</formula>
    </cfRule>
  </conditionalFormatting>
  <conditionalFormatting sqref="M148:M149">
    <cfRule type="cellIs" dxfId="2892" priority="11607" operator="equal">
      <formula>"value일 미도래"</formula>
    </cfRule>
  </conditionalFormatting>
  <conditionalFormatting sqref="M148">
    <cfRule type="cellIs" dxfId="2891" priority="11606" operator="equal">
      <formula>"value일 미도래"</formula>
    </cfRule>
  </conditionalFormatting>
  <conditionalFormatting sqref="M148">
    <cfRule type="cellIs" dxfId="2890" priority="11605" operator="equal">
      <formula>"value일 미도래"</formula>
    </cfRule>
  </conditionalFormatting>
  <conditionalFormatting sqref="M148">
    <cfRule type="cellIs" dxfId="2889" priority="11604" operator="equal">
      <formula>"value일 미도래"</formula>
    </cfRule>
  </conditionalFormatting>
  <conditionalFormatting sqref="M148:M149">
    <cfRule type="cellIs" dxfId="2888" priority="11603" operator="equal">
      <formula>"value일 미도래"</formula>
    </cfRule>
  </conditionalFormatting>
  <conditionalFormatting sqref="M148:M149">
    <cfRule type="cellIs" dxfId="2887" priority="11602" operator="equal">
      <formula>"value일 미도래"</formula>
    </cfRule>
  </conditionalFormatting>
  <conditionalFormatting sqref="M148:M149">
    <cfRule type="cellIs" dxfId="2886" priority="11601" operator="equal">
      <formula>"value일 미도래"</formula>
    </cfRule>
  </conditionalFormatting>
  <conditionalFormatting sqref="M148">
    <cfRule type="cellIs" dxfId="2885" priority="11600" operator="equal">
      <formula>"value일 미도래"</formula>
    </cfRule>
  </conditionalFormatting>
  <conditionalFormatting sqref="M148">
    <cfRule type="cellIs" dxfId="2884" priority="11599" operator="equal">
      <formula>"value일 미도래"</formula>
    </cfRule>
  </conditionalFormatting>
  <conditionalFormatting sqref="M148">
    <cfRule type="cellIs" dxfId="2883" priority="11598" operator="equal">
      <formula>"value일 미도래"</formula>
    </cfRule>
  </conditionalFormatting>
  <conditionalFormatting sqref="M148">
    <cfRule type="cellIs" dxfId="2882" priority="11597" operator="equal">
      <formula>"value일 미도래"</formula>
    </cfRule>
  </conditionalFormatting>
  <conditionalFormatting sqref="M148">
    <cfRule type="cellIs" dxfId="2881" priority="11596" operator="equal">
      <formula>"value일 미도래"</formula>
    </cfRule>
  </conditionalFormatting>
  <conditionalFormatting sqref="M148:M149">
    <cfRule type="cellIs" dxfId="2880" priority="11595" operator="equal">
      <formula>"value일 미도래"</formula>
    </cfRule>
  </conditionalFormatting>
  <conditionalFormatting sqref="M148:M149">
    <cfRule type="cellIs" dxfId="2879" priority="11594" operator="equal">
      <formula>"value일 미도래"</formula>
    </cfRule>
  </conditionalFormatting>
  <conditionalFormatting sqref="M148:M149">
    <cfRule type="cellIs" dxfId="2878" priority="11593" operator="equal">
      <formula>"value일 미도래"</formula>
    </cfRule>
  </conditionalFormatting>
  <conditionalFormatting sqref="M149:M150">
    <cfRule type="cellIs" dxfId="2877" priority="11592" operator="equal">
      <formula>"value일 미도래"</formula>
    </cfRule>
  </conditionalFormatting>
  <conditionalFormatting sqref="M149:M150">
    <cfRule type="cellIs" dxfId="2876" priority="11591" operator="equal">
      <formula>"value일 미도래"</formula>
    </cfRule>
  </conditionalFormatting>
  <conditionalFormatting sqref="M149:M150">
    <cfRule type="cellIs" dxfId="2875" priority="11590" operator="equal">
      <formula>"value일 미도래"</formula>
    </cfRule>
  </conditionalFormatting>
  <conditionalFormatting sqref="M148">
    <cfRule type="cellIs" dxfId="2874" priority="11589" operator="equal">
      <formula>"value일 미도래"</formula>
    </cfRule>
  </conditionalFormatting>
  <conditionalFormatting sqref="M148">
    <cfRule type="cellIs" dxfId="2873" priority="11588" operator="equal">
      <formula>"value일 미도래"</formula>
    </cfRule>
  </conditionalFormatting>
  <conditionalFormatting sqref="M148">
    <cfRule type="cellIs" dxfId="2872" priority="11587" operator="equal">
      <formula>"value일 미도래"</formula>
    </cfRule>
  </conditionalFormatting>
  <conditionalFormatting sqref="M148">
    <cfRule type="cellIs" dxfId="2871" priority="11586" operator="equal">
      <formula>"value일 미도래"</formula>
    </cfRule>
  </conditionalFormatting>
  <conditionalFormatting sqref="M148">
    <cfRule type="cellIs" dxfId="2870" priority="11585" operator="equal">
      <formula>"value일 미도래"</formula>
    </cfRule>
  </conditionalFormatting>
  <conditionalFormatting sqref="M148">
    <cfRule type="cellIs" dxfId="2869" priority="11584" operator="equal">
      <formula>"value일 미도래"</formula>
    </cfRule>
  </conditionalFormatting>
  <conditionalFormatting sqref="M148">
    <cfRule type="cellIs" dxfId="2868" priority="11583" operator="equal">
      <formula>"value일 미도래"</formula>
    </cfRule>
  </conditionalFormatting>
  <conditionalFormatting sqref="M148">
    <cfRule type="cellIs" dxfId="2867" priority="11582" operator="equal">
      <formula>"value일 미도래"</formula>
    </cfRule>
  </conditionalFormatting>
  <conditionalFormatting sqref="M148">
    <cfRule type="cellIs" dxfId="2866" priority="11581" operator="equal">
      <formula>"value일 미도래"</formula>
    </cfRule>
  </conditionalFormatting>
  <conditionalFormatting sqref="M148">
    <cfRule type="cellIs" dxfId="2865" priority="11579" operator="equal">
      <formula>"value일 미도래"</formula>
    </cfRule>
  </conditionalFormatting>
  <conditionalFormatting sqref="M148">
    <cfRule type="cellIs" dxfId="2864" priority="11578" operator="equal">
      <formula>"value일 미도래"</formula>
    </cfRule>
  </conditionalFormatting>
  <conditionalFormatting sqref="M148">
    <cfRule type="cellIs" dxfId="2863" priority="11577" operator="equal">
      <formula>"value일 미도래"</formula>
    </cfRule>
  </conditionalFormatting>
  <conditionalFormatting sqref="M148:M149">
    <cfRule type="cellIs" dxfId="2862" priority="11576" operator="equal">
      <formula>"value일 미도래"</formula>
    </cfRule>
  </conditionalFormatting>
  <conditionalFormatting sqref="M148:M149">
    <cfRule type="cellIs" dxfId="2861" priority="11575" operator="equal">
      <formula>"value일 미도래"</formula>
    </cfRule>
  </conditionalFormatting>
  <conditionalFormatting sqref="M148:M149">
    <cfRule type="cellIs" dxfId="2860" priority="11574" operator="equal">
      <formula>"value일 미도래"</formula>
    </cfRule>
  </conditionalFormatting>
  <conditionalFormatting sqref="M148">
    <cfRule type="cellIs" dxfId="2859" priority="11573" operator="equal">
      <formula>"value일 미도래"</formula>
    </cfRule>
  </conditionalFormatting>
  <conditionalFormatting sqref="M148">
    <cfRule type="cellIs" dxfId="2858" priority="11572" operator="equal">
      <formula>"value일 미도래"</formula>
    </cfRule>
  </conditionalFormatting>
  <conditionalFormatting sqref="M148">
    <cfRule type="cellIs" dxfId="2857" priority="11571" operator="equal">
      <formula>"value일 미도래"</formula>
    </cfRule>
  </conditionalFormatting>
  <conditionalFormatting sqref="M148:M149">
    <cfRule type="cellIs" dxfId="2856" priority="11570" operator="equal">
      <formula>"value일 미도래"</formula>
    </cfRule>
  </conditionalFormatting>
  <conditionalFormatting sqref="M148:M149">
    <cfRule type="cellIs" dxfId="2855" priority="11569" operator="equal">
      <formula>"value일 미도래"</formula>
    </cfRule>
  </conditionalFormatting>
  <conditionalFormatting sqref="M148:M149">
    <cfRule type="cellIs" dxfId="2854" priority="11568" operator="equal">
      <formula>"value일 미도래"</formula>
    </cfRule>
  </conditionalFormatting>
  <conditionalFormatting sqref="M148">
    <cfRule type="cellIs" dxfId="2853" priority="11567" operator="equal">
      <formula>"value일 미도래"</formula>
    </cfRule>
  </conditionalFormatting>
  <conditionalFormatting sqref="M148">
    <cfRule type="cellIs" dxfId="2852" priority="11566" operator="equal">
      <formula>"value일 미도래"</formula>
    </cfRule>
  </conditionalFormatting>
  <conditionalFormatting sqref="M148">
    <cfRule type="cellIs" dxfId="2851" priority="11565" operator="equal">
      <formula>"value일 미도래"</formula>
    </cfRule>
  </conditionalFormatting>
  <conditionalFormatting sqref="M149:M150">
    <cfRule type="cellIs" dxfId="2850" priority="11564" operator="equal">
      <formula>"value일 미도래"</formula>
    </cfRule>
  </conditionalFormatting>
  <conditionalFormatting sqref="M149:M150">
    <cfRule type="cellIs" dxfId="2849" priority="11563" operator="equal">
      <formula>"value일 미도래"</formula>
    </cfRule>
  </conditionalFormatting>
  <conditionalFormatting sqref="M149:M150">
    <cfRule type="cellIs" dxfId="2848" priority="11562" operator="equal">
      <formula>"value일 미도래"</formula>
    </cfRule>
  </conditionalFormatting>
  <conditionalFormatting sqref="M149:M150">
    <cfRule type="cellIs" dxfId="2847" priority="11561" operator="equal">
      <formula>"value일 미도래"</formula>
    </cfRule>
  </conditionalFormatting>
  <conditionalFormatting sqref="M148">
    <cfRule type="cellIs" dxfId="2846" priority="11560" operator="equal">
      <formula>"value일 미도래"</formula>
    </cfRule>
  </conditionalFormatting>
  <conditionalFormatting sqref="M148">
    <cfRule type="cellIs" dxfId="2845" priority="11559" operator="equal">
      <formula>"value일 미도래"</formula>
    </cfRule>
  </conditionalFormatting>
  <conditionalFormatting sqref="M148">
    <cfRule type="cellIs" dxfId="2844" priority="11558" operator="equal">
      <formula>"value일 미도래"</formula>
    </cfRule>
  </conditionalFormatting>
  <conditionalFormatting sqref="M150:M151">
    <cfRule type="cellIs" dxfId="2843" priority="11557" operator="equal">
      <formula>"value일 미도래"</formula>
    </cfRule>
  </conditionalFormatting>
  <conditionalFormatting sqref="M150:M151">
    <cfRule type="cellIs" dxfId="2842" priority="11556" operator="equal">
      <formula>"value일 미도래"</formula>
    </cfRule>
  </conditionalFormatting>
  <conditionalFormatting sqref="M150:M151">
    <cfRule type="cellIs" dxfId="2841" priority="11555" operator="equal">
      <formula>"value일 미도래"</formula>
    </cfRule>
  </conditionalFormatting>
  <conditionalFormatting sqref="M150:M151">
    <cfRule type="cellIs" dxfId="2840" priority="11554" operator="equal">
      <formula>"value일 미도래"</formula>
    </cfRule>
  </conditionalFormatting>
  <conditionalFormatting sqref="M150:M151">
    <cfRule type="cellIs" dxfId="2839" priority="11553" operator="equal">
      <formula>"value일 미도래"</formula>
    </cfRule>
  </conditionalFormatting>
  <conditionalFormatting sqref="M150:M151">
    <cfRule type="cellIs" dxfId="2838" priority="11552" operator="equal">
      <formula>"value일 미도래"</formula>
    </cfRule>
  </conditionalFormatting>
  <conditionalFormatting sqref="M150:M151">
    <cfRule type="cellIs" dxfId="2837" priority="11550" operator="equal">
      <formula>"value일 미도래"</formula>
    </cfRule>
  </conditionalFormatting>
  <conditionalFormatting sqref="M150:M151">
    <cfRule type="cellIs" dxfId="2836" priority="11549" operator="equal">
      <formula>"value일 미도래"</formula>
    </cfRule>
  </conditionalFormatting>
  <conditionalFormatting sqref="M150:M151">
    <cfRule type="cellIs" dxfId="2835" priority="11548" operator="equal">
      <formula>"value일 미도래"</formula>
    </cfRule>
  </conditionalFormatting>
  <conditionalFormatting sqref="M150:M151">
    <cfRule type="cellIs" dxfId="2834" priority="11547" operator="equal">
      <formula>"value일 미도래"</formula>
    </cfRule>
  </conditionalFormatting>
  <conditionalFormatting sqref="M150:M151">
    <cfRule type="cellIs" dxfId="2833" priority="11546" operator="equal">
      <formula>"value일 미도래"</formula>
    </cfRule>
  </conditionalFormatting>
  <conditionalFormatting sqref="M150:M151">
    <cfRule type="cellIs" dxfId="2832" priority="11545" operator="equal">
      <formula>"value일 미도래"</formula>
    </cfRule>
  </conditionalFormatting>
  <conditionalFormatting sqref="M150:M151">
    <cfRule type="cellIs" dxfId="2831" priority="11544" operator="equal">
      <formula>"value일 미도래"</formula>
    </cfRule>
  </conditionalFormatting>
  <conditionalFormatting sqref="M150:M151">
    <cfRule type="cellIs" dxfId="2830" priority="11543" operator="equal">
      <formula>"value일 미도래"</formula>
    </cfRule>
  </conditionalFormatting>
  <conditionalFormatting sqref="M150:M151">
    <cfRule type="cellIs" dxfId="2829" priority="11541" operator="equal">
      <formula>"value일 미도래"</formula>
    </cfRule>
  </conditionalFormatting>
  <conditionalFormatting sqref="M150:M151">
    <cfRule type="cellIs" dxfId="2828" priority="11540" operator="equal">
      <formula>"value일 미도래"</formula>
    </cfRule>
  </conditionalFormatting>
  <conditionalFormatting sqref="M150:M151">
    <cfRule type="cellIs" dxfId="2827" priority="11539" operator="equal">
      <formula>"value일 미도래"</formula>
    </cfRule>
  </conditionalFormatting>
  <conditionalFormatting sqref="M150:M151">
    <cfRule type="cellIs" dxfId="2826" priority="11538" operator="equal">
      <formula>"value일 미도래"</formula>
    </cfRule>
  </conditionalFormatting>
  <conditionalFormatting sqref="M150:M151">
    <cfRule type="cellIs" dxfId="2825" priority="11537" operator="equal">
      <formula>"value일 미도래"</formula>
    </cfRule>
  </conditionalFormatting>
  <conditionalFormatting sqref="M150:M151">
    <cfRule type="cellIs" dxfId="2824" priority="11536" operator="equal">
      <formula>"value일 미도래"</formula>
    </cfRule>
  </conditionalFormatting>
  <conditionalFormatting sqref="M150:M151">
    <cfRule type="cellIs" dxfId="2823" priority="11535" operator="equal">
      <formula>"value일 미도래"</formula>
    </cfRule>
  </conditionalFormatting>
  <conditionalFormatting sqref="M150:M151">
    <cfRule type="cellIs" dxfId="2822" priority="11534" operator="equal">
      <formula>"value일 미도래"</formula>
    </cfRule>
  </conditionalFormatting>
  <conditionalFormatting sqref="M150:M151">
    <cfRule type="cellIs" dxfId="2821" priority="11533" operator="equal">
      <formula>"value일 미도래"</formula>
    </cfRule>
  </conditionalFormatting>
  <conditionalFormatting sqref="M150:M151">
    <cfRule type="cellIs" dxfId="2820" priority="11532" operator="equal">
      <formula>"value일 미도래"</formula>
    </cfRule>
  </conditionalFormatting>
  <conditionalFormatting sqref="M150:M151">
    <cfRule type="cellIs" dxfId="2819" priority="11531" operator="equal">
      <formula>"value일 미도래"</formula>
    </cfRule>
  </conditionalFormatting>
  <conditionalFormatting sqref="M150:M151">
    <cfRule type="cellIs" dxfId="2818" priority="11529" operator="equal">
      <formula>"value일 미도래"</formula>
    </cfRule>
  </conditionalFormatting>
  <conditionalFormatting sqref="M150:M151">
    <cfRule type="cellIs" dxfId="2817" priority="11528" operator="equal">
      <formula>"value일 미도래"</formula>
    </cfRule>
  </conditionalFormatting>
  <conditionalFormatting sqref="M150:M151">
    <cfRule type="cellIs" dxfId="2816" priority="11527" operator="equal">
      <formula>"value일 미도래"</formula>
    </cfRule>
  </conditionalFormatting>
  <conditionalFormatting sqref="M150:M151">
    <cfRule type="cellIs" dxfId="2815" priority="11526" operator="equal">
      <formula>"value일 미도래"</formula>
    </cfRule>
  </conditionalFormatting>
  <conditionalFormatting sqref="M150:M151">
    <cfRule type="cellIs" dxfId="2814" priority="11525" operator="equal">
      <formula>"value일 미도래"</formula>
    </cfRule>
  </conditionalFormatting>
  <conditionalFormatting sqref="M150:M151">
    <cfRule type="cellIs" dxfId="2813" priority="11524" operator="equal">
      <formula>"value일 미도래"</formula>
    </cfRule>
  </conditionalFormatting>
  <conditionalFormatting sqref="M150:M151">
    <cfRule type="cellIs" dxfId="2812" priority="11523" operator="equal">
      <formula>"value일 미도래"</formula>
    </cfRule>
  </conditionalFormatting>
  <conditionalFormatting sqref="M150:M151">
    <cfRule type="cellIs" dxfId="2811" priority="11522" operator="equal">
      <formula>"value일 미도래"</formula>
    </cfRule>
  </conditionalFormatting>
  <conditionalFormatting sqref="M150:M151">
    <cfRule type="cellIs" dxfId="2810" priority="11521" operator="equal">
      <formula>"value일 미도래"</formula>
    </cfRule>
  </conditionalFormatting>
  <conditionalFormatting sqref="M150:M151">
    <cfRule type="cellIs" dxfId="2809" priority="11520" operator="equal">
      <formula>"value일 미도래"</formula>
    </cfRule>
  </conditionalFormatting>
  <conditionalFormatting sqref="M150:M151">
    <cfRule type="cellIs" dxfId="2808" priority="11519" operator="equal">
      <formula>"value일 미도래"</formula>
    </cfRule>
  </conditionalFormatting>
  <conditionalFormatting sqref="M150:M151">
    <cfRule type="cellIs" dxfId="2807" priority="11517" operator="equal">
      <formula>"value일 미도래"</formula>
    </cfRule>
  </conditionalFormatting>
  <conditionalFormatting sqref="M150:M151">
    <cfRule type="cellIs" dxfId="2806" priority="11516" operator="equal">
      <formula>"value일 미도래"</formula>
    </cfRule>
  </conditionalFormatting>
  <conditionalFormatting sqref="M150:M151">
    <cfRule type="cellIs" dxfId="2805" priority="11515" operator="equal">
      <formula>"value일 미도래"</formula>
    </cfRule>
  </conditionalFormatting>
  <conditionalFormatting sqref="M150:M151">
    <cfRule type="cellIs" dxfId="2804" priority="11514" operator="equal">
      <formula>"value일 미도래"</formula>
    </cfRule>
  </conditionalFormatting>
  <conditionalFormatting sqref="M150:M151">
    <cfRule type="cellIs" dxfId="2803" priority="11513" operator="equal">
      <formula>"value일 미도래"</formula>
    </cfRule>
  </conditionalFormatting>
  <conditionalFormatting sqref="M150:M151">
    <cfRule type="cellIs" dxfId="2802" priority="11512" operator="equal">
      <formula>"value일 미도래"</formula>
    </cfRule>
  </conditionalFormatting>
  <conditionalFormatting sqref="M150:M151">
    <cfRule type="cellIs" dxfId="2801" priority="11511" operator="equal">
      <formula>"value일 미도래"</formula>
    </cfRule>
  </conditionalFormatting>
  <conditionalFormatting sqref="M150:M151">
    <cfRule type="cellIs" dxfId="2800" priority="11510" operator="equal">
      <formula>"value일 미도래"</formula>
    </cfRule>
  </conditionalFormatting>
  <conditionalFormatting sqref="M150:M151">
    <cfRule type="cellIs" dxfId="2799" priority="11509" operator="equal">
      <formula>"value일 미도래"</formula>
    </cfRule>
  </conditionalFormatting>
  <conditionalFormatting sqref="M150:M151">
    <cfRule type="cellIs" dxfId="2798" priority="11508" operator="equal">
      <formula>"value일 미도래"</formula>
    </cfRule>
  </conditionalFormatting>
  <conditionalFormatting sqref="M150:M151">
    <cfRule type="cellIs" dxfId="2797" priority="11507" operator="equal">
      <formula>"value일 미도래"</formula>
    </cfRule>
  </conditionalFormatting>
  <conditionalFormatting sqref="M150:M151">
    <cfRule type="cellIs" dxfId="2796" priority="11506" operator="equal">
      <formula>"value일 미도래"</formula>
    </cfRule>
  </conditionalFormatting>
  <conditionalFormatting sqref="M150:M151">
    <cfRule type="cellIs" dxfId="2795" priority="11505" operator="equal">
      <formula>"value일 미도래"</formula>
    </cfRule>
  </conditionalFormatting>
  <conditionalFormatting sqref="M150:M151">
    <cfRule type="cellIs" dxfId="2794" priority="11504" operator="equal">
      <formula>"value일 미도래"</formula>
    </cfRule>
  </conditionalFormatting>
  <conditionalFormatting sqref="M150:M151">
    <cfRule type="cellIs" dxfId="2793" priority="11502" operator="equal">
      <formula>"value일 미도래"</formula>
    </cfRule>
  </conditionalFormatting>
  <conditionalFormatting sqref="M150:M151">
    <cfRule type="cellIs" dxfId="2792" priority="11501" operator="equal">
      <formula>"value일 미도래"</formula>
    </cfRule>
  </conditionalFormatting>
  <conditionalFormatting sqref="M150:M151">
    <cfRule type="cellIs" dxfId="2791" priority="11500" operator="equal">
      <formula>"value일 미도래"</formula>
    </cfRule>
  </conditionalFormatting>
  <conditionalFormatting sqref="M150:M151">
    <cfRule type="cellIs" dxfId="2790" priority="11499" operator="equal">
      <formula>"value일 미도래"</formula>
    </cfRule>
  </conditionalFormatting>
  <conditionalFormatting sqref="M150:M151">
    <cfRule type="cellIs" dxfId="2789" priority="11498" operator="equal">
      <formula>"value일 미도래"</formula>
    </cfRule>
  </conditionalFormatting>
  <conditionalFormatting sqref="M150:M151">
    <cfRule type="cellIs" dxfId="2788" priority="11497" operator="equal">
      <formula>"value일 미도래"</formula>
    </cfRule>
  </conditionalFormatting>
  <conditionalFormatting sqref="M150:M151">
    <cfRule type="cellIs" dxfId="2787" priority="11496" operator="equal">
      <formula>"value일 미도래"</formula>
    </cfRule>
  </conditionalFormatting>
  <conditionalFormatting sqref="M150:M151">
    <cfRule type="cellIs" dxfId="2786" priority="11495" operator="equal">
      <formula>"value일 미도래"</formula>
    </cfRule>
  </conditionalFormatting>
  <conditionalFormatting sqref="M150:M151">
    <cfRule type="cellIs" dxfId="2785" priority="11494" operator="equal">
      <formula>"value일 미도래"</formula>
    </cfRule>
  </conditionalFormatting>
  <conditionalFormatting sqref="M150:M151">
    <cfRule type="cellIs" dxfId="2784" priority="11493" operator="equal">
      <formula>"value일 미도래"</formula>
    </cfRule>
  </conditionalFormatting>
  <conditionalFormatting sqref="M150:M151">
    <cfRule type="cellIs" dxfId="2783" priority="11492" operator="equal">
      <formula>"value일 미도래"</formula>
    </cfRule>
  </conditionalFormatting>
  <conditionalFormatting sqref="M150:M151">
    <cfRule type="cellIs" dxfId="2782" priority="11491" operator="equal">
      <formula>"value일 미도래"</formula>
    </cfRule>
  </conditionalFormatting>
  <conditionalFormatting sqref="M150:M151">
    <cfRule type="cellIs" dxfId="2781" priority="11490" operator="equal">
      <formula>"value일 미도래"</formula>
    </cfRule>
  </conditionalFormatting>
  <conditionalFormatting sqref="M150:M151">
    <cfRule type="cellIs" dxfId="2780" priority="11489" operator="equal">
      <formula>"value일 미도래"</formula>
    </cfRule>
  </conditionalFormatting>
  <conditionalFormatting sqref="M150:M151">
    <cfRule type="cellIs" dxfId="2779" priority="11488" operator="equal">
      <formula>"value일 미도래"</formula>
    </cfRule>
  </conditionalFormatting>
  <conditionalFormatting sqref="M150:M151">
    <cfRule type="cellIs" dxfId="2778" priority="11487" operator="equal">
      <formula>"value일 미도래"</formula>
    </cfRule>
  </conditionalFormatting>
  <conditionalFormatting sqref="M150:M151">
    <cfRule type="cellIs" dxfId="2777" priority="11486" operator="equal">
      <formula>"value일 미도래"</formula>
    </cfRule>
  </conditionalFormatting>
  <conditionalFormatting sqref="M150:M151">
    <cfRule type="cellIs" dxfId="2776" priority="11485" operator="equal">
      <formula>"value일 미도래"</formula>
    </cfRule>
  </conditionalFormatting>
  <conditionalFormatting sqref="M150:M151">
    <cfRule type="cellIs" dxfId="2775" priority="11484" operator="equal">
      <formula>"value일 미도래"</formula>
    </cfRule>
  </conditionalFormatting>
  <conditionalFormatting sqref="M150:M151">
    <cfRule type="cellIs" dxfId="2774" priority="11483" operator="equal">
      <formula>"value일 미도래"</formula>
    </cfRule>
  </conditionalFormatting>
  <conditionalFormatting sqref="M150:M151">
    <cfRule type="cellIs" dxfId="2773" priority="11481" operator="equal">
      <formula>"value일 미도래"</formula>
    </cfRule>
  </conditionalFormatting>
  <conditionalFormatting sqref="M150:M151">
    <cfRule type="cellIs" dxfId="2772" priority="11480" operator="equal">
      <formula>"value일 미도래"</formula>
    </cfRule>
  </conditionalFormatting>
  <conditionalFormatting sqref="M150:M151">
    <cfRule type="cellIs" dxfId="2771" priority="11479" operator="equal">
      <formula>"value일 미도래"</formula>
    </cfRule>
  </conditionalFormatting>
  <conditionalFormatting sqref="M150:M151">
    <cfRule type="cellIs" dxfId="2770" priority="11478" operator="equal">
      <formula>"value일 미도래"</formula>
    </cfRule>
  </conditionalFormatting>
  <conditionalFormatting sqref="M150:M151">
    <cfRule type="cellIs" dxfId="2769" priority="11477" operator="equal">
      <formula>"value일 미도래"</formula>
    </cfRule>
  </conditionalFormatting>
  <conditionalFormatting sqref="M150:M151">
    <cfRule type="cellIs" dxfId="2768" priority="11476" operator="equal">
      <formula>"value일 미도래"</formula>
    </cfRule>
  </conditionalFormatting>
  <conditionalFormatting sqref="M150:M151">
    <cfRule type="cellIs" dxfId="2767" priority="11475" operator="equal">
      <formula>"value일 미도래"</formula>
    </cfRule>
  </conditionalFormatting>
  <conditionalFormatting sqref="M150:M151">
    <cfRule type="cellIs" dxfId="2766" priority="11474" operator="equal">
      <formula>"value일 미도래"</formula>
    </cfRule>
  </conditionalFormatting>
  <conditionalFormatting sqref="M150:M151">
    <cfRule type="cellIs" dxfId="2765" priority="11473" operator="equal">
      <formula>"value일 미도래"</formula>
    </cfRule>
  </conditionalFormatting>
  <conditionalFormatting sqref="M150:M151">
    <cfRule type="cellIs" dxfId="2764" priority="11472" operator="equal">
      <formula>"value일 미도래"</formula>
    </cfRule>
  </conditionalFormatting>
  <conditionalFormatting sqref="M150:M151">
    <cfRule type="cellIs" dxfId="2763" priority="11471" operator="equal">
      <formula>"value일 미도래"</formula>
    </cfRule>
  </conditionalFormatting>
  <conditionalFormatting sqref="M150:M151">
    <cfRule type="cellIs" dxfId="2762" priority="11470" operator="equal">
      <formula>"value일 미도래"</formula>
    </cfRule>
  </conditionalFormatting>
  <conditionalFormatting sqref="M148">
    <cfRule type="cellIs" dxfId="2761" priority="11469" operator="equal">
      <formula>"value일 미도래"</formula>
    </cfRule>
  </conditionalFormatting>
  <conditionalFormatting sqref="M148">
    <cfRule type="cellIs" dxfId="2760" priority="11468" operator="equal">
      <formula>"value일 미도래"</formula>
    </cfRule>
  </conditionalFormatting>
  <conditionalFormatting sqref="M148">
    <cfRule type="cellIs" dxfId="2759" priority="11467" operator="equal">
      <formula>"value일 미도래"</formula>
    </cfRule>
  </conditionalFormatting>
  <conditionalFormatting sqref="M148">
    <cfRule type="cellIs" dxfId="2758" priority="11466" operator="equal">
      <formula>"value일 미도래"</formula>
    </cfRule>
  </conditionalFormatting>
  <conditionalFormatting sqref="M148">
    <cfRule type="cellIs" dxfId="2757" priority="11465" operator="equal">
      <formula>"value일 미도래"</formula>
    </cfRule>
  </conditionalFormatting>
  <conditionalFormatting sqref="M148">
    <cfRule type="cellIs" dxfId="2756" priority="11464" operator="equal">
      <formula>"value일 미도래"</formula>
    </cfRule>
  </conditionalFormatting>
  <conditionalFormatting sqref="M148">
    <cfRule type="cellIs" dxfId="2755" priority="11463" operator="equal">
      <formula>"value일 미도래"</formula>
    </cfRule>
  </conditionalFormatting>
  <conditionalFormatting sqref="M148">
    <cfRule type="cellIs" dxfId="2754" priority="11462" operator="equal">
      <formula>"value일 미도래"</formula>
    </cfRule>
  </conditionalFormatting>
  <conditionalFormatting sqref="M148">
    <cfRule type="cellIs" dxfId="2753" priority="11461" operator="equal">
      <formula>"value일 미도래"</formula>
    </cfRule>
  </conditionalFormatting>
  <conditionalFormatting sqref="M148">
    <cfRule type="cellIs" dxfId="2752" priority="11460" operator="equal">
      <formula>"value일 미도래"</formula>
    </cfRule>
  </conditionalFormatting>
  <conditionalFormatting sqref="M148">
    <cfRule type="cellIs" dxfId="2751" priority="11459" operator="equal">
      <formula>"value일 미도래"</formula>
    </cfRule>
  </conditionalFormatting>
  <conditionalFormatting sqref="M148">
    <cfRule type="cellIs" dxfId="2750" priority="11457" operator="equal">
      <formula>"value일 미도래"</formula>
    </cfRule>
  </conditionalFormatting>
  <conditionalFormatting sqref="M148">
    <cfRule type="cellIs" dxfId="2749" priority="11456" operator="equal">
      <formula>"value일 미도래"</formula>
    </cfRule>
  </conditionalFormatting>
  <conditionalFormatting sqref="M148">
    <cfRule type="cellIs" dxfId="2748" priority="11455" operator="equal">
      <formula>"value일 미도래"</formula>
    </cfRule>
  </conditionalFormatting>
  <conditionalFormatting sqref="M148">
    <cfRule type="cellIs" dxfId="2747" priority="11454" operator="equal">
      <formula>"value일 미도래"</formula>
    </cfRule>
  </conditionalFormatting>
  <conditionalFormatting sqref="M148">
    <cfRule type="cellIs" dxfId="2746" priority="11453" operator="equal">
      <formula>"value일 미도래"</formula>
    </cfRule>
  </conditionalFormatting>
  <conditionalFormatting sqref="M148">
    <cfRule type="cellIs" dxfId="2745" priority="11452" operator="equal">
      <formula>"value일 미도래"</formula>
    </cfRule>
  </conditionalFormatting>
  <conditionalFormatting sqref="M148">
    <cfRule type="cellIs" dxfId="2744" priority="11451" operator="equal">
      <formula>"value일 미도래"</formula>
    </cfRule>
  </conditionalFormatting>
  <conditionalFormatting sqref="M148">
    <cfRule type="cellIs" dxfId="2743" priority="11450" operator="equal">
      <formula>"value일 미도래"</formula>
    </cfRule>
  </conditionalFormatting>
  <conditionalFormatting sqref="M148">
    <cfRule type="cellIs" dxfId="2742" priority="11449" operator="equal">
      <formula>"value일 미도래"</formula>
    </cfRule>
  </conditionalFormatting>
  <conditionalFormatting sqref="M148">
    <cfRule type="cellIs" dxfId="2741" priority="11448" operator="equal">
      <formula>"value일 미도래"</formula>
    </cfRule>
  </conditionalFormatting>
  <conditionalFormatting sqref="M148">
    <cfRule type="cellIs" dxfId="2740" priority="11447" operator="equal">
      <formula>"value일 미도래"</formula>
    </cfRule>
  </conditionalFormatting>
  <conditionalFormatting sqref="M148">
    <cfRule type="cellIs" dxfId="2739" priority="11446" operator="equal">
      <formula>"value일 미도래"</formula>
    </cfRule>
  </conditionalFormatting>
  <conditionalFormatting sqref="M148">
    <cfRule type="cellIs" dxfId="2738" priority="11445" operator="equal">
      <formula>"value일 미도래"</formula>
    </cfRule>
  </conditionalFormatting>
  <conditionalFormatting sqref="M148">
    <cfRule type="cellIs" dxfId="2737" priority="11444" operator="equal">
      <formula>"value일 미도래"</formula>
    </cfRule>
  </conditionalFormatting>
  <conditionalFormatting sqref="M148">
    <cfRule type="cellIs" dxfId="2736" priority="11443" operator="equal">
      <formula>"value일 미도래"</formula>
    </cfRule>
  </conditionalFormatting>
  <conditionalFormatting sqref="M148">
    <cfRule type="cellIs" dxfId="2735" priority="11442" operator="equal">
      <formula>"value일 미도래"</formula>
    </cfRule>
  </conditionalFormatting>
  <conditionalFormatting sqref="M148">
    <cfRule type="cellIs" dxfId="2734" priority="11441" operator="equal">
      <formula>"value일 미도래"</formula>
    </cfRule>
  </conditionalFormatting>
  <conditionalFormatting sqref="M148">
    <cfRule type="cellIs" dxfId="2733" priority="11440" operator="equal">
      <formula>"value일 미도래"</formula>
    </cfRule>
  </conditionalFormatting>
  <conditionalFormatting sqref="M148">
    <cfRule type="cellIs" dxfId="2732" priority="11439" operator="equal">
      <formula>"value일 미도래"</formula>
    </cfRule>
  </conditionalFormatting>
  <conditionalFormatting sqref="M148:M149">
    <cfRule type="cellIs" dxfId="2731" priority="11438" operator="equal">
      <formula>"value일 미도래"</formula>
    </cfRule>
  </conditionalFormatting>
  <conditionalFormatting sqref="M148:M149">
    <cfRule type="cellIs" dxfId="2730" priority="11437" operator="equal">
      <formula>"value일 미도래"</formula>
    </cfRule>
  </conditionalFormatting>
  <conditionalFormatting sqref="M148:M149">
    <cfRule type="cellIs" dxfId="2729" priority="11436" operator="equal">
      <formula>"value일 미도래"</formula>
    </cfRule>
  </conditionalFormatting>
  <conditionalFormatting sqref="M148:M149">
    <cfRule type="cellIs" dxfId="2728" priority="11435" operator="equal">
      <formula>"value일 미도래"</formula>
    </cfRule>
  </conditionalFormatting>
  <conditionalFormatting sqref="M148:M149">
    <cfRule type="cellIs" dxfId="2727" priority="11434" operator="equal">
      <formula>"value일 미도래"</formula>
    </cfRule>
  </conditionalFormatting>
  <conditionalFormatting sqref="M148:M149">
    <cfRule type="cellIs" dxfId="2726" priority="11433" operator="equal">
      <formula>"value일 미도래"</formula>
    </cfRule>
  </conditionalFormatting>
  <conditionalFormatting sqref="M148:M149">
    <cfRule type="cellIs" dxfId="2725" priority="11431" operator="equal">
      <formula>"value일 미도래"</formula>
    </cfRule>
  </conditionalFormatting>
  <conditionalFormatting sqref="M148:M149">
    <cfRule type="cellIs" dxfId="2724" priority="11430" operator="equal">
      <formula>"value일 미도래"</formula>
    </cfRule>
  </conditionalFormatting>
  <conditionalFormatting sqref="M148:M149">
    <cfRule type="cellIs" dxfId="2723" priority="11429" operator="equal">
      <formula>"value일 미도래"</formula>
    </cfRule>
  </conditionalFormatting>
  <conditionalFormatting sqref="M148:M149">
    <cfRule type="cellIs" dxfId="2722" priority="11428" operator="equal">
      <formula>"value일 미도래"</formula>
    </cfRule>
  </conditionalFormatting>
  <conditionalFormatting sqref="M148:M149">
    <cfRule type="cellIs" dxfId="2721" priority="11427" operator="equal">
      <formula>"value일 미도래"</formula>
    </cfRule>
  </conditionalFormatting>
  <conditionalFormatting sqref="M148:M149">
    <cfRule type="cellIs" dxfId="2720" priority="11426" operator="equal">
      <formula>"value일 미도래"</formula>
    </cfRule>
  </conditionalFormatting>
  <conditionalFormatting sqref="M148:M149">
    <cfRule type="cellIs" dxfId="2719" priority="11425" operator="equal">
      <formula>"value일 미도래"</formula>
    </cfRule>
  </conditionalFormatting>
  <conditionalFormatting sqref="M148:M149">
    <cfRule type="cellIs" dxfId="2718" priority="11424" operator="equal">
      <formula>"value일 미도래"</formula>
    </cfRule>
  </conditionalFormatting>
  <conditionalFormatting sqref="M148:M149">
    <cfRule type="cellIs" dxfId="2717" priority="11422" operator="equal">
      <formula>"value일 미도래"</formula>
    </cfRule>
  </conditionalFormatting>
  <conditionalFormatting sqref="M148:M149">
    <cfRule type="cellIs" dxfId="2716" priority="11421" operator="equal">
      <formula>"value일 미도래"</formula>
    </cfRule>
  </conditionalFormatting>
  <conditionalFormatting sqref="M148:M149">
    <cfRule type="cellIs" dxfId="2715" priority="11420" operator="equal">
      <formula>"value일 미도래"</formula>
    </cfRule>
  </conditionalFormatting>
  <conditionalFormatting sqref="M148:M149">
    <cfRule type="cellIs" dxfId="2714" priority="11419" operator="equal">
      <formula>"value일 미도래"</formula>
    </cfRule>
  </conditionalFormatting>
  <conditionalFormatting sqref="M148:M149">
    <cfRule type="cellIs" dxfId="2713" priority="11418" operator="equal">
      <formula>"value일 미도래"</formula>
    </cfRule>
  </conditionalFormatting>
  <conditionalFormatting sqref="M148:M149">
    <cfRule type="cellIs" dxfId="2712" priority="11417" operator="equal">
      <formula>"value일 미도래"</formula>
    </cfRule>
  </conditionalFormatting>
  <conditionalFormatting sqref="M148:M149">
    <cfRule type="cellIs" dxfId="2711" priority="11416" operator="equal">
      <formula>"value일 미도래"</formula>
    </cfRule>
  </conditionalFormatting>
  <conditionalFormatting sqref="M148:M149">
    <cfRule type="cellIs" dxfId="2710" priority="11415" operator="equal">
      <formula>"value일 미도래"</formula>
    </cfRule>
  </conditionalFormatting>
  <conditionalFormatting sqref="M148:M149">
    <cfRule type="cellIs" dxfId="2709" priority="11414" operator="equal">
      <formula>"value일 미도래"</formula>
    </cfRule>
  </conditionalFormatting>
  <conditionalFormatting sqref="M148:M149">
    <cfRule type="cellIs" dxfId="2708" priority="11413" operator="equal">
      <formula>"value일 미도래"</formula>
    </cfRule>
  </conditionalFormatting>
  <conditionalFormatting sqref="M148:M149">
    <cfRule type="cellIs" dxfId="2707" priority="11412" operator="equal">
      <formula>"value일 미도래"</formula>
    </cfRule>
  </conditionalFormatting>
  <conditionalFormatting sqref="M148:M149">
    <cfRule type="cellIs" dxfId="2706" priority="11410" operator="equal">
      <formula>"value일 미도래"</formula>
    </cfRule>
  </conditionalFormatting>
  <conditionalFormatting sqref="M148:M149">
    <cfRule type="cellIs" dxfId="2705" priority="11409" operator="equal">
      <formula>"value일 미도래"</formula>
    </cfRule>
  </conditionalFormatting>
  <conditionalFormatting sqref="M148:M149">
    <cfRule type="cellIs" dxfId="2704" priority="11408" operator="equal">
      <formula>"value일 미도래"</formula>
    </cfRule>
  </conditionalFormatting>
  <conditionalFormatting sqref="M148:M149">
    <cfRule type="cellIs" dxfId="2703" priority="11407" operator="equal">
      <formula>"value일 미도래"</formula>
    </cfRule>
  </conditionalFormatting>
  <conditionalFormatting sqref="M148:M149">
    <cfRule type="cellIs" dxfId="2702" priority="11406" operator="equal">
      <formula>"value일 미도래"</formula>
    </cfRule>
  </conditionalFormatting>
  <conditionalFormatting sqref="M148:M149">
    <cfRule type="cellIs" dxfId="2701" priority="11405" operator="equal">
      <formula>"value일 미도래"</formula>
    </cfRule>
  </conditionalFormatting>
  <conditionalFormatting sqref="M148:M149">
    <cfRule type="cellIs" dxfId="2700" priority="11404" operator="equal">
      <formula>"value일 미도래"</formula>
    </cfRule>
  </conditionalFormatting>
  <conditionalFormatting sqref="M148:M149">
    <cfRule type="cellIs" dxfId="2699" priority="11403" operator="equal">
      <formula>"value일 미도래"</formula>
    </cfRule>
  </conditionalFormatting>
  <conditionalFormatting sqref="M148:M149">
    <cfRule type="cellIs" dxfId="2698" priority="11402" operator="equal">
      <formula>"value일 미도래"</formula>
    </cfRule>
  </conditionalFormatting>
  <conditionalFormatting sqref="M148:M149">
    <cfRule type="cellIs" dxfId="2697" priority="11401" operator="equal">
      <formula>"value일 미도래"</formula>
    </cfRule>
  </conditionalFormatting>
  <conditionalFormatting sqref="M148:M149">
    <cfRule type="cellIs" dxfId="2696" priority="11400" operator="equal">
      <formula>"value일 미도래"</formula>
    </cfRule>
  </conditionalFormatting>
  <conditionalFormatting sqref="M148:M149">
    <cfRule type="cellIs" dxfId="2695" priority="11398" operator="equal">
      <formula>"value일 미도래"</formula>
    </cfRule>
  </conditionalFormatting>
  <conditionalFormatting sqref="M148:M149">
    <cfRule type="cellIs" dxfId="2694" priority="11397" operator="equal">
      <formula>"value일 미도래"</formula>
    </cfRule>
  </conditionalFormatting>
  <conditionalFormatting sqref="M148:M149">
    <cfRule type="cellIs" dxfId="2693" priority="11396" operator="equal">
      <formula>"value일 미도래"</formula>
    </cfRule>
  </conditionalFormatting>
  <conditionalFormatting sqref="M148:M149">
    <cfRule type="cellIs" dxfId="2692" priority="11395" operator="equal">
      <formula>"value일 미도래"</formula>
    </cfRule>
  </conditionalFormatting>
  <conditionalFormatting sqref="M148:M149">
    <cfRule type="cellIs" dxfId="2691" priority="11394" operator="equal">
      <formula>"value일 미도래"</formula>
    </cfRule>
  </conditionalFormatting>
  <conditionalFormatting sqref="M148:M149">
    <cfRule type="cellIs" dxfId="2690" priority="11393" operator="equal">
      <formula>"value일 미도래"</formula>
    </cfRule>
  </conditionalFormatting>
  <conditionalFormatting sqref="M148:M149">
    <cfRule type="cellIs" dxfId="2689" priority="11392" operator="equal">
      <formula>"value일 미도래"</formula>
    </cfRule>
  </conditionalFormatting>
  <conditionalFormatting sqref="M148:M149">
    <cfRule type="cellIs" dxfId="2688" priority="11391" operator="equal">
      <formula>"value일 미도래"</formula>
    </cfRule>
  </conditionalFormatting>
  <conditionalFormatting sqref="M148:M149">
    <cfRule type="cellIs" dxfId="2687" priority="11390" operator="equal">
      <formula>"value일 미도래"</formula>
    </cfRule>
  </conditionalFormatting>
  <conditionalFormatting sqref="M148:M149">
    <cfRule type="cellIs" dxfId="2686" priority="11389" operator="equal">
      <formula>"value일 미도래"</formula>
    </cfRule>
  </conditionalFormatting>
  <conditionalFormatting sqref="M148:M149">
    <cfRule type="cellIs" dxfId="2685" priority="11388" operator="equal">
      <formula>"value일 미도래"</formula>
    </cfRule>
  </conditionalFormatting>
  <conditionalFormatting sqref="M148:M149">
    <cfRule type="cellIs" dxfId="2684" priority="11387" operator="equal">
      <formula>"value일 미도래"</formula>
    </cfRule>
  </conditionalFormatting>
  <conditionalFormatting sqref="M148:M149">
    <cfRule type="cellIs" dxfId="2683" priority="11386" operator="equal">
      <formula>"value일 미도래"</formula>
    </cfRule>
  </conditionalFormatting>
  <conditionalFormatting sqref="M148:M149">
    <cfRule type="cellIs" dxfId="2682" priority="11385" operator="equal">
      <formula>"value일 미도래"</formula>
    </cfRule>
  </conditionalFormatting>
  <conditionalFormatting sqref="M148:M149">
    <cfRule type="cellIs" dxfId="2681" priority="11383" operator="equal">
      <formula>"value일 미도래"</formula>
    </cfRule>
  </conditionalFormatting>
  <conditionalFormatting sqref="M148:M149">
    <cfRule type="cellIs" dxfId="2680" priority="11382" operator="equal">
      <formula>"value일 미도래"</formula>
    </cfRule>
  </conditionalFormatting>
  <conditionalFormatting sqref="M148:M149">
    <cfRule type="cellIs" dxfId="2679" priority="11381" operator="equal">
      <formula>"value일 미도래"</formula>
    </cfRule>
  </conditionalFormatting>
  <conditionalFormatting sqref="M148:M149">
    <cfRule type="cellIs" dxfId="2678" priority="11380" operator="equal">
      <formula>"value일 미도래"</formula>
    </cfRule>
  </conditionalFormatting>
  <conditionalFormatting sqref="M148:M149">
    <cfRule type="cellIs" dxfId="2677" priority="11379" operator="equal">
      <formula>"value일 미도래"</formula>
    </cfRule>
  </conditionalFormatting>
  <conditionalFormatting sqref="M148:M149">
    <cfRule type="cellIs" dxfId="2676" priority="11378" operator="equal">
      <formula>"value일 미도래"</formula>
    </cfRule>
  </conditionalFormatting>
  <conditionalFormatting sqref="M148:M149">
    <cfRule type="cellIs" dxfId="2675" priority="11377" operator="equal">
      <formula>"value일 미도래"</formula>
    </cfRule>
  </conditionalFormatting>
  <conditionalFormatting sqref="M148:M149">
    <cfRule type="cellIs" dxfId="2674" priority="11376" operator="equal">
      <formula>"value일 미도래"</formula>
    </cfRule>
  </conditionalFormatting>
  <conditionalFormatting sqref="M148:M149">
    <cfRule type="cellIs" dxfId="2673" priority="11375" operator="equal">
      <formula>"value일 미도래"</formula>
    </cfRule>
  </conditionalFormatting>
  <conditionalFormatting sqref="M148:M149">
    <cfRule type="cellIs" dxfId="2672" priority="11374" operator="equal">
      <formula>"value일 미도래"</formula>
    </cfRule>
  </conditionalFormatting>
  <conditionalFormatting sqref="M148:M149">
    <cfRule type="cellIs" dxfId="2671" priority="11373" operator="equal">
      <formula>"value일 미도래"</formula>
    </cfRule>
  </conditionalFormatting>
  <conditionalFormatting sqref="M148:M149">
    <cfRule type="cellIs" dxfId="2670" priority="11372" operator="equal">
      <formula>"value일 미도래"</formula>
    </cfRule>
  </conditionalFormatting>
  <conditionalFormatting sqref="M148:M149">
    <cfRule type="cellIs" dxfId="2669" priority="11371" operator="equal">
      <formula>"value일 미도래"</formula>
    </cfRule>
  </conditionalFormatting>
  <conditionalFormatting sqref="M148:M149">
    <cfRule type="cellIs" dxfId="2668" priority="11370" operator="equal">
      <formula>"value일 미도래"</formula>
    </cfRule>
  </conditionalFormatting>
  <conditionalFormatting sqref="M148:M149">
    <cfRule type="cellIs" dxfId="2667" priority="11369" operator="equal">
      <formula>"value일 미도래"</formula>
    </cfRule>
  </conditionalFormatting>
  <conditionalFormatting sqref="M148:M149">
    <cfRule type="cellIs" dxfId="2666" priority="11368" operator="equal">
      <formula>"value일 미도래"</formula>
    </cfRule>
  </conditionalFormatting>
  <conditionalFormatting sqref="M148:M149">
    <cfRule type="cellIs" dxfId="2665" priority="11367" operator="equal">
      <formula>"value일 미도래"</formula>
    </cfRule>
  </conditionalFormatting>
  <conditionalFormatting sqref="M148:M149">
    <cfRule type="cellIs" dxfId="2664" priority="11366" operator="equal">
      <formula>"value일 미도래"</formula>
    </cfRule>
  </conditionalFormatting>
  <conditionalFormatting sqref="M148:M149">
    <cfRule type="cellIs" dxfId="2663" priority="11365" operator="equal">
      <formula>"value일 미도래"</formula>
    </cfRule>
  </conditionalFormatting>
  <conditionalFormatting sqref="M148:M149">
    <cfRule type="cellIs" dxfId="2662" priority="11364" operator="equal">
      <formula>"value일 미도래"</formula>
    </cfRule>
  </conditionalFormatting>
  <conditionalFormatting sqref="M148:M149">
    <cfRule type="cellIs" dxfId="2661" priority="11362" operator="equal">
      <formula>"value일 미도래"</formula>
    </cfRule>
  </conditionalFormatting>
  <conditionalFormatting sqref="M148:M149">
    <cfRule type="cellIs" dxfId="2660" priority="11361" operator="equal">
      <formula>"value일 미도래"</formula>
    </cfRule>
  </conditionalFormatting>
  <conditionalFormatting sqref="M148:M149">
    <cfRule type="cellIs" dxfId="2659" priority="11360" operator="equal">
      <formula>"value일 미도래"</formula>
    </cfRule>
  </conditionalFormatting>
  <conditionalFormatting sqref="M148:M149">
    <cfRule type="cellIs" dxfId="2658" priority="11359" operator="equal">
      <formula>"value일 미도래"</formula>
    </cfRule>
  </conditionalFormatting>
  <conditionalFormatting sqref="M148:M149">
    <cfRule type="cellIs" dxfId="2657" priority="11358" operator="equal">
      <formula>"value일 미도래"</formula>
    </cfRule>
  </conditionalFormatting>
  <conditionalFormatting sqref="M148:M149">
    <cfRule type="cellIs" dxfId="2656" priority="11357" operator="equal">
      <formula>"value일 미도래"</formula>
    </cfRule>
  </conditionalFormatting>
  <conditionalFormatting sqref="M148:M149">
    <cfRule type="cellIs" dxfId="2655" priority="11356" operator="equal">
      <formula>"value일 미도래"</formula>
    </cfRule>
  </conditionalFormatting>
  <conditionalFormatting sqref="M148:M149">
    <cfRule type="cellIs" dxfId="2654" priority="11355" operator="equal">
      <formula>"value일 미도래"</formula>
    </cfRule>
  </conditionalFormatting>
  <conditionalFormatting sqref="M148:M149">
    <cfRule type="cellIs" dxfId="2653" priority="11354" operator="equal">
      <formula>"value일 미도래"</formula>
    </cfRule>
  </conditionalFormatting>
  <conditionalFormatting sqref="M148:M149">
    <cfRule type="cellIs" dxfId="2652" priority="11353" operator="equal">
      <formula>"value일 미도래"</formula>
    </cfRule>
  </conditionalFormatting>
  <conditionalFormatting sqref="M148:M149">
    <cfRule type="cellIs" dxfId="2651" priority="11352" operator="equal">
      <formula>"value일 미도래"</formula>
    </cfRule>
  </conditionalFormatting>
  <conditionalFormatting sqref="M148:M149">
    <cfRule type="cellIs" dxfId="2650" priority="11351" operator="equal">
      <formula>"value일 미도래"</formula>
    </cfRule>
  </conditionalFormatting>
  <conditionalFormatting sqref="M148">
    <cfRule type="cellIs" dxfId="2649" priority="11350" operator="equal">
      <formula>"value일 미도래"</formula>
    </cfRule>
  </conditionalFormatting>
  <conditionalFormatting sqref="M148">
    <cfRule type="cellIs" dxfId="2648" priority="11349" operator="equal">
      <formula>"value일 미도래"</formula>
    </cfRule>
  </conditionalFormatting>
  <conditionalFormatting sqref="M148">
    <cfRule type="cellIs" dxfId="2647" priority="11348" operator="equal">
      <formula>"value일 미도래"</formula>
    </cfRule>
  </conditionalFormatting>
  <conditionalFormatting sqref="M148">
    <cfRule type="cellIs" dxfId="2646" priority="11347" operator="equal">
      <formula>"value일 미도래"</formula>
    </cfRule>
  </conditionalFormatting>
  <conditionalFormatting sqref="M148">
    <cfRule type="cellIs" dxfId="2645" priority="11346" operator="equal">
      <formula>"value일 미도래"</formula>
    </cfRule>
  </conditionalFormatting>
  <conditionalFormatting sqref="M148">
    <cfRule type="cellIs" dxfId="2644" priority="11345" operator="equal">
      <formula>"value일 미도래"</formula>
    </cfRule>
  </conditionalFormatting>
  <conditionalFormatting sqref="M148">
    <cfRule type="cellIs" dxfId="2643" priority="11343" operator="equal">
      <formula>"value일 미도래"</formula>
    </cfRule>
  </conditionalFormatting>
  <conditionalFormatting sqref="M148">
    <cfRule type="cellIs" dxfId="2642" priority="11342" operator="equal">
      <formula>"value일 미도래"</formula>
    </cfRule>
  </conditionalFormatting>
  <conditionalFormatting sqref="M148">
    <cfRule type="cellIs" dxfId="2641" priority="11341" operator="equal">
      <formula>"value일 미도래"</formula>
    </cfRule>
  </conditionalFormatting>
  <conditionalFormatting sqref="M148">
    <cfRule type="cellIs" dxfId="2640" priority="11340" operator="equal">
      <formula>"value일 미도래"</formula>
    </cfRule>
  </conditionalFormatting>
  <conditionalFormatting sqref="M148">
    <cfRule type="cellIs" dxfId="2639" priority="11339" operator="equal">
      <formula>"value일 미도래"</formula>
    </cfRule>
  </conditionalFormatting>
  <conditionalFormatting sqref="M148">
    <cfRule type="cellIs" dxfId="2638" priority="11338" operator="equal">
      <formula>"value일 미도래"</formula>
    </cfRule>
  </conditionalFormatting>
  <conditionalFormatting sqref="M148">
    <cfRule type="cellIs" dxfId="2637" priority="11337" operator="equal">
      <formula>"value일 미도래"</formula>
    </cfRule>
  </conditionalFormatting>
  <conditionalFormatting sqref="M148">
    <cfRule type="cellIs" dxfId="2636" priority="11336" operator="equal">
      <formula>"value일 미도래"</formula>
    </cfRule>
  </conditionalFormatting>
  <conditionalFormatting sqref="M148">
    <cfRule type="cellIs" dxfId="2635" priority="11334" operator="equal">
      <formula>"value일 미도래"</formula>
    </cfRule>
  </conditionalFormatting>
  <conditionalFormatting sqref="M148">
    <cfRule type="cellIs" dxfId="2634" priority="11333" operator="equal">
      <formula>"value일 미도래"</formula>
    </cfRule>
  </conditionalFormatting>
  <conditionalFormatting sqref="M148">
    <cfRule type="cellIs" dxfId="2633" priority="11332" operator="equal">
      <formula>"value일 미도래"</formula>
    </cfRule>
  </conditionalFormatting>
  <conditionalFormatting sqref="M148">
    <cfRule type="cellIs" dxfId="2632" priority="11331" operator="equal">
      <formula>"value일 미도래"</formula>
    </cfRule>
  </conditionalFormatting>
  <conditionalFormatting sqref="M148">
    <cfRule type="cellIs" dxfId="2631" priority="11330" operator="equal">
      <formula>"value일 미도래"</formula>
    </cfRule>
  </conditionalFormatting>
  <conditionalFormatting sqref="M148">
    <cfRule type="cellIs" dxfId="2630" priority="11329" operator="equal">
      <formula>"value일 미도래"</formula>
    </cfRule>
  </conditionalFormatting>
  <conditionalFormatting sqref="M148">
    <cfRule type="cellIs" dxfId="2629" priority="11328" operator="equal">
      <formula>"value일 미도래"</formula>
    </cfRule>
  </conditionalFormatting>
  <conditionalFormatting sqref="M148">
    <cfRule type="cellIs" dxfId="2628" priority="11327" operator="equal">
      <formula>"value일 미도래"</formula>
    </cfRule>
  </conditionalFormatting>
  <conditionalFormatting sqref="M148">
    <cfRule type="cellIs" dxfId="2627" priority="11326" operator="equal">
      <formula>"value일 미도래"</formula>
    </cfRule>
  </conditionalFormatting>
  <conditionalFormatting sqref="M148">
    <cfRule type="cellIs" dxfId="2626" priority="11325" operator="equal">
      <formula>"value일 미도래"</formula>
    </cfRule>
  </conditionalFormatting>
  <conditionalFormatting sqref="M148">
    <cfRule type="cellIs" dxfId="2625" priority="11324" operator="equal">
      <formula>"value일 미도래"</formula>
    </cfRule>
  </conditionalFormatting>
  <conditionalFormatting sqref="M148">
    <cfRule type="cellIs" dxfId="2624" priority="11322" operator="equal">
      <formula>"value일 미도래"</formula>
    </cfRule>
  </conditionalFormatting>
  <conditionalFormatting sqref="M148">
    <cfRule type="cellIs" dxfId="2623" priority="11321" operator="equal">
      <formula>"value일 미도래"</formula>
    </cfRule>
  </conditionalFormatting>
  <conditionalFormatting sqref="M148">
    <cfRule type="cellIs" dxfId="2622" priority="11320" operator="equal">
      <formula>"value일 미도래"</formula>
    </cfRule>
  </conditionalFormatting>
  <conditionalFormatting sqref="M148">
    <cfRule type="cellIs" dxfId="2621" priority="11319" operator="equal">
      <formula>"value일 미도래"</formula>
    </cfRule>
  </conditionalFormatting>
  <conditionalFormatting sqref="M148">
    <cfRule type="cellIs" dxfId="2620" priority="11318" operator="equal">
      <formula>"value일 미도래"</formula>
    </cfRule>
  </conditionalFormatting>
  <conditionalFormatting sqref="M148">
    <cfRule type="cellIs" dxfId="2619" priority="11317" operator="equal">
      <formula>"value일 미도래"</formula>
    </cfRule>
  </conditionalFormatting>
  <conditionalFormatting sqref="M148">
    <cfRule type="cellIs" dxfId="2618" priority="11316" operator="equal">
      <formula>"value일 미도래"</formula>
    </cfRule>
  </conditionalFormatting>
  <conditionalFormatting sqref="M148">
    <cfRule type="cellIs" dxfId="2617" priority="11315" operator="equal">
      <formula>"value일 미도래"</formula>
    </cfRule>
  </conditionalFormatting>
  <conditionalFormatting sqref="M148">
    <cfRule type="cellIs" dxfId="2616" priority="11314" operator="equal">
      <formula>"value일 미도래"</formula>
    </cfRule>
  </conditionalFormatting>
  <conditionalFormatting sqref="M148">
    <cfRule type="cellIs" dxfId="2615" priority="11313" operator="equal">
      <formula>"value일 미도래"</formula>
    </cfRule>
  </conditionalFormatting>
  <conditionalFormatting sqref="M148">
    <cfRule type="cellIs" dxfId="2614" priority="11312" operator="equal">
      <formula>"value일 미도래"</formula>
    </cfRule>
  </conditionalFormatting>
  <conditionalFormatting sqref="M148">
    <cfRule type="cellIs" dxfId="2613" priority="11310" operator="equal">
      <formula>"value일 미도래"</formula>
    </cfRule>
  </conditionalFormatting>
  <conditionalFormatting sqref="M148">
    <cfRule type="cellIs" dxfId="2612" priority="11309" operator="equal">
      <formula>"value일 미도래"</formula>
    </cfRule>
  </conditionalFormatting>
  <conditionalFormatting sqref="M148">
    <cfRule type="cellIs" dxfId="2611" priority="11308" operator="equal">
      <formula>"value일 미도래"</formula>
    </cfRule>
  </conditionalFormatting>
  <conditionalFormatting sqref="M148">
    <cfRule type="cellIs" dxfId="2610" priority="11307" operator="equal">
      <formula>"value일 미도래"</formula>
    </cfRule>
  </conditionalFormatting>
  <conditionalFormatting sqref="M148">
    <cfRule type="cellIs" dxfId="2609" priority="11306" operator="equal">
      <formula>"value일 미도래"</formula>
    </cfRule>
  </conditionalFormatting>
  <conditionalFormatting sqref="M148">
    <cfRule type="cellIs" dxfId="2608" priority="11305" operator="equal">
      <formula>"value일 미도래"</formula>
    </cfRule>
  </conditionalFormatting>
  <conditionalFormatting sqref="M148">
    <cfRule type="cellIs" dxfId="2607" priority="11304" operator="equal">
      <formula>"value일 미도래"</formula>
    </cfRule>
  </conditionalFormatting>
  <conditionalFormatting sqref="M148">
    <cfRule type="cellIs" dxfId="2606" priority="11303" operator="equal">
      <formula>"value일 미도래"</formula>
    </cfRule>
  </conditionalFormatting>
  <conditionalFormatting sqref="M148">
    <cfRule type="cellIs" dxfId="2605" priority="11302" operator="equal">
      <formula>"value일 미도래"</formula>
    </cfRule>
  </conditionalFormatting>
  <conditionalFormatting sqref="M148">
    <cfRule type="cellIs" dxfId="2604" priority="11301" operator="equal">
      <formula>"value일 미도래"</formula>
    </cfRule>
  </conditionalFormatting>
  <conditionalFormatting sqref="M148">
    <cfRule type="cellIs" dxfId="2603" priority="11300" operator="equal">
      <formula>"value일 미도래"</formula>
    </cfRule>
  </conditionalFormatting>
  <conditionalFormatting sqref="M148">
    <cfRule type="cellIs" dxfId="2602" priority="11299" operator="equal">
      <formula>"value일 미도래"</formula>
    </cfRule>
  </conditionalFormatting>
  <conditionalFormatting sqref="M148">
    <cfRule type="cellIs" dxfId="2601" priority="11298" operator="equal">
      <formula>"value일 미도래"</formula>
    </cfRule>
  </conditionalFormatting>
  <conditionalFormatting sqref="M148">
    <cfRule type="cellIs" dxfId="2600" priority="11297" operator="equal">
      <formula>"value일 미도래"</formula>
    </cfRule>
  </conditionalFormatting>
  <conditionalFormatting sqref="M148">
    <cfRule type="cellIs" dxfId="2599" priority="11296" operator="equal">
      <formula>"value일 미도래"</formula>
    </cfRule>
  </conditionalFormatting>
  <conditionalFormatting sqref="M148">
    <cfRule type="cellIs" dxfId="2598" priority="11295" operator="equal">
      <formula>"value일 미도래"</formula>
    </cfRule>
  </conditionalFormatting>
  <conditionalFormatting sqref="M148">
    <cfRule type="cellIs" dxfId="2597" priority="11294" operator="equal">
      <formula>"value일 미도래"</formula>
    </cfRule>
  </conditionalFormatting>
  <conditionalFormatting sqref="M148">
    <cfRule type="cellIs" dxfId="2596" priority="11293" operator="equal">
      <formula>"value일 미도래"</formula>
    </cfRule>
  </conditionalFormatting>
  <conditionalFormatting sqref="M148">
    <cfRule type="cellIs" dxfId="2595" priority="11292" operator="equal">
      <formula>"value일 미도래"</formula>
    </cfRule>
  </conditionalFormatting>
  <conditionalFormatting sqref="M148">
    <cfRule type="cellIs" dxfId="2594" priority="11291" operator="equal">
      <formula>"value일 미도래"</formula>
    </cfRule>
  </conditionalFormatting>
  <conditionalFormatting sqref="M148">
    <cfRule type="cellIs" dxfId="2593" priority="11290" operator="equal">
      <formula>"value일 미도래"</formula>
    </cfRule>
  </conditionalFormatting>
  <conditionalFormatting sqref="M148">
    <cfRule type="cellIs" dxfId="2592" priority="11289" operator="equal">
      <formula>"value일 미도래"</formula>
    </cfRule>
  </conditionalFormatting>
  <conditionalFormatting sqref="M148">
    <cfRule type="cellIs" dxfId="2591" priority="11288" operator="equal">
      <formula>"value일 미도래"</formula>
    </cfRule>
  </conditionalFormatting>
  <conditionalFormatting sqref="M148">
    <cfRule type="cellIs" dxfId="2590" priority="11287" operator="equal">
      <formula>"value일 미도래"</formula>
    </cfRule>
  </conditionalFormatting>
  <conditionalFormatting sqref="M148">
    <cfRule type="cellIs" dxfId="2589" priority="11286" operator="equal">
      <formula>"value일 미도래"</formula>
    </cfRule>
  </conditionalFormatting>
  <conditionalFormatting sqref="M148">
    <cfRule type="cellIs" dxfId="2588" priority="11285" operator="equal">
      <formula>"value일 미도래"</formula>
    </cfRule>
  </conditionalFormatting>
  <conditionalFormatting sqref="M148">
    <cfRule type="cellIs" dxfId="2587" priority="11284" operator="equal">
      <formula>"value일 미도래"</formula>
    </cfRule>
  </conditionalFormatting>
  <conditionalFormatting sqref="M148">
    <cfRule type="cellIs" dxfId="2586" priority="11282" operator="equal">
      <formula>"value일 미도래"</formula>
    </cfRule>
  </conditionalFormatting>
  <conditionalFormatting sqref="M148">
    <cfRule type="cellIs" dxfId="2585" priority="11281" operator="equal">
      <formula>"value일 미도래"</formula>
    </cfRule>
  </conditionalFormatting>
  <conditionalFormatting sqref="M148">
    <cfRule type="cellIs" dxfId="2584" priority="11280" operator="equal">
      <formula>"value일 미도래"</formula>
    </cfRule>
  </conditionalFormatting>
  <conditionalFormatting sqref="M148">
    <cfRule type="cellIs" dxfId="2583" priority="11279" operator="equal">
      <formula>"value일 미도래"</formula>
    </cfRule>
  </conditionalFormatting>
  <conditionalFormatting sqref="M148">
    <cfRule type="cellIs" dxfId="2582" priority="11278" operator="equal">
      <formula>"value일 미도래"</formula>
    </cfRule>
  </conditionalFormatting>
  <conditionalFormatting sqref="M148">
    <cfRule type="cellIs" dxfId="2581" priority="11277" operator="equal">
      <formula>"value일 미도래"</formula>
    </cfRule>
  </conditionalFormatting>
  <conditionalFormatting sqref="M148">
    <cfRule type="cellIs" dxfId="2580" priority="11276" operator="equal">
      <formula>"value일 미도래"</formula>
    </cfRule>
  </conditionalFormatting>
  <conditionalFormatting sqref="M148">
    <cfRule type="cellIs" dxfId="2579" priority="11275" operator="equal">
      <formula>"value일 미도래"</formula>
    </cfRule>
  </conditionalFormatting>
  <conditionalFormatting sqref="M148">
    <cfRule type="cellIs" dxfId="2578" priority="11273" operator="equal">
      <formula>"value일 미도래"</formula>
    </cfRule>
  </conditionalFormatting>
  <conditionalFormatting sqref="M148">
    <cfRule type="cellIs" dxfId="2577" priority="11272" operator="equal">
      <formula>"value일 미도래"</formula>
    </cfRule>
  </conditionalFormatting>
  <conditionalFormatting sqref="M148">
    <cfRule type="cellIs" dxfId="2576" priority="11271" operator="equal">
      <formula>"value일 미도래"</formula>
    </cfRule>
  </conditionalFormatting>
  <conditionalFormatting sqref="M148">
    <cfRule type="cellIs" dxfId="2575" priority="11270" operator="equal">
      <formula>"value일 미도래"</formula>
    </cfRule>
  </conditionalFormatting>
  <conditionalFormatting sqref="M148">
    <cfRule type="cellIs" dxfId="2574" priority="11269" operator="equal">
      <formula>"value일 미도래"</formula>
    </cfRule>
  </conditionalFormatting>
  <conditionalFormatting sqref="M148">
    <cfRule type="cellIs" dxfId="2573" priority="11268" operator="equal">
      <formula>"value일 미도래"</formula>
    </cfRule>
  </conditionalFormatting>
  <conditionalFormatting sqref="M148">
    <cfRule type="cellIs" dxfId="2572" priority="11267" operator="equal">
      <formula>"value일 미도래"</formula>
    </cfRule>
  </conditionalFormatting>
  <conditionalFormatting sqref="M148">
    <cfRule type="cellIs" dxfId="2571" priority="11266" operator="equal">
      <formula>"value일 미도래"</formula>
    </cfRule>
  </conditionalFormatting>
  <conditionalFormatting sqref="M148">
    <cfRule type="cellIs" dxfId="2570" priority="11265" operator="equal">
      <formula>"value일 미도래"</formula>
    </cfRule>
  </conditionalFormatting>
  <conditionalFormatting sqref="M148">
    <cfRule type="cellIs" dxfId="2569" priority="11264" operator="equal">
      <formula>"value일 미도래"</formula>
    </cfRule>
  </conditionalFormatting>
  <conditionalFormatting sqref="M148">
    <cfRule type="cellIs" dxfId="2568" priority="11263" operator="equal">
      <formula>"value일 미도래"</formula>
    </cfRule>
  </conditionalFormatting>
  <conditionalFormatting sqref="M148">
    <cfRule type="cellIs" dxfId="2567" priority="11261" operator="equal">
      <formula>"value일 미도래"</formula>
    </cfRule>
  </conditionalFormatting>
  <conditionalFormatting sqref="M148">
    <cfRule type="cellIs" dxfId="2566" priority="11260" operator="equal">
      <formula>"value일 미도래"</formula>
    </cfRule>
  </conditionalFormatting>
  <conditionalFormatting sqref="M148">
    <cfRule type="cellIs" dxfId="2565" priority="11259" operator="equal">
      <formula>"value일 미도래"</formula>
    </cfRule>
  </conditionalFormatting>
  <conditionalFormatting sqref="M148">
    <cfRule type="cellIs" dxfId="2564" priority="11258" operator="equal">
      <formula>"value일 미도래"</formula>
    </cfRule>
  </conditionalFormatting>
  <conditionalFormatting sqref="M148">
    <cfRule type="cellIs" dxfId="2563" priority="11257" operator="equal">
      <formula>"value일 미도래"</formula>
    </cfRule>
  </conditionalFormatting>
  <conditionalFormatting sqref="M148">
    <cfRule type="cellIs" dxfId="2562" priority="11256" operator="equal">
      <formula>"value일 미도래"</formula>
    </cfRule>
  </conditionalFormatting>
  <conditionalFormatting sqref="M148">
    <cfRule type="cellIs" dxfId="2561" priority="11255" operator="equal">
      <formula>"value일 미도래"</formula>
    </cfRule>
  </conditionalFormatting>
  <conditionalFormatting sqref="M148">
    <cfRule type="cellIs" dxfId="2560" priority="11254" operator="equal">
      <formula>"value일 미도래"</formula>
    </cfRule>
  </conditionalFormatting>
  <conditionalFormatting sqref="M148">
    <cfRule type="cellIs" dxfId="2559" priority="11253" operator="equal">
      <formula>"value일 미도래"</formula>
    </cfRule>
  </conditionalFormatting>
  <conditionalFormatting sqref="M148">
    <cfRule type="cellIs" dxfId="2558" priority="11252" operator="equal">
      <formula>"value일 미도래"</formula>
    </cfRule>
  </conditionalFormatting>
  <conditionalFormatting sqref="M148">
    <cfRule type="cellIs" dxfId="2557" priority="11251" operator="equal">
      <formula>"value일 미도래"</formula>
    </cfRule>
  </conditionalFormatting>
  <conditionalFormatting sqref="M148">
    <cfRule type="cellIs" dxfId="2556" priority="11249" operator="equal">
      <formula>"value일 미도래"</formula>
    </cfRule>
  </conditionalFormatting>
  <conditionalFormatting sqref="M148">
    <cfRule type="cellIs" dxfId="2555" priority="11248" operator="equal">
      <formula>"value일 미도래"</formula>
    </cfRule>
  </conditionalFormatting>
  <conditionalFormatting sqref="M148">
    <cfRule type="cellIs" dxfId="2554" priority="11247" operator="equal">
      <formula>"value일 미도래"</formula>
    </cfRule>
  </conditionalFormatting>
  <conditionalFormatting sqref="M148">
    <cfRule type="cellIs" dxfId="2553" priority="11246" operator="equal">
      <formula>"value일 미도래"</formula>
    </cfRule>
  </conditionalFormatting>
  <conditionalFormatting sqref="M148">
    <cfRule type="cellIs" dxfId="2552" priority="11245" operator="equal">
      <formula>"value일 미도래"</formula>
    </cfRule>
  </conditionalFormatting>
  <conditionalFormatting sqref="M148">
    <cfRule type="cellIs" dxfId="2551" priority="11244" operator="equal">
      <formula>"value일 미도래"</formula>
    </cfRule>
  </conditionalFormatting>
  <conditionalFormatting sqref="M148">
    <cfRule type="cellIs" dxfId="2550" priority="11243" operator="equal">
      <formula>"value일 미도래"</formula>
    </cfRule>
  </conditionalFormatting>
  <conditionalFormatting sqref="M148">
    <cfRule type="cellIs" dxfId="2549" priority="11242" operator="equal">
      <formula>"value일 미도래"</formula>
    </cfRule>
  </conditionalFormatting>
  <conditionalFormatting sqref="M148">
    <cfRule type="cellIs" dxfId="2548" priority="11241" operator="equal">
      <formula>"value일 미도래"</formula>
    </cfRule>
  </conditionalFormatting>
  <conditionalFormatting sqref="M148">
    <cfRule type="cellIs" dxfId="2547" priority="11240" operator="equal">
      <formula>"value일 미도래"</formula>
    </cfRule>
  </conditionalFormatting>
  <conditionalFormatting sqref="M148">
    <cfRule type="cellIs" dxfId="2546" priority="11239" operator="equal">
      <formula>"value일 미도래"</formula>
    </cfRule>
  </conditionalFormatting>
  <conditionalFormatting sqref="M148">
    <cfRule type="cellIs" dxfId="2545" priority="11238" operator="equal">
      <formula>"value일 미도래"</formula>
    </cfRule>
  </conditionalFormatting>
  <conditionalFormatting sqref="M148">
    <cfRule type="cellIs" dxfId="2544" priority="11237" operator="equal">
      <formula>"value일 미도래"</formula>
    </cfRule>
  </conditionalFormatting>
  <conditionalFormatting sqref="M148">
    <cfRule type="cellIs" dxfId="2543" priority="11236" operator="equal">
      <formula>"value일 미도래"</formula>
    </cfRule>
  </conditionalFormatting>
  <conditionalFormatting sqref="M148">
    <cfRule type="cellIs" dxfId="2542" priority="11234" operator="equal">
      <formula>"value일 미도래"</formula>
    </cfRule>
  </conditionalFormatting>
  <conditionalFormatting sqref="M148">
    <cfRule type="cellIs" dxfId="2541" priority="11233" operator="equal">
      <formula>"value일 미도래"</formula>
    </cfRule>
  </conditionalFormatting>
  <conditionalFormatting sqref="M148">
    <cfRule type="cellIs" dxfId="2540" priority="11232" operator="equal">
      <formula>"value일 미도래"</formula>
    </cfRule>
  </conditionalFormatting>
  <conditionalFormatting sqref="M148">
    <cfRule type="cellIs" dxfId="2539" priority="11231" operator="equal">
      <formula>"value일 미도래"</formula>
    </cfRule>
  </conditionalFormatting>
  <conditionalFormatting sqref="M148">
    <cfRule type="cellIs" dxfId="2538" priority="11230" operator="equal">
      <formula>"value일 미도래"</formula>
    </cfRule>
  </conditionalFormatting>
  <conditionalFormatting sqref="M148">
    <cfRule type="cellIs" dxfId="2537" priority="11229" operator="equal">
      <formula>"value일 미도래"</formula>
    </cfRule>
  </conditionalFormatting>
  <conditionalFormatting sqref="M148">
    <cfRule type="cellIs" dxfId="2536" priority="11228" operator="equal">
      <formula>"value일 미도래"</formula>
    </cfRule>
  </conditionalFormatting>
  <conditionalFormatting sqref="M148">
    <cfRule type="cellIs" dxfId="2535" priority="11227" operator="equal">
      <formula>"value일 미도래"</formula>
    </cfRule>
  </conditionalFormatting>
  <conditionalFormatting sqref="M148">
    <cfRule type="cellIs" dxfId="2534" priority="11226" operator="equal">
      <formula>"value일 미도래"</formula>
    </cfRule>
  </conditionalFormatting>
  <conditionalFormatting sqref="M148">
    <cfRule type="cellIs" dxfId="2533" priority="11225" operator="equal">
      <formula>"value일 미도래"</formula>
    </cfRule>
  </conditionalFormatting>
  <conditionalFormatting sqref="M148">
    <cfRule type="cellIs" dxfId="2532" priority="11224" operator="equal">
      <formula>"value일 미도래"</formula>
    </cfRule>
  </conditionalFormatting>
  <conditionalFormatting sqref="M148">
    <cfRule type="cellIs" dxfId="2531" priority="11223" operator="equal">
      <formula>"value일 미도래"</formula>
    </cfRule>
  </conditionalFormatting>
  <conditionalFormatting sqref="M148">
    <cfRule type="cellIs" dxfId="2530" priority="11222" operator="equal">
      <formula>"value일 미도래"</formula>
    </cfRule>
  </conditionalFormatting>
  <conditionalFormatting sqref="M148">
    <cfRule type="cellIs" dxfId="2529" priority="11221" operator="equal">
      <formula>"value일 미도래"</formula>
    </cfRule>
  </conditionalFormatting>
  <conditionalFormatting sqref="M148">
    <cfRule type="cellIs" dxfId="2528" priority="11220" operator="equal">
      <formula>"value일 미도래"</formula>
    </cfRule>
  </conditionalFormatting>
  <conditionalFormatting sqref="M148">
    <cfRule type="cellIs" dxfId="2527" priority="11219" operator="equal">
      <formula>"value일 미도래"</formula>
    </cfRule>
  </conditionalFormatting>
  <conditionalFormatting sqref="M148">
    <cfRule type="cellIs" dxfId="2526" priority="11218" operator="equal">
      <formula>"value일 미도래"</formula>
    </cfRule>
  </conditionalFormatting>
  <conditionalFormatting sqref="M148">
    <cfRule type="cellIs" dxfId="2525" priority="11217" operator="equal">
      <formula>"value일 미도래"</formula>
    </cfRule>
  </conditionalFormatting>
  <conditionalFormatting sqref="M148">
    <cfRule type="cellIs" dxfId="2524" priority="11216" operator="equal">
      <formula>"value일 미도래"</formula>
    </cfRule>
  </conditionalFormatting>
  <conditionalFormatting sqref="M148">
    <cfRule type="cellIs" dxfId="2523" priority="11215" operator="equal">
      <formula>"value일 미도래"</formula>
    </cfRule>
  </conditionalFormatting>
  <conditionalFormatting sqref="M148">
    <cfRule type="cellIs" dxfId="2522" priority="11213" operator="equal">
      <formula>"value일 미도래"</formula>
    </cfRule>
  </conditionalFormatting>
  <conditionalFormatting sqref="M148">
    <cfRule type="cellIs" dxfId="2521" priority="11212" operator="equal">
      <formula>"value일 미도래"</formula>
    </cfRule>
  </conditionalFormatting>
  <conditionalFormatting sqref="M148">
    <cfRule type="cellIs" dxfId="2520" priority="11211" operator="equal">
      <formula>"value일 미도래"</formula>
    </cfRule>
  </conditionalFormatting>
  <conditionalFormatting sqref="M148">
    <cfRule type="cellIs" dxfId="2519" priority="11210" operator="equal">
      <formula>"value일 미도래"</formula>
    </cfRule>
  </conditionalFormatting>
  <conditionalFormatting sqref="M148">
    <cfRule type="cellIs" dxfId="2518" priority="11209" operator="equal">
      <formula>"value일 미도래"</formula>
    </cfRule>
  </conditionalFormatting>
  <conditionalFormatting sqref="M148">
    <cfRule type="cellIs" dxfId="2517" priority="11208" operator="equal">
      <formula>"value일 미도래"</formula>
    </cfRule>
  </conditionalFormatting>
  <conditionalFormatting sqref="M148">
    <cfRule type="cellIs" dxfId="2516" priority="11207" operator="equal">
      <formula>"value일 미도래"</formula>
    </cfRule>
  </conditionalFormatting>
  <conditionalFormatting sqref="M148">
    <cfRule type="cellIs" dxfId="2515" priority="11206" operator="equal">
      <formula>"value일 미도래"</formula>
    </cfRule>
  </conditionalFormatting>
  <conditionalFormatting sqref="M148">
    <cfRule type="cellIs" dxfId="2514" priority="11205" operator="equal">
      <formula>"value일 미도래"</formula>
    </cfRule>
  </conditionalFormatting>
  <conditionalFormatting sqref="M148">
    <cfRule type="cellIs" dxfId="2513" priority="11204" operator="equal">
      <formula>"value일 미도래"</formula>
    </cfRule>
  </conditionalFormatting>
  <conditionalFormatting sqref="M148">
    <cfRule type="cellIs" dxfId="2512" priority="11203" operator="equal">
      <formula>"value일 미도래"</formula>
    </cfRule>
  </conditionalFormatting>
  <conditionalFormatting sqref="M148">
    <cfRule type="cellIs" dxfId="2511" priority="11202" operator="equal">
      <formula>"value일 미도래"</formula>
    </cfRule>
  </conditionalFormatting>
  <conditionalFormatting sqref="M148">
    <cfRule type="cellIs" dxfId="2510" priority="11195" operator="equal">
      <formula>"value일 미도래"</formula>
    </cfRule>
  </conditionalFormatting>
  <conditionalFormatting sqref="M148">
    <cfRule type="cellIs" dxfId="2509" priority="11194" operator="equal">
      <formula>"value일 미도래"</formula>
    </cfRule>
  </conditionalFormatting>
  <conditionalFormatting sqref="M149:M150">
    <cfRule type="cellIs" dxfId="2508" priority="11193" operator="equal">
      <formula>"value일 미도래"</formula>
    </cfRule>
  </conditionalFormatting>
  <conditionalFormatting sqref="M149:M150">
    <cfRule type="cellIs" dxfId="2507" priority="11192" operator="equal">
      <formula>"value일 미도래"</formula>
    </cfRule>
  </conditionalFormatting>
  <conditionalFormatting sqref="M149:M150">
    <cfRule type="cellIs" dxfId="2506" priority="11191" operator="equal">
      <formula>"value일 미도래"</formula>
    </cfRule>
  </conditionalFormatting>
  <conditionalFormatting sqref="M148">
    <cfRule type="cellIs" dxfId="2505" priority="11190" operator="equal">
      <formula>"value일 미도래"</formula>
    </cfRule>
  </conditionalFormatting>
  <conditionalFormatting sqref="M148">
    <cfRule type="cellIs" dxfId="2504" priority="11189" operator="equal">
      <formula>"value일 미도래"</formula>
    </cfRule>
  </conditionalFormatting>
  <conditionalFormatting sqref="M148">
    <cfRule type="cellIs" dxfId="2503" priority="11188" operator="equal">
      <formula>"value일 미도래"</formula>
    </cfRule>
  </conditionalFormatting>
  <conditionalFormatting sqref="M148">
    <cfRule type="cellIs" dxfId="2502" priority="11187" operator="equal">
      <formula>"value일 미도래"</formula>
    </cfRule>
  </conditionalFormatting>
  <conditionalFormatting sqref="M148">
    <cfRule type="cellIs" dxfId="2501" priority="11186" operator="equal">
      <formula>"value일 미도래"</formula>
    </cfRule>
  </conditionalFormatting>
  <conditionalFormatting sqref="M148">
    <cfRule type="cellIs" dxfId="2500" priority="11185" operator="equal">
      <formula>"value일 미도래"</formula>
    </cfRule>
  </conditionalFormatting>
  <conditionalFormatting sqref="M148">
    <cfRule type="cellIs" dxfId="2499" priority="11184" operator="equal">
      <formula>"value일 미도래"</formula>
    </cfRule>
  </conditionalFormatting>
  <conditionalFormatting sqref="M148">
    <cfRule type="cellIs" dxfId="2498" priority="11183" operator="equal">
      <formula>"value일 미도래"</formula>
    </cfRule>
  </conditionalFormatting>
  <conditionalFormatting sqref="M148">
    <cfRule type="cellIs" dxfId="2497" priority="11182" operator="equal">
      <formula>"value일 미도래"</formula>
    </cfRule>
  </conditionalFormatting>
  <conditionalFormatting sqref="M148">
    <cfRule type="cellIs" dxfId="2496" priority="11180" operator="equal">
      <formula>"value일 미도래"</formula>
    </cfRule>
  </conditionalFormatting>
  <conditionalFormatting sqref="M148">
    <cfRule type="cellIs" dxfId="2495" priority="11179" operator="equal">
      <formula>"value일 미도래"</formula>
    </cfRule>
  </conditionalFormatting>
  <conditionalFormatting sqref="M148">
    <cfRule type="cellIs" dxfId="2494" priority="11178" operator="equal">
      <formula>"value일 미도래"</formula>
    </cfRule>
  </conditionalFormatting>
  <conditionalFormatting sqref="M148">
    <cfRule type="cellIs" dxfId="2493" priority="11177" operator="equal">
      <formula>"value일 미도래"</formula>
    </cfRule>
  </conditionalFormatting>
  <conditionalFormatting sqref="M148">
    <cfRule type="cellIs" dxfId="2492" priority="11176" operator="equal">
      <formula>"value일 미도래"</formula>
    </cfRule>
  </conditionalFormatting>
  <conditionalFormatting sqref="M148">
    <cfRule type="cellIs" dxfId="2491" priority="11175" operator="equal">
      <formula>"value일 미도래"</formula>
    </cfRule>
  </conditionalFormatting>
  <conditionalFormatting sqref="M148">
    <cfRule type="cellIs" dxfId="2490" priority="11174" operator="equal">
      <formula>"value일 미도래"</formula>
    </cfRule>
  </conditionalFormatting>
  <conditionalFormatting sqref="M148">
    <cfRule type="cellIs" dxfId="2489" priority="11173" operator="equal">
      <formula>"value일 미도래"</formula>
    </cfRule>
  </conditionalFormatting>
  <conditionalFormatting sqref="M148">
    <cfRule type="cellIs" dxfId="2488" priority="11172" operator="equal">
      <formula>"value일 미도래"</formula>
    </cfRule>
  </conditionalFormatting>
  <conditionalFormatting sqref="M149:M150">
    <cfRule type="cellIs" dxfId="2487" priority="11171" operator="equal">
      <formula>"value일 미도래"</formula>
    </cfRule>
  </conditionalFormatting>
  <conditionalFormatting sqref="M149:M150">
    <cfRule type="cellIs" dxfId="2486" priority="11170" operator="equal">
      <formula>"value일 미도래"</formula>
    </cfRule>
  </conditionalFormatting>
  <conditionalFormatting sqref="M149:M150">
    <cfRule type="cellIs" dxfId="2485" priority="11169" operator="equal">
      <formula>"value일 미도래"</formula>
    </cfRule>
  </conditionalFormatting>
  <conditionalFormatting sqref="M149:M150">
    <cfRule type="cellIs" dxfId="2484" priority="11168" operator="equal">
      <formula>"value일 미도래"</formula>
    </cfRule>
  </conditionalFormatting>
  <conditionalFormatting sqref="M148">
    <cfRule type="cellIs" dxfId="2483" priority="11167" operator="equal">
      <formula>"value일 미도래"</formula>
    </cfRule>
  </conditionalFormatting>
  <conditionalFormatting sqref="M148">
    <cfRule type="cellIs" dxfId="2482" priority="11166" operator="equal">
      <formula>"value일 미도래"</formula>
    </cfRule>
  </conditionalFormatting>
  <conditionalFormatting sqref="M148">
    <cfRule type="cellIs" dxfId="2481" priority="11165" operator="equal">
      <formula>"value일 미도래"</formula>
    </cfRule>
  </conditionalFormatting>
  <conditionalFormatting sqref="M148">
    <cfRule type="cellIs" dxfId="2480" priority="11164" operator="equal">
      <formula>"value일 미도래"</formula>
    </cfRule>
  </conditionalFormatting>
  <conditionalFormatting sqref="M148">
    <cfRule type="cellIs" dxfId="2479" priority="11163" operator="equal">
      <formula>"value일 미도래"</formula>
    </cfRule>
  </conditionalFormatting>
  <conditionalFormatting sqref="M148">
    <cfRule type="cellIs" dxfId="2478" priority="11162" operator="equal">
      <formula>"value일 미도래"</formula>
    </cfRule>
  </conditionalFormatting>
  <conditionalFormatting sqref="M148">
    <cfRule type="cellIs" dxfId="2477" priority="11161" operator="equal">
      <formula>"value일 미도래"</formula>
    </cfRule>
  </conditionalFormatting>
  <conditionalFormatting sqref="M148">
    <cfRule type="cellIs" dxfId="2476" priority="11160" operator="equal">
      <formula>"value일 미도래"</formula>
    </cfRule>
  </conditionalFormatting>
  <conditionalFormatting sqref="M148">
    <cfRule type="cellIs" dxfId="2475" priority="11159" operator="equal">
      <formula>"value일 미도래"</formula>
    </cfRule>
  </conditionalFormatting>
  <conditionalFormatting sqref="M148">
    <cfRule type="cellIs" dxfId="2474" priority="11158" operator="equal">
      <formula>"value일 미도래"</formula>
    </cfRule>
  </conditionalFormatting>
  <conditionalFormatting sqref="M148:M149">
    <cfRule type="cellIs" dxfId="2473" priority="11157" operator="equal">
      <formula>"value일 미도래"</formula>
    </cfRule>
  </conditionalFormatting>
  <conditionalFormatting sqref="M148:M149">
    <cfRule type="cellIs" dxfId="2472" priority="11156" operator="equal">
      <formula>"value일 미도래"</formula>
    </cfRule>
  </conditionalFormatting>
  <conditionalFormatting sqref="M148:M149">
    <cfRule type="cellIs" dxfId="2471" priority="11155" operator="equal">
      <formula>"value일 미도래"</formula>
    </cfRule>
  </conditionalFormatting>
  <conditionalFormatting sqref="M148:M149">
    <cfRule type="cellIs" dxfId="2470" priority="11154" operator="equal">
      <formula>"value일 미도래"</formula>
    </cfRule>
  </conditionalFormatting>
  <conditionalFormatting sqref="M148:M149">
    <cfRule type="cellIs" dxfId="2469" priority="11153" operator="equal">
      <formula>"value일 미도래"</formula>
    </cfRule>
  </conditionalFormatting>
  <conditionalFormatting sqref="M148:M149">
    <cfRule type="cellIs" dxfId="2468" priority="11152" operator="equal">
      <formula>"value일 미도래"</formula>
    </cfRule>
  </conditionalFormatting>
  <conditionalFormatting sqref="M148:M149">
    <cfRule type="cellIs" dxfId="2467" priority="11150" operator="equal">
      <formula>"value일 미도래"</formula>
    </cfRule>
  </conditionalFormatting>
  <conditionalFormatting sqref="M148:M149">
    <cfRule type="cellIs" dxfId="2466" priority="11149" operator="equal">
      <formula>"value일 미도래"</formula>
    </cfRule>
  </conditionalFormatting>
  <conditionalFormatting sqref="M148:M149">
    <cfRule type="cellIs" dxfId="2465" priority="11148" operator="equal">
      <formula>"value일 미도래"</formula>
    </cfRule>
  </conditionalFormatting>
  <conditionalFormatting sqref="M148:M149">
    <cfRule type="cellIs" dxfId="2464" priority="11147" operator="equal">
      <formula>"value일 미도래"</formula>
    </cfRule>
  </conditionalFormatting>
  <conditionalFormatting sqref="M148:M149">
    <cfRule type="cellIs" dxfId="2463" priority="11146" operator="equal">
      <formula>"value일 미도래"</formula>
    </cfRule>
  </conditionalFormatting>
  <conditionalFormatting sqref="M148:M149">
    <cfRule type="cellIs" dxfId="2462" priority="11145" operator="equal">
      <formula>"value일 미도래"</formula>
    </cfRule>
  </conditionalFormatting>
  <conditionalFormatting sqref="M148:M149">
    <cfRule type="cellIs" dxfId="2461" priority="11144" operator="equal">
      <formula>"value일 미도래"</formula>
    </cfRule>
  </conditionalFormatting>
  <conditionalFormatting sqref="M148:M149">
    <cfRule type="cellIs" dxfId="2460" priority="11143" operator="equal">
      <formula>"value일 미도래"</formula>
    </cfRule>
  </conditionalFormatting>
  <conditionalFormatting sqref="M148:M149">
    <cfRule type="cellIs" dxfId="2459" priority="11141" operator="equal">
      <formula>"value일 미도래"</formula>
    </cfRule>
  </conditionalFormatting>
  <conditionalFormatting sqref="M148:M149">
    <cfRule type="cellIs" dxfId="2458" priority="11140" operator="equal">
      <formula>"value일 미도래"</formula>
    </cfRule>
  </conditionalFormatting>
  <conditionalFormatting sqref="M148:M149">
    <cfRule type="cellIs" dxfId="2457" priority="11139" operator="equal">
      <formula>"value일 미도래"</formula>
    </cfRule>
  </conditionalFormatting>
  <conditionalFormatting sqref="M148:M149">
    <cfRule type="cellIs" dxfId="2456" priority="11138" operator="equal">
      <formula>"value일 미도래"</formula>
    </cfRule>
  </conditionalFormatting>
  <conditionalFormatting sqref="M148:M149">
    <cfRule type="cellIs" dxfId="2455" priority="11137" operator="equal">
      <formula>"value일 미도래"</formula>
    </cfRule>
  </conditionalFormatting>
  <conditionalFormatting sqref="M148:M149">
    <cfRule type="cellIs" dxfId="2454" priority="11136" operator="equal">
      <formula>"value일 미도래"</formula>
    </cfRule>
  </conditionalFormatting>
  <conditionalFormatting sqref="M148:M149">
    <cfRule type="cellIs" dxfId="2453" priority="11135" operator="equal">
      <formula>"value일 미도래"</formula>
    </cfRule>
  </conditionalFormatting>
  <conditionalFormatting sqref="M148:M149">
    <cfRule type="cellIs" dxfId="2452" priority="11134" operator="equal">
      <formula>"value일 미도래"</formula>
    </cfRule>
  </conditionalFormatting>
  <conditionalFormatting sqref="M148:M149">
    <cfRule type="cellIs" dxfId="2451" priority="11133" operator="equal">
      <formula>"value일 미도래"</formula>
    </cfRule>
  </conditionalFormatting>
  <conditionalFormatting sqref="M148:M149">
    <cfRule type="cellIs" dxfId="2450" priority="11132" operator="equal">
      <formula>"value일 미도래"</formula>
    </cfRule>
  </conditionalFormatting>
  <conditionalFormatting sqref="M148:M149">
    <cfRule type="cellIs" dxfId="2449" priority="11131" operator="equal">
      <formula>"value일 미도래"</formula>
    </cfRule>
  </conditionalFormatting>
  <conditionalFormatting sqref="M148:M149">
    <cfRule type="cellIs" dxfId="2448" priority="11129" operator="equal">
      <formula>"value일 미도래"</formula>
    </cfRule>
  </conditionalFormatting>
  <conditionalFormatting sqref="M148:M149">
    <cfRule type="cellIs" dxfId="2447" priority="11128" operator="equal">
      <formula>"value일 미도래"</formula>
    </cfRule>
  </conditionalFormatting>
  <conditionalFormatting sqref="M148:M149">
    <cfRule type="cellIs" dxfId="2446" priority="11127" operator="equal">
      <formula>"value일 미도래"</formula>
    </cfRule>
  </conditionalFormatting>
  <conditionalFormatting sqref="M148:M149">
    <cfRule type="cellIs" dxfId="2445" priority="11126" operator="equal">
      <formula>"value일 미도래"</formula>
    </cfRule>
  </conditionalFormatting>
  <conditionalFormatting sqref="M148:M149">
    <cfRule type="cellIs" dxfId="2444" priority="11125" operator="equal">
      <formula>"value일 미도래"</formula>
    </cfRule>
  </conditionalFormatting>
  <conditionalFormatting sqref="M148:M149">
    <cfRule type="cellIs" dxfId="2443" priority="11124" operator="equal">
      <formula>"value일 미도래"</formula>
    </cfRule>
  </conditionalFormatting>
  <conditionalFormatting sqref="M148:M149">
    <cfRule type="cellIs" dxfId="2442" priority="11123" operator="equal">
      <formula>"value일 미도래"</formula>
    </cfRule>
  </conditionalFormatting>
  <conditionalFormatting sqref="M148:M149">
    <cfRule type="cellIs" dxfId="2441" priority="11122" operator="equal">
      <formula>"value일 미도래"</formula>
    </cfRule>
  </conditionalFormatting>
  <conditionalFormatting sqref="M148:M149">
    <cfRule type="cellIs" dxfId="2440" priority="11121" operator="equal">
      <formula>"value일 미도래"</formula>
    </cfRule>
  </conditionalFormatting>
  <conditionalFormatting sqref="M148:M149">
    <cfRule type="cellIs" dxfId="2439" priority="11120" operator="equal">
      <formula>"value일 미도래"</formula>
    </cfRule>
  </conditionalFormatting>
  <conditionalFormatting sqref="M148:M149">
    <cfRule type="cellIs" dxfId="2438" priority="11119" operator="equal">
      <formula>"value일 미도래"</formula>
    </cfRule>
  </conditionalFormatting>
  <conditionalFormatting sqref="M148:M149">
    <cfRule type="cellIs" dxfId="2437" priority="11117" operator="equal">
      <formula>"value일 미도래"</formula>
    </cfRule>
  </conditionalFormatting>
  <conditionalFormatting sqref="M148:M149">
    <cfRule type="cellIs" dxfId="2436" priority="11116" operator="equal">
      <formula>"value일 미도래"</formula>
    </cfRule>
  </conditionalFormatting>
  <conditionalFormatting sqref="M148:M149">
    <cfRule type="cellIs" dxfId="2435" priority="11115" operator="equal">
      <formula>"value일 미도래"</formula>
    </cfRule>
  </conditionalFormatting>
  <conditionalFormatting sqref="M148:M149">
    <cfRule type="cellIs" dxfId="2434" priority="11114" operator="equal">
      <formula>"value일 미도래"</formula>
    </cfRule>
  </conditionalFormatting>
  <conditionalFormatting sqref="M148:M149">
    <cfRule type="cellIs" dxfId="2433" priority="11113" operator="equal">
      <formula>"value일 미도래"</formula>
    </cfRule>
  </conditionalFormatting>
  <conditionalFormatting sqref="M148:M149">
    <cfRule type="cellIs" dxfId="2432" priority="11112" operator="equal">
      <formula>"value일 미도래"</formula>
    </cfRule>
  </conditionalFormatting>
  <conditionalFormatting sqref="M148:M149">
    <cfRule type="cellIs" dxfId="2431" priority="11111" operator="equal">
      <formula>"value일 미도래"</formula>
    </cfRule>
  </conditionalFormatting>
  <conditionalFormatting sqref="M148:M149">
    <cfRule type="cellIs" dxfId="2430" priority="11110" operator="equal">
      <formula>"value일 미도래"</formula>
    </cfRule>
  </conditionalFormatting>
  <conditionalFormatting sqref="M148:M149">
    <cfRule type="cellIs" dxfId="2429" priority="11109" operator="equal">
      <formula>"value일 미도래"</formula>
    </cfRule>
  </conditionalFormatting>
  <conditionalFormatting sqref="M148:M149">
    <cfRule type="cellIs" dxfId="2428" priority="11108" operator="equal">
      <formula>"value일 미도래"</formula>
    </cfRule>
  </conditionalFormatting>
  <conditionalFormatting sqref="M148:M149">
    <cfRule type="cellIs" dxfId="2427" priority="11107" operator="equal">
      <formula>"value일 미도래"</formula>
    </cfRule>
  </conditionalFormatting>
  <conditionalFormatting sqref="M148:M149">
    <cfRule type="cellIs" dxfId="2426" priority="11106" operator="equal">
      <formula>"value일 미도래"</formula>
    </cfRule>
  </conditionalFormatting>
  <conditionalFormatting sqref="M148:M149">
    <cfRule type="cellIs" dxfId="2425" priority="11105" operator="equal">
      <formula>"value일 미도래"</formula>
    </cfRule>
  </conditionalFormatting>
  <conditionalFormatting sqref="M148:M149">
    <cfRule type="cellIs" dxfId="2424" priority="11104" operator="equal">
      <formula>"value일 미도래"</formula>
    </cfRule>
  </conditionalFormatting>
  <conditionalFormatting sqref="M148:M149">
    <cfRule type="cellIs" dxfId="2423" priority="11102" operator="equal">
      <formula>"value일 미도래"</formula>
    </cfRule>
  </conditionalFormatting>
  <conditionalFormatting sqref="M148:M149">
    <cfRule type="cellIs" dxfId="2422" priority="11101" operator="equal">
      <formula>"value일 미도래"</formula>
    </cfRule>
  </conditionalFormatting>
  <conditionalFormatting sqref="M148:M149">
    <cfRule type="cellIs" dxfId="2421" priority="11100" operator="equal">
      <formula>"value일 미도래"</formula>
    </cfRule>
  </conditionalFormatting>
  <conditionalFormatting sqref="M148:M149">
    <cfRule type="cellIs" dxfId="2420" priority="11099" operator="equal">
      <formula>"value일 미도래"</formula>
    </cfRule>
  </conditionalFormatting>
  <conditionalFormatting sqref="M148:M149">
    <cfRule type="cellIs" dxfId="2419" priority="11098" operator="equal">
      <formula>"value일 미도래"</formula>
    </cfRule>
  </conditionalFormatting>
  <conditionalFormatting sqref="M148:M149">
    <cfRule type="cellIs" dxfId="2418" priority="11097" operator="equal">
      <formula>"value일 미도래"</formula>
    </cfRule>
  </conditionalFormatting>
  <conditionalFormatting sqref="M148:M149">
    <cfRule type="cellIs" dxfId="2417" priority="11096" operator="equal">
      <formula>"value일 미도래"</formula>
    </cfRule>
  </conditionalFormatting>
  <conditionalFormatting sqref="M148:M149">
    <cfRule type="cellIs" dxfId="2416" priority="11095" operator="equal">
      <formula>"value일 미도래"</formula>
    </cfRule>
  </conditionalFormatting>
  <conditionalFormatting sqref="M148:M149">
    <cfRule type="cellIs" dxfId="2415" priority="11094" operator="equal">
      <formula>"value일 미도래"</formula>
    </cfRule>
  </conditionalFormatting>
  <conditionalFormatting sqref="M148:M149">
    <cfRule type="cellIs" dxfId="2414" priority="11093" operator="equal">
      <formula>"value일 미도래"</formula>
    </cfRule>
  </conditionalFormatting>
  <conditionalFormatting sqref="M148:M149">
    <cfRule type="cellIs" dxfId="2413" priority="11092" operator="equal">
      <formula>"value일 미도래"</formula>
    </cfRule>
  </conditionalFormatting>
  <conditionalFormatting sqref="M148:M149">
    <cfRule type="cellIs" dxfId="2412" priority="11091" operator="equal">
      <formula>"value일 미도래"</formula>
    </cfRule>
  </conditionalFormatting>
  <conditionalFormatting sqref="M148:M149">
    <cfRule type="cellIs" dxfId="2411" priority="11090" operator="equal">
      <formula>"value일 미도래"</formula>
    </cfRule>
  </conditionalFormatting>
  <conditionalFormatting sqref="M148:M149">
    <cfRule type="cellIs" dxfId="2410" priority="11089" operator="equal">
      <formula>"value일 미도래"</formula>
    </cfRule>
  </conditionalFormatting>
  <conditionalFormatting sqref="M148:M149">
    <cfRule type="cellIs" dxfId="2409" priority="11088" operator="equal">
      <formula>"value일 미도래"</formula>
    </cfRule>
  </conditionalFormatting>
  <conditionalFormatting sqref="M148:M149">
    <cfRule type="cellIs" dxfId="2408" priority="11087" operator="equal">
      <formula>"value일 미도래"</formula>
    </cfRule>
  </conditionalFormatting>
  <conditionalFormatting sqref="M148:M149">
    <cfRule type="cellIs" dxfId="2407" priority="11086" operator="equal">
      <formula>"value일 미도래"</formula>
    </cfRule>
  </conditionalFormatting>
  <conditionalFormatting sqref="M148:M149">
    <cfRule type="cellIs" dxfId="2406" priority="11085" operator="equal">
      <formula>"value일 미도래"</formula>
    </cfRule>
  </conditionalFormatting>
  <conditionalFormatting sqref="M148:M149">
    <cfRule type="cellIs" dxfId="2405" priority="11084" operator="equal">
      <formula>"value일 미도래"</formula>
    </cfRule>
  </conditionalFormatting>
  <conditionalFormatting sqref="M148:M149">
    <cfRule type="cellIs" dxfId="2404" priority="11083" operator="equal">
      <formula>"value일 미도래"</formula>
    </cfRule>
  </conditionalFormatting>
  <conditionalFormatting sqref="M148:M149">
    <cfRule type="cellIs" dxfId="2403" priority="11081" operator="equal">
      <formula>"value일 미도래"</formula>
    </cfRule>
  </conditionalFormatting>
  <conditionalFormatting sqref="M148:M149">
    <cfRule type="cellIs" dxfId="2402" priority="11080" operator="equal">
      <formula>"value일 미도래"</formula>
    </cfRule>
  </conditionalFormatting>
  <conditionalFormatting sqref="M148:M149">
    <cfRule type="cellIs" dxfId="2401" priority="11079" operator="equal">
      <formula>"value일 미도래"</formula>
    </cfRule>
  </conditionalFormatting>
  <conditionalFormatting sqref="M148:M149">
    <cfRule type="cellIs" dxfId="2400" priority="11078" operator="equal">
      <formula>"value일 미도래"</formula>
    </cfRule>
  </conditionalFormatting>
  <conditionalFormatting sqref="M148:M149">
    <cfRule type="cellIs" dxfId="2399" priority="11077" operator="equal">
      <formula>"value일 미도래"</formula>
    </cfRule>
  </conditionalFormatting>
  <conditionalFormatting sqref="M148:M149">
    <cfRule type="cellIs" dxfId="2398" priority="11076" operator="equal">
      <formula>"value일 미도래"</formula>
    </cfRule>
  </conditionalFormatting>
  <conditionalFormatting sqref="M148:M149">
    <cfRule type="cellIs" dxfId="2397" priority="11075" operator="equal">
      <formula>"value일 미도래"</formula>
    </cfRule>
  </conditionalFormatting>
  <conditionalFormatting sqref="M148:M149">
    <cfRule type="cellIs" dxfId="2396" priority="11074" operator="equal">
      <formula>"value일 미도래"</formula>
    </cfRule>
  </conditionalFormatting>
  <conditionalFormatting sqref="M148:M149">
    <cfRule type="cellIs" dxfId="2395" priority="11073" operator="equal">
      <formula>"value일 미도래"</formula>
    </cfRule>
  </conditionalFormatting>
  <conditionalFormatting sqref="M148:M149">
    <cfRule type="cellIs" dxfId="2394" priority="11072" operator="equal">
      <formula>"value일 미도래"</formula>
    </cfRule>
  </conditionalFormatting>
  <conditionalFormatting sqref="M148:M149">
    <cfRule type="cellIs" dxfId="2393" priority="11071" operator="equal">
      <formula>"value일 미도래"</formula>
    </cfRule>
  </conditionalFormatting>
  <conditionalFormatting sqref="M148:M149">
    <cfRule type="cellIs" dxfId="2392" priority="11070" operator="equal">
      <formula>"value일 미도래"</formula>
    </cfRule>
  </conditionalFormatting>
  <conditionalFormatting sqref="M148:M149">
    <cfRule type="cellIs" dxfId="2391" priority="11056" operator="equal">
      <formula>"value일 미도래"</formula>
    </cfRule>
  </conditionalFormatting>
  <conditionalFormatting sqref="M148:M149">
    <cfRule type="cellIs" dxfId="2390" priority="11055" operator="equal">
      <formula>"value일 미도래"</formula>
    </cfRule>
  </conditionalFormatting>
  <conditionalFormatting sqref="M148:M149">
    <cfRule type="cellIs" dxfId="2389" priority="11054" operator="equal">
      <formula>"value일 미도래"</formula>
    </cfRule>
  </conditionalFormatting>
  <conditionalFormatting sqref="M148:M149">
    <cfRule type="cellIs" dxfId="2388" priority="11053" operator="equal">
      <formula>"value일 미도래"</formula>
    </cfRule>
  </conditionalFormatting>
  <conditionalFormatting sqref="M148:M149">
    <cfRule type="cellIs" dxfId="2387" priority="11052" operator="equal">
      <formula>"value일 미도래"</formula>
    </cfRule>
  </conditionalFormatting>
  <conditionalFormatting sqref="M148:M149">
    <cfRule type="cellIs" dxfId="2386" priority="11051" operator="equal">
      <formula>"value일 미도래"</formula>
    </cfRule>
  </conditionalFormatting>
  <conditionalFormatting sqref="M148:M149">
    <cfRule type="cellIs" dxfId="2385" priority="11050" operator="equal">
      <formula>"value일 미도래"</formula>
    </cfRule>
  </conditionalFormatting>
  <conditionalFormatting sqref="M148:M149">
    <cfRule type="cellIs" dxfId="2384" priority="11049" operator="equal">
      <formula>"value일 미도래"</formula>
    </cfRule>
  </conditionalFormatting>
  <conditionalFormatting sqref="M148:M149">
    <cfRule type="cellIs" dxfId="2383" priority="11048" operator="equal">
      <formula>"value일 미도래"</formula>
    </cfRule>
  </conditionalFormatting>
  <conditionalFormatting sqref="M148:M149">
    <cfRule type="cellIs" dxfId="2382" priority="11047" operator="equal">
      <formula>"value일 미도래"</formula>
    </cfRule>
  </conditionalFormatting>
  <conditionalFormatting sqref="M148:M149">
    <cfRule type="cellIs" dxfId="2381" priority="11046" operator="equal">
      <formula>"value일 미도래"</formula>
    </cfRule>
  </conditionalFormatting>
  <conditionalFormatting sqref="M148:M149">
    <cfRule type="cellIs" dxfId="2380" priority="11044" operator="equal">
      <formula>"value일 미도래"</formula>
    </cfRule>
  </conditionalFormatting>
  <conditionalFormatting sqref="M148:M149">
    <cfRule type="cellIs" dxfId="2379" priority="11043" operator="equal">
      <formula>"value일 미도래"</formula>
    </cfRule>
  </conditionalFormatting>
  <conditionalFormatting sqref="M148:M149">
    <cfRule type="cellIs" dxfId="2378" priority="11042" operator="equal">
      <formula>"value일 미도래"</formula>
    </cfRule>
  </conditionalFormatting>
  <conditionalFormatting sqref="M148:M149">
    <cfRule type="cellIs" dxfId="2377" priority="11041" operator="equal">
      <formula>"value일 미도래"</formula>
    </cfRule>
  </conditionalFormatting>
  <conditionalFormatting sqref="M148:M149">
    <cfRule type="cellIs" dxfId="2376" priority="11040" operator="equal">
      <formula>"value일 미도래"</formula>
    </cfRule>
  </conditionalFormatting>
  <conditionalFormatting sqref="M148:M149">
    <cfRule type="cellIs" dxfId="2375" priority="11039" operator="equal">
      <formula>"value일 미도래"</formula>
    </cfRule>
  </conditionalFormatting>
  <conditionalFormatting sqref="M148:M149">
    <cfRule type="cellIs" dxfId="2374" priority="11038" operator="equal">
      <formula>"value일 미도래"</formula>
    </cfRule>
  </conditionalFormatting>
  <conditionalFormatting sqref="M148:M149">
    <cfRule type="cellIs" dxfId="2373" priority="11037" operator="equal">
      <formula>"value일 미도래"</formula>
    </cfRule>
  </conditionalFormatting>
  <conditionalFormatting sqref="M148:M149">
    <cfRule type="cellIs" dxfId="2372" priority="11036" operator="equal">
      <formula>"value일 미도래"</formula>
    </cfRule>
  </conditionalFormatting>
  <conditionalFormatting sqref="M148">
    <cfRule type="cellIs" dxfId="2371" priority="11035" operator="equal">
      <formula>"value일 미도래"</formula>
    </cfRule>
  </conditionalFormatting>
  <conditionalFormatting sqref="M148">
    <cfRule type="cellIs" dxfId="2370" priority="11034" operator="equal">
      <formula>"value일 미도래"</formula>
    </cfRule>
  </conditionalFormatting>
  <conditionalFormatting sqref="M148">
    <cfRule type="cellIs" dxfId="2369" priority="11033" operator="equal">
      <formula>"value일 미도래"</formula>
    </cfRule>
  </conditionalFormatting>
  <conditionalFormatting sqref="M148">
    <cfRule type="cellIs" dxfId="2368" priority="11032" operator="equal">
      <formula>"value일 미도래"</formula>
    </cfRule>
  </conditionalFormatting>
  <conditionalFormatting sqref="M148">
    <cfRule type="cellIs" dxfId="2367" priority="11031" operator="equal">
      <formula>"value일 미도래"</formula>
    </cfRule>
  </conditionalFormatting>
  <conditionalFormatting sqref="M148">
    <cfRule type="cellIs" dxfId="2366" priority="11030" operator="equal">
      <formula>"value일 미도래"</formula>
    </cfRule>
  </conditionalFormatting>
  <conditionalFormatting sqref="M148">
    <cfRule type="cellIs" dxfId="2365" priority="11028" operator="equal">
      <formula>"value일 미도래"</formula>
    </cfRule>
  </conditionalFormatting>
  <conditionalFormatting sqref="M148">
    <cfRule type="cellIs" dxfId="2364" priority="11027" operator="equal">
      <formula>"value일 미도래"</formula>
    </cfRule>
  </conditionalFormatting>
  <conditionalFormatting sqref="M148">
    <cfRule type="cellIs" dxfId="2363" priority="11026" operator="equal">
      <formula>"value일 미도래"</formula>
    </cfRule>
  </conditionalFormatting>
  <conditionalFormatting sqref="M148">
    <cfRule type="cellIs" dxfId="2362" priority="11025" operator="equal">
      <formula>"value일 미도래"</formula>
    </cfRule>
  </conditionalFormatting>
  <conditionalFormatting sqref="M148">
    <cfRule type="cellIs" dxfId="2361" priority="11024" operator="equal">
      <formula>"value일 미도래"</formula>
    </cfRule>
  </conditionalFormatting>
  <conditionalFormatting sqref="M148">
    <cfRule type="cellIs" dxfId="2360" priority="11023" operator="equal">
      <formula>"value일 미도래"</formula>
    </cfRule>
  </conditionalFormatting>
  <conditionalFormatting sqref="M148">
    <cfRule type="cellIs" dxfId="2359" priority="11022" operator="equal">
      <formula>"value일 미도래"</formula>
    </cfRule>
  </conditionalFormatting>
  <conditionalFormatting sqref="M148">
    <cfRule type="cellIs" dxfId="2358" priority="11021" operator="equal">
      <formula>"value일 미도래"</formula>
    </cfRule>
  </conditionalFormatting>
  <conditionalFormatting sqref="M148">
    <cfRule type="cellIs" dxfId="2357" priority="11019" operator="equal">
      <formula>"value일 미도래"</formula>
    </cfRule>
  </conditionalFormatting>
  <conditionalFormatting sqref="M148">
    <cfRule type="cellIs" dxfId="2356" priority="11018" operator="equal">
      <formula>"value일 미도래"</formula>
    </cfRule>
  </conditionalFormatting>
  <conditionalFormatting sqref="M148">
    <cfRule type="cellIs" dxfId="2355" priority="11017" operator="equal">
      <formula>"value일 미도래"</formula>
    </cfRule>
  </conditionalFormatting>
  <conditionalFormatting sqref="M148">
    <cfRule type="cellIs" dxfId="2354" priority="11016" operator="equal">
      <formula>"value일 미도래"</formula>
    </cfRule>
  </conditionalFormatting>
  <conditionalFormatting sqref="M148">
    <cfRule type="cellIs" dxfId="2353" priority="11015" operator="equal">
      <formula>"value일 미도래"</formula>
    </cfRule>
  </conditionalFormatting>
  <conditionalFormatting sqref="M148">
    <cfRule type="cellIs" dxfId="2352" priority="11014" operator="equal">
      <formula>"value일 미도래"</formula>
    </cfRule>
  </conditionalFormatting>
  <conditionalFormatting sqref="M148">
    <cfRule type="cellIs" dxfId="2351" priority="11013" operator="equal">
      <formula>"value일 미도래"</formula>
    </cfRule>
  </conditionalFormatting>
  <conditionalFormatting sqref="M148">
    <cfRule type="cellIs" dxfId="2350" priority="11012" operator="equal">
      <formula>"value일 미도래"</formula>
    </cfRule>
  </conditionalFormatting>
  <conditionalFormatting sqref="M148">
    <cfRule type="cellIs" dxfId="2349" priority="11011" operator="equal">
      <formula>"value일 미도래"</formula>
    </cfRule>
  </conditionalFormatting>
  <conditionalFormatting sqref="M148">
    <cfRule type="cellIs" dxfId="2348" priority="11010" operator="equal">
      <formula>"value일 미도래"</formula>
    </cfRule>
  </conditionalFormatting>
  <conditionalFormatting sqref="M148">
    <cfRule type="cellIs" dxfId="2347" priority="11009" operator="equal">
      <formula>"value일 미도래"</formula>
    </cfRule>
  </conditionalFormatting>
  <conditionalFormatting sqref="M148">
    <cfRule type="cellIs" dxfId="2346" priority="11007" operator="equal">
      <formula>"value일 미도래"</formula>
    </cfRule>
  </conditionalFormatting>
  <conditionalFormatting sqref="M148">
    <cfRule type="cellIs" dxfId="2345" priority="11006" operator="equal">
      <formula>"value일 미도래"</formula>
    </cfRule>
  </conditionalFormatting>
  <conditionalFormatting sqref="M148">
    <cfRule type="cellIs" dxfId="2344" priority="11005" operator="equal">
      <formula>"value일 미도래"</formula>
    </cfRule>
  </conditionalFormatting>
  <conditionalFormatting sqref="M148">
    <cfRule type="cellIs" dxfId="2343" priority="11004" operator="equal">
      <formula>"value일 미도래"</formula>
    </cfRule>
  </conditionalFormatting>
  <conditionalFormatting sqref="M148">
    <cfRule type="cellIs" dxfId="2342" priority="11003" operator="equal">
      <formula>"value일 미도래"</formula>
    </cfRule>
  </conditionalFormatting>
  <conditionalFormatting sqref="M148">
    <cfRule type="cellIs" dxfId="2341" priority="11002" operator="equal">
      <formula>"value일 미도래"</formula>
    </cfRule>
  </conditionalFormatting>
  <conditionalFormatting sqref="M148">
    <cfRule type="cellIs" dxfId="2340" priority="11001" operator="equal">
      <formula>"value일 미도래"</formula>
    </cfRule>
  </conditionalFormatting>
  <conditionalFormatting sqref="M148">
    <cfRule type="cellIs" dxfId="2339" priority="11000" operator="equal">
      <formula>"value일 미도래"</formula>
    </cfRule>
  </conditionalFormatting>
  <conditionalFormatting sqref="M148">
    <cfRule type="cellIs" dxfId="2338" priority="10999" operator="equal">
      <formula>"value일 미도래"</formula>
    </cfRule>
  </conditionalFormatting>
  <conditionalFormatting sqref="M148">
    <cfRule type="cellIs" dxfId="2337" priority="10998" operator="equal">
      <formula>"value일 미도래"</formula>
    </cfRule>
  </conditionalFormatting>
  <conditionalFormatting sqref="M148">
    <cfRule type="cellIs" dxfId="2336" priority="10997" operator="equal">
      <formula>"value일 미도래"</formula>
    </cfRule>
  </conditionalFormatting>
  <conditionalFormatting sqref="M148">
    <cfRule type="cellIs" dxfId="2335" priority="10995" operator="equal">
      <formula>"value일 미도래"</formula>
    </cfRule>
  </conditionalFormatting>
  <conditionalFormatting sqref="M148">
    <cfRule type="cellIs" dxfId="2334" priority="10994" operator="equal">
      <formula>"value일 미도래"</formula>
    </cfRule>
  </conditionalFormatting>
  <conditionalFormatting sqref="M148">
    <cfRule type="cellIs" dxfId="2333" priority="10993" operator="equal">
      <formula>"value일 미도래"</formula>
    </cfRule>
  </conditionalFormatting>
  <conditionalFormatting sqref="M148">
    <cfRule type="cellIs" dxfId="2332" priority="10992" operator="equal">
      <formula>"value일 미도래"</formula>
    </cfRule>
  </conditionalFormatting>
  <conditionalFormatting sqref="M148">
    <cfRule type="cellIs" dxfId="2331" priority="10991" operator="equal">
      <formula>"value일 미도래"</formula>
    </cfRule>
  </conditionalFormatting>
  <conditionalFormatting sqref="M148">
    <cfRule type="cellIs" dxfId="2330" priority="10990" operator="equal">
      <formula>"value일 미도래"</formula>
    </cfRule>
  </conditionalFormatting>
  <conditionalFormatting sqref="M148:M149">
    <cfRule type="cellIs" dxfId="2329" priority="10989" operator="equal">
      <formula>"value일 미도래"</formula>
    </cfRule>
  </conditionalFormatting>
  <conditionalFormatting sqref="M148:M149">
    <cfRule type="cellIs" dxfId="2328" priority="10988" operator="equal">
      <formula>"value일 미도래"</formula>
    </cfRule>
  </conditionalFormatting>
  <conditionalFormatting sqref="M148:M149">
    <cfRule type="cellIs" dxfId="2327" priority="10987" operator="equal">
      <formula>"value일 미도래"</formula>
    </cfRule>
  </conditionalFormatting>
  <conditionalFormatting sqref="M148">
    <cfRule type="cellIs" dxfId="2326" priority="10986" operator="equal">
      <formula>"value일 미도래"</formula>
    </cfRule>
  </conditionalFormatting>
  <conditionalFormatting sqref="M148">
    <cfRule type="cellIs" dxfId="2325" priority="10985" operator="equal">
      <formula>"value일 미도래"</formula>
    </cfRule>
  </conditionalFormatting>
  <conditionalFormatting sqref="M148">
    <cfRule type="cellIs" dxfId="2324" priority="10984" operator="equal">
      <formula>"value일 미도래"</formula>
    </cfRule>
  </conditionalFormatting>
  <conditionalFormatting sqref="M148">
    <cfRule type="cellIs" dxfId="2323" priority="10983" operator="equal">
      <formula>"value일 미도래"</formula>
    </cfRule>
  </conditionalFormatting>
  <conditionalFormatting sqref="M148">
    <cfRule type="cellIs" dxfId="2322" priority="10982" operator="equal">
      <formula>"value일 미도래"</formula>
    </cfRule>
  </conditionalFormatting>
  <conditionalFormatting sqref="M148">
    <cfRule type="cellIs" dxfId="2321" priority="10981" operator="equal">
      <formula>"value일 미도래"</formula>
    </cfRule>
  </conditionalFormatting>
  <conditionalFormatting sqref="M148">
    <cfRule type="cellIs" dxfId="2320" priority="10980" operator="equal">
      <formula>"value일 미도래"</formula>
    </cfRule>
  </conditionalFormatting>
  <conditionalFormatting sqref="M148">
    <cfRule type="cellIs" dxfId="2319" priority="10979" operator="equal">
      <formula>"value일 미도래"</formula>
    </cfRule>
  </conditionalFormatting>
  <conditionalFormatting sqref="M148">
    <cfRule type="cellIs" dxfId="2318" priority="10978" operator="equal">
      <formula>"value일 미도래"</formula>
    </cfRule>
  </conditionalFormatting>
  <conditionalFormatting sqref="M148:M149">
    <cfRule type="cellIs" dxfId="2317" priority="10977" operator="equal">
      <formula>"value일 미도래"</formula>
    </cfRule>
  </conditionalFormatting>
  <conditionalFormatting sqref="M148:M149">
    <cfRule type="cellIs" dxfId="2316" priority="10976" operator="equal">
      <formula>"value일 미도래"</formula>
    </cfRule>
  </conditionalFormatting>
  <conditionalFormatting sqref="M148:M149">
    <cfRule type="cellIs" dxfId="2315" priority="10975" operator="equal">
      <formula>"value일 미도래"</formula>
    </cfRule>
  </conditionalFormatting>
  <conditionalFormatting sqref="M148">
    <cfRule type="cellIs" dxfId="2314" priority="10974" operator="equal">
      <formula>"value일 미도래"</formula>
    </cfRule>
  </conditionalFormatting>
  <conditionalFormatting sqref="M148">
    <cfRule type="cellIs" dxfId="2313" priority="10973" operator="equal">
      <formula>"value일 미도래"</formula>
    </cfRule>
  </conditionalFormatting>
  <conditionalFormatting sqref="M148">
    <cfRule type="cellIs" dxfId="2312" priority="10972" operator="equal">
      <formula>"value일 미도래"</formula>
    </cfRule>
  </conditionalFormatting>
  <conditionalFormatting sqref="M148">
    <cfRule type="cellIs" dxfId="2311" priority="10971" operator="equal">
      <formula>"value일 미도래"</formula>
    </cfRule>
  </conditionalFormatting>
  <conditionalFormatting sqref="M148">
    <cfRule type="cellIs" dxfId="2310" priority="10970" operator="equal">
      <formula>"value일 미도래"</formula>
    </cfRule>
  </conditionalFormatting>
  <conditionalFormatting sqref="M148">
    <cfRule type="cellIs" dxfId="2309" priority="10969" operator="equal">
      <formula>"value일 미도래"</formula>
    </cfRule>
  </conditionalFormatting>
  <conditionalFormatting sqref="M148:M149">
    <cfRule type="cellIs" dxfId="2308" priority="10968" operator="equal">
      <formula>"value일 미도래"</formula>
    </cfRule>
  </conditionalFormatting>
  <conditionalFormatting sqref="M148:M149">
    <cfRule type="cellIs" dxfId="2307" priority="10967" operator="equal">
      <formula>"value일 미도래"</formula>
    </cfRule>
  </conditionalFormatting>
  <conditionalFormatting sqref="M148:M149">
    <cfRule type="cellIs" dxfId="2306" priority="10966" operator="equal">
      <formula>"value일 미도래"</formula>
    </cfRule>
  </conditionalFormatting>
  <conditionalFormatting sqref="M148:M149">
    <cfRule type="cellIs" dxfId="2305" priority="10965" operator="equal">
      <formula>"value일 미도래"</formula>
    </cfRule>
  </conditionalFormatting>
  <conditionalFormatting sqref="M148">
    <cfRule type="cellIs" dxfId="2304" priority="10964" operator="equal">
      <formula>"value일 미도래"</formula>
    </cfRule>
  </conditionalFormatting>
  <conditionalFormatting sqref="M148">
    <cfRule type="cellIs" dxfId="2303" priority="10963" operator="equal">
      <formula>"value일 미도래"</formula>
    </cfRule>
  </conditionalFormatting>
  <conditionalFormatting sqref="M148">
    <cfRule type="cellIs" dxfId="2302" priority="10962" operator="equal">
      <formula>"value일 미도래"</formula>
    </cfRule>
  </conditionalFormatting>
  <conditionalFormatting sqref="M148">
    <cfRule type="cellIs" dxfId="2301" priority="10961" operator="equal">
      <formula>"value일 미도래"</formula>
    </cfRule>
  </conditionalFormatting>
  <conditionalFormatting sqref="M148">
    <cfRule type="cellIs" dxfId="2300" priority="10960" operator="equal">
      <formula>"value일 미도래"</formula>
    </cfRule>
  </conditionalFormatting>
  <conditionalFormatting sqref="M148">
    <cfRule type="cellIs" dxfId="2299" priority="10959" operator="equal">
      <formula>"value일 미도래"</formula>
    </cfRule>
  </conditionalFormatting>
  <conditionalFormatting sqref="M148">
    <cfRule type="cellIs" dxfId="2298" priority="10957" operator="equal">
      <formula>"value일 미도래"</formula>
    </cfRule>
  </conditionalFormatting>
  <conditionalFormatting sqref="M148">
    <cfRule type="cellIs" dxfId="2297" priority="10956" operator="equal">
      <formula>"value일 미도래"</formula>
    </cfRule>
  </conditionalFormatting>
  <conditionalFormatting sqref="M148">
    <cfRule type="cellIs" dxfId="2296" priority="10955" operator="equal">
      <formula>"value일 미도래"</formula>
    </cfRule>
  </conditionalFormatting>
  <conditionalFormatting sqref="M148">
    <cfRule type="cellIs" dxfId="2295" priority="10954" operator="equal">
      <formula>"value일 미도래"</formula>
    </cfRule>
  </conditionalFormatting>
  <conditionalFormatting sqref="M148">
    <cfRule type="cellIs" dxfId="2294" priority="10953" operator="equal">
      <formula>"value일 미도래"</formula>
    </cfRule>
  </conditionalFormatting>
  <conditionalFormatting sqref="M148">
    <cfRule type="cellIs" dxfId="2293" priority="10952" operator="equal">
      <formula>"value일 미도래"</formula>
    </cfRule>
  </conditionalFormatting>
  <conditionalFormatting sqref="M148">
    <cfRule type="cellIs" dxfId="2292" priority="10951" operator="equal">
      <formula>"value일 미도래"</formula>
    </cfRule>
  </conditionalFormatting>
  <conditionalFormatting sqref="M148">
    <cfRule type="cellIs" dxfId="2291" priority="10950" operator="equal">
      <formula>"value일 미도래"</formula>
    </cfRule>
  </conditionalFormatting>
  <conditionalFormatting sqref="M148">
    <cfRule type="cellIs" dxfId="2290" priority="10948" operator="equal">
      <formula>"value일 미도래"</formula>
    </cfRule>
  </conditionalFormatting>
  <conditionalFormatting sqref="M148">
    <cfRule type="cellIs" dxfId="2289" priority="10947" operator="equal">
      <formula>"value일 미도래"</formula>
    </cfRule>
  </conditionalFormatting>
  <conditionalFormatting sqref="M148">
    <cfRule type="cellIs" dxfId="2288" priority="10946" operator="equal">
      <formula>"value일 미도래"</formula>
    </cfRule>
  </conditionalFormatting>
  <conditionalFormatting sqref="M148">
    <cfRule type="cellIs" dxfId="2287" priority="10945" operator="equal">
      <formula>"value일 미도래"</formula>
    </cfRule>
  </conditionalFormatting>
  <conditionalFormatting sqref="M148">
    <cfRule type="cellIs" dxfId="2286" priority="10944" operator="equal">
      <formula>"value일 미도래"</formula>
    </cfRule>
  </conditionalFormatting>
  <conditionalFormatting sqref="M148">
    <cfRule type="cellIs" dxfId="2285" priority="10943" operator="equal">
      <formula>"value일 미도래"</formula>
    </cfRule>
  </conditionalFormatting>
  <conditionalFormatting sqref="M148">
    <cfRule type="cellIs" dxfId="2284" priority="10942" operator="equal">
      <formula>"value일 미도래"</formula>
    </cfRule>
  </conditionalFormatting>
  <conditionalFormatting sqref="M148">
    <cfRule type="cellIs" dxfId="2283" priority="10941" operator="equal">
      <formula>"value일 미도래"</formula>
    </cfRule>
  </conditionalFormatting>
  <conditionalFormatting sqref="M148">
    <cfRule type="cellIs" dxfId="2282" priority="10940" operator="equal">
      <formula>"value일 미도래"</formula>
    </cfRule>
  </conditionalFormatting>
  <conditionalFormatting sqref="M148">
    <cfRule type="cellIs" dxfId="2281" priority="10939" operator="equal">
      <formula>"value일 미도래"</formula>
    </cfRule>
  </conditionalFormatting>
  <conditionalFormatting sqref="M148">
    <cfRule type="cellIs" dxfId="2280" priority="10938" operator="equal">
      <formula>"value일 미도래"</formula>
    </cfRule>
  </conditionalFormatting>
  <conditionalFormatting sqref="M148">
    <cfRule type="cellIs" dxfId="2279" priority="10936" operator="equal">
      <formula>"value일 미도래"</formula>
    </cfRule>
  </conditionalFormatting>
  <conditionalFormatting sqref="M148">
    <cfRule type="cellIs" dxfId="2278" priority="10935" operator="equal">
      <formula>"value일 미도래"</formula>
    </cfRule>
  </conditionalFormatting>
  <conditionalFormatting sqref="M148">
    <cfRule type="cellIs" dxfId="2277" priority="10934" operator="equal">
      <formula>"value일 미도래"</formula>
    </cfRule>
  </conditionalFormatting>
  <conditionalFormatting sqref="M148">
    <cfRule type="cellIs" dxfId="2276" priority="10933" operator="equal">
      <formula>"value일 미도래"</formula>
    </cfRule>
  </conditionalFormatting>
  <conditionalFormatting sqref="M148">
    <cfRule type="cellIs" dxfId="2275" priority="10932" operator="equal">
      <formula>"value일 미도래"</formula>
    </cfRule>
  </conditionalFormatting>
  <conditionalFormatting sqref="M148">
    <cfRule type="cellIs" dxfId="2274" priority="10931" operator="equal">
      <formula>"value일 미도래"</formula>
    </cfRule>
  </conditionalFormatting>
  <conditionalFormatting sqref="M148">
    <cfRule type="cellIs" dxfId="2273" priority="10930" operator="equal">
      <formula>"value일 미도래"</formula>
    </cfRule>
  </conditionalFormatting>
  <conditionalFormatting sqref="M148">
    <cfRule type="cellIs" dxfId="2272" priority="10929" operator="equal">
      <formula>"value일 미도래"</formula>
    </cfRule>
  </conditionalFormatting>
  <conditionalFormatting sqref="M148">
    <cfRule type="cellIs" dxfId="2271" priority="10928" operator="equal">
      <formula>"value일 미도래"</formula>
    </cfRule>
  </conditionalFormatting>
  <conditionalFormatting sqref="M148">
    <cfRule type="cellIs" dxfId="2270" priority="10927" operator="equal">
      <formula>"value일 미도래"</formula>
    </cfRule>
  </conditionalFormatting>
  <conditionalFormatting sqref="M148">
    <cfRule type="cellIs" dxfId="2269" priority="10926" operator="equal">
      <formula>"value일 미도래"</formula>
    </cfRule>
  </conditionalFormatting>
  <conditionalFormatting sqref="M148">
    <cfRule type="cellIs" dxfId="2268" priority="10924" operator="equal">
      <formula>"value일 미도래"</formula>
    </cfRule>
  </conditionalFormatting>
  <conditionalFormatting sqref="M148">
    <cfRule type="cellIs" dxfId="2267" priority="10923" operator="equal">
      <formula>"value일 미도래"</formula>
    </cfRule>
  </conditionalFormatting>
  <conditionalFormatting sqref="M148">
    <cfRule type="cellIs" dxfId="2266" priority="10922" operator="equal">
      <formula>"value일 미도래"</formula>
    </cfRule>
  </conditionalFormatting>
  <conditionalFormatting sqref="M148">
    <cfRule type="cellIs" dxfId="2265" priority="10921" operator="equal">
      <formula>"value일 미도래"</formula>
    </cfRule>
  </conditionalFormatting>
  <conditionalFormatting sqref="M148">
    <cfRule type="cellIs" dxfId="2264" priority="10920" operator="equal">
      <formula>"value일 미도래"</formula>
    </cfRule>
  </conditionalFormatting>
  <conditionalFormatting sqref="M148">
    <cfRule type="cellIs" dxfId="2263" priority="10919" operator="equal">
      <formula>"value일 미도래"</formula>
    </cfRule>
  </conditionalFormatting>
  <conditionalFormatting sqref="M148">
    <cfRule type="cellIs" dxfId="2262" priority="10918" operator="equal">
      <formula>"value일 미도래"</formula>
    </cfRule>
  </conditionalFormatting>
  <conditionalFormatting sqref="M148">
    <cfRule type="cellIs" dxfId="2261" priority="10917" operator="equal">
      <formula>"value일 미도래"</formula>
    </cfRule>
  </conditionalFormatting>
  <conditionalFormatting sqref="M148">
    <cfRule type="cellIs" dxfId="2260" priority="10916" operator="equal">
      <formula>"value일 미도래"</formula>
    </cfRule>
  </conditionalFormatting>
  <conditionalFormatting sqref="M148">
    <cfRule type="cellIs" dxfId="2259" priority="10915" operator="equal">
      <formula>"value일 미도래"</formula>
    </cfRule>
  </conditionalFormatting>
  <conditionalFormatting sqref="M148">
    <cfRule type="cellIs" dxfId="2258" priority="10914" operator="equal">
      <formula>"value일 미도래"</formula>
    </cfRule>
  </conditionalFormatting>
  <conditionalFormatting sqref="M148">
    <cfRule type="cellIs" dxfId="2257" priority="10913" operator="equal">
      <formula>"value일 미도래"</formula>
    </cfRule>
  </conditionalFormatting>
  <conditionalFormatting sqref="M148">
    <cfRule type="cellIs" dxfId="2256" priority="10912" operator="equal">
      <formula>"value일 미도래"</formula>
    </cfRule>
  </conditionalFormatting>
  <conditionalFormatting sqref="M148">
    <cfRule type="cellIs" dxfId="2255" priority="10911" operator="equal">
      <formula>"value일 미도래"</formula>
    </cfRule>
  </conditionalFormatting>
  <conditionalFormatting sqref="M148">
    <cfRule type="cellIs" dxfId="2254" priority="10909" operator="equal">
      <formula>"value일 미도래"</formula>
    </cfRule>
  </conditionalFormatting>
  <conditionalFormatting sqref="M148">
    <cfRule type="cellIs" dxfId="2253" priority="10908" operator="equal">
      <formula>"value일 미도래"</formula>
    </cfRule>
  </conditionalFormatting>
  <conditionalFormatting sqref="M148">
    <cfRule type="cellIs" dxfId="2252" priority="10907" operator="equal">
      <formula>"value일 미도래"</formula>
    </cfRule>
  </conditionalFormatting>
  <conditionalFormatting sqref="M148">
    <cfRule type="cellIs" dxfId="2251" priority="10906" operator="equal">
      <formula>"value일 미도래"</formula>
    </cfRule>
  </conditionalFormatting>
  <conditionalFormatting sqref="M148">
    <cfRule type="cellIs" dxfId="2250" priority="10905" operator="equal">
      <formula>"value일 미도래"</formula>
    </cfRule>
  </conditionalFormatting>
  <conditionalFormatting sqref="M148">
    <cfRule type="cellIs" dxfId="2249" priority="10904" operator="equal">
      <formula>"value일 미도래"</formula>
    </cfRule>
  </conditionalFormatting>
  <conditionalFormatting sqref="M148">
    <cfRule type="cellIs" dxfId="2248" priority="10903" operator="equal">
      <formula>"value일 미도래"</formula>
    </cfRule>
  </conditionalFormatting>
  <conditionalFormatting sqref="M148">
    <cfRule type="cellIs" dxfId="2247" priority="10902" operator="equal">
      <formula>"value일 미도래"</formula>
    </cfRule>
  </conditionalFormatting>
  <conditionalFormatting sqref="M148">
    <cfRule type="cellIs" dxfId="2246" priority="10901" operator="equal">
      <formula>"value일 미도래"</formula>
    </cfRule>
  </conditionalFormatting>
  <conditionalFormatting sqref="M148">
    <cfRule type="cellIs" dxfId="2245" priority="10900" operator="equal">
      <formula>"value일 미도래"</formula>
    </cfRule>
  </conditionalFormatting>
  <conditionalFormatting sqref="M148">
    <cfRule type="cellIs" dxfId="2244" priority="10899" operator="equal">
      <formula>"value일 미도래"</formula>
    </cfRule>
  </conditionalFormatting>
  <conditionalFormatting sqref="M148">
    <cfRule type="cellIs" dxfId="2243" priority="10898" operator="equal">
      <formula>"value일 미도래"</formula>
    </cfRule>
  </conditionalFormatting>
  <conditionalFormatting sqref="M148">
    <cfRule type="cellIs" dxfId="2242" priority="10897" operator="equal">
      <formula>"value일 미도래"</formula>
    </cfRule>
  </conditionalFormatting>
  <conditionalFormatting sqref="M148">
    <cfRule type="cellIs" dxfId="2241" priority="10896" operator="equal">
      <formula>"value일 미도래"</formula>
    </cfRule>
  </conditionalFormatting>
  <conditionalFormatting sqref="M148">
    <cfRule type="cellIs" dxfId="2240" priority="10895" operator="equal">
      <formula>"value일 미도래"</formula>
    </cfRule>
  </conditionalFormatting>
  <conditionalFormatting sqref="M148">
    <cfRule type="cellIs" dxfId="2239" priority="10894" operator="equal">
      <formula>"value일 미도래"</formula>
    </cfRule>
  </conditionalFormatting>
  <conditionalFormatting sqref="M148">
    <cfRule type="cellIs" dxfId="2238" priority="10893" operator="equal">
      <formula>"value일 미도래"</formula>
    </cfRule>
  </conditionalFormatting>
  <conditionalFormatting sqref="M148">
    <cfRule type="cellIs" dxfId="2237" priority="10892" operator="equal">
      <formula>"value일 미도래"</formula>
    </cfRule>
  </conditionalFormatting>
  <conditionalFormatting sqref="M148">
    <cfRule type="cellIs" dxfId="2236" priority="10891" operator="equal">
      <formula>"value일 미도래"</formula>
    </cfRule>
  </conditionalFormatting>
  <conditionalFormatting sqref="M148">
    <cfRule type="cellIs" dxfId="2235" priority="10890" operator="equal">
      <formula>"value일 미도래"</formula>
    </cfRule>
  </conditionalFormatting>
  <conditionalFormatting sqref="M148">
    <cfRule type="cellIs" dxfId="2234" priority="10888" operator="equal">
      <formula>"value일 미도래"</formula>
    </cfRule>
  </conditionalFormatting>
  <conditionalFormatting sqref="M148">
    <cfRule type="cellIs" dxfId="2233" priority="10887" operator="equal">
      <formula>"value일 미도래"</formula>
    </cfRule>
  </conditionalFormatting>
  <conditionalFormatting sqref="M148">
    <cfRule type="cellIs" dxfId="2232" priority="10886" operator="equal">
      <formula>"value일 미도래"</formula>
    </cfRule>
  </conditionalFormatting>
  <conditionalFormatting sqref="M148">
    <cfRule type="cellIs" dxfId="2231" priority="10885" operator="equal">
      <formula>"value일 미도래"</formula>
    </cfRule>
  </conditionalFormatting>
  <conditionalFormatting sqref="M148">
    <cfRule type="cellIs" dxfId="2230" priority="10884" operator="equal">
      <formula>"value일 미도래"</formula>
    </cfRule>
  </conditionalFormatting>
  <conditionalFormatting sqref="M148">
    <cfRule type="cellIs" dxfId="2229" priority="10883" operator="equal">
      <formula>"value일 미도래"</formula>
    </cfRule>
  </conditionalFormatting>
  <conditionalFormatting sqref="M148">
    <cfRule type="cellIs" dxfId="2228" priority="10882" operator="equal">
      <formula>"value일 미도래"</formula>
    </cfRule>
  </conditionalFormatting>
  <conditionalFormatting sqref="M148">
    <cfRule type="cellIs" dxfId="2227" priority="10881" operator="equal">
      <formula>"value일 미도래"</formula>
    </cfRule>
  </conditionalFormatting>
  <conditionalFormatting sqref="M148">
    <cfRule type="cellIs" dxfId="2226" priority="10880" operator="equal">
      <formula>"value일 미도래"</formula>
    </cfRule>
  </conditionalFormatting>
  <conditionalFormatting sqref="M148">
    <cfRule type="cellIs" dxfId="2225" priority="10879" operator="equal">
      <formula>"value일 미도래"</formula>
    </cfRule>
  </conditionalFormatting>
  <conditionalFormatting sqref="M148">
    <cfRule type="cellIs" dxfId="2224" priority="10878" operator="equal">
      <formula>"value일 미도래"</formula>
    </cfRule>
  </conditionalFormatting>
  <conditionalFormatting sqref="M148">
    <cfRule type="cellIs" dxfId="2223" priority="10877" operator="equal">
      <formula>"value일 미도래"</formula>
    </cfRule>
  </conditionalFormatting>
  <conditionalFormatting sqref="M148:M149">
    <cfRule type="cellIs" dxfId="2222" priority="10876" operator="equal">
      <formula>"value일 미도래"</formula>
    </cfRule>
  </conditionalFormatting>
  <conditionalFormatting sqref="M148:M149">
    <cfRule type="cellIs" dxfId="2221" priority="10875" operator="equal">
      <formula>"value일 미도래"</formula>
    </cfRule>
  </conditionalFormatting>
  <conditionalFormatting sqref="M148:M149">
    <cfRule type="cellIs" dxfId="2220" priority="10874" operator="equal">
      <formula>"value일 미도래"</formula>
    </cfRule>
  </conditionalFormatting>
  <conditionalFormatting sqref="M148:M149">
    <cfRule type="cellIs" dxfId="2219" priority="10873" operator="equal">
      <formula>"value일 미도래"</formula>
    </cfRule>
  </conditionalFormatting>
  <conditionalFormatting sqref="M148:M149">
    <cfRule type="cellIs" dxfId="2218" priority="10872" operator="equal">
      <formula>"value일 미도래"</formula>
    </cfRule>
  </conditionalFormatting>
  <conditionalFormatting sqref="M148:M149">
    <cfRule type="cellIs" dxfId="2217" priority="10871" operator="equal">
      <formula>"value일 미도래"</formula>
    </cfRule>
  </conditionalFormatting>
  <conditionalFormatting sqref="M148:M149">
    <cfRule type="cellIs" dxfId="2216" priority="10870" operator="equal">
      <formula>"value일 미도래"</formula>
    </cfRule>
  </conditionalFormatting>
  <conditionalFormatting sqref="M148">
    <cfRule type="cellIs" dxfId="2215" priority="10869" operator="equal">
      <formula>"value일 미도래"</formula>
    </cfRule>
  </conditionalFormatting>
  <conditionalFormatting sqref="M148">
    <cfRule type="cellIs" dxfId="2214" priority="10868" operator="equal">
      <formula>"value일 미도래"</formula>
    </cfRule>
  </conditionalFormatting>
  <conditionalFormatting sqref="M148">
    <cfRule type="cellIs" dxfId="2213" priority="10867" operator="equal">
      <formula>"value일 미도래"</formula>
    </cfRule>
  </conditionalFormatting>
  <conditionalFormatting sqref="M148">
    <cfRule type="cellIs" dxfId="2212" priority="10866" operator="equal">
      <formula>"value일 미도래"</formula>
    </cfRule>
  </conditionalFormatting>
  <conditionalFormatting sqref="M148">
    <cfRule type="cellIs" dxfId="2211" priority="10865" operator="equal">
      <formula>"value일 미도래"</formula>
    </cfRule>
  </conditionalFormatting>
  <conditionalFormatting sqref="M148">
    <cfRule type="cellIs" dxfId="2210" priority="10864" operator="equal">
      <formula>"value일 미도래"</formula>
    </cfRule>
  </conditionalFormatting>
  <conditionalFormatting sqref="M148">
    <cfRule type="cellIs" dxfId="2209" priority="10862" operator="equal">
      <formula>"value일 미도래"</formula>
    </cfRule>
  </conditionalFormatting>
  <conditionalFormatting sqref="M148">
    <cfRule type="cellIs" dxfId="2208" priority="10861" operator="equal">
      <formula>"value일 미도래"</formula>
    </cfRule>
  </conditionalFormatting>
  <conditionalFormatting sqref="M148">
    <cfRule type="cellIs" dxfId="2207" priority="10860" operator="equal">
      <formula>"value일 미도래"</formula>
    </cfRule>
  </conditionalFormatting>
  <conditionalFormatting sqref="M148">
    <cfRule type="cellIs" dxfId="2206" priority="10859" operator="equal">
      <formula>"value일 미도래"</formula>
    </cfRule>
  </conditionalFormatting>
  <conditionalFormatting sqref="M148">
    <cfRule type="cellIs" dxfId="2205" priority="10858" operator="equal">
      <formula>"value일 미도래"</formula>
    </cfRule>
  </conditionalFormatting>
  <conditionalFormatting sqref="M148">
    <cfRule type="cellIs" dxfId="2204" priority="10857" operator="equal">
      <formula>"value일 미도래"</formula>
    </cfRule>
  </conditionalFormatting>
  <conditionalFormatting sqref="M148">
    <cfRule type="cellIs" dxfId="2203" priority="10856" operator="equal">
      <formula>"value일 미도래"</formula>
    </cfRule>
  </conditionalFormatting>
  <conditionalFormatting sqref="M148">
    <cfRule type="cellIs" dxfId="2202" priority="10855" operator="equal">
      <formula>"value일 미도래"</formula>
    </cfRule>
  </conditionalFormatting>
  <conditionalFormatting sqref="M148">
    <cfRule type="cellIs" dxfId="2201" priority="10853" operator="equal">
      <formula>"value일 미도래"</formula>
    </cfRule>
  </conditionalFormatting>
  <conditionalFormatting sqref="M148">
    <cfRule type="cellIs" dxfId="2200" priority="10852" operator="equal">
      <formula>"value일 미도래"</formula>
    </cfRule>
  </conditionalFormatting>
  <conditionalFormatting sqref="M148">
    <cfRule type="cellIs" dxfId="2199" priority="10851" operator="equal">
      <formula>"value일 미도래"</formula>
    </cfRule>
  </conditionalFormatting>
  <conditionalFormatting sqref="M148">
    <cfRule type="cellIs" dxfId="2198" priority="10850" operator="equal">
      <formula>"value일 미도래"</formula>
    </cfRule>
  </conditionalFormatting>
  <conditionalFormatting sqref="M148">
    <cfRule type="cellIs" dxfId="2197" priority="10849" operator="equal">
      <formula>"value일 미도래"</formula>
    </cfRule>
  </conditionalFormatting>
  <conditionalFormatting sqref="M148">
    <cfRule type="cellIs" dxfId="2196" priority="10848" operator="equal">
      <formula>"value일 미도래"</formula>
    </cfRule>
  </conditionalFormatting>
  <conditionalFormatting sqref="M148">
    <cfRule type="cellIs" dxfId="2195" priority="10847" operator="equal">
      <formula>"value일 미도래"</formula>
    </cfRule>
  </conditionalFormatting>
  <conditionalFormatting sqref="M148">
    <cfRule type="cellIs" dxfId="2194" priority="10846" operator="equal">
      <formula>"value일 미도래"</formula>
    </cfRule>
  </conditionalFormatting>
  <conditionalFormatting sqref="M148">
    <cfRule type="cellIs" dxfId="2193" priority="10845" operator="equal">
      <formula>"value일 미도래"</formula>
    </cfRule>
  </conditionalFormatting>
  <conditionalFormatting sqref="M148">
    <cfRule type="cellIs" dxfId="2192" priority="10844" operator="equal">
      <formula>"value일 미도래"</formula>
    </cfRule>
  </conditionalFormatting>
  <conditionalFormatting sqref="M148">
    <cfRule type="cellIs" dxfId="2191" priority="10843" operator="equal">
      <formula>"value일 미도래"</formula>
    </cfRule>
  </conditionalFormatting>
  <conditionalFormatting sqref="M148">
    <cfRule type="cellIs" dxfId="2190" priority="10841" operator="equal">
      <formula>"value일 미도래"</formula>
    </cfRule>
  </conditionalFormatting>
  <conditionalFormatting sqref="M148">
    <cfRule type="cellIs" dxfId="2189" priority="10840" operator="equal">
      <formula>"value일 미도래"</formula>
    </cfRule>
  </conditionalFormatting>
  <conditionalFormatting sqref="M148">
    <cfRule type="cellIs" dxfId="2188" priority="10839" operator="equal">
      <formula>"value일 미도래"</formula>
    </cfRule>
  </conditionalFormatting>
  <conditionalFormatting sqref="M148">
    <cfRule type="cellIs" dxfId="2187" priority="10838" operator="equal">
      <formula>"value일 미도래"</formula>
    </cfRule>
  </conditionalFormatting>
  <conditionalFormatting sqref="M148">
    <cfRule type="cellIs" dxfId="2186" priority="10837" operator="equal">
      <formula>"value일 미도래"</formula>
    </cfRule>
  </conditionalFormatting>
  <conditionalFormatting sqref="M148">
    <cfRule type="cellIs" dxfId="2185" priority="10836" operator="equal">
      <formula>"value일 미도래"</formula>
    </cfRule>
  </conditionalFormatting>
  <conditionalFormatting sqref="M148">
    <cfRule type="cellIs" dxfId="2184" priority="10835" operator="equal">
      <formula>"value일 미도래"</formula>
    </cfRule>
  </conditionalFormatting>
  <conditionalFormatting sqref="M148">
    <cfRule type="cellIs" dxfId="2183" priority="10834" operator="equal">
      <formula>"value일 미도래"</formula>
    </cfRule>
  </conditionalFormatting>
  <conditionalFormatting sqref="M148">
    <cfRule type="cellIs" dxfId="2182" priority="10833" operator="equal">
      <formula>"value일 미도래"</formula>
    </cfRule>
  </conditionalFormatting>
  <conditionalFormatting sqref="M148">
    <cfRule type="cellIs" dxfId="2181" priority="10832" operator="equal">
      <formula>"value일 미도래"</formula>
    </cfRule>
  </conditionalFormatting>
  <conditionalFormatting sqref="M148">
    <cfRule type="cellIs" dxfId="2180" priority="10831" operator="equal">
      <formula>"value일 미도래"</formula>
    </cfRule>
  </conditionalFormatting>
  <conditionalFormatting sqref="M148">
    <cfRule type="cellIs" dxfId="2179" priority="10829" operator="equal">
      <formula>"value일 미도래"</formula>
    </cfRule>
  </conditionalFormatting>
  <conditionalFormatting sqref="M148">
    <cfRule type="cellIs" dxfId="2178" priority="10828" operator="equal">
      <formula>"value일 미도래"</formula>
    </cfRule>
  </conditionalFormatting>
  <conditionalFormatting sqref="M148">
    <cfRule type="cellIs" dxfId="2177" priority="10827" operator="equal">
      <formula>"value일 미도래"</formula>
    </cfRule>
  </conditionalFormatting>
  <conditionalFormatting sqref="M148">
    <cfRule type="cellIs" dxfId="2176" priority="10826" operator="equal">
      <formula>"value일 미도래"</formula>
    </cfRule>
  </conditionalFormatting>
  <conditionalFormatting sqref="M148">
    <cfRule type="cellIs" dxfId="2175" priority="10825" operator="equal">
      <formula>"value일 미도래"</formula>
    </cfRule>
  </conditionalFormatting>
  <conditionalFormatting sqref="M148">
    <cfRule type="cellIs" dxfId="2174" priority="10824" operator="equal">
      <formula>"value일 미도래"</formula>
    </cfRule>
  </conditionalFormatting>
  <conditionalFormatting sqref="M148">
    <cfRule type="cellIs" dxfId="2173" priority="10823" operator="equal">
      <formula>"value일 미도래"</formula>
    </cfRule>
  </conditionalFormatting>
  <conditionalFormatting sqref="M148">
    <cfRule type="cellIs" dxfId="2172" priority="10822" operator="equal">
      <formula>"value일 미도래"</formula>
    </cfRule>
  </conditionalFormatting>
  <conditionalFormatting sqref="M148">
    <cfRule type="cellIs" dxfId="2171" priority="10821" operator="equal">
      <formula>"value일 미도래"</formula>
    </cfRule>
  </conditionalFormatting>
  <conditionalFormatting sqref="M148">
    <cfRule type="cellIs" dxfId="2170" priority="10820" operator="equal">
      <formula>"value일 미도래"</formula>
    </cfRule>
  </conditionalFormatting>
  <conditionalFormatting sqref="M148">
    <cfRule type="cellIs" dxfId="2169" priority="10819" operator="equal">
      <formula>"value일 미도래"</formula>
    </cfRule>
  </conditionalFormatting>
  <conditionalFormatting sqref="M148">
    <cfRule type="cellIs" dxfId="2168" priority="10818" operator="equal">
      <formula>"value일 미도래"</formula>
    </cfRule>
  </conditionalFormatting>
  <conditionalFormatting sqref="M148">
    <cfRule type="cellIs" dxfId="2167" priority="10817" operator="equal">
      <formula>"value일 미도래"</formula>
    </cfRule>
  </conditionalFormatting>
  <conditionalFormatting sqref="M148">
    <cfRule type="cellIs" dxfId="2166" priority="10816" operator="equal">
      <formula>"value일 미도래"</formula>
    </cfRule>
  </conditionalFormatting>
  <conditionalFormatting sqref="M148">
    <cfRule type="cellIs" dxfId="2165" priority="10814" operator="equal">
      <formula>"value일 미도래"</formula>
    </cfRule>
  </conditionalFormatting>
  <conditionalFormatting sqref="M148">
    <cfRule type="cellIs" dxfId="2164" priority="10813" operator="equal">
      <formula>"value일 미도래"</formula>
    </cfRule>
  </conditionalFormatting>
  <conditionalFormatting sqref="M148">
    <cfRule type="cellIs" dxfId="2163" priority="10812" operator="equal">
      <formula>"value일 미도래"</formula>
    </cfRule>
  </conditionalFormatting>
  <conditionalFormatting sqref="M148">
    <cfRule type="cellIs" dxfId="2162" priority="10811" operator="equal">
      <formula>"value일 미도래"</formula>
    </cfRule>
  </conditionalFormatting>
  <conditionalFormatting sqref="M148">
    <cfRule type="cellIs" dxfId="2161" priority="10810" operator="equal">
      <formula>"value일 미도래"</formula>
    </cfRule>
  </conditionalFormatting>
  <conditionalFormatting sqref="M148">
    <cfRule type="cellIs" dxfId="2160" priority="10809" operator="equal">
      <formula>"value일 미도래"</formula>
    </cfRule>
  </conditionalFormatting>
  <conditionalFormatting sqref="M148">
    <cfRule type="cellIs" dxfId="2159" priority="10808" operator="equal">
      <formula>"value일 미도래"</formula>
    </cfRule>
  </conditionalFormatting>
  <conditionalFormatting sqref="M148">
    <cfRule type="cellIs" dxfId="2158" priority="10807" operator="equal">
      <formula>"value일 미도래"</formula>
    </cfRule>
  </conditionalFormatting>
  <conditionalFormatting sqref="M148">
    <cfRule type="cellIs" dxfId="2157" priority="10806" operator="equal">
      <formula>"value일 미도래"</formula>
    </cfRule>
  </conditionalFormatting>
  <conditionalFormatting sqref="M148">
    <cfRule type="cellIs" dxfId="2156" priority="10805" operator="equal">
      <formula>"value일 미도래"</formula>
    </cfRule>
  </conditionalFormatting>
  <conditionalFormatting sqref="M148">
    <cfRule type="cellIs" dxfId="2155" priority="10804" operator="equal">
      <formula>"value일 미도래"</formula>
    </cfRule>
  </conditionalFormatting>
  <conditionalFormatting sqref="M148">
    <cfRule type="cellIs" dxfId="2154" priority="10803" operator="equal">
      <formula>"value일 미도래"</formula>
    </cfRule>
  </conditionalFormatting>
  <conditionalFormatting sqref="M148">
    <cfRule type="cellIs" dxfId="2153" priority="10802" operator="equal">
      <formula>"value일 미도래"</formula>
    </cfRule>
  </conditionalFormatting>
  <conditionalFormatting sqref="M148">
    <cfRule type="cellIs" dxfId="2152" priority="10801" operator="equal">
      <formula>"value일 미도래"</formula>
    </cfRule>
  </conditionalFormatting>
  <conditionalFormatting sqref="M148">
    <cfRule type="cellIs" dxfId="2151" priority="10800" operator="equal">
      <formula>"value일 미도래"</formula>
    </cfRule>
  </conditionalFormatting>
  <conditionalFormatting sqref="M148">
    <cfRule type="cellIs" dxfId="2150" priority="10799" operator="equal">
      <formula>"value일 미도래"</formula>
    </cfRule>
  </conditionalFormatting>
  <conditionalFormatting sqref="M148">
    <cfRule type="cellIs" dxfId="2149" priority="10798" operator="equal">
      <formula>"value일 미도래"</formula>
    </cfRule>
  </conditionalFormatting>
  <conditionalFormatting sqref="M148">
    <cfRule type="cellIs" dxfId="2148" priority="10797" operator="equal">
      <formula>"value일 미도래"</formula>
    </cfRule>
  </conditionalFormatting>
  <conditionalFormatting sqref="M148">
    <cfRule type="cellIs" dxfId="2147" priority="10796" operator="equal">
      <formula>"value일 미도래"</formula>
    </cfRule>
  </conditionalFormatting>
  <conditionalFormatting sqref="M148">
    <cfRule type="cellIs" dxfId="2146" priority="10795" operator="equal">
      <formula>"value일 미도래"</formula>
    </cfRule>
  </conditionalFormatting>
  <conditionalFormatting sqref="M148">
    <cfRule type="cellIs" dxfId="2145" priority="10793" operator="equal">
      <formula>"value일 미도래"</formula>
    </cfRule>
  </conditionalFormatting>
  <conditionalFormatting sqref="M148">
    <cfRule type="cellIs" dxfId="2144" priority="10792" operator="equal">
      <formula>"value일 미도래"</formula>
    </cfRule>
  </conditionalFormatting>
  <conditionalFormatting sqref="M148">
    <cfRule type="cellIs" dxfId="2143" priority="10791" operator="equal">
      <formula>"value일 미도래"</formula>
    </cfRule>
  </conditionalFormatting>
  <conditionalFormatting sqref="M148">
    <cfRule type="cellIs" dxfId="2142" priority="10790" operator="equal">
      <formula>"value일 미도래"</formula>
    </cfRule>
  </conditionalFormatting>
  <conditionalFormatting sqref="M148">
    <cfRule type="cellIs" dxfId="2141" priority="10789" operator="equal">
      <formula>"value일 미도래"</formula>
    </cfRule>
  </conditionalFormatting>
  <conditionalFormatting sqref="M148">
    <cfRule type="cellIs" dxfId="2140" priority="10788" operator="equal">
      <formula>"value일 미도래"</formula>
    </cfRule>
  </conditionalFormatting>
  <conditionalFormatting sqref="M148">
    <cfRule type="cellIs" dxfId="2139" priority="10787" operator="equal">
      <formula>"value일 미도래"</formula>
    </cfRule>
  </conditionalFormatting>
  <conditionalFormatting sqref="M148">
    <cfRule type="cellIs" dxfId="2138" priority="10786" operator="equal">
      <formula>"value일 미도래"</formula>
    </cfRule>
  </conditionalFormatting>
  <conditionalFormatting sqref="M148">
    <cfRule type="cellIs" dxfId="2137" priority="10785" operator="equal">
      <formula>"value일 미도래"</formula>
    </cfRule>
  </conditionalFormatting>
  <conditionalFormatting sqref="M148">
    <cfRule type="cellIs" dxfId="2136" priority="10784" operator="equal">
      <formula>"value일 미도래"</formula>
    </cfRule>
  </conditionalFormatting>
  <conditionalFormatting sqref="M148">
    <cfRule type="cellIs" dxfId="2135" priority="10783" operator="equal">
      <formula>"value일 미도래"</formula>
    </cfRule>
  </conditionalFormatting>
  <conditionalFormatting sqref="M148">
    <cfRule type="cellIs" dxfId="2134" priority="10782" operator="equal">
      <formula>"value일 미도래"</formula>
    </cfRule>
  </conditionalFormatting>
  <conditionalFormatting sqref="M148">
    <cfRule type="cellIs" dxfId="2133" priority="10763" operator="equal">
      <formula>"value일 미도래"</formula>
    </cfRule>
  </conditionalFormatting>
  <conditionalFormatting sqref="M148">
    <cfRule type="cellIs" dxfId="2132" priority="10762" operator="equal">
      <formula>"value일 미도래"</formula>
    </cfRule>
  </conditionalFormatting>
  <conditionalFormatting sqref="M148">
    <cfRule type="cellIs" dxfId="2131" priority="10761" operator="equal">
      <formula>"value일 미도래"</formula>
    </cfRule>
  </conditionalFormatting>
  <conditionalFormatting sqref="M148">
    <cfRule type="cellIs" dxfId="2130" priority="10760" operator="equal">
      <formula>"value일 미도래"</formula>
    </cfRule>
  </conditionalFormatting>
  <conditionalFormatting sqref="M148">
    <cfRule type="cellIs" dxfId="2129" priority="10759" operator="equal">
      <formula>"value일 미도래"</formula>
    </cfRule>
  </conditionalFormatting>
  <conditionalFormatting sqref="M148">
    <cfRule type="cellIs" dxfId="2128" priority="10758" operator="equal">
      <formula>"value일 미도래"</formula>
    </cfRule>
  </conditionalFormatting>
  <conditionalFormatting sqref="M148">
    <cfRule type="cellIs" dxfId="2127" priority="10757" operator="equal">
      <formula>"value일 미도래"</formula>
    </cfRule>
  </conditionalFormatting>
  <conditionalFormatting sqref="M148">
    <cfRule type="cellIs" dxfId="2126" priority="10756" operator="equal">
      <formula>"value일 미도래"</formula>
    </cfRule>
  </conditionalFormatting>
  <conditionalFormatting sqref="M148">
    <cfRule type="cellIs" dxfId="2125" priority="10755" operator="equal">
      <formula>"value일 미도래"</formula>
    </cfRule>
  </conditionalFormatting>
  <conditionalFormatting sqref="M148">
    <cfRule type="cellIs" dxfId="2124" priority="10754" operator="equal">
      <formula>"value일 미도래"</formula>
    </cfRule>
  </conditionalFormatting>
  <conditionalFormatting sqref="M148">
    <cfRule type="cellIs" dxfId="2123" priority="10753" operator="equal">
      <formula>"value일 미도래"</formula>
    </cfRule>
  </conditionalFormatting>
  <conditionalFormatting sqref="M148">
    <cfRule type="cellIs" dxfId="2122" priority="10751" operator="equal">
      <formula>"value일 미도래"</formula>
    </cfRule>
  </conditionalFormatting>
  <conditionalFormatting sqref="M148">
    <cfRule type="cellIs" dxfId="2121" priority="10750" operator="equal">
      <formula>"value일 미도래"</formula>
    </cfRule>
  </conditionalFormatting>
  <conditionalFormatting sqref="M148">
    <cfRule type="cellIs" dxfId="2120" priority="10749" operator="equal">
      <formula>"value일 미도래"</formula>
    </cfRule>
  </conditionalFormatting>
  <conditionalFormatting sqref="M148">
    <cfRule type="cellIs" dxfId="2119" priority="10748" operator="equal">
      <formula>"value일 미도래"</formula>
    </cfRule>
  </conditionalFormatting>
  <conditionalFormatting sqref="M148">
    <cfRule type="cellIs" dxfId="2118" priority="10747" operator="equal">
      <formula>"value일 미도래"</formula>
    </cfRule>
  </conditionalFormatting>
  <conditionalFormatting sqref="M148">
    <cfRule type="cellIs" dxfId="2117" priority="10746" operator="equal">
      <formula>"value일 미도래"</formula>
    </cfRule>
  </conditionalFormatting>
  <conditionalFormatting sqref="M148">
    <cfRule type="cellIs" dxfId="2116" priority="10745" operator="equal">
      <formula>"value일 미도래"</formula>
    </cfRule>
  </conditionalFormatting>
  <conditionalFormatting sqref="M148">
    <cfRule type="cellIs" dxfId="2115" priority="10744" operator="equal">
      <formula>"value일 미도래"</formula>
    </cfRule>
  </conditionalFormatting>
  <conditionalFormatting sqref="M148">
    <cfRule type="cellIs" dxfId="2114" priority="10743" operator="equal">
      <formula>"value일 미도래"</formula>
    </cfRule>
  </conditionalFormatting>
  <conditionalFormatting sqref="M148">
    <cfRule type="cellIs" dxfId="2113" priority="10742" operator="equal">
      <formula>"value일 미도래"</formula>
    </cfRule>
  </conditionalFormatting>
  <conditionalFormatting sqref="M148">
    <cfRule type="cellIs" dxfId="2112" priority="10741" operator="equal">
      <formula>"value일 미도래"</formula>
    </cfRule>
  </conditionalFormatting>
  <conditionalFormatting sqref="M148">
    <cfRule type="cellIs" dxfId="2111" priority="10740" operator="equal">
      <formula>"value일 미도래"</formula>
    </cfRule>
  </conditionalFormatting>
  <conditionalFormatting sqref="M148">
    <cfRule type="cellIs" dxfId="2110" priority="10739" operator="equal">
      <formula>"value일 미도래"</formula>
    </cfRule>
  </conditionalFormatting>
  <conditionalFormatting sqref="M148">
    <cfRule type="cellIs" dxfId="2109" priority="10738" operator="equal">
      <formula>"value일 미도래"</formula>
    </cfRule>
  </conditionalFormatting>
  <conditionalFormatting sqref="M148">
    <cfRule type="cellIs" dxfId="2108" priority="10737" operator="equal">
      <formula>"value일 미도래"</formula>
    </cfRule>
  </conditionalFormatting>
  <conditionalFormatting sqref="M148">
    <cfRule type="cellIs" dxfId="2107" priority="10736" operator="equal">
      <formula>"value일 미도래"</formula>
    </cfRule>
  </conditionalFormatting>
  <conditionalFormatting sqref="M148">
    <cfRule type="cellIs" dxfId="2106" priority="10735" operator="equal">
      <formula>"value일 미도래"</formula>
    </cfRule>
  </conditionalFormatting>
  <conditionalFormatting sqref="M148">
    <cfRule type="cellIs" dxfId="2105" priority="10734" operator="equal">
      <formula>"value일 미도래"</formula>
    </cfRule>
  </conditionalFormatting>
  <conditionalFormatting sqref="M148">
    <cfRule type="cellIs" dxfId="2104" priority="10733" operator="equal">
      <formula>"value일 미도래"</formula>
    </cfRule>
  </conditionalFormatting>
  <conditionalFormatting sqref="M148:M149">
    <cfRule type="cellIs" dxfId="2103" priority="10732" operator="equal">
      <formula>"value일 미도래"</formula>
    </cfRule>
  </conditionalFormatting>
  <conditionalFormatting sqref="M148:M149">
    <cfRule type="cellIs" dxfId="2102" priority="10731" operator="equal">
      <formula>"value일 미도래"</formula>
    </cfRule>
  </conditionalFormatting>
  <conditionalFormatting sqref="M148:M149">
    <cfRule type="cellIs" dxfId="2101" priority="10730" operator="equal">
      <formula>"value일 미도래"</formula>
    </cfRule>
  </conditionalFormatting>
  <conditionalFormatting sqref="M148:M149">
    <cfRule type="cellIs" dxfId="2100" priority="10729" operator="equal">
      <formula>"value일 미도래"</formula>
    </cfRule>
  </conditionalFormatting>
  <conditionalFormatting sqref="M148:M149">
    <cfRule type="cellIs" dxfId="2099" priority="10728" operator="equal">
      <formula>"value일 미도래"</formula>
    </cfRule>
  </conditionalFormatting>
  <conditionalFormatting sqref="M148:M149">
    <cfRule type="cellIs" dxfId="2098" priority="10727" operator="equal">
      <formula>"value일 미도래"</formula>
    </cfRule>
  </conditionalFormatting>
  <conditionalFormatting sqref="M148:M149">
    <cfRule type="cellIs" dxfId="2097" priority="10725" operator="equal">
      <formula>"value일 미도래"</formula>
    </cfRule>
  </conditionalFormatting>
  <conditionalFormatting sqref="M148:M149">
    <cfRule type="cellIs" dxfId="2096" priority="10724" operator="equal">
      <formula>"value일 미도래"</formula>
    </cfRule>
  </conditionalFormatting>
  <conditionalFormatting sqref="M148:M149">
    <cfRule type="cellIs" dxfId="2095" priority="10723" operator="equal">
      <formula>"value일 미도래"</formula>
    </cfRule>
  </conditionalFormatting>
  <conditionalFormatting sqref="M148:M149">
    <cfRule type="cellIs" dxfId="2094" priority="10722" operator="equal">
      <formula>"value일 미도래"</formula>
    </cfRule>
  </conditionalFormatting>
  <conditionalFormatting sqref="M148:M149">
    <cfRule type="cellIs" dxfId="2093" priority="10721" operator="equal">
      <formula>"value일 미도래"</formula>
    </cfRule>
  </conditionalFormatting>
  <conditionalFormatting sqref="M148:M149">
    <cfRule type="cellIs" dxfId="2092" priority="10720" operator="equal">
      <formula>"value일 미도래"</formula>
    </cfRule>
  </conditionalFormatting>
  <conditionalFormatting sqref="M148:M149">
    <cfRule type="cellIs" dxfId="2091" priority="10719" operator="equal">
      <formula>"value일 미도래"</formula>
    </cfRule>
  </conditionalFormatting>
  <conditionalFormatting sqref="M148:M149">
    <cfRule type="cellIs" dxfId="2090" priority="10718" operator="equal">
      <formula>"value일 미도래"</formula>
    </cfRule>
  </conditionalFormatting>
  <conditionalFormatting sqref="M148:M149">
    <cfRule type="cellIs" dxfId="2089" priority="10716" operator="equal">
      <formula>"value일 미도래"</formula>
    </cfRule>
  </conditionalFormatting>
  <conditionalFormatting sqref="M148:M149">
    <cfRule type="cellIs" dxfId="2088" priority="10715" operator="equal">
      <formula>"value일 미도래"</formula>
    </cfRule>
  </conditionalFormatting>
  <conditionalFormatting sqref="M148:M149">
    <cfRule type="cellIs" dxfId="2087" priority="10714" operator="equal">
      <formula>"value일 미도래"</formula>
    </cfRule>
  </conditionalFormatting>
  <conditionalFormatting sqref="M148:M149">
    <cfRule type="cellIs" dxfId="2086" priority="10713" operator="equal">
      <formula>"value일 미도래"</formula>
    </cfRule>
  </conditionalFormatting>
  <conditionalFormatting sqref="M148:M149">
    <cfRule type="cellIs" dxfId="2085" priority="10712" operator="equal">
      <formula>"value일 미도래"</formula>
    </cfRule>
  </conditionalFormatting>
  <conditionalFormatting sqref="M148:M149">
    <cfRule type="cellIs" dxfId="2084" priority="10711" operator="equal">
      <formula>"value일 미도래"</formula>
    </cfRule>
  </conditionalFormatting>
  <conditionalFormatting sqref="M148:M149">
    <cfRule type="cellIs" dxfId="2083" priority="10710" operator="equal">
      <formula>"value일 미도래"</formula>
    </cfRule>
  </conditionalFormatting>
  <conditionalFormatting sqref="M148:M149">
    <cfRule type="cellIs" dxfId="2082" priority="10709" operator="equal">
      <formula>"value일 미도래"</formula>
    </cfRule>
  </conditionalFormatting>
  <conditionalFormatting sqref="M148:M149">
    <cfRule type="cellIs" dxfId="2081" priority="10708" operator="equal">
      <formula>"value일 미도래"</formula>
    </cfRule>
  </conditionalFormatting>
  <conditionalFormatting sqref="M148:M149">
    <cfRule type="cellIs" dxfId="2080" priority="10707" operator="equal">
      <formula>"value일 미도래"</formula>
    </cfRule>
  </conditionalFormatting>
  <conditionalFormatting sqref="M148:M149">
    <cfRule type="cellIs" dxfId="2079" priority="10706" operator="equal">
      <formula>"value일 미도래"</formula>
    </cfRule>
  </conditionalFormatting>
  <conditionalFormatting sqref="M148:M149">
    <cfRule type="cellIs" dxfId="2078" priority="10704" operator="equal">
      <formula>"value일 미도래"</formula>
    </cfRule>
  </conditionalFormatting>
  <conditionalFormatting sqref="M148:M149">
    <cfRule type="cellIs" dxfId="2077" priority="10703" operator="equal">
      <formula>"value일 미도래"</formula>
    </cfRule>
  </conditionalFormatting>
  <conditionalFormatting sqref="M148:M149">
    <cfRule type="cellIs" dxfId="2076" priority="10702" operator="equal">
      <formula>"value일 미도래"</formula>
    </cfRule>
  </conditionalFormatting>
  <conditionalFormatting sqref="M148:M149">
    <cfRule type="cellIs" dxfId="2075" priority="10701" operator="equal">
      <formula>"value일 미도래"</formula>
    </cfRule>
  </conditionalFormatting>
  <conditionalFormatting sqref="M148:M149">
    <cfRule type="cellIs" dxfId="2074" priority="10700" operator="equal">
      <formula>"value일 미도래"</formula>
    </cfRule>
  </conditionalFormatting>
  <conditionalFormatting sqref="M148:M149">
    <cfRule type="cellIs" dxfId="2073" priority="10699" operator="equal">
      <formula>"value일 미도래"</formula>
    </cfRule>
  </conditionalFormatting>
  <conditionalFormatting sqref="M148:M149">
    <cfRule type="cellIs" dxfId="2072" priority="10698" operator="equal">
      <formula>"value일 미도래"</formula>
    </cfRule>
  </conditionalFormatting>
  <conditionalFormatting sqref="M148:M149">
    <cfRule type="cellIs" dxfId="2071" priority="10697" operator="equal">
      <formula>"value일 미도래"</formula>
    </cfRule>
  </conditionalFormatting>
  <conditionalFormatting sqref="M148:M149">
    <cfRule type="cellIs" dxfId="2070" priority="10696" operator="equal">
      <formula>"value일 미도래"</formula>
    </cfRule>
  </conditionalFormatting>
  <conditionalFormatting sqref="M148:M149">
    <cfRule type="cellIs" dxfId="2069" priority="10695" operator="equal">
      <formula>"value일 미도래"</formula>
    </cfRule>
  </conditionalFormatting>
  <conditionalFormatting sqref="M148:M149">
    <cfRule type="cellIs" dxfId="2068" priority="10694" operator="equal">
      <formula>"value일 미도래"</formula>
    </cfRule>
  </conditionalFormatting>
  <conditionalFormatting sqref="M148:M149">
    <cfRule type="cellIs" dxfId="2067" priority="10692" operator="equal">
      <formula>"value일 미도래"</formula>
    </cfRule>
  </conditionalFormatting>
  <conditionalFormatting sqref="M148:M149">
    <cfRule type="cellIs" dxfId="2066" priority="10691" operator="equal">
      <formula>"value일 미도래"</formula>
    </cfRule>
  </conditionalFormatting>
  <conditionalFormatting sqref="M148:M149">
    <cfRule type="cellIs" dxfId="2065" priority="10690" operator="equal">
      <formula>"value일 미도래"</formula>
    </cfRule>
  </conditionalFormatting>
  <conditionalFormatting sqref="M148:M149">
    <cfRule type="cellIs" dxfId="2064" priority="10689" operator="equal">
      <formula>"value일 미도래"</formula>
    </cfRule>
  </conditionalFormatting>
  <conditionalFormatting sqref="M148:M149">
    <cfRule type="cellIs" dxfId="2063" priority="10688" operator="equal">
      <formula>"value일 미도래"</formula>
    </cfRule>
  </conditionalFormatting>
  <conditionalFormatting sqref="M148:M149">
    <cfRule type="cellIs" dxfId="2062" priority="10687" operator="equal">
      <formula>"value일 미도래"</formula>
    </cfRule>
  </conditionalFormatting>
  <conditionalFormatting sqref="M148:M149">
    <cfRule type="cellIs" dxfId="2061" priority="10686" operator="equal">
      <formula>"value일 미도래"</formula>
    </cfRule>
  </conditionalFormatting>
  <conditionalFormatting sqref="M148:M149">
    <cfRule type="cellIs" dxfId="2060" priority="10685" operator="equal">
      <formula>"value일 미도래"</formula>
    </cfRule>
  </conditionalFormatting>
  <conditionalFormatting sqref="M148:M149">
    <cfRule type="cellIs" dxfId="2059" priority="10684" operator="equal">
      <formula>"value일 미도래"</formula>
    </cfRule>
  </conditionalFormatting>
  <conditionalFormatting sqref="M148:M149">
    <cfRule type="cellIs" dxfId="2058" priority="10683" operator="equal">
      <formula>"value일 미도래"</formula>
    </cfRule>
  </conditionalFormatting>
  <conditionalFormatting sqref="M148:M149">
    <cfRule type="cellIs" dxfId="2057" priority="10682" operator="equal">
      <formula>"value일 미도래"</formula>
    </cfRule>
  </conditionalFormatting>
  <conditionalFormatting sqref="M148:M149">
    <cfRule type="cellIs" dxfId="2056" priority="10681" operator="equal">
      <formula>"value일 미도래"</formula>
    </cfRule>
  </conditionalFormatting>
  <conditionalFormatting sqref="M148:M149">
    <cfRule type="cellIs" dxfId="2055" priority="10680" operator="equal">
      <formula>"value일 미도래"</formula>
    </cfRule>
  </conditionalFormatting>
  <conditionalFormatting sqref="M148:M149">
    <cfRule type="cellIs" dxfId="2054" priority="10679" operator="equal">
      <formula>"value일 미도래"</formula>
    </cfRule>
  </conditionalFormatting>
  <conditionalFormatting sqref="M148:M149">
    <cfRule type="cellIs" dxfId="2053" priority="10677" operator="equal">
      <formula>"value일 미도래"</formula>
    </cfRule>
  </conditionalFormatting>
  <conditionalFormatting sqref="M148:M149">
    <cfRule type="cellIs" dxfId="2052" priority="10676" operator="equal">
      <formula>"value일 미도래"</formula>
    </cfRule>
  </conditionalFormatting>
  <conditionalFormatting sqref="M148:M149">
    <cfRule type="cellIs" dxfId="2051" priority="10675" operator="equal">
      <formula>"value일 미도래"</formula>
    </cfRule>
  </conditionalFormatting>
  <conditionalFormatting sqref="M148:M149">
    <cfRule type="cellIs" dxfId="2050" priority="10674" operator="equal">
      <formula>"value일 미도래"</formula>
    </cfRule>
  </conditionalFormatting>
  <conditionalFormatting sqref="M148:M149">
    <cfRule type="cellIs" dxfId="2049" priority="10673" operator="equal">
      <formula>"value일 미도래"</formula>
    </cfRule>
  </conditionalFormatting>
  <conditionalFormatting sqref="M148:M149">
    <cfRule type="cellIs" dxfId="2048" priority="10672" operator="equal">
      <formula>"value일 미도래"</formula>
    </cfRule>
  </conditionalFormatting>
  <conditionalFormatting sqref="M148:M149">
    <cfRule type="cellIs" dxfId="2047" priority="10671" operator="equal">
      <formula>"value일 미도래"</formula>
    </cfRule>
  </conditionalFormatting>
  <conditionalFormatting sqref="M148:M149">
    <cfRule type="cellIs" dxfId="2046" priority="10670" operator="equal">
      <formula>"value일 미도래"</formula>
    </cfRule>
  </conditionalFormatting>
  <conditionalFormatting sqref="M148:M149">
    <cfRule type="cellIs" dxfId="2045" priority="10669" operator="equal">
      <formula>"value일 미도래"</formula>
    </cfRule>
  </conditionalFormatting>
  <conditionalFormatting sqref="M148:M149">
    <cfRule type="cellIs" dxfId="2044" priority="10668" operator="equal">
      <formula>"value일 미도래"</formula>
    </cfRule>
  </conditionalFormatting>
  <conditionalFormatting sqref="M148:M149">
    <cfRule type="cellIs" dxfId="2043" priority="10667" operator="equal">
      <formula>"value일 미도래"</formula>
    </cfRule>
  </conditionalFormatting>
  <conditionalFormatting sqref="M148:M149">
    <cfRule type="cellIs" dxfId="2042" priority="10666" operator="equal">
      <formula>"value일 미도래"</formula>
    </cfRule>
  </conditionalFormatting>
  <conditionalFormatting sqref="M148:M149">
    <cfRule type="cellIs" dxfId="2041" priority="10665" operator="equal">
      <formula>"value일 미도래"</formula>
    </cfRule>
  </conditionalFormatting>
  <conditionalFormatting sqref="M148:M149">
    <cfRule type="cellIs" dxfId="2040" priority="10664" operator="equal">
      <formula>"value일 미도래"</formula>
    </cfRule>
  </conditionalFormatting>
  <conditionalFormatting sqref="M148:M149">
    <cfRule type="cellIs" dxfId="2039" priority="10663" operator="equal">
      <formula>"value일 미도래"</formula>
    </cfRule>
  </conditionalFormatting>
  <conditionalFormatting sqref="M148:M149">
    <cfRule type="cellIs" dxfId="2038" priority="10662" operator="equal">
      <formula>"value일 미도래"</formula>
    </cfRule>
  </conditionalFormatting>
  <conditionalFormatting sqref="M148:M149">
    <cfRule type="cellIs" dxfId="2037" priority="10661" operator="equal">
      <formula>"value일 미도래"</formula>
    </cfRule>
  </conditionalFormatting>
  <conditionalFormatting sqref="M148:M149">
    <cfRule type="cellIs" dxfId="2036" priority="10660" operator="equal">
      <formula>"value일 미도래"</formula>
    </cfRule>
  </conditionalFormatting>
  <conditionalFormatting sqref="M148:M149">
    <cfRule type="cellIs" dxfId="2035" priority="10659" operator="equal">
      <formula>"value일 미도래"</formula>
    </cfRule>
  </conditionalFormatting>
  <conditionalFormatting sqref="M148:M149">
    <cfRule type="cellIs" dxfId="2034" priority="10658" operator="equal">
      <formula>"value일 미도래"</formula>
    </cfRule>
  </conditionalFormatting>
  <conditionalFormatting sqref="M148:M149">
    <cfRule type="cellIs" dxfId="2033" priority="10656" operator="equal">
      <formula>"value일 미도래"</formula>
    </cfRule>
  </conditionalFormatting>
  <conditionalFormatting sqref="M148:M149">
    <cfRule type="cellIs" dxfId="2032" priority="10655" operator="equal">
      <formula>"value일 미도래"</formula>
    </cfRule>
  </conditionalFormatting>
  <conditionalFormatting sqref="M148:M149">
    <cfRule type="cellIs" dxfId="2031" priority="10654" operator="equal">
      <formula>"value일 미도래"</formula>
    </cfRule>
  </conditionalFormatting>
  <conditionalFormatting sqref="M148:M149">
    <cfRule type="cellIs" dxfId="2030" priority="10653" operator="equal">
      <formula>"value일 미도래"</formula>
    </cfRule>
  </conditionalFormatting>
  <conditionalFormatting sqref="M148:M149">
    <cfRule type="cellIs" dxfId="2029" priority="10652" operator="equal">
      <formula>"value일 미도래"</formula>
    </cfRule>
  </conditionalFormatting>
  <conditionalFormatting sqref="M148:M149">
    <cfRule type="cellIs" dxfId="2028" priority="10651" operator="equal">
      <formula>"value일 미도래"</formula>
    </cfRule>
  </conditionalFormatting>
  <conditionalFormatting sqref="M148:M149">
    <cfRule type="cellIs" dxfId="2027" priority="10650" operator="equal">
      <formula>"value일 미도래"</formula>
    </cfRule>
  </conditionalFormatting>
  <conditionalFormatting sqref="M148:M149">
    <cfRule type="cellIs" dxfId="2026" priority="10649" operator="equal">
      <formula>"value일 미도래"</formula>
    </cfRule>
  </conditionalFormatting>
  <conditionalFormatting sqref="M148:M149">
    <cfRule type="cellIs" dxfId="2025" priority="10648" operator="equal">
      <formula>"value일 미도래"</formula>
    </cfRule>
  </conditionalFormatting>
  <conditionalFormatting sqref="M148:M149">
    <cfRule type="cellIs" dxfId="2024" priority="10647" operator="equal">
      <formula>"value일 미도래"</formula>
    </cfRule>
  </conditionalFormatting>
  <conditionalFormatting sqref="M148:M149">
    <cfRule type="cellIs" dxfId="2023" priority="10646" operator="equal">
      <formula>"value일 미도래"</formula>
    </cfRule>
  </conditionalFormatting>
  <conditionalFormatting sqref="M148:M149">
    <cfRule type="cellIs" dxfId="2022" priority="10645" operator="equal">
      <formula>"value일 미도래"</formula>
    </cfRule>
  </conditionalFormatting>
  <conditionalFormatting sqref="M148">
    <cfRule type="cellIs" dxfId="2021" priority="10644" operator="equal">
      <formula>"value일 미도래"</formula>
    </cfRule>
  </conditionalFormatting>
  <conditionalFormatting sqref="M148">
    <cfRule type="cellIs" dxfId="2020" priority="10643" operator="equal">
      <formula>"value일 미도래"</formula>
    </cfRule>
  </conditionalFormatting>
  <conditionalFormatting sqref="M148">
    <cfRule type="cellIs" dxfId="2019" priority="10642" operator="equal">
      <formula>"value일 미도래"</formula>
    </cfRule>
  </conditionalFormatting>
  <conditionalFormatting sqref="M148">
    <cfRule type="cellIs" dxfId="2018" priority="10641" operator="equal">
      <formula>"value일 미도래"</formula>
    </cfRule>
  </conditionalFormatting>
  <conditionalFormatting sqref="M148">
    <cfRule type="cellIs" dxfId="2017" priority="10640" operator="equal">
      <formula>"value일 미도래"</formula>
    </cfRule>
  </conditionalFormatting>
  <conditionalFormatting sqref="M148">
    <cfRule type="cellIs" dxfId="2016" priority="10639" operator="equal">
      <formula>"value일 미도래"</formula>
    </cfRule>
  </conditionalFormatting>
  <conditionalFormatting sqref="M148">
    <cfRule type="cellIs" dxfId="2015" priority="10638" operator="equal">
      <formula>"value일 미도래"</formula>
    </cfRule>
  </conditionalFormatting>
  <conditionalFormatting sqref="M148">
    <cfRule type="cellIs" dxfId="2014" priority="10625" operator="equal">
      <formula>"value일 미도래"</formula>
    </cfRule>
  </conditionalFormatting>
  <conditionalFormatting sqref="M148">
    <cfRule type="cellIs" dxfId="2013" priority="10624" operator="equal">
      <formula>"value일 미도래"</formula>
    </cfRule>
  </conditionalFormatting>
  <conditionalFormatting sqref="M149:M150">
    <cfRule type="cellIs" dxfId="2012" priority="10623" operator="equal">
      <formula>"value일 미도래"</formula>
    </cfRule>
  </conditionalFormatting>
  <conditionalFormatting sqref="M149:M150">
    <cfRule type="cellIs" dxfId="2011" priority="10622" operator="equal">
      <formula>"value일 미도래"</formula>
    </cfRule>
  </conditionalFormatting>
  <conditionalFormatting sqref="M148">
    <cfRule type="cellIs" dxfId="2010" priority="10621" operator="equal">
      <formula>"value일 미도래"</formula>
    </cfRule>
  </conditionalFormatting>
  <conditionalFormatting sqref="M148">
    <cfRule type="cellIs" dxfId="2009" priority="10620" operator="equal">
      <formula>"value일 미도래"</formula>
    </cfRule>
  </conditionalFormatting>
  <conditionalFormatting sqref="M148">
    <cfRule type="cellIs" dxfId="2008" priority="10619" operator="equal">
      <formula>"value일 미도래"</formula>
    </cfRule>
  </conditionalFormatting>
  <conditionalFormatting sqref="M149:M150">
    <cfRule type="cellIs" dxfId="2007" priority="10618" operator="equal">
      <formula>"value일 미도래"</formula>
    </cfRule>
  </conditionalFormatting>
  <conditionalFormatting sqref="M149:M150">
    <cfRule type="cellIs" dxfId="2006" priority="10617" operator="equal">
      <formula>"value일 미도래"</formula>
    </cfRule>
  </conditionalFormatting>
  <conditionalFormatting sqref="M149:M150">
    <cfRule type="cellIs" dxfId="2005" priority="10616" operator="equal">
      <formula>"value일 미도래"</formula>
    </cfRule>
  </conditionalFormatting>
  <conditionalFormatting sqref="M148">
    <cfRule type="cellIs" dxfId="2004" priority="10615" operator="equal">
      <formula>"value일 미도래"</formula>
    </cfRule>
  </conditionalFormatting>
  <conditionalFormatting sqref="M148">
    <cfRule type="cellIs" dxfId="2003" priority="10614" operator="equal">
      <formula>"value일 미도래"</formula>
    </cfRule>
  </conditionalFormatting>
  <conditionalFormatting sqref="M149:M150">
    <cfRule type="cellIs" dxfId="2002" priority="10613" operator="equal">
      <formula>"value일 미도래"</formula>
    </cfRule>
  </conditionalFormatting>
  <conditionalFormatting sqref="M149:M150">
    <cfRule type="cellIs" dxfId="2001" priority="10612" operator="equal">
      <formula>"value일 미도래"</formula>
    </cfRule>
  </conditionalFormatting>
  <conditionalFormatting sqref="M149:M150">
    <cfRule type="cellIs" dxfId="2000" priority="10611" operator="equal">
      <formula>"value일 미도래"</formula>
    </cfRule>
  </conditionalFormatting>
  <conditionalFormatting sqref="M148">
    <cfRule type="cellIs" dxfId="1999" priority="10610" operator="equal">
      <formula>"value일 미도래"</formula>
    </cfRule>
  </conditionalFormatting>
  <conditionalFormatting sqref="M148">
    <cfRule type="cellIs" dxfId="1998" priority="10609" operator="equal">
      <formula>"value일 미도래"</formula>
    </cfRule>
  </conditionalFormatting>
  <conditionalFormatting sqref="M148">
    <cfRule type="cellIs" dxfId="1997" priority="10608" operator="equal">
      <formula>"value일 미도래"</formula>
    </cfRule>
  </conditionalFormatting>
  <conditionalFormatting sqref="M148">
    <cfRule type="cellIs" dxfId="1996" priority="10607" operator="equal">
      <formula>"value일 미도래"</formula>
    </cfRule>
  </conditionalFormatting>
  <conditionalFormatting sqref="M148">
    <cfRule type="cellIs" dxfId="1995" priority="10606" operator="equal">
      <formula>"value일 미도래"</formula>
    </cfRule>
  </conditionalFormatting>
  <conditionalFormatting sqref="M148">
    <cfRule type="cellIs" dxfId="1994" priority="10605" operator="equal">
      <formula>"value일 미도래"</formula>
    </cfRule>
  </conditionalFormatting>
  <conditionalFormatting sqref="M149:M150">
    <cfRule type="cellIs" dxfId="1993" priority="10604" operator="equal">
      <formula>"value일 미도래"</formula>
    </cfRule>
  </conditionalFormatting>
  <conditionalFormatting sqref="M149:M150">
    <cfRule type="cellIs" dxfId="1992" priority="10603" operator="equal">
      <formula>"value일 미도래"</formula>
    </cfRule>
  </conditionalFormatting>
  <conditionalFormatting sqref="M149:M150">
    <cfRule type="cellIs" dxfId="1991" priority="10602" operator="equal">
      <formula>"value일 미도래"</formula>
    </cfRule>
  </conditionalFormatting>
  <conditionalFormatting sqref="M148">
    <cfRule type="cellIs" dxfId="1990" priority="10600" operator="equal">
      <formula>"value일 미도래"</formula>
    </cfRule>
  </conditionalFormatting>
  <conditionalFormatting sqref="M148">
    <cfRule type="cellIs" dxfId="1989" priority="10599" operator="equal">
      <formula>"value일 미도래"</formula>
    </cfRule>
  </conditionalFormatting>
  <conditionalFormatting sqref="M149:M150">
    <cfRule type="cellIs" dxfId="1988" priority="10598" operator="equal">
      <formula>"value일 미도래"</formula>
    </cfRule>
  </conditionalFormatting>
  <conditionalFormatting sqref="M149:M150">
    <cfRule type="cellIs" dxfId="1987" priority="10597" operator="equal">
      <formula>"value일 미도래"</formula>
    </cfRule>
  </conditionalFormatting>
  <conditionalFormatting sqref="M149:M150">
    <cfRule type="cellIs" dxfId="1986" priority="10596" operator="equal">
      <formula>"value일 미도래"</formula>
    </cfRule>
  </conditionalFormatting>
  <conditionalFormatting sqref="M148">
    <cfRule type="cellIs" dxfId="1985" priority="10595" operator="equal">
      <formula>"value일 미도래"</formula>
    </cfRule>
  </conditionalFormatting>
  <conditionalFormatting sqref="M148">
    <cfRule type="cellIs" dxfId="1984" priority="10594" operator="equal">
      <formula>"value일 미도래"</formula>
    </cfRule>
  </conditionalFormatting>
  <conditionalFormatting sqref="M148">
    <cfRule type="cellIs" dxfId="1983" priority="10593" operator="equal">
      <formula>"value일 미도래"</formula>
    </cfRule>
  </conditionalFormatting>
  <conditionalFormatting sqref="M148">
    <cfRule type="cellIs" dxfId="1982" priority="10592" operator="equal">
      <formula>"value일 미도래"</formula>
    </cfRule>
  </conditionalFormatting>
  <conditionalFormatting sqref="M148">
    <cfRule type="cellIs" dxfId="1981" priority="10591" operator="equal">
      <formula>"value일 미도래"</formula>
    </cfRule>
  </conditionalFormatting>
  <conditionalFormatting sqref="M148">
    <cfRule type="cellIs" dxfId="1980" priority="10590" operator="equal">
      <formula>"value일 미도래"</formula>
    </cfRule>
  </conditionalFormatting>
  <conditionalFormatting sqref="M148">
    <cfRule type="cellIs" dxfId="1979" priority="10589" operator="equal">
      <formula>"value일 미도래"</formula>
    </cfRule>
  </conditionalFormatting>
  <conditionalFormatting sqref="M148">
    <cfRule type="cellIs" dxfId="1978" priority="10588" operator="equal">
      <formula>"value일 미도래"</formula>
    </cfRule>
  </conditionalFormatting>
  <conditionalFormatting sqref="M148">
    <cfRule type="cellIs" dxfId="1977" priority="10587" operator="equal">
      <formula>"value일 미도래"</formula>
    </cfRule>
  </conditionalFormatting>
  <conditionalFormatting sqref="M148">
    <cfRule type="cellIs" dxfId="1976" priority="10585" operator="equal">
      <formula>"value일 미도래"</formula>
    </cfRule>
  </conditionalFormatting>
  <conditionalFormatting sqref="M148">
    <cfRule type="cellIs" dxfId="1975" priority="10584" operator="equal">
      <formula>"value일 미도래"</formula>
    </cfRule>
  </conditionalFormatting>
  <conditionalFormatting sqref="M149:M150">
    <cfRule type="cellIs" dxfId="1974" priority="10583" operator="equal">
      <formula>"value일 미도래"</formula>
    </cfRule>
  </conditionalFormatting>
  <conditionalFormatting sqref="M149:M150">
    <cfRule type="cellIs" dxfId="1973" priority="10582" operator="equal">
      <formula>"value일 미도래"</formula>
    </cfRule>
  </conditionalFormatting>
  <conditionalFormatting sqref="M149:M150">
    <cfRule type="cellIs" dxfId="1972" priority="10581" operator="equal">
      <formula>"value일 미도래"</formula>
    </cfRule>
  </conditionalFormatting>
  <conditionalFormatting sqref="M148">
    <cfRule type="cellIs" dxfId="1971" priority="10580" operator="equal">
      <formula>"value일 미도래"</formula>
    </cfRule>
  </conditionalFormatting>
  <conditionalFormatting sqref="M148">
    <cfRule type="cellIs" dxfId="1970" priority="10579" operator="equal">
      <formula>"value일 미도래"</formula>
    </cfRule>
  </conditionalFormatting>
  <conditionalFormatting sqref="M148">
    <cfRule type="cellIs" dxfId="1969" priority="10578" operator="equal">
      <formula>"value일 미도래"</formula>
    </cfRule>
  </conditionalFormatting>
  <conditionalFormatting sqref="M148">
    <cfRule type="cellIs" dxfId="1968" priority="10577" operator="equal">
      <formula>"value일 미도래"</formula>
    </cfRule>
  </conditionalFormatting>
  <conditionalFormatting sqref="M148">
    <cfRule type="cellIs" dxfId="1967" priority="10576" operator="equal">
      <formula>"value일 미도래"</formula>
    </cfRule>
  </conditionalFormatting>
  <conditionalFormatting sqref="M148">
    <cfRule type="cellIs" dxfId="1966" priority="10575" operator="equal">
      <formula>"value일 미도래"</formula>
    </cfRule>
  </conditionalFormatting>
  <conditionalFormatting sqref="M148">
    <cfRule type="cellIs" dxfId="1965" priority="10574" operator="equal">
      <formula>"value일 미도래"</formula>
    </cfRule>
  </conditionalFormatting>
  <conditionalFormatting sqref="M148">
    <cfRule type="cellIs" dxfId="1964" priority="10573" operator="equal">
      <formula>"value일 미도래"</formula>
    </cfRule>
  </conditionalFormatting>
  <conditionalFormatting sqref="M148">
    <cfRule type="cellIs" dxfId="1963" priority="10572" operator="equal">
      <formula>"value일 미도래"</formula>
    </cfRule>
  </conditionalFormatting>
  <conditionalFormatting sqref="M148">
    <cfRule type="cellIs" dxfId="1962" priority="10570" operator="equal">
      <formula>"value일 미도래"</formula>
    </cfRule>
  </conditionalFormatting>
  <conditionalFormatting sqref="M148">
    <cfRule type="cellIs" dxfId="1961" priority="10569" operator="equal">
      <formula>"value일 미도래"</formula>
    </cfRule>
  </conditionalFormatting>
  <conditionalFormatting sqref="M148">
    <cfRule type="cellIs" dxfId="1960" priority="10568" operator="equal">
      <formula>"value일 미도래"</formula>
    </cfRule>
  </conditionalFormatting>
  <conditionalFormatting sqref="M149:M150">
    <cfRule type="cellIs" dxfId="1959" priority="10567" operator="equal">
      <formula>"value일 미도래"</formula>
    </cfRule>
  </conditionalFormatting>
  <conditionalFormatting sqref="M149:M150">
    <cfRule type="cellIs" dxfId="1958" priority="10566" operator="equal">
      <formula>"value일 미도래"</formula>
    </cfRule>
  </conditionalFormatting>
  <conditionalFormatting sqref="M149:M150">
    <cfRule type="cellIs" dxfId="1957" priority="10565" operator="equal">
      <formula>"value일 미도래"</formula>
    </cfRule>
  </conditionalFormatting>
  <conditionalFormatting sqref="M148:M149">
    <cfRule type="cellIs" dxfId="1956" priority="10564" operator="equal">
      <formula>"value일 미도래"</formula>
    </cfRule>
  </conditionalFormatting>
  <conditionalFormatting sqref="M148:M149">
    <cfRule type="cellIs" dxfId="1955" priority="10563" operator="equal">
      <formula>"value일 미도래"</formula>
    </cfRule>
  </conditionalFormatting>
  <conditionalFormatting sqref="M148:M149">
    <cfRule type="cellIs" dxfId="1954" priority="10562" operator="equal">
      <formula>"value일 미도래"</formula>
    </cfRule>
  </conditionalFormatting>
  <conditionalFormatting sqref="M148:M149">
    <cfRule type="cellIs" dxfId="1953" priority="10561" operator="equal">
      <formula>"value일 미도래"</formula>
    </cfRule>
  </conditionalFormatting>
  <conditionalFormatting sqref="M148:M149">
    <cfRule type="cellIs" dxfId="1952" priority="10560" operator="equal">
      <formula>"value일 미도래"</formula>
    </cfRule>
  </conditionalFormatting>
  <conditionalFormatting sqref="M148:M149">
    <cfRule type="cellIs" dxfId="1951" priority="10559" operator="equal">
      <formula>"value일 미도래"</formula>
    </cfRule>
  </conditionalFormatting>
  <conditionalFormatting sqref="M148:M149">
    <cfRule type="cellIs" dxfId="1950" priority="10557" operator="equal">
      <formula>"value일 미도래"</formula>
    </cfRule>
  </conditionalFormatting>
  <conditionalFormatting sqref="M148:M149">
    <cfRule type="cellIs" dxfId="1949" priority="10556" operator="equal">
      <formula>"value일 미도래"</formula>
    </cfRule>
  </conditionalFormatting>
  <conditionalFormatting sqref="M148:M149">
    <cfRule type="cellIs" dxfId="1948" priority="10555" operator="equal">
      <formula>"value일 미도래"</formula>
    </cfRule>
  </conditionalFormatting>
  <conditionalFormatting sqref="M148:M149">
    <cfRule type="cellIs" dxfId="1947" priority="10554" operator="equal">
      <formula>"value일 미도래"</formula>
    </cfRule>
  </conditionalFormatting>
  <conditionalFormatting sqref="M148:M149">
    <cfRule type="cellIs" dxfId="1946" priority="10553" operator="equal">
      <formula>"value일 미도래"</formula>
    </cfRule>
  </conditionalFormatting>
  <conditionalFormatting sqref="M148:M149">
    <cfRule type="cellIs" dxfId="1945" priority="10552" operator="equal">
      <formula>"value일 미도래"</formula>
    </cfRule>
  </conditionalFormatting>
  <conditionalFormatting sqref="M148:M149">
    <cfRule type="cellIs" dxfId="1944" priority="10551" operator="equal">
      <formula>"value일 미도래"</formula>
    </cfRule>
  </conditionalFormatting>
  <conditionalFormatting sqref="M148:M149">
    <cfRule type="cellIs" dxfId="1943" priority="10550" operator="equal">
      <formula>"value일 미도래"</formula>
    </cfRule>
  </conditionalFormatting>
  <conditionalFormatting sqref="M148:M149">
    <cfRule type="cellIs" dxfId="1942" priority="10548" operator="equal">
      <formula>"value일 미도래"</formula>
    </cfRule>
  </conditionalFormatting>
  <conditionalFormatting sqref="M148:M149">
    <cfRule type="cellIs" dxfId="1941" priority="10547" operator="equal">
      <formula>"value일 미도래"</formula>
    </cfRule>
  </conditionalFormatting>
  <conditionalFormatting sqref="M148:M149">
    <cfRule type="cellIs" dxfId="1940" priority="10546" operator="equal">
      <formula>"value일 미도래"</formula>
    </cfRule>
  </conditionalFormatting>
  <conditionalFormatting sqref="M148:M149">
    <cfRule type="cellIs" dxfId="1939" priority="10545" operator="equal">
      <formula>"value일 미도래"</formula>
    </cfRule>
  </conditionalFormatting>
  <conditionalFormatting sqref="M148:M149">
    <cfRule type="cellIs" dxfId="1938" priority="10544" operator="equal">
      <formula>"value일 미도래"</formula>
    </cfRule>
  </conditionalFormatting>
  <conditionalFormatting sqref="M148:M149">
    <cfRule type="cellIs" dxfId="1937" priority="10543" operator="equal">
      <formula>"value일 미도래"</formula>
    </cfRule>
  </conditionalFormatting>
  <conditionalFormatting sqref="M148:M149">
    <cfRule type="cellIs" dxfId="1936" priority="10542" operator="equal">
      <formula>"value일 미도래"</formula>
    </cfRule>
  </conditionalFormatting>
  <conditionalFormatting sqref="M148:M149">
    <cfRule type="cellIs" dxfId="1935" priority="10541" operator="equal">
      <formula>"value일 미도래"</formula>
    </cfRule>
  </conditionalFormatting>
  <conditionalFormatting sqref="M148:M149">
    <cfRule type="cellIs" dxfId="1934" priority="10540" operator="equal">
      <formula>"value일 미도래"</formula>
    </cfRule>
  </conditionalFormatting>
  <conditionalFormatting sqref="M148:M149">
    <cfRule type="cellIs" dxfId="1933" priority="10539" operator="equal">
      <formula>"value일 미도래"</formula>
    </cfRule>
  </conditionalFormatting>
  <conditionalFormatting sqref="M148:M149">
    <cfRule type="cellIs" dxfId="1932" priority="10538" operator="equal">
      <formula>"value일 미도래"</formula>
    </cfRule>
  </conditionalFormatting>
  <conditionalFormatting sqref="M148:M149">
    <cfRule type="cellIs" dxfId="1931" priority="10536" operator="equal">
      <formula>"value일 미도래"</formula>
    </cfRule>
  </conditionalFormatting>
  <conditionalFormatting sqref="M148:M149">
    <cfRule type="cellIs" dxfId="1930" priority="10535" operator="equal">
      <formula>"value일 미도래"</formula>
    </cfRule>
  </conditionalFormatting>
  <conditionalFormatting sqref="M148:M149">
    <cfRule type="cellIs" dxfId="1929" priority="10534" operator="equal">
      <formula>"value일 미도래"</formula>
    </cfRule>
  </conditionalFormatting>
  <conditionalFormatting sqref="M148:M149">
    <cfRule type="cellIs" dxfId="1928" priority="10533" operator="equal">
      <formula>"value일 미도래"</formula>
    </cfRule>
  </conditionalFormatting>
  <conditionalFormatting sqref="M148:M149">
    <cfRule type="cellIs" dxfId="1927" priority="10532" operator="equal">
      <formula>"value일 미도래"</formula>
    </cfRule>
  </conditionalFormatting>
  <conditionalFormatting sqref="M148:M149">
    <cfRule type="cellIs" dxfId="1926" priority="10531" operator="equal">
      <formula>"value일 미도래"</formula>
    </cfRule>
  </conditionalFormatting>
  <conditionalFormatting sqref="M148:M149">
    <cfRule type="cellIs" dxfId="1925" priority="10530" operator="equal">
      <formula>"value일 미도래"</formula>
    </cfRule>
  </conditionalFormatting>
  <conditionalFormatting sqref="M148:M149">
    <cfRule type="cellIs" dxfId="1924" priority="10529" operator="equal">
      <formula>"value일 미도래"</formula>
    </cfRule>
  </conditionalFormatting>
  <conditionalFormatting sqref="M148:M149">
    <cfRule type="cellIs" dxfId="1923" priority="10528" operator="equal">
      <formula>"value일 미도래"</formula>
    </cfRule>
  </conditionalFormatting>
  <conditionalFormatting sqref="M148:M149">
    <cfRule type="cellIs" dxfId="1922" priority="10527" operator="equal">
      <formula>"value일 미도래"</formula>
    </cfRule>
  </conditionalFormatting>
  <conditionalFormatting sqref="M148:M149">
    <cfRule type="cellIs" dxfId="1921" priority="10526" operator="equal">
      <formula>"value일 미도래"</formula>
    </cfRule>
  </conditionalFormatting>
  <conditionalFormatting sqref="M148:M149">
    <cfRule type="cellIs" dxfId="1920" priority="10524" operator="equal">
      <formula>"value일 미도래"</formula>
    </cfRule>
  </conditionalFormatting>
  <conditionalFormatting sqref="M148:M149">
    <cfRule type="cellIs" dxfId="1919" priority="10523" operator="equal">
      <formula>"value일 미도래"</formula>
    </cfRule>
  </conditionalFormatting>
  <conditionalFormatting sqref="M148:M149">
    <cfRule type="cellIs" dxfId="1918" priority="10522" operator="equal">
      <formula>"value일 미도래"</formula>
    </cfRule>
  </conditionalFormatting>
  <conditionalFormatting sqref="M148">
    <cfRule type="cellIs" dxfId="1917" priority="10521" operator="equal">
      <formula>"value일 미도래"</formula>
    </cfRule>
  </conditionalFormatting>
  <conditionalFormatting sqref="M148">
    <cfRule type="cellIs" dxfId="1916" priority="10520" operator="equal">
      <formula>"value일 미도래"</formula>
    </cfRule>
  </conditionalFormatting>
  <conditionalFormatting sqref="M148:M149">
    <cfRule type="cellIs" dxfId="1915" priority="10519" operator="equal">
      <formula>"value일 미도래"</formula>
    </cfRule>
  </conditionalFormatting>
  <conditionalFormatting sqref="M148:M149">
    <cfRule type="cellIs" dxfId="1914" priority="10518" operator="equal">
      <formula>"value일 미도래"</formula>
    </cfRule>
  </conditionalFormatting>
  <conditionalFormatting sqref="M148:M149">
    <cfRule type="cellIs" dxfId="1913" priority="10517" operator="equal">
      <formula>"value일 미도래"</formula>
    </cfRule>
  </conditionalFormatting>
  <conditionalFormatting sqref="M149:M150">
    <cfRule type="cellIs" dxfId="1912" priority="10516" operator="equal">
      <formula>"value일 미도래"</formula>
    </cfRule>
  </conditionalFormatting>
  <conditionalFormatting sqref="M149:M150">
    <cfRule type="cellIs" dxfId="1911" priority="10515" operator="equal">
      <formula>"value일 미도래"</formula>
    </cfRule>
  </conditionalFormatting>
  <conditionalFormatting sqref="M149:M150">
    <cfRule type="cellIs" dxfId="1910" priority="10514" operator="equal">
      <formula>"value일 미도래"</formula>
    </cfRule>
  </conditionalFormatting>
  <conditionalFormatting sqref="M148">
    <cfRule type="cellIs" dxfId="1909" priority="10513" operator="equal">
      <formula>"value일 미도래"</formula>
    </cfRule>
  </conditionalFormatting>
  <conditionalFormatting sqref="M148">
    <cfRule type="cellIs" dxfId="1908" priority="10512" operator="equal">
      <formula>"value일 미도래"</formula>
    </cfRule>
  </conditionalFormatting>
  <conditionalFormatting sqref="M148">
    <cfRule type="cellIs" dxfId="1907" priority="10511" operator="equal">
      <formula>"value일 미도래"</formula>
    </cfRule>
  </conditionalFormatting>
  <conditionalFormatting sqref="M148">
    <cfRule type="cellIs" dxfId="1906" priority="10510" operator="equal">
      <formula>"value일 미도래"</formula>
    </cfRule>
  </conditionalFormatting>
  <conditionalFormatting sqref="M148">
    <cfRule type="cellIs" dxfId="1905" priority="10509" operator="equal">
      <formula>"value일 미도래"</formula>
    </cfRule>
  </conditionalFormatting>
  <conditionalFormatting sqref="M148">
    <cfRule type="cellIs" dxfId="1904" priority="10508" operator="equal">
      <formula>"value일 미도래"</formula>
    </cfRule>
  </conditionalFormatting>
  <conditionalFormatting sqref="M148">
    <cfRule type="cellIs" dxfId="1903" priority="10507" operator="equal">
      <formula>"value일 미도래"</formula>
    </cfRule>
  </conditionalFormatting>
  <conditionalFormatting sqref="M148">
    <cfRule type="cellIs" dxfId="1902" priority="10506" operator="equal">
      <formula>"value일 미도래"</formula>
    </cfRule>
  </conditionalFormatting>
  <conditionalFormatting sqref="M148">
    <cfRule type="cellIs" dxfId="1901" priority="10505" operator="equal">
      <formula>"value일 미도래"</formula>
    </cfRule>
  </conditionalFormatting>
  <conditionalFormatting sqref="M148">
    <cfRule type="cellIs" dxfId="1900" priority="10503" operator="equal">
      <formula>"value일 미도래"</formula>
    </cfRule>
  </conditionalFormatting>
  <conditionalFormatting sqref="M148">
    <cfRule type="cellIs" dxfId="1899" priority="10502" operator="equal">
      <formula>"value일 미도래"</formula>
    </cfRule>
  </conditionalFormatting>
  <conditionalFormatting sqref="M148">
    <cfRule type="cellIs" dxfId="1898" priority="10501" operator="equal">
      <formula>"value일 미도래"</formula>
    </cfRule>
  </conditionalFormatting>
  <conditionalFormatting sqref="M148:M149">
    <cfRule type="cellIs" dxfId="1897" priority="10500" operator="equal">
      <formula>"value일 미도래"</formula>
    </cfRule>
  </conditionalFormatting>
  <conditionalFormatting sqref="M148:M149">
    <cfRule type="cellIs" dxfId="1896" priority="10499" operator="equal">
      <formula>"value일 미도래"</formula>
    </cfRule>
  </conditionalFormatting>
  <conditionalFormatting sqref="M148:M149">
    <cfRule type="cellIs" dxfId="1895" priority="10498" operator="equal">
      <formula>"value일 미도래"</formula>
    </cfRule>
  </conditionalFormatting>
  <conditionalFormatting sqref="M148">
    <cfRule type="cellIs" dxfId="1894" priority="10497" operator="equal">
      <formula>"value일 미도래"</formula>
    </cfRule>
  </conditionalFormatting>
  <conditionalFormatting sqref="M148">
    <cfRule type="cellIs" dxfId="1893" priority="10496" operator="equal">
      <formula>"value일 미도래"</formula>
    </cfRule>
  </conditionalFormatting>
  <conditionalFormatting sqref="M148">
    <cfRule type="cellIs" dxfId="1892" priority="10495" operator="equal">
      <formula>"value일 미도래"</formula>
    </cfRule>
  </conditionalFormatting>
  <conditionalFormatting sqref="M148:M149">
    <cfRule type="cellIs" dxfId="1891" priority="10494" operator="equal">
      <formula>"value일 미도래"</formula>
    </cfRule>
  </conditionalFormatting>
  <conditionalFormatting sqref="M148:M149">
    <cfRule type="cellIs" dxfId="1890" priority="10493" operator="equal">
      <formula>"value일 미도래"</formula>
    </cfRule>
  </conditionalFormatting>
  <conditionalFormatting sqref="M148:M149">
    <cfRule type="cellIs" dxfId="1889" priority="10492" operator="equal">
      <formula>"value일 미도래"</formula>
    </cfRule>
  </conditionalFormatting>
  <conditionalFormatting sqref="M148">
    <cfRule type="cellIs" dxfId="1888" priority="10491" operator="equal">
      <formula>"value일 미도래"</formula>
    </cfRule>
  </conditionalFormatting>
  <conditionalFormatting sqref="M148">
    <cfRule type="cellIs" dxfId="1887" priority="10490" operator="equal">
      <formula>"value일 미도래"</formula>
    </cfRule>
  </conditionalFormatting>
  <conditionalFormatting sqref="M148">
    <cfRule type="cellIs" dxfId="1886" priority="10489" operator="equal">
      <formula>"value일 미도래"</formula>
    </cfRule>
  </conditionalFormatting>
  <conditionalFormatting sqref="M148">
    <cfRule type="cellIs" dxfId="1885" priority="10488" operator="equal">
      <formula>"value일 미도래"</formula>
    </cfRule>
  </conditionalFormatting>
  <conditionalFormatting sqref="M148">
    <cfRule type="cellIs" dxfId="1884" priority="10487" operator="equal">
      <formula>"value일 미도래"</formula>
    </cfRule>
  </conditionalFormatting>
  <conditionalFormatting sqref="M148:M149">
    <cfRule type="cellIs" dxfId="1883" priority="10486" operator="equal">
      <formula>"value일 미도래"</formula>
    </cfRule>
  </conditionalFormatting>
  <conditionalFormatting sqref="M148:M149">
    <cfRule type="cellIs" dxfId="1882" priority="10485" operator="equal">
      <formula>"value일 미도래"</formula>
    </cfRule>
  </conditionalFormatting>
  <conditionalFormatting sqref="M148:M149">
    <cfRule type="cellIs" dxfId="1881" priority="10484" operator="equal">
      <formula>"value일 미도래"</formula>
    </cfRule>
  </conditionalFormatting>
  <conditionalFormatting sqref="M149:M150">
    <cfRule type="cellIs" dxfId="1880" priority="10483" operator="equal">
      <formula>"value일 미도래"</formula>
    </cfRule>
  </conditionalFormatting>
  <conditionalFormatting sqref="M149:M150">
    <cfRule type="cellIs" dxfId="1879" priority="10482" operator="equal">
      <formula>"value일 미도래"</formula>
    </cfRule>
  </conditionalFormatting>
  <conditionalFormatting sqref="M149:M150">
    <cfRule type="cellIs" dxfId="1878" priority="10481" operator="equal">
      <formula>"value일 미도래"</formula>
    </cfRule>
  </conditionalFormatting>
  <conditionalFormatting sqref="M148">
    <cfRule type="cellIs" dxfId="1877" priority="10480" operator="equal">
      <formula>"value일 미도래"</formula>
    </cfRule>
  </conditionalFormatting>
  <conditionalFormatting sqref="M148">
    <cfRule type="cellIs" dxfId="1876" priority="10479" operator="equal">
      <formula>"value일 미도래"</formula>
    </cfRule>
  </conditionalFormatting>
  <conditionalFormatting sqref="M148">
    <cfRule type="cellIs" dxfId="1875" priority="10478" operator="equal">
      <formula>"value일 미도래"</formula>
    </cfRule>
  </conditionalFormatting>
  <conditionalFormatting sqref="M148">
    <cfRule type="cellIs" dxfId="1874" priority="10477" operator="equal">
      <formula>"value일 미도래"</formula>
    </cfRule>
  </conditionalFormatting>
  <conditionalFormatting sqref="M148">
    <cfRule type="cellIs" dxfId="1873" priority="10476" operator="equal">
      <formula>"value일 미도래"</formula>
    </cfRule>
  </conditionalFormatting>
  <conditionalFormatting sqref="M148">
    <cfRule type="cellIs" dxfId="1872" priority="10475" operator="equal">
      <formula>"value일 미도래"</formula>
    </cfRule>
  </conditionalFormatting>
  <conditionalFormatting sqref="M148">
    <cfRule type="cellIs" dxfId="1871" priority="10474" operator="equal">
      <formula>"value일 미도래"</formula>
    </cfRule>
  </conditionalFormatting>
  <conditionalFormatting sqref="M148">
    <cfRule type="cellIs" dxfId="1870" priority="10473" operator="equal">
      <formula>"value일 미도래"</formula>
    </cfRule>
  </conditionalFormatting>
  <conditionalFormatting sqref="M148">
    <cfRule type="cellIs" dxfId="1869" priority="10472" operator="equal">
      <formula>"value일 미도래"</formula>
    </cfRule>
  </conditionalFormatting>
  <conditionalFormatting sqref="M148">
    <cfRule type="cellIs" dxfId="1868" priority="10470" operator="equal">
      <formula>"value일 미도래"</formula>
    </cfRule>
  </conditionalFormatting>
  <conditionalFormatting sqref="M148">
    <cfRule type="cellIs" dxfId="1867" priority="10469" operator="equal">
      <formula>"value일 미도래"</formula>
    </cfRule>
  </conditionalFormatting>
  <conditionalFormatting sqref="M148">
    <cfRule type="cellIs" dxfId="1866" priority="10468" operator="equal">
      <formula>"value일 미도래"</formula>
    </cfRule>
  </conditionalFormatting>
  <conditionalFormatting sqref="M148:M149">
    <cfRule type="cellIs" dxfId="1865" priority="10467" operator="equal">
      <formula>"value일 미도래"</formula>
    </cfRule>
  </conditionalFormatting>
  <conditionalFormatting sqref="M148:M149">
    <cfRule type="cellIs" dxfId="1864" priority="10466" operator="equal">
      <formula>"value일 미도래"</formula>
    </cfRule>
  </conditionalFormatting>
  <conditionalFormatting sqref="M148:M149">
    <cfRule type="cellIs" dxfId="1863" priority="10465" operator="equal">
      <formula>"value일 미도래"</formula>
    </cfRule>
  </conditionalFormatting>
  <conditionalFormatting sqref="M148">
    <cfRule type="cellIs" dxfId="1862" priority="10464" operator="equal">
      <formula>"value일 미도래"</formula>
    </cfRule>
  </conditionalFormatting>
  <conditionalFormatting sqref="M148">
    <cfRule type="cellIs" dxfId="1861" priority="10463" operator="equal">
      <formula>"value일 미도래"</formula>
    </cfRule>
  </conditionalFormatting>
  <conditionalFormatting sqref="M148">
    <cfRule type="cellIs" dxfId="1860" priority="10462" operator="equal">
      <formula>"value일 미도래"</formula>
    </cfRule>
  </conditionalFormatting>
  <conditionalFormatting sqref="M148:M149">
    <cfRule type="cellIs" dxfId="1859" priority="10461" operator="equal">
      <formula>"value일 미도래"</formula>
    </cfRule>
  </conditionalFormatting>
  <conditionalFormatting sqref="M148:M149">
    <cfRule type="cellIs" dxfId="1858" priority="10460" operator="equal">
      <formula>"value일 미도래"</formula>
    </cfRule>
  </conditionalFormatting>
  <conditionalFormatting sqref="M148:M149">
    <cfRule type="cellIs" dxfId="1857" priority="10459" operator="equal">
      <formula>"value일 미도래"</formula>
    </cfRule>
  </conditionalFormatting>
  <conditionalFormatting sqref="M148">
    <cfRule type="cellIs" dxfId="1856" priority="10458" operator="equal">
      <formula>"value일 미도래"</formula>
    </cfRule>
  </conditionalFormatting>
  <conditionalFormatting sqref="M148">
    <cfRule type="cellIs" dxfId="1855" priority="10457" operator="equal">
      <formula>"value일 미도래"</formula>
    </cfRule>
  </conditionalFormatting>
  <conditionalFormatting sqref="M148">
    <cfRule type="cellIs" dxfId="1854" priority="10456" operator="equal">
      <formula>"value일 미도래"</formula>
    </cfRule>
  </conditionalFormatting>
  <conditionalFormatting sqref="M149:M150">
    <cfRule type="cellIs" dxfId="1853" priority="10455" operator="equal">
      <formula>"value일 미도래"</formula>
    </cfRule>
  </conditionalFormatting>
  <conditionalFormatting sqref="M149:M150">
    <cfRule type="cellIs" dxfId="1852" priority="10454" operator="equal">
      <formula>"value일 미도래"</formula>
    </cfRule>
  </conditionalFormatting>
  <conditionalFormatting sqref="M149:M150">
    <cfRule type="cellIs" dxfId="1851" priority="10453" operator="equal">
      <formula>"value일 미도래"</formula>
    </cfRule>
  </conditionalFormatting>
  <conditionalFormatting sqref="M149:M150">
    <cfRule type="cellIs" dxfId="1850" priority="10452" operator="equal">
      <formula>"value일 미도래"</formula>
    </cfRule>
  </conditionalFormatting>
  <conditionalFormatting sqref="M148">
    <cfRule type="cellIs" dxfId="1849" priority="10451" operator="equal">
      <formula>"value일 미도래"</formula>
    </cfRule>
  </conditionalFormatting>
  <conditionalFormatting sqref="M148">
    <cfRule type="cellIs" dxfId="1848" priority="10450" operator="equal">
      <formula>"value일 미도래"</formula>
    </cfRule>
  </conditionalFormatting>
  <conditionalFormatting sqref="M148">
    <cfRule type="cellIs" dxfId="1847" priority="10449" operator="equal">
      <formula>"value일 미도래"</formula>
    </cfRule>
  </conditionalFormatting>
  <conditionalFormatting sqref="M148">
    <cfRule type="cellIs" dxfId="1846" priority="10448" operator="equal">
      <formula>"value일 미도래"</formula>
    </cfRule>
  </conditionalFormatting>
  <conditionalFormatting sqref="M148">
    <cfRule type="cellIs" dxfId="1845" priority="10447" operator="equal">
      <formula>"value일 미도래"</formula>
    </cfRule>
  </conditionalFormatting>
  <conditionalFormatting sqref="M148">
    <cfRule type="cellIs" dxfId="1844" priority="10446" operator="equal">
      <formula>"value일 미도래"</formula>
    </cfRule>
  </conditionalFormatting>
  <conditionalFormatting sqref="M148">
    <cfRule type="cellIs" dxfId="1843" priority="10445" operator="equal">
      <formula>"value일 미도래"</formula>
    </cfRule>
  </conditionalFormatting>
  <conditionalFormatting sqref="M148">
    <cfRule type="cellIs" dxfId="1842" priority="10444" operator="equal">
      <formula>"value일 미도래"</formula>
    </cfRule>
  </conditionalFormatting>
  <conditionalFormatting sqref="M148">
    <cfRule type="cellIs" dxfId="1841" priority="10443" operator="equal">
      <formula>"value일 미도래"</formula>
    </cfRule>
  </conditionalFormatting>
  <conditionalFormatting sqref="M148">
    <cfRule type="cellIs" dxfId="1840" priority="10442" operator="equal">
      <formula>"value일 미도래"</formula>
    </cfRule>
  </conditionalFormatting>
  <conditionalFormatting sqref="M148">
    <cfRule type="cellIs" dxfId="1839" priority="10441" operator="equal">
      <formula>"value일 미도래"</formula>
    </cfRule>
  </conditionalFormatting>
  <conditionalFormatting sqref="M148">
    <cfRule type="cellIs" dxfId="1838" priority="10440" operator="equal">
      <formula>"value일 미도래"</formula>
    </cfRule>
  </conditionalFormatting>
  <conditionalFormatting sqref="M148">
    <cfRule type="cellIs" dxfId="1837" priority="10439" operator="equal">
      <formula>"value일 미도래"</formula>
    </cfRule>
  </conditionalFormatting>
  <conditionalFormatting sqref="M148">
    <cfRule type="cellIs" dxfId="1836" priority="10438" operator="equal">
      <formula>"value일 미도래"</formula>
    </cfRule>
  </conditionalFormatting>
  <conditionalFormatting sqref="M148">
    <cfRule type="cellIs" dxfId="1835" priority="10436" operator="equal">
      <formula>"value일 미도래"</formula>
    </cfRule>
  </conditionalFormatting>
  <conditionalFormatting sqref="M148">
    <cfRule type="cellIs" dxfId="1834" priority="10435" operator="equal">
      <formula>"value일 미도래"</formula>
    </cfRule>
  </conditionalFormatting>
  <conditionalFormatting sqref="M148">
    <cfRule type="cellIs" dxfId="1833" priority="10434" operator="equal">
      <formula>"value일 미도래"</formula>
    </cfRule>
  </conditionalFormatting>
  <conditionalFormatting sqref="M148">
    <cfRule type="cellIs" dxfId="1832" priority="10433" operator="equal">
      <formula>"value일 미도래"</formula>
    </cfRule>
  </conditionalFormatting>
  <conditionalFormatting sqref="M148">
    <cfRule type="cellIs" dxfId="1831" priority="10432" operator="equal">
      <formula>"value일 미도래"</formula>
    </cfRule>
  </conditionalFormatting>
  <conditionalFormatting sqref="M148">
    <cfRule type="cellIs" dxfId="1830" priority="10431" operator="equal">
      <formula>"value일 미도래"</formula>
    </cfRule>
  </conditionalFormatting>
  <conditionalFormatting sqref="M148">
    <cfRule type="cellIs" dxfId="1829" priority="10430" operator="equal">
      <formula>"value일 미도래"</formula>
    </cfRule>
  </conditionalFormatting>
  <conditionalFormatting sqref="M148">
    <cfRule type="cellIs" dxfId="1828" priority="10429" operator="equal">
      <formula>"value일 미도래"</formula>
    </cfRule>
  </conditionalFormatting>
  <conditionalFormatting sqref="M148">
    <cfRule type="cellIs" dxfId="1827" priority="10428" operator="equal">
      <formula>"value일 미도래"</formula>
    </cfRule>
  </conditionalFormatting>
  <conditionalFormatting sqref="M148">
    <cfRule type="cellIs" dxfId="1826" priority="10427" operator="equal">
      <formula>"value일 미도래"</formula>
    </cfRule>
  </conditionalFormatting>
  <conditionalFormatting sqref="M148">
    <cfRule type="cellIs" dxfId="1825" priority="10426" operator="equal">
      <formula>"value일 미도래"</formula>
    </cfRule>
  </conditionalFormatting>
  <conditionalFormatting sqref="M148">
    <cfRule type="cellIs" dxfId="1824" priority="10425" operator="equal">
      <formula>"value일 미도래"</formula>
    </cfRule>
  </conditionalFormatting>
  <conditionalFormatting sqref="M148">
    <cfRule type="cellIs" dxfId="1823" priority="10424" operator="equal">
      <formula>"value일 미도래"</formula>
    </cfRule>
  </conditionalFormatting>
  <conditionalFormatting sqref="M148">
    <cfRule type="cellIs" dxfId="1822" priority="10423" operator="equal">
      <formula>"value일 미도래"</formula>
    </cfRule>
  </conditionalFormatting>
  <conditionalFormatting sqref="M148">
    <cfRule type="cellIs" dxfId="1821" priority="10422" operator="equal">
      <formula>"value일 미도래"</formula>
    </cfRule>
  </conditionalFormatting>
  <conditionalFormatting sqref="M148">
    <cfRule type="cellIs" dxfId="1820" priority="10421" operator="equal">
      <formula>"value일 미도래"</formula>
    </cfRule>
  </conditionalFormatting>
  <conditionalFormatting sqref="M148">
    <cfRule type="cellIs" dxfId="1819" priority="10420" operator="equal">
      <formula>"value일 미도래"</formula>
    </cfRule>
  </conditionalFormatting>
  <conditionalFormatting sqref="M148">
    <cfRule type="cellIs" dxfId="1818" priority="10419" operator="equal">
      <formula>"value일 미도래"</formula>
    </cfRule>
  </conditionalFormatting>
  <conditionalFormatting sqref="M148">
    <cfRule type="cellIs" dxfId="1817" priority="10418" operator="equal">
      <formula>"value일 미도래"</formula>
    </cfRule>
  </conditionalFormatting>
  <conditionalFormatting sqref="M148:M149">
    <cfRule type="cellIs" dxfId="1816" priority="10417" operator="equal">
      <formula>"value일 미도래"</formula>
    </cfRule>
  </conditionalFormatting>
  <conditionalFormatting sqref="M148:M149">
    <cfRule type="cellIs" dxfId="1815" priority="10416" operator="equal">
      <formula>"value일 미도래"</formula>
    </cfRule>
  </conditionalFormatting>
  <conditionalFormatting sqref="M148:M149">
    <cfRule type="cellIs" dxfId="1814" priority="10415" operator="equal">
      <formula>"value일 미도래"</formula>
    </cfRule>
  </conditionalFormatting>
  <conditionalFormatting sqref="M148:M149">
    <cfRule type="cellIs" dxfId="1813" priority="10414" operator="equal">
      <formula>"value일 미도래"</formula>
    </cfRule>
  </conditionalFormatting>
  <conditionalFormatting sqref="M148:M149">
    <cfRule type="cellIs" dxfId="1812" priority="10413" operator="equal">
      <formula>"value일 미도래"</formula>
    </cfRule>
  </conditionalFormatting>
  <conditionalFormatting sqref="M148:M149">
    <cfRule type="cellIs" dxfId="1811" priority="10412" operator="equal">
      <formula>"value일 미도래"</formula>
    </cfRule>
  </conditionalFormatting>
  <conditionalFormatting sqref="M148:M149">
    <cfRule type="cellIs" dxfId="1810" priority="10410" operator="equal">
      <formula>"value일 미도래"</formula>
    </cfRule>
  </conditionalFormatting>
  <conditionalFormatting sqref="M148:M149">
    <cfRule type="cellIs" dxfId="1809" priority="10409" operator="equal">
      <formula>"value일 미도래"</formula>
    </cfRule>
  </conditionalFormatting>
  <conditionalFormatting sqref="M148:M149">
    <cfRule type="cellIs" dxfId="1808" priority="10408" operator="equal">
      <formula>"value일 미도래"</formula>
    </cfRule>
  </conditionalFormatting>
  <conditionalFormatting sqref="M148:M149">
    <cfRule type="cellIs" dxfId="1807" priority="10407" operator="equal">
      <formula>"value일 미도래"</formula>
    </cfRule>
  </conditionalFormatting>
  <conditionalFormatting sqref="M148:M149">
    <cfRule type="cellIs" dxfId="1806" priority="10406" operator="equal">
      <formula>"value일 미도래"</formula>
    </cfRule>
  </conditionalFormatting>
  <conditionalFormatting sqref="M148:M149">
    <cfRule type="cellIs" dxfId="1805" priority="10405" operator="equal">
      <formula>"value일 미도래"</formula>
    </cfRule>
  </conditionalFormatting>
  <conditionalFormatting sqref="M148:M149">
    <cfRule type="cellIs" dxfId="1804" priority="10404" operator="equal">
      <formula>"value일 미도래"</formula>
    </cfRule>
  </conditionalFormatting>
  <conditionalFormatting sqref="M148:M149">
    <cfRule type="cellIs" dxfId="1803" priority="10403" operator="equal">
      <formula>"value일 미도래"</formula>
    </cfRule>
  </conditionalFormatting>
  <conditionalFormatting sqref="M148:M149">
    <cfRule type="cellIs" dxfId="1802" priority="10401" operator="equal">
      <formula>"value일 미도래"</formula>
    </cfRule>
  </conditionalFormatting>
  <conditionalFormatting sqref="M148:M149">
    <cfRule type="cellIs" dxfId="1801" priority="10400" operator="equal">
      <formula>"value일 미도래"</formula>
    </cfRule>
  </conditionalFormatting>
  <conditionalFormatting sqref="M148:M149">
    <cfRule type="cellIs" dxfId="1800" priority="10399" operator="equal">
      <formula>"value일 미도래"</formula>
    </cfRule>
  </conditionalFormatting>
  <conditionalFormatting sqref="M148:M149">
    <cfRule type="cellIs" dxfId="1799" priority="10398" operator="equal">
      <formula>"value일 미도래"</formula>
    </cfRule>
  </conditionalFormatting>
  <conditionalFormatting sqref="M148:M149">
    <cfRule type="cellIs" dxfId="1798" priority="10397" operator="equal">
      <formula>"value일 미도래"</formula>
    </cfRule>
  </conditionalFormatting>
  <conditionalFormatting sqref="M148:M149">
    <cfRule type="cellIs" dxfId="1797" priority="10396" operator="equal">
      <formula>"value일 미도래"</formula>
    </cfRule>
  </conditionalFormatting>
  <conditionalFormatting sqref="M148:M149">
    <cfRule type="cellIs" dxfId="1796" priority="10395" operator="equal">
      <formula>"value일 미도래"</formula>
    </cfRule>
  </conditionalFormatting>
  <conditionalFormatting sqref="M148:M149">
    <cfRule type="cellIs" dxfId="1795" priority="10394" operator="equal">
      <formula>"value일 미도래"</formula>
    </cfRule>
  </conditionalFormatting>
  <conditionalFormatting sqref="M148:M149">
    <cfRule type="cellIs" dxfId="1794" priority="10393" operator="equal">
      <formula>"value일 미도래"</formula>
    </cfRule>
  </conditionalFormatting>
  <conditionalFormatting sqref="M148:M149">
    <cfRule type="cellIs" dxfId="1793" priority="10392" operator="equal">
      <formula>"value일 미도래"</formula>
    </cfRule>
  </conditionalFormatting>
  <conditionalFormatting sqref="M148:M149">
    <cfRule type="cellIs" dxfId="1792" priority="10391" operator="equal">
      <formula>"value일 미도래"</formula>
    </cfRule>
  </conditionalFormatting>
  <conditionalFormatting sqref="M148:M149">
    <cfRule type="cellIs" dxfId="1791" priority="10389" operator="equal">
      <formula>"value일 미도래"</formula>
    </cfRule>
  </conditionalFormatting>
  <conditionalFormatting sqref="M148:M149">
    <cfRule type="cellIs" dxfId="1790" priority="10388" operator="equal">
      <formula>"value일 미도래"</formula>
    </cfRule>
  </conditionalFormatting>
  <conditionalFormatting sqref="M148:M149">
    <cfRule type="cellIs" dxfId="1789" priority="10387" operator="equal">
      <formula>"value일 미도래"</formula>
    </cfRule>
  </conditionalFormatting>
  <conditionalFormatting sqref="M148:M149">
    <cfRule type="cellIs" dxfId="1788" priority="10386" operator="equal">
      <formula>"value일 미도래"</formula>
    </cfRule>
  </conditionalFormatting>
  <conditionalFormatting sqref="M148:M149">
    <cfRule type="cellIs" dxfId="1787" priority="10385" operator="equal">
      <formula>"value일 미도래"</formula>
    </cfRule>
  </conditionalFormatting>
  <conditionalFormatting sqref="M148:M149">
    <cfRule type="cellIs" dxfId="1786" priority="10384" operator="equal">
      <formula>"value일 미도래"</formula>
    </cfRule>
  </conditionalFormatting>
  <conditionalFormatting sqref="M148:M149">
    <cfRule type="cellIs" dxfId="1785" priority="10383" operator="equal">
      <formula>"value일 미도래"</formula>
    </cfRule>
  </conditionalFormatting>
  <conditionalFormatting sqref="M148:M149">
    <cfRule type="cellIs" dxfId="1784" priority="10382" operator="equal">
      <formula>"value일 미도래"</formula>
    </cfRule>
  </conditionalFormatting>
  <conditionalFormatting sqref="M148:M149">
    <cfRule type="cellIs" dxfId="1783" priority="10381" operator="equal">
      <formula>"value일 미도래"</formula>
    </cfRule>
  </conditionalFormatting>
  <conditionalFormatting sqref="M148:M149">
    <cfRule type="cellIs" dxfId="1782" priority="10380" operator="equal">
      <formula>"value일 미도래"</formula>
    </cfRule>
  </conditionalFormatting>
  <conditionalFormatting sqref="M148:M149">
    <cfRule type="cellIs" dxfId="1781" priority="10379" operator="equal">
      <formula>"value일 미도래"</formula>
    </cfRule>
  </conditionalFormatting>
  <conditionalFormatting sqref="M148:M149">
    <cfRule type="cellIs" dxfId="1780" priority="10377" operator="equal">
      <formula>"value일 미도래"</formula>
    </cfRule>
  </conditionalFormatting>
  <conditionalFormatting sqref="M148:M149">
    <cfRule type="cellIs" dxfId="1779" priority="10376" operator="equal">
      <formula>"value일 미도래"</formula>
    </cfRule>
  </conditionalFormatting>
  <conditionalFormatting sqref="M148:M149">
    <cfRule type="cellIs" dxfId="1778" priority="10375" operator="equal">
      <formula>"value일 미도래"</formula>
    </cfRule>
  </conditionalFormatting>
  <conditionalFormatting sqref="M148:M149">
    <cfRule type="cellIs" dxfId="1777" priority="10374" operator="equal">
      <formula>"value일 미도래"</formula>
    </cfRule>
  </conditionalFormatting>
  <conditionalFormatting sqref="M148:M149">
    <cfRule type="cellIs" dxfId="1776" priority="10373" operator="equal">
      <formula>"value일 미도래"</formula>
    </cfRule>
  </conditionalFormatting>
  <conditionalFormatting sqref="M148:M149">
    <cfRule type="cellIs" dxfId="1775" priority="10372" operator="equal">
      <formula>"value일 미도래"</formula>
    </cfRule>
  </conditionalFormatting>
  <conditionalFormatting sqref="M148:M149">
    <cfRule type="cellIs" dxfId="1774" priority="10371" operator="equal">
      <formula>"value일 미도래"</formula>
    </cfRule>
  </conditionalFormatting>
  <conditionalFormatting sqref="M148:M149">
    <cfRule type="cellIs" dxfId="1773" priority="10370" operator="equal">
      <formula>"value일 미도래"</formula>
    </cfRule>
  </conditionalFormatting>
  <conditionalFormatting sqref="M148:M149">
    <cfRule type="cellIs" dxfId="1772" priority="10369" operator="equal">
      <formula>"value일 미도래"</formula>
    </cfRule>
  </conditionalFormatting>
  <conditionalFormatting sqref="M148:M149">
    <cfRule type="cellIs" dxfId="1771" priority="10368" operator="equal">
      <formula>"value일 미도래"</formula>
    </cfRule>
  </conditionalFormatting>
  <conditionalFormatting sqref="M148:M149">
    <cfRule type="cellIs" dxfId="1770" priority="10367" operator="equal">
      <formula>"value일 미도래"</formula>
    </cfRule>
  </conditionalFormatting>
  <conditionalFormatting sqref="M148:M149">
    <cfRule type="cellIs" dxfId="1769" priority="10366" operator="equal">
      <formula>"value일 미도래"</formula>
    </cfRule>
  </conditionalFormatting>
  <conditionalFormatting sqref="M148:M149">
    <cfRule type="cellIs" dxfId="1768" priority="10365" operator="equal">
      <formula>"value일 미도래"</formula>
    </cfRule>
  </conditionalFormatting>
  <conditionalFormatting sqref="M148:M149">
    <cfRule type="cellIs" dxfId="1767" priority="10364" operator="equal">
      <formula>"value일 미도래"</formula>
    </cfRule>
  </conditionalFormatting>
  <conditionalFormatting sqref="M148:M149">
    <cfRule type="cellIs" dxfId="1766" priority="10362" operator="equal">
      <formula>"value일 미도래"</formula>
    </cfRule>
  </conditionalFormatting>
  <conditionalFormatting sqref="M148:M149">
    <cfRule type="cellIs" dxfId="1765" priority="10361" operator="equal">
      <formula>"value일 미도래"</formula>
    </cfRule>
  </conditionalFormatting>
  <conditionalFormatting sqref="M148:M149">
    <cfRule type="cellIs" dxfId="1764" priority="10360" operator="equal">
      <formula>"value일 미도래"</formula>
    </cfRule>
  </conditionalFormatting>
  <conditionalFormatting sqref="M148:M149">
    <cfRule type="cellIs" dxfId="1763" priority="10359" operator="equal">
      <formula>"value일 미도래"</formula>
    </cfRule>
  </conditionalFormatting>
  <conditionalFormatting sqref="M148:M149">
    <cfRule type="cellIs" dxfId="1762" priority="10358" operator="equal">
      <formula>"value일 미도래"</formula>
    </cfRule>
  </conditionalFormatting>
  <conditionalFormatting sqref="M148:M149">
    <cfRule type="cellIs" dxfId="1761" priority="10357" operator="equal">
      <formula>"value일 미도래"</formula>
    </cfRule>
  </conditionalFormatting>
  <conditionalFormatting sqref="M148:M149">
    <cfRule type="cellIs" dxfId="1760" priority="10356" operator="equal">
      <formula>"value일 미도래"</formula>
    </cfRule>
  </conditionalFormatting>
  <conditionalFormatting sqref="M148:M149">
    <cfRule type="cellIs" dxfId="1759" priority="10355" operator="equal">
      <formula>"value일 미도래"</formula>
    </cfRule>
  </conditionalFormatting>
  <conditionalFormatting sqref="M148:M149">
    <cfRule type="cellIs" dxfId="1758" priority="10354" operator="equal">
      <formula>"value일 미도래"</formula>
    </cfRule>
  </conditionalFormatting>
  <conditionalFormatting sqref="M148:M149">
    <cfRule type="cellIs" dxfId="1757" priority="10353" operator="equal">
      <formula>"value일 미도래"</formula>
    </cfRule>
  </conditionalFormatting>
  <conditionalFormatting sqref="M148:M149">
    <cfRule type="cellIs" dxfId="1756" priority="10352" operator="equal">
      <formula>"value일 미도래"</formula>
    </cfRule>
  </conditionalFormatting>
  <conditionalFormatting sqref="M148:M149">
    <cfRule type="cellIs" dxfId="1755" priority="10351" operator="equal">
      <formula>"value일 미도래"</formula>
    </cfRule>
  </conditionalFormatting>
  <conditionalFormatting sqref="M148:M149">
    <cfRule type="cellIs" dxfId="1754" priority="10350" operator="equal">
      <formula>"value일 미도래"</formula>
    </cfRule>
  </conditionalFormatting>
  <conditionalFormatting sqref="M148:M149">
    <cfRule type="cellIs" dxfId="1753" priority="10349" operator="equal">
      <formula>"value일 미도래"</formula>
    </cfRule>
  </conditionalFormatting>
  <conditionalFormatting sqref="M148:M149">
    <cfRule type="cellIs" dxfId="1752" priority="10348" operator="equal">
      <formula>"value일 미도래"</formula>
    </cfRule>
  </conditionalFormatting>
  <conditionalFormatting sqref="M148:M149">
    <cfRule type="cellIs" dxfId="1751" priority="10347" operator="equal">
      <formula>"value일 미도래"</formula>
    </cfRule>
  </conditionalFormatting>
  <conditionalFormatting sqref="M148:M149">
    <cfRule type="cellIs" dxfId="1750" priority="10346" operator="equal">
      <formula>"value일 미도래"</formula>
    </cfRule>
  </conditionalFormatting>
  <conditionalFormatting sqref="M148:M149">
    <cfRule type="cellIs" dxfId="1749" priority="10345" operator="equal">
      <formula>"value일 미도래"</formula>
    </cfRule>
  </conditionalFormatting>
  <conditionalFormatting sqref="M148:M149">
    <cfRule type="cellIs" dxfId="1748" priority="10344" operator="equal">
      <formula>"value일 미도래"</formula>
    </cfRule>
  </conditionalFormatting>
  <conditionalFormatting sqref="M148:M149">
    <cfRule type="cellIs" dxfId="1747" priority="10343" operator="equal">
      <formula>"value일 미도래"</formula>
    </cfRule>
  </conditionalFormatting>
  <conditionalFormatting sqref="M148:M149">
    <cfRule type="cellIs" dxfId="1746" priority="10341" operator="equal">
      <formula>"value일 미도래"</formula>
    </cfRule>
  </conditionalFormatting>
  <conditionalFormatting sqref="M148:M149">
    <cfRule type="cellIs" dxfId="1745" priority="10340" operator="equal">
      <formula>"value일 미도래"</formula>
    </cfRule>
  </conditionalFormatting>
  <conditionalFormatting sqref="M148:M149">
    <cfRule type="cellIs" dxfId="1744" priority="10339" operator="equal">
      <formula>"value일 미도래"</formula>
    </cfRule>
  </conditionalFormatting>
  <conditionalFormatting sqref="M148:M149">
    <cfRule type="cellIs" dxfId="1743" priority="10338" operator="equal">
      <formula>"value일 미도래"</formula>
    </cfRule>
  </conditionalFormatting>
  <conditionalFormatting sqref="M148:M149">
    <cfRule type="cellIs" dxfId="1742" priority="10337" operator="equal">
      <formula>"value일 미도래"</formula>
    </cfRule>
  </conditionalFormatting>
  <conditionalFormatting sqref="M148:M149">
    <cfRule type="cellIs" dxfId="1741" priority="10336" operator="equal">
      <formula>"value일 미도래"</formula>
    </cfRule>
  </conditionalFormatting>
  <conditionalFormatting sqref="M148:M149">
    <cfRule type="cellIs" dxfId="1740" priority="10335" operator="equal">
      <formula>"value일 미도래"</formula>
    </cfRule>
  </conditionalFormatting>
  <conditionalFormatting sqref="M148:M149">
    <cfRule type="cellIs" dxfId="1739" priority="10334" operator="equal">
      <formula>"value일 미도래"</formula>
    </cfRule>
  </conditionalFormatting>
  <conditionalFormatting sqref="M148:M149">
    <cfRule type="cellIs" dxfId="1738" priority="10333" operator="equal">
      <formula>"value일 미도래"</formula>
    </cfRule>
  </conditionalFormatting>
  <conditionalFormatting sqref="M148:M149">
    <cfRule type="cellIs" dxfId="1737" priority="10332" operator="equal">
      <formula>"value일 미도래"</formula>
    </cfRule>
  </conditionalFormatting>
  <conditionalFormatting sqref="M148:M149">
    <cfRule type="cellIs" dxfId="1736" priority="10331" operator="equal">
      <formula>"value일 미도래"</formula>
    </cfRule>
  </conditionalFormatting>
  <conditionalFormatting sqref="M148:M149">
    <cfRule type="cellIs" dxfId="1735" priority="10330" operator="equal">
      <formula>"value일 미도래"</formula>
    </cfRule>
  </conditionalFormatting>
  <conditionalFormatting sqref="M148">
    <cfRule type="cellIs" dxfId="1734" priority="10329" operator="equal">
      <formula>"value일 미도래"</formula>
    </cfRule>
  </conditionalFormatting>
  <conditionalFormatting sqref="M148">
    <cfRule type="cellIs" dxfId="1733" priority="10328" operator="equal">
      <formula>"value일 미도래"</formula>
    </cfRule>
  </conditionalFormatting>
  <conditionalFormatting sqref="M148">
    <cfRule type="cellIs" dxfId="1732" priority="10327" operator="equal">
      <formula>"value일 미도래"</formula>
    </cfRule>
  </conditionalFormatting>
  <conditionalFormatting sqref="M148">
    <cfRule type="cellIs" dxfId="1731" priority="10326" operator="equal">
      <formula>"value일 미도래"</formula>
    </cfRule>
  </conditionalFormatting>
  <conditionalFormatting sqref="M148">
    <cfRule type="cellIs" dxfId="1730" priority="10325" operator="equal">
      <formula>"value일 미도래"</formula>
    </cfRule>
  </conditionalFormatting>
  <conditionalFormatting sqref="M148">
    <cfRule type="cellIs" dxfId="1729" priority="10324" operator="equal">
      <formula>"value일 미도래"</formula>
    </cfRule>
  </conditionalFormatting>
  <conditionalFormatting sqref="M148">
    <cfRule type="cellIs" dxfId="1728" priority="10322" operator="equal">
      <formula>"value일 미도래"</formula>
    </cfRule>
  </conditionalFormatting>
  <conditionalFormatting sqref="M148">
    <cfRule type="cellIs" dxfId="1727" priority="10321" operator="equal">
      <formula>"value일 미도래"</formula>
    </cfRule>
  </conditionalFormatting>
  <conditionalFormatting sqref="M148">
    <cfRule type="cellIs" dxfId="1726" priority="10320" operator="equal">
      <formula>"value일 미도래"</formula>
    </cfRule>
  </conditionalFormatting>
  <conditionalFormatting sqref="M148">
    <cfRule type="cellIs" dxfId="1725" priority="10319" operator="equal">
      <formula>"value일 미도래"</formula>
    </cfRule>
  </conditionalFormatting>
  <conditionalFormatting sqref="M148">
    <cfRule type="cellIs" dxfId="1724" priority="10318" operator="equal">
      <formula>"value일 미도래"</formula>
    </cfRule>
  </conditionalFormatting>
  <conditionalFormatting sqref="M148">
    <cfRule type="cellIs" dxfId="1723" priority="10317" operator="equal">
      <formula>"value일 미도래"</formula>
    </cfRule>
  </conditionalFormatting>
  <conditionalFormatting sqref="M148">
    <cfRule type="cellIs" dxfId="1722" priority="10316" operator="equal">
      <formula>"value일 미도래"</formula>
    </cfRule>
  </conditionalFormatting>
  <conditionalFormatting sqref="M148">
    <cfRule type="cellIs" dxfId="1721" priority="10315" operator="equal">
      <formula>"value일 미도래"</formula>
    </cfRule>
  </conditionalFormatting>
  <conditionalFormatting sqref="M148">
    <cfRule type="cellIs" dxfId="1720" priority="10313" operator="equal">
      <formula>"value일 미도래"</formula>
    </cfRule>
  </conditionalFormatting>
  <conditionalFormatting sqref="M148">
    <cfRule type="cellIs" dxfId="1719" priority="10312" operator="equal">
      <formula>"value일 미도래"</formula>
    </cfRule>
  </conditionalFormatting>
  <conditionalFormatting sqref="M148">
    <cfRule type="cellIs" dxfId="1718" priority="10311" operator="equal">
      <formula>"value일 미도래"</formula>
    </cfRule>
  </conditionalFormatting>
  <conditionalFormatting sqref="M148">
    <cfRule type="cellIs" dxfId="1717" priority="10310" operator="equal">
      <formula>"value일 미도래"</formula>
    </cfRule>
  </conditionalFormatting>
  <conditionalFormatting sqref="M148">
    <cfRule type="cellIs" dxfId="1716" priority="10309" operator="equal">
      <formula>"value일 미도래"</formula>
    </cfRule>
  </conditionalFormatting>
  <conditionalFormatting sqref="M148">
    <cfRule type="cellIs" dxfId="1715" priority="10308" operator="equal">
      <formula>"value일 미도래"</formula>
    </cfRule>
  </conditionalFormatting>
  <conditionalFormatting sqref="M148">
    <cfRule type="cellIs" dxfId="1714" priority="10307" operator="equal">
      <formula>"value일 미도래"</formula>
    </cfRule>
  </conditionalFormatting>
  <conditionalFormatting sqref="M148">
    <cfRule type="cellIs" dxfId="1713" priority="10306" operator="equal">
      <formula>"value일 미도래"</formula>
    </cfRule>
  </conditionalFormatting>
  <conditionalFormatting sqref="M148">
    <cfRule type="cellIs" dxfId="1712" priority="10305" operator="equal">
      <formula>"value일 미도래"</formula>
    </cfRule>
  </conditionalFormatting>
  <conditionalFormatting sqref="M148">
    <cfRule type="cellIs" dxfId="1711" priority="10304" operator="equal">
      <formula>"value일 미도래"</formula>
    </cfRule>
  </conditionalFormatting>
  <conditionalFormatting sqref="M148">
    <cfRule type="cellIs" dxfId="1710" priority="10303" operator="equal">
      <formula>"value일 미도래"</formula>
    </cfRule>
  </conditionalFormatting>
  <conditionalFormatting sqref="M148">
    <cfRule type="cellIs" dxfId="1709" priority="10301" operator="equal">
      <formula>"value일 미도래"</formula>
    </cfRule>
  </conditionalFormatting>
  <conditionalFormatting sqref="M148">
    <cfRule type="cellIs" dxfId="1708" priority="10300" operator="equal">
      <formula>"value일 미도래"</formula>
    </cfRule>
  </conditionalFormatting>
  <conditionalFormatting sqref="M148">
    <cfRule type="cellIs" dxfId="1707" priority="10299" operator="equal">
      <formula>"value일 미도래"</formula>
    </cfRule>
  </conditionalFormatting>
  <conditionalFormatting sqref="M148">
    <cfRule type="cellIs" dxfId="1706" priority="10298" operator="equal">
      <formula>"value일 미도래"</formula>
    </cfRule>
  </conditionalFormatting>
  <conditionalFormatting sqref="M148">
    <cfRule type="cellIs" dxfId="1705" priority="10297" operator="equal">
      <formula>"value일 미도래"</formula>
    </cfRule>
  </conditionalFormatting>
  <conditionalFormatting sqref="M148">
    <cfRule type="cellIs" dxfId="1704" priority="10296" operator="equal">
      <formula>"value일 미도래"</formula>
    </cfRule>
  </conditionalFormatting>
  <conditionalFormatting sqref="M148">
    <cfRule type="cellIs" dxfId="1703" priority="10295" operator="equal">
      <formula>"value일 미도래"</formula>
    </cfRule>
  </conditionalFormatting>
  <conditionalFormatting sqref="M148">
    <cfRule type="cellIs" dxfId="1702" priority="10294" operator="equal">
      <formula>"value일 미도래"</formula>
    </cfRule>
  </conditionalFormatting>
  <conditionalFormatting sqref="M148">
    <cfRule type="cellIs" dxfId="1701" priority="10293" operator="equal">
      <formula>"value일 미도래"</formula>
    </cfRule>
  </conditionalFormatting>
  <conditionalFormatting sqref="M148">
    <cfRule type="cellIs" dxfId="1700" priority="10292" operator="equal">
      <formula>"value일 미도래"</formula>
    </cfRule>
  </conditionalFormatting>
  <conditionalFormatting sqref="M148">
    <cfRule type="cellIs" dxfId="1699" priority="10291" operator="equal">
      <formula>"value일 미도래"</formula>
    </cfRule>
  </conditionalFormatting>
  <conditionalFormatting sqref="M148">
    <cfRule type="cellIs" dxfId="1698" priority="10289" operator="equal">
      <formula>"value일 미도래"</formula>
    </cfRule>
  </conditionalFormatting>
  <conditionalFormatting sqref="M148">
    <cfRule type="cellIs" dxfId="1697" priority="10288" operator="equal">
      <formula>"value일 미도래"</formula>
    </cfRule>
  </conditionalFormatting>
  <conditionalFormatting sqref="M148">
    <cfRule type="cellIs" dxfId="1696" priority="10287" operator="equal">
      <formula>"value일 미도래"</formula>
    </cfRule>
  </conditionalFormatting>
  <conditionalFormatting sqref="M148">
    <cfRule type="cellIs" dxfId="1695" priority="10286" operator="equal">
      <formula>"value일 미도래"</formula>
    </cfRule>
  </conditionalFormatting>
  <conditionalFormatting sqref="M148">
    <cfRule type="cellIs" dxfId="1694" priority="10285" operator="equal">
      <formula>"value일 미도래"</formula>
    </cfRule>
  </conditionalFormatting>
  <conditionalFormatting sqref="M148">
    <cfRule type="cellIs" dxfId="1693" priority="10284" operator="equal">
      <formula>"value일 미도래"</formula>
    </cfRule>
  </conditionalFormatting>
  <conditionalFormatting sqref="M148">
    <cfRule type="cellIs" dxfId="1692" priority="10283" operator="equal">
      <formula>"value일 미도래"</formula>
    </cfRule>
  </conditionalFormatting>
  <conditionalFormatting sqref="M148">
    <cfRule type="cellIs" dxfId="1691" priority="10282" operator="equal">
      <formula>"value일 미도래"</formula>
    </cfRule>
  </conditionalFormatting>
  <conditionalFormatting sqref="M148">
    <cfRule type="cellIs" dxfId="1690" priority="10281" operator="equal">
      <formula>"value일 미도래"</formula>
    </cfRule>
  </conditionalFormatting>
  <conditionalFormatting sqref="M148">
    <cfRule type="cellIs" dxfId="1689" priority="10280" operator="equal">
      <formula>"value일 미도래"</formula>
    </cfRule>
  </conditionalFormatting>
  <conditionalFormatting sqref="M148">
    <cfRule type="cellIs" dxfId="1688" priority="10279" operator="equal">
      <formula>"value일 미도래"</formula>
    </cfRule>
  </conditionalFormatting>
  <conditionalFormatting sqref="M148">
    <cfRule type="cellIs" dxfId="1687" priority="10278" operator="equal">
      <formula>"value일 미도래"</formula>
    </cfRule>
  </conditionalFormatting>
  <conditionalFormatting sqref="M148">
    <cfRule type="cellIs" dxfId="1686" priority="10277" operator="equal">
      <formula>"value일 미도래"</formula>
    </cfRule>
  </conditionalFormatting>
  <conditionalFormatting sqref="M148">
    <cfRule type="cellIs" dxfId="1685" priority="10276" operator="equal">
      <formula>"value일 미도래"</formula>
    </cfRule>
  </conditionalFormatting>
  <conditionalFormatting sqref="M148">
    <cfRule type="cellIs" dxfId="1684" priority="10275" operator="equal">
      <formula>"value일 미도래"</formula>
    </cfRule>
  </conditionalFormatting>
  <conditionalFormatting sqref="M148">
    <cfRule type="cellIs" dxfId="1683" priority="10274" operator="equal">
      <formula>"value일 미도래"</formula>
    </cfRule>
  </conditionalFormatting>
  <conditionalFormatting sqref="M148">
    <cfRule type="cellIs" dxfId="1682" priority="10273" operator="equal">
      <formula>"value일 미도래"</formula>
    </cfRule>
  </conditionalFormatting>
  <conditionalFormatting sqref="M148">
    <cfRule type="cellIs" dxfId="1681" priority="10272" operator="equal">
      <formula>"value일 미도래"</formula>
    </cfRule>
  </conditionalFormatting>
  <conditionalFormatting sqref="M148">
    <cfRule type="cellIs" dxfId="1680" priority="10271" operator="equal">
      <formula>"value일 미도래"</formula>
    </cfRule>
  </conditionalFormatting>
  <conditionalFormatting sqref="M148">
    <cfRule type="cellIs" dxfId="1679" priority="10270" operator="equal">
      <formula>"value일 미도래"</formula>
    </cfRule>
  </conditionalFormatting>
  <conditionalFormatting sqref="M148">
    <cfRule type="cellIs" dxfId="1678" priority="10269" operator="equal">
      <formula>"value일 미도래"</formula>
    </cfRule>
  </conditionalFormatting>
  <conditionalFormatting sqref="M148">
    <cfRule type="cellIs" dxfId="1677" priority="10268" operator="equal">
      <formula>"value일 미도래"</formula>
    </cfRule>
  </conditionalFormatting>
  <conditionalFormatting sqref="M148">
    <cfRule type="cellIs" dxfId="1676" priority="10267" operator="equal">
      <formula>"value일 미도래"</formula>
    </cfRule>
  </conditionalFormatting>
  <conditionalFormatting sqref="M148">
    <cfRule type="cellIs" dxfId="1675" priority="10266" operator="equal">
      <formula>"value일 미도래"</formula>
    </cfRule>
  </conditionalFormatting>
  <conditionalFormatting sqref="M148">
    <cfRule type="cellIs" dxfId="1674" priority="10265" operator="equal">
      <formula>"value일 미도래"</formula>
    </cfRule>
  </conditionalFormatting>
  <conditionalFormatting sqref="M148">
    <cfRule type="cellIs" dxfId="1673" priority="10264" operator="equal">
      <formula>"value일 미도래"</formula>
    </cfRule>
  </conditionalFormatting>
  <conditionalFormatting sqref="M148">
    <cfRule type="cellIs" dxfId="1672" priority="10263" operator="equal">
      <formula>"value일 미도래"</formula>
    </cfRule>
  </conditionalFormatting>
  <conditionalFormatting sqref="M148">
    <cfRule type="cellIs" dxfId="1671" priority="10261" operator="equal">
      <formula>"value일 미도래"</formula>
    </cfRule>
  </conditionalFormatting>
  <conditionalFormatting sqref="M148">
    <cfRule type="cellIs" dxfId="1670" priority="10260" operator="equal">
      <formula>"value일 미도래"</formula>
    </cfRule>
  </conditionalFormatting>
  <conditionalFormatting sqref="M148">
    <cfRule type="cellIs" dxfId="1669" priority="10259" operator="equal">
      <formula>"value일 미도래"</formula>
    </cfRule>
  </conditionalFormatting>
  <conditionalFormatting sqref="M148">
    <cfRule type="cellIs" dxfId="1668" priority="10258" operator="equal">
      <formula>"value일 미도래"</formula>
    </cfRule>
  </conditionalFormatting>
  <conditionalFormatting sqref="M148">
    <cfRule type="cellIs" dxfId="1667" priority="10257" operator="equal">
      <formula>"value일 미도래"</formula>
    </cfRule>
  </conditionalFormatting>
  <conditionalFormatting sqref="M148">
    <cfRule type="cellIs" dxfId="1666" priority="10256" operator="equal">
      <formula>"value일 미도래"</formula>
    </cfRule>
  </conditionalFormatting>
  <conditionalFormatting sqref="M148">
    <cfRule type="cellIs" dxfId="1665" priority="10255" operator="equal">
      <formula>"value일 미도래"</formula>
    </cfRule>
  </conditionalFormatting>
  <conditionalFormatting sqref="M148">
    <cfRule type="cellIs" dxfId="1664" priority="10254" operator="equal">
      <formula>"value일 미도래"</formula>
    </cfRule>
  </conditionalFormatting>
  <conditionalFormatting sqref="M148">
    <cfRule type="cellIs" dxfId="1663" priority="10252" operator="equal">
      <formula>"value일 미도래"</formula>
    </cfRule>
  </conditionalFormatting>
  <conditionalFormatting sqref="M148">
    <cfRule type="cellIs" dxfId="1662" priority="10251" operator="equal">
      <formula>"value일 미도래"</formula>
    </cfRule>
  </conditionalFormatting>
  <conditionalFormatting sqref="M148">
    <cfRule type="cellIs" dxfId="1661" priority="10250" operator="equal">
      <formula>"value일 미도래"</formula>
    </cfRule>
  </conditionalFormatting>
  <conditionalFormatting sqref="M148">
    <cfRule type="cellIs" dxfId="1660" priority="10249" operator="equal">
      <formula>"value일 미도래"</formula>
    </cfRule>
  </conditionalFormatting>
  <conditionalFormatting sqref="M148">
    <cfRule type="cellIs" dxfId="1659" priority="10248" operator="equal">
      <formula>"value일 미도래"</formula>
    </cfRule>
  </conditionalFormatting>
  <conditionalFormatting sqref="M148">
    <cfRule type="cellIs" dxfId="1658" priority="10247" operator="equal">
      <formula>"value일 미도래"</formula>
    </cfRule>
  </conditionalFormatting>
  <conditionalFormatting sqref="M148">
    <cfRule type="cellIs" dxfId="1657" priority="10246" operator="equal">
      <formula>"value일 미도래"</formula>
    </cfRule>
  </conditionalFormatting>
  <conditionalFormatting sqref="M148">
    <cfRule type="cellIs" dxfId="1656" priority="10245" operator="equal">
      <formula>"value일 미도래"</formula>
    </cfRule>
  </conditionalFormatting>
  <conditionalFormatting sqref="M148">
    <cfRule type="cellIs" dxfId="1655" priority="10244" operator="equal">
      <formula>"value일 미도래"</formula>
    </cfRule>
  </conditionalFormatting>
  <conditionalFormatting sqref="M148">
    <cfRule type="cellIs" dxfId="1654" priority="10243" operator="equal">
      <formula>"value일 미도래"</formula>
    </cfRule>
  </conditionalFormatting>
  <conditionalFormatting sqref="M148">
    <cfRule type="cellIs" dxfId="1653" priority="10242" operator="equal">
      <formula>"value일 미도래"</formula>
    </cfRule>
  </conditionalFormatting>
  <conditionalFormatting sqref="M148">
    <cfRule type="cellIs" dxfId="1652" priority="10240" operator="equal">
      <formula>"value일 미도래"</formula>
    </cfRule>
  </conditionalFormatting>
  <conditionalFormatting sqref="M148">
    <cfRule type="cellIs" dxfId="1651" priority="10239" operator="equal">
      <formula>"value일 미도래"</formula>
    </cfRule>
  </conditionalFormatting>
  <conditionalFormatting sqref="M148">
    <cfRule type="cellIs" dxfId="1650" priority="10238" operator="equal">
      <formula>"value일 미도래"</formula>
    </cfRule>
  </conditionalFormatting>
  <conditionalFormatting sqref="M148">
    <cfRule type="cellIs" dxfId="1649" priority="10237" operator="equal">
      <formula>"value일 미도래"</formula>
    </cfRule>
  </conditionalFormatting>
  <conditionalFormatting sqref="M148">
    <cfRule type="cellIs" dxfId="1648" priority="10236" operator="equal">
      <formula>"value일 미도래"</formula>
    </cfRule>
  </conditionalFormatting>
  <conditionalFormatting sqref="M148">
    <cfRule type="cellIs" dxfId="1647" priority="10235" operator="equal">
      <formula>"value일 미도래"</formula>
    </cfRule>
  </conditionalFormatting>
  <conditionalFormatting sqref="M148">
    <cfRule type="cellIs" dxfId="1646" priority="10234" operator="equal">
      <formula>"value일 미도래"</formula>
    </cfRule>
  </conditionalFormatting>
  <conditionalFormatting sqref="M148">
    <cfRule type="cellIs" dxfId="1645" priority="10233" operator="equal">
      <formula>"value일 미도래"</formula>
    </cfRule>
  </conditionalFormatting>
  <conditionalFormatting sqref="M148">
    <cfRule type="cellIs" dxfId="1644" priority="10232" operator="equal">
      <formula>"value일 미도래"</formula>
    </cfRule>
  </conditionalFormatting>
  <conditionalFormatting sqref="M148">
    <cfRule type="cellIs" dxfId="1643" priority="10231" operator="equal">
      <formula>"value일 미도래"</formula>
    </cfRule>
  </conditionalFormatting>
  <conditionalFormatting sqref="M148">
    <cfRule type="cellIs" dxfId="1642" priority="10230" operator="equal">
      <formula>"value일 미도래"</formula>
    </cfRule>
  </conditionalFormatting>
  <conditionalFormatting sqref="M148">
    <cfRule type="cellIs" dxfId="1641" priority="10228" operator="equal">
      <formula>"value일 미도래"</formula>
    </cfRule>
  </conditionalFormatting>
  <conditionalFormatting sqref="M148">
    <cfRule type="cellIs" dxfId="1640" priority="10227" operator="equal">
      <formula>"value일 미도래"</formula>
    </cfRule>
  </conditionalFormatting>
  <conditionalFormatting sqref="M148">
    <cfRule type="cellIs" dxfId="1639" priority="10226" operator="equal">
      <formula>"value일 미도래"</formula>
    </cfRule>
  </conditionalFormatting>
  <conditionalFormatting sqref="M148">
    <cfRule type="cellIs" dxfId="1638" priority="10225" operator="equal">
      <formula>"value일 미도래"</formula>
    </cfRule>
  </conditionalFormatting>
  <conditionalFormatting sqref="M148">
    <cfRule type="cellIs" dxfId="1637" priority="10224" operator="equal">
      <formula>"value일 미도래"</formula>
    </cfRule>
  </conditionalFormatting>
  <conditionalFormatting sqref="M148">
    <cfRule type="cellIs" dxfId="1636" priority="10223" operator="equal">
      <formula>"value일 미도래"</formula>
    </cfRule>
  </conditionalFormatting>
  <conditionalFormatting sqref="M148">
    <cfRule type="cellIs" dxfId="1635" priority="10222" operator="equal">
      <formula>"value일 미도래"</formula>
    </cfRule>
  </conditionalFormatting>
  <conditionalFormatting sqref="M148">
    <cfRule type="cellIs" dxfId="1634" priority="10221" operator="equal">
      <formula>"value일 미도래"</formula>
    </cfRule>
  </conditionalFormatting>
  <conditionalFormatting sqref="M148">
    <cfRule type="cellIs" dxfId="1633" priority="10220" operator="equal">
      <formula>"value일 미도래"</formula>
    </cfRule>
  </conditionalFormatting>
  <conditionalFormatting sqref="M148">
    <cfRule type="cellIs" dxfId="1632" priority="10219" operator="equal">
      <formula>"value일 미도래"</formula>
    </cfRule>
  </conditionalFormatting>
  <conditionalFormatting sqref="M148">
    <cfRule type="cellIs" dxfId="1631" priority="10218" operator="equal">
      <formula>"value일 미도래"</formula>
    </cfRule>
  </conditionalFormatting>
  <conditionalFormatting sqref="M148">
    <cfRule type="cellIs" dxfId="1630" priority="10217" operator="equal">
      <formula>"value일 미도래"</formula>
    </cfRule>
  </conditionalFormatting>
  <conditionalFormatting sqref="M148">
    <cfRule type="cellIs" dxfId="1629" priority="10216" operator="equal">
      <formula>"value일 미도래"</formula>
    </cfRule>
  </conditionalFormatting>
  <conditionalFormatting sqref="M148">
    <cfRule type="cellIs" dxfId="1628" priority="10215" operator="equal">
      <formula>"value일 미도래"</formula>
    </cfRule>
  </conditionalFormatting>
  <conditionalFormatting sqref="M148">
    <cfRule type="cellIs" dxfId="1627" priority="10213" operator="equal">
      <formula>"value일 미도래"</formula>
    </cfRule>
  </conditionalFormatting>
  <conditionalFormatting sqref="M148">
    <cfRule type="cellIs" dxfId="1626" priority="10212" operator="equal">
      <formula>"value일 미도래"</formula>
    </cfRule>
  </conditionalFormatting>
  <conditionalFormatting sqref="M148">
    <cfRule type="cellIs" dxfId="1625" priority="10211" operator="equal">
      <formula>"value일 미도래"</formula>
    </cfRule>
  </conditionalFormatting>
  <conditionalFormatting sqref="M148">
    <cfRule type="cellIs" dxfId="1624" priority="10210" operator="equal">
      <formula>"value일 미도래"</formula>
    </cfRule>
  </conditionalFormatting>
  <conditionalFormatting sqref="M148">
    <cfRule type="cellIs" dxfId="1623" priority="10209" operator="equal">
      <formula>"value일 미도래"</formula>
    </cfRule>
  </conditionalFormatting>
  <conditionalFormatting sqref="M148">
    <cfRule type="cellIs" dxfId="1622" priority="10208" operator="equal">
      <formula>"value일 미도래"</formula>
    </cfRule>
  </conditionalFormatting>
  <conditionalFormatting sqref="M148">
    <cfRule type="cellIs" dxfId="1621" priority="10207" operator="equal">
      <formula>"value일 미도래"</formula>
    </cfRule>
  </conditionalFormatting>
  <conditionalFormatting sqref="M148">
    <cfRule type="cellIs" dxfId="1620" priority="10206" operator="equal">
      <formula>"value일 미도래"</formula>
    </cfRule>
  </conditionalFormatting>
  <conditionalFormatting sqref="M148">
    <cfRule type="cellIs" dxfId="1619" priority="10205" operator="equal">
      <formula>"value일 미도래"</formula>
    </cfRule>
  </conditionalFormatting>
  <conditionalFormatting sqref="M148">
    <cfRule type="cellIs" dxfId="1618" priority="10204" operator="equal">
      <formula>"value일 미도래"</formula>
    </cfRule>
  </conditionalFormatting>
  <conditionalFormatting sqref="M148">
    <cfRule type="cellIs" dxfId="1617" priority="10203" operator="equal">
      <formula>"value일 미도래"</formula>
    </cfRule>
  </conditionalFormatting>
  <conditionalFormatting sqref="M148">
    <cfRule type="cellIs" dxfId="1616" priority="10202" operator="equal">
      <formula>"value일 미도래"</formula>
    </cfRule>
  </conditionalFormatting>
  <conditionalFormatting sqref="M148">
    <cfRule type="cellIs" dxfId="1615" priority="10201" operator="equal">
      <formula>"value일 미도래"</formula>
    </cfRule>
  </conditionalFormatting>
  <conditionalFormatting sqref="M148">
    <cfRule type="cellIs" dxfId="1614" priority="10200" operator="equal">
      <formula>"value일 미도래"</formula>
    </cfRule>
  </conditionalFormatting>
  <conditionalFormatting sqref="M148">
    <cfRule type="cellIs" dxfId="1613" priority="10199" operator="equal">
      <formula>"value일 미도래"</formula>
    </cfRule>
  </conditionalFormatting>
  <conditionalFormatting sqref="M148">
    <cfRule type="cellIs" dxfId="1612" priority="10198" operator="equal">
      <formula>"value일 미도래"</formula>
    </cfRule>
  </conditionalFormatting>
  <conditionalFormatting sqref="M148">
    <cfRule type="cellIs" dxfId="1611" priority="10197" operator="equal">
      <formula>"value일 미도래"</formula>
    </cfRule>
  </conditionalFormatting>
  <conditionalFormatting sqref="M148">
    <cfRule type="cellIs" dxfId="1610" priority="10196" operator="equal">
      <formula>"value일 미도래"</formula>
    </cfRule>
  </conditionalFormatting>
  <conditionalFormatting sqref="M148">
    <cfRule type="cellIs" dxfId="1609" priority="10195" operator="equal">
      <formula>"value일 미도래"</formula>
    </cfRule>
  </conditionalFormatting>
  <conditionalFormatting sqref="M148">
    <cfRule type="cellIs" dxfId="1608" priority="10194" operator="equal">
      <formula>"value일 미도래"</formula>
    </cfRule>
  </conditionalFormatting>
  <conditionalFormatting sqref="M148">
    <cfRule type="cellIs" dxfId="1607" priority="10192" operator="equal">
      <formula>"value일 미도래"</formula>
    </cfRule>
  </conditionalFormatting>
  <conditionalFormatting sqref="M148">
    <cfRule type="cellIs" dxfId="1606" priority="10191" operator="equal">
      <formula>"value일 미도래"</formula>
    </cfRule>
  </conditionalFormatting>
  <conditionalFormatting sqref="M148">
    <cfRule type="cellIs" dxfId="1605" priority="10190" operator="equal">
      <formula>"value일 미도래"</formula>
    </cfRule>
  </conditionalFormatting>
  <conditionalFormatting sqref="M148">
    <cfRule type="cellIs" dxfId="1604" priority="10189" operator="equal">
      <formula>"value일 미도래"</formula>
    </cfRule>
  </conditionalFormatting>
  <conditionalFormatting sqref="M148">
    <cfRule type="cellIs" dxfId="1603" priority="10188" operator="equal">
      <formula>"value일 미도래"</formula>
    </cfRule>
  </conditionalFormatting>
  <conditionalFormatting sqref="M148">
    <cfRule type="cellIs" dxfId="1602" priority="10187" operator="equal">
      <formula>"value일 미도래"</formula>
    </cfRule>
  </conditionalFormatting>
  <conditionalFormatting sqref="M148">
    <cfRule type="cellIs" dxfId="1601" priority="10186" operator="equal">
      <formula>"value일 미도래"</formula>
    </cfRule>
  </conditionalFormatting>
  <conditionalFormatting sqref="M148">
    <cfRule type="cellIs" dxfId="1600" priority="10185" operator="equal">
      <formula>"value일 미도래"</formula>
    </cfRule>
  </conditionalFormatting>
  <conditionalFormatting sqref="M148">
    <cfRule type="cellIs" dxfId="1599" priority="10184" operator="equal">
      <formula>"value일 미도래"</formula>
    </cfRule>
  </conditionalFormatting>
  <conditionalFormatting sqref="M148">
    <cfRule type="cellIs" dxfId="1598" priority="10183" operator="equal">
      <formula>"value일 미도래"</formula>
    </cfRule>
  </conditionalFormatting>
  <conditionalFormatting sqref="M148">
    <cfRule type="cellIs" dxfId="1597" priority="10182" operator="equal">
      <formula>"value일 미도래"</formula>
    </cfRule>
  </conditionalFormatting>
  <conditionalFormatting sqref="M148">
    <cfRule type="cellIs" dxfId="1596" priority="10181" operator="equal">
      <formula>"value일 미도래"</formula>
    </cfRule>
  </conditionalFormatting>
  <conditionalFormatting sqref="M148">
    <cfRule type="cellIs" dxfId="1595" priority="10180" operator="equal">
      <formula>"value일 미도래"</formula>
    </cfRule>
  </conditionalFormatting>
  <conditionalFormatting sqref="M148">
    <cfRule type="cellIs" dxfId="1594" priority="10179" operator="equal">
      <formula>"value일 미도래"</formula>
    </cfRule>
  </conditionalFormatting>
  <conditionalFormatting sqref="M149:M150">
    <cfRule type="cellIs" dxfId="1593" priority="10178" operator="equal">
      <formula>"value일 미도래"</formula>
    </cfRule>
  </conditionalFormatting>
  <conditionalFormatting sqref="M149:M150">
    <cfRule type="cellIs" dxfId="1592" priority="10177" operator="equal">
      <formula>"value일 미도래"</formula>
    </cfRule>
  </conditionalFormatting>
  <conditionalFormatting sqref="M149:M150">
    <cfRule type="cellIs" dxfId="1591" priority="10176" operator="equal">
      <formula>"value일 미도래"</formula>
    </cfRule>
  </conditionalFormatting>
  <conditionalFormatting sqref="M148">
    <cfRule type="cellIs" dxfId="1590" priority="10175" operator="equal">
      <formula>"value일 미도래"</formula>
    </cfRule>
  </conditionalFormatting>
  <conditionalFormatting sqref="M148">
    <cfRule type="cellIs" dxfId="1589" priority="10174" operator="equal">
      <formula>"value일 미도래"</formula>
    </cfRule>
  </conditionalFormatting>
  <conditionalFormatting sqref="M148">
    <cfRule type="cellIs" dxfId="1588" priority="10173" operator="equal">
      <formula>"value일 미도래"</formula>
    </cfRule>
  </conditionalFormatting>
  <conditionalFormatting sqref="M148">
    <cfRule type="cellIs" dxfId="1587" priority="10172" operator="equal">
      <formula>"value일 미도래"</formula>
    </cfRule>
  </conditionalFormatting>
  <conditionalFormatting sqref="M148">
    <cfRule type="cellIs" dxfId="1586" priority="10171" operator="equal">
      <formula>"value일 미도래"</formula>
    </cfRule>
  </conditionalFormatting>
  <conditionalFormatting sqref="M148">
    <cfRule type="cellIs" dxfId="1585" priority="10170" operator="equal">
      <formula>"value일 미도래"</formula>
    </cfRule>
  </conditionalFormatting>
  <conditionalFormatting sqref="M148">
    <cfRule type="cellIs" dxfId="1584" priority="10169" operator="equal">
      <formula>"value일 미도래"</formula>
    </cfRule>
  </conditionalFormatting>
  <conditionalFormatting sqref="M148">
    <cfRule type="cellIs" dxfId="1583" priority="10168" operator="equal">
      <formula>"value일 미도래"</formula>
    </cfRule>
  </conditionalFormatting>
  <conditionalFormatting sqref="M148">
    <cfRule type="cellIs" dxfId="1582" priority="10167" operator="equal">
      <formula>"value일 미도래"</formula>
    </cfRule>
  </conditionalFormatting>
  <conditionalFormatting sqref="M148">
    <cfRule type="cellIs" dxfId="1581" priority="10165" operator="equal">
      <formula>"value일 미도래"</formula>
    </cfRule>
  </conditionalFormatting>
  <conditionalFormatting sqref="M148">
    <cfRule type="cellIs" dxfId="1580" priority="10164" operator="equal">
      <formula>"value일 미도래"</formula>
    </cfRule>
  </conditionalFormatting>
  <conditionalFormatting sqref="M148">
    <cfRule type="cellIs" dxfId="1579" priority="10163" operator="equal">
      <formula>"value일 미도래"</formula>
    </cfRule>
  </conditionalFormatting>
  <conditionalFormatting sqref="M148">
    <cfRule type="cellIs" dxfId="1578" priority="10162" operator="equal">
      <formula>"value일 미도래"</formula>
    </cfRule>
  </conditionalFormatting>
  <conditionalFormatting sqref="M148">
    <cfRule type="cellIs" dxfId="1577" priority="10161" operator="equal">
      <formula>"value일 미도래"</formula>
    </cfRule>
  </conditionalFormatting>
  <conditionalFormatting sqref="M148">
    <cfRule type="cellIs" dxfId="1576" priority="10160" operator="equal">
      <formula>"value일 미도래"</formula>
    </cfRule>
  </conditionalFormatting>
  <conditionalFormatting sqref="M148">
    <cfRule type="cellIs" dxfId="1575" priority="10159" operator="equal">
      <formula>"value일 미도래"</formula>
    </cfRule>
  </conditionalFormatting>
  <conditionalFormatting sqref="M148">
    <cfRule type="cellIs" dxfId="1574" priority="10158" operator="equal">
      <formula>"value일 미도래"</formula>
    </cfRule>
  </conditionalFormatting>
  <conditionalFormatting sqref="M148">
    <cfRule type="cellIs" dxfId="1573" priority="10157" operator="equal">
      <formula>"value일 미도래"</formula>
    </cfRule>
  </conditionalFormatting>
  <conditionalFormatting sqref="M149:M150">
    <cfRule type="cellIs" dxfId="1572" priority="10156" operator="equal">
      <formula>"value일 미도래"</formula>
    </cfRule>
  </conditionalFormatting>
  <conditionalFormatting sqref="M149:M150">
    <cfRule type="cellIs" dxfId="1571" priority="10155" operator="equal">
      <formula>"value일 미도래"</formula>
    </cfRule>
  </conditionalFormatting>
  <conditionalFormatting sqref="M149:M150">
    <cfRule type="cellIs" dxfId="1570" priority="10154" operator="equal">
      <formula>"value일 미도래"</formula>
    </cfRule>
  </conditionalFormatting>
  <conditionalFormatting sqref="M149:M150">
    <cfRule type="cellIs" dxfId="1569" priority="10153" operator="equal">
      <formula>"value일 미도래"</formula>
    </cfRule>
  </conditionalFormatting>
  <conditionalFormatting sqref="M148">
    <cfRule type="cellIs" dxfId="1568" priority="10152" operator="equal">
      <formula>"value일 미도래"</formula>
    </cfRule>
  </conditionalFormatting>
  <conditionalFormatting sqref="M148">
    <cfRule type="cellIs" dxfId="1567" priority="10151" operator="equal">
      <formula>"value일 미도래"</formula>
    </cfRule>
  </conditionalFormatting>
  <conditionalFormatting sqref="M148">
    <cfRule type="cellIs" dxfId="1566" priority="10150" operator="equal">
      <formula>"value일 미도래"</formula>
    </cfRule>
  </conditionalFormatting>
  <conditionalFormatting sqref="M148">
    <cfRule type="cellIs" dxfId="1565" priority="10149" operator="equal">
      <formula>"value일 미도래"</formula>
    </cfRule>
  </conditionalFormatting>
  <conditionalFormatting sqref="M148">
    <cfRule type="cellIs" dxfId="1564" priority="10148" operator="equal">
      <formula>"value일 미도래"</formula>
    </cfRule>
  </conditionalFormatting>
  <conditionalFormatting sqref="M148">
    <cfRule type="cellIs" dxfId="1563" priority="10147" operator="equal">
      <formula>"value일 미도래"</formula>
    </cfRule>
  </conditionalFormatting>
  <conditionalFormatting sqref="M148">
    <cfRule type="cellIs" dxfId="1562" priority="10146" operator="equal">
      <formula>"value일 미도래"</formula>
    </cfRule>
  </conditionalFormatting>
  <conditionalFormatting sqref="M148">
    <cfRule type="cellIs" dxfId="1561" priority="10145" operator="equal">
      <formula>"value일 미도래"</formula>
    </cfRule>
  </conditionalFormatting>
  <conditionalFormatting sqref="M148">
    <cfRule type="cellIs" dxfId="1560" priority="10144" operator="equal">
      <formula>"value일 미도래"</formula>
    </cfRule>
  </conditionalFormatting>
  <conditionalFormatting sqref="M148">
    <cfRule type="cellIs" dxfId="1559" priority="10143" operator="equal">
      <formula>"value일 미도래"</formula>
    </cfRule>
  </conditionalFormatting>
  <conditionalFormatting sqref="M148:M149">
    <cfRule type="cellIs" dxfId="1558" priority="10142" operator="equal">
      <formula>"value일 미도래"</formula>
    </cfRule>
  </conditionalFormatting>
  <conditionalFormatting sqref="M148:M149">
    <cfRule type="cellIs" dxfId="1557" priority="10141" operator="equal">
      <formula>"value일 미도래"</formula>
    </cfRule>
  </conditionalFormatting>
  <conditionalFormatting sqref="M148:M149">
    <cfRule type="cellIs" dxfId="1556" priority="10140" operator="equal">
      <formula>"value일 미도래"</formula>
    </cfRule>
  </conditionalFormatting>
  <conditionalFormatting sqref="M148:M149">
    <cfRule type="cellIs" dxfId="1555" priority="10139" operator="equal">
      <formula>"value일 미도래"</formula>
    </cfRule>
  </conditionalFormatting>
  <conditionalFormatting sqref="M148:M149">
    <cfRule type="cellIs" dxfId="1554" priority="10138" operator="equal">
      <formula>"value일 미도래"</formula>
    </cfRule>
  </conditionalFormatting>
  <conditionalFormatting sqref="M148:M149">
    <cfRule type="cellIs" dxfId="1553" priority="10137" operator="equal">
      <formula>"value일 미도래"</formula>
    </cfRule>
  </conditionalFormatting>
  <conditionalFormatting sqref="M148:M149">
    <cfRule type="cellIs" dxfId="1552" priority="10135" operator="equal">
      <formula>"value일 미도래"</formula>
    </cfRule>
  </conditionalFormatting>
  <conditionalFormatting sqref="M148:M149">
    <cfRule type="cellIs" dxfId="1551" priority="10134" operator="equal">
      <formula>"value일 미도래"</formula>
    </cfRule>
  </conditionalFormatting>
  <conditionalFormatting sqref="M148:M149">
    <cfRule type="cellIs" dxfId="1550" priority="10133" operator="equal">
      <formula>"value일 미도래"</formula>
    </cfRule>
  </conditionalFormatting>
  <conditionalFormatting sqref="M148:M149">
    <cfRule type="cellIs" dxfId="1549" priority="10132" operator="equal">
      <formula>"value일 미도래"</formula>
    </cfRule>
  </conditionalFormatting>
  <conditionalFormatting sqref="M148:M149">
    <cfRule type="cellIs" dxfId="1548" priority="10131" operator="equal">
      <formula>"value일 미도래"</formula>
    </cfRule>
  </conditionalFormatting>
  <conditionalFormatting sqref="M148:M149">
    <cfRule type="cellIs" dxfId="1547" priority="10130" operator="equal">
      <formula>"value일 미도래"</formula>
    </cfRule>
  </conditionalFormatting>
  <conditionalFormatting sqref="M148:M149">
    <cfRule type="cellIs" dxfId="1546" priority="10129" operator="equal">
      <formula>"value일 미도래"</formula>
    </cfRule>
  </conditionalFormatting>
  <conditionalFormatting sqref="M148:M149">
    <cfRule type="cellIs" dxfId="1545" priority="10128" operator="equal">
      <formula>"value일 미도래"</formula>
    </cfRule>
  </conditionalFormatting>
  <conditionalFormatting sqref="M148:M149">
    <cfRule type="cellIs" dxfId="1544" priority="10126" operator="equal">
      <formula>"value일 미도래"</formula>
    </cfRule>
  </conditionalFormatting>
  <conditionalFormatting sqref="M148:M149">
    <cfRule type="cellIs" dxfId="1543" priority="10125" operator="equal">
      <formula>"value일 미도래"</formula>
    </cfRule>
  </conditionalFormatting>
  <conditionalFormatting sqref="M148:M149">
    <cfRule type="cellIs" dxfId="1542" priority="10124" operator="equal">
      <formula>"value일 미도래"</formula>
    </cfRule>
  </conditionalFormatting>
  <conditionalFormatting sqref="M148:M149">
    <cfRule type="cellIs" dxfId="1541" priority="10123" operator="equal">
      <formula>"value일 미도래"</formula>
    </cfRule>
  </conditionalFormatting>
  <conditionalFormatting sqref="M148:M149">
    <cfRule type="cellIs" dxfId="1540" priority="10122" operator="equal">
      <formula>"value일 미도래"</formula>
    </cfRule>
  </conditionalFormatting>
  <conditionalFormatting sqref="M148:M149">
    <cfRule type="cellIs" dxfId="1539" priority="10121" operator="equal">
      <formula>"value일 미도래"</formula>
    </cfRule>
  </conditionalFormatting>
  <conditionalFormatting sqref="M148:M149">
    <cfRule type="cellIs" dxfId="1538" priority="10120" operator="equal">
      <formula>"value일 미도래"</formula>
    </cfRule>
  </conditionalFormatting>
  <conditionalFormatting sqref="M148:M149">
    <cfRule type="cellIs" dxfId="1537" priority="10119" operator="equal">
      <formula>"value일 미도래"</formula>
    </cfRule>
  </conditionalFormatting>
  <conditionalFormatting sqref="M148:M149">
    <cfRule type="cellIs" dxfId="1536" priority="10118" operator="equal">
      <formula>"value일 미도래"</formula>
    </cfRule>
  </conditionalFormatting>
  <conditionalFormatting sqref="M148:M149">
    <cfRule type="cellIs" dxfId="1535" priority="10117" operator="equal">
      <formula>"value일 미도래"</formula>
    </cfRule>
  </conditionalFormatting>
  <conditionalFormatting sqref="M148:M149">
    <cfRule type="cellIs" dxfId="1534" priority="10116" operator="equal">
      <formula>"value일 미도래"</formula>
    </cfRule>
  </conditionalFormatting>
  <conditionalFormatting sqref="M148:M149">
    <cfRule type="cellIs" dxfId="1533" priority="10114" operator="equal">
      <formula>"value일 미도래"</formula>
    </cfRule>
  </conditionalFormatting>
  <conditionalFormatting sqref="M148:M149">
    <cfRule type="cellIs" dxfId="1532" priority="10113" operator="equal">
      <formula>"value일 미도래"</formula>
    </cfRule>
  </conditionalFormatting>
  <conditionalFormatting sqref="M148:M149">
    <cfRule type="cellIs" dxfId="1531" priority="10112" operator="equal">
      <formula>"value일 미도래"</formula>
    </cfRule>
  </conditionalFormatting>
  <conditionalFormatting sqref="M148:M149">
    <cfRule type="cellIs" dxfId="1530" priority="10111" operator="equal">
      <formula>"value일 미도래"</formula>
    </cfRule>
  </conditionalFormatting>
  <conditionalFormatting sqref="M148:M149">
    <cfRule type="cellIs" dxfId="1529" priority="10110" operator="equal">
      <formula>"value일 미도래"</formula>
    </cfRule>
  </conditionalFormatting>
  <conditionalFormatting sqref="M148:M149">
    <cfRule type="cellIs" dxfId="1528" priority="10109" operator="equal">
      <formula>"value일 미도래"</formula>
    </cfRule>
  </conditionalFormatting>
  <conditionalFormatting sqref="M148:M149">
    <cfRule type="cellIs" dxfId="1527" priority="10108" operator="equal">
      <formula>"value일 미도래"</formula>
    </cfRule>
  </conditionalFormatting>
  <conditionalFormatting sqref="M148:M149">
    <cfRule type="cellIs" dxfId="1526" priority="10107" operator="equal">
      <formula>"value일 미도래"</formula>
    </cfRule>
  </conditionalFormatting>
  <conditionalFormatting sqref="M148:M149">
    <cfRule type="cellIs" dxfId="1525" priority="10106" operator="equal">
      <formula>"value일 미도래"</formula>
    </cfRule>
  </conditionalFormatting>
  <conditionalFormatting sqref="M148:M149">
    <cfRule type="cellIs" dxfId="1524" priority="10105" operator="equal">
      <formula>"value일 미도래"</formula>
    </cfRule>
  </conditionalFormatting>
  <conditionalFormatting sqref="M148:M149">
    <cfRule type="cellIs" dxfId="1523" priority="10104" operator="equal">
      <formula>"value일 미도래"</formula>
    </cfRule>
  </conditionalFormatting>
  <conditionalFormatting sqref="M148:M149">
    <cfRule type="cellIs" dxfId="1522" priority="10102" operator="equal">
      <formula>"value일 미도래"</formula>
    </cfRule>
  </conditionalFormatting>
  <conditionalFormatting sqref="M148:M149">
    <cfRule type="cellIs" dxfId="1521" priority="10101" operator="equal">
      <formula>"value일 미도래"</formula>
    </cfRule>
  </conditionalFormatting>
  <conditionalFormatting sqref="M148:M149">
    <cfRule type="cellIs" dxfId="1520" priority="10100" operator="equal">
      <formula>"value일 미도래"</formula>
    </cfRule>
  </conditionalFormatting>
  <conditionalFormatting sqref="M148:M149">
    <cfRule type="cellIs" dxfId="1519" priority="10099" operator="equal">
      <formula>"value일 미도래"</formula>
    </cfRule>
  </conditionalFormatting>
  <conditionalFormatting sqref="M148:M149">
    <cfRule type="cellIs" dxfId="1518" priority="10098" operator="equal">
      <formula>"value일 미도래"</formula>
    </cfRule>
  </conditionalFormatting>
  <conditionalFormatting sqref="M148:M149">
    <cfRule type="cellIs" dxfId="1517" priority="10097" operator="equal">
      <formula>"value일 미도래"</formula>
    </cfRule>
  </conditionalFormatting>
  <conditionalFormatting sqref="M148:M149">
    <cfRule type="cellIs" dxfId="1516" priority="10096" operator="equal">
      <formula>"value일 미도래"</formula>
    </cfRule>
  </conditionalFormatting>
  <conditionalFormatting sqref="M148:M149">
    <cfRule type="cellIs" dxfId="1515" priority="10095" operator="equal">
      <formula>"value일 미도래"</formula>
    </cfRule>
  </conditionalFormatting>
  <conditionalFormatting sqref="M148:M149">
    <cfRule type="cellIs" dxfId="1514" priority="10094" operator="equal">
      <formula>"value일 미도래"</formula>
    </cfRule>
  </conditionalFormatting>
  <conditionalFormatting sqref="M148:M149">
    <cfRule type="cellIs" dxfId="1513" priority="10093" operator="equal">
      <formula>"value일 미도래"</formula>
    </cfRule>
  </conditionalFormatting>
  <conditionalFormatting sqref="M148:M149">
    <cfRule type="cellIs" dxfId="1512" priority="10092" operator="equal">
      <formula>"value일 미도래"</formula>
    </cfRule>
  </conditionalFormatting>
  <conditionalFormatting sqref="M148:M149">
    <cfRule type="cellIs" dxfId="1511" priority="10091" operator="equal">
      <formula>"value일 미도래"</formula>
    </cfRule>
  </conditionalFormatting>
  <conditionalFormatting sqref="M148:M149">
    <cfRule type="cellIs" dxfId="1510" priority="10090" operator="equal">
      <formula>"value일 미도래"</formula>
    </cfRule>
  </conditionalFormatting>
  <conditionalFormatting sqref="M148:M149">
    <cfRule type="cellIs" dxfId="1509" priority="10089" operator="equal">
      <formula>"value일 미도래"</formula>
    </cfRule>
  </conditionalFormatting>
  <conditionalFormatting sqref="M148:M149">
    <cfRule type="cellIs" dxfId="1508" priority="10087" operator="equal">
      <formula>"value일 미도래"</formula>
    </cfRule>
  </conditionalFormatting>
  <conditionalFormatting sqref="M148:M149">
    <cfRule type="cellIs" dxfId="1507" priority="10086" operator="equal">
      <formula>"value일 미도래"</formula>
    </cfRule>
  </conditionalFormatting>
  <conditionalFormatting sqref="M148:M149">
    <cfRule type="cellIs" dxfId="1506" priority="10085" operator="equal">
      <formula>"value일 미도래"</formula>
    </cfRule>
  </conditionalFormatting>
  <conditionalFormatting sqref="M148:M149">
    <cfRule type="cellIs" dxfId="1505" priority="10084" operator="equal">
      <formula>"value일 미도래"</formula>
    </cfRule>
  </conditionalFormatting>
  <conditionalFormatting sqref="M148:M149">
    <cfRule type="cellIs" dxfId="1504" priority="10083" operator="equal">
      <formula>"value일 미도래"</formula>
    </cfRule>
  </conditionalFormatting>
  <conditionalFormatting sqref="M148:M149">
    <cfRule type="cellIs" dxfId="1503" priority="10082" operator="equal">
      <formula>"value일 미도래"</formula>
    </cfRule>
  </conditionalFormatting>
  <conditionalFormatting sqref="M148:M149">
    <cfRule type="cellIs" dxfId="1502" priority="10081" operator="equal">
      <formula>"value일 미도래"</formula>
    </cfRule>
  </conditionalFormatting>
  <conditionalFormatting sqref="M148:M149">
    <cfRule type="cellIs" dxfId="1501" priority="10080" operator="equal">
      <formula>"value일 미도래"</formula>
    </cfRule>
  </conditionalFormatting>
  <conditionalFormatting sqref="M148:M149">
    <cfRule type="cellIs" dxfId="1500" priority="10079" operator="equal">
      <formula>"value일 미도래"</formula>
    </cfRule>
  </conditionalFormatting>
  <conditionalFormatting sqref="M148:M149">
    <cfRule type="cellIs" dxfId="1499" priority="10078" operator="equal">
      <formula>"value일 미도래"</formula>
    </cfRule>
  </conditionalFormatting>
  <conditionalFormatting sqref="M148:M149">
    <cfRule type="cellIs" dxfId="1498" priority="10077" operator="equal">
      <formula>"value일 미도래"</formula>
    </cfRule>
  </conditionalFormatting>
  <conditionalFormatting sqref="M148:M149">
    <cfRule type="cellIs" dxfId="1497" priority="10076" operator="equal">
      <formula>"value일 미도래"</formula>
    </cfRule>
  </conditionalFormatting>
  <conditionalFormatting sqref="M148:M149">
    <cfRule type="cellIs" dxfId="1496" priority="10075" operator="equal">
      <formula>"value일 미도래"</formula>
    </cfRule>
  </conditionalFormatting>
  <conditionalFormatting sqref="M148:M149">
    <cfRule type="cellIs" dxfId="1495" priority="10074" operator="equal">
      <formula>"value일 미도래"</formula>
    </cfRule>
  </conditionalFormatting>
  <conditionalFormatting sqref="M148:M149">
    <cfRule type="cellIs" dxfId="1494" priority="10073" operator="equal">
      <formula>"value일 미도래"</formula>
    </cfRule>
  </conditionalFormatting>
  <conditionalFormatting sqref="M148:M149">
    <cfRule type="cellIs" dxfId="1493" priority="10072" operator="equal">
      <formula>"value일 미도래"</formula>
    </cfRule>
  </conditionalFormatting>
  <conditionalFormatting sqref="M148:M149">
    <cfRule type="cellIs" dxfId="1492" priority="10071" operator="equal">
      <formula>"value일 미도래"</formula>
    </cfRule>
  </conditionalFormatting>
  <conditionalFormatting sqref="M148:M149">
    <cfRule type="cellIs" dxfId="1491" priority="10070" operator="equal">
      <formula>"value일 미도래"</formula>
    </cfRule>
  </conditionalFormatting>
  <conditionalFormatting sqref="M148:M149">
    <cfRule type="cellIs" dxfId="1490" priority="10069" operator="equal">
      <formula>"value일 미도래"</formula>
    </cfRule>
  </conditionalFormatting>
  <conditionalFormatting sqref="M148:M149">
    <cfRule type="cellIs" dxfId="1489" priority="10068" operator="equal">
      <formula>"value일 미도래"</formula>
    </cfRule>
  </conditionalFormatting>
  <conditionalFormatting sqref="M148:M149">
    <cfRule type="cellIs" dxfId="1488" priority="10066" operator="equal">
      <formula>"value일 미도래"</formula>
    </cfRule>
  </conditionalFormatting>
  <conditionalFormatting sqref="M148:M149">
    <cfRule type="cellIs" dxfId="1487" priority="10065" operator="equal">
      <formula>"value일 미도래"</formula>
    </cfRule>
  </conditionalFormatting>
  <conditionalFormatting sqref="M148:M149">
    <cfRule type="cellIs" dxfId="1486" priority="10064" operator="equal">
      <formula>"value일 미도래"</formula>
    </cfRule>
  </conditionalFormatting>
  <conditionalFormatting sqref="M148:M149">
    <cfRule type="cellIs" dxfId="1485" priority="10063" operator="equal">
      <formula>"value일 미도래"</formula>
    </cfRule>
  </conditionalFormatting>
  <conditionalFormatting sqref="M148:M149">
    <cfRule type="cellIs" dxfId="1484" priority="10062" operator="equal">
      <formula>"value일 미도래"</formula>
    </cfRule>
  </conditionalFormatting>
  <conditionalFormatting sqref="M148:M149">
    <cfRule type="cellIs" dxfId="1483" priority="10061" operator="equal">
      <formula>"value일 미도래"</formula>
    </cfRule>
  </conditionalFormatting>
  <conditionalFormatting sqref="M148:M149">
    <cfRule type="cellIs" dxfId="1482" priority="10060" operator="equal">
      <formula>"value일 미도래"</formula>
    </cfRule>
  </conditionalFormatting>
  <conditionalFormatting sqref="M148:M149">
    <cfRule type="cellIs" dxfId="1481" priority="10059" operator="equal">
      <formula>"value일 미도래"</formula>
    </cfRule>
  </conditionalFormatting>
  <conditionalFormatting sqref="M148:M149">
    <cfRule type="cellIs" dxfId="1480" priority="10058" operator="equal">
      <formula>"value일 미도래"</formula>
    </cfRule>
  </conditionalFormatting>
  <conditionalFormatting sqref="M148:M149">
    <cfRule type="cellIs" dxfId="1479" priority="10057" operator="equal">
      <formula>"value일 미도래"</formula>
    </cfRule>
  </conditionalFormatting>
  <conditionalFormatting sqref="M148:M149">
    <cfRule type="cellIs" dxfId="1478" priority="10056" operator="equal">
      <formula>"value일 미도래"</formula>
    </cfRule>
  </conditionalFormatting>
  <conditionalFormatting sqref="M148:M149">
    <cfRule type="cellIs" dxfId="1477" priority="10055" operator="equal">
      <formula>"value일 미도래"</formula>
    </cfRule>
  </conditionalFormatting>
  <conditionalFormatting sqref="M148:M149">
    <cfRule type="cellIs" dxfId="1476" priority="10041" operator="equal">
      <formula>"value일 미도래"</formula>
    </cfRule>
  </conditionalFormatting>
  <conditionalFormatting sqref="M148:M149">
    <cfRule type="cellIs" dxfId="1475" priority="10040" operator="equal">
      <formula>"value일 미도래"</formula>
    </cfRule>
  </conditionalFormatting>
  <conditionalFormatting sqref="M148:M149">
    <cfRule type="cellIs" dxfId="1474" priority="10039" operator="equal">
      <formula>"value일 미도래"</formula>
    </cfRule>
  </conditionalFormatting>
  <conditionalFormatting sqref="M148:M149">
    <cfRule type="cellIs" dxfId="1473" priority="10038" operator="equal">
      <formula>"value일 미도래"</formula>
    </cfRule>
  </conditionalFormatting>
  <conditionalFormatting sqref="M148:M149">
    <cfRule type="cellIs" dxfId="1472" priority="10037" operator="equal">
      <formula>"value일 미도래"</formula>
    </cfRule>
  </conditionalFormatting>
  <conditionalFormatting sqref="M148:M149">
    <cfRule type="cellIs" dxfId="1471" priority="10036" operator="equal">
      <formula>"value일 미도래"</formula>
    </cfRule>
  </conditionalFormatting>
  <conditionalFormatting sqref="M148:M149">
    <cfRule type="cellIs" dxfId="1470" priority="10035" operator="equal">
      <formula>"value일 미도래"</formula>
    </cfRule>
  </conditionalFormatting>
  <conditionalFormatting sqref="M148:M149">
    <cfRule type="cellIs" dxfId="1469" priority="10034" operator="equal">
      <formula>"value일 미도래"</formula>
    </cfRule>
  </conditionalFormatting>
  <conditionalFormatting sqref="M148:M149">
    <cfRule type="cellIs" dxfId="1468" priority="10033" operator="equal">
      <formula>"value일 미도래"</formula>
    </cfRule>
  </conditionalFormatting>
  <conditionalFormatting sqref="M148:M149">
    <cfRule type="cellIs" dxfId="1467" priority="10032" operator="equal">
      <formula>"value일 미도래"</formula>
    </cfRule>
  </conditionalFormatting>
  <conditionalFormatting sqref="M148:M149">
    <cfRule type="cellIs" dxfId="1466" priority="10031" operator="equal">
      <formula>"value일 미도래"</formula>
    </cfRule>
  </conditionalFormatting>
  <conditionalFormatting sqref="M148:M149">
    <cfRule type="cellIs" dxfId="1465" priority="10029" operator="equal">
      <formula>"value일 미도래"</formula>
    </cfRule>
  </conditionalFormatting>
  <conditionalFormatting sqref="M148:M149">
    <cfRule type="cellIs" dxfId="1464" priority="10028" operator="equal">
      <formula>"value일 미도래"</formula>
    </cfRule>
  </conditionalFormatting>
  <conditionalFormatting sqref="M148:M149">
    <cfRule type="cellIs" dxfId="1463" priority="10027" operator="equal">
      <formula>"value일 미도래"</formula>
    </cfRule>
  </conditionalFormatting>
  <conditionalFormatting sqref="M148:M149">
    <cfRule type="cellIs" dxfId="1462" priority="10026" operator="equal">
      <formula>"value일 미도래"</formula>
    </cfRule>
  </conditionalFormatting>
  <conditionalFormatting sqref="M148:M149">
    <cfRule type="cellIs" dxfId="1461" priority="10025" operator="equal">
      <formula>"value일 미도래"</formula>
    </cfRule>
  </conditionalFormatting>
  <conditionalFormatting sqref="M148:M149">
    <cfRule type="cellIs" dxfId="1460" priority="10024" operator="equal">
      <formula>"value일 미도래"</formula>
    </cfRule>
  </conditionalFormatting>
  <conditionalFormatting sqref="M148:M149">
    <cfRule type="cellIs" dxfId="1459" priority="10023" operator="equal">
      <formula>"value일 미도래"</formula>
    </cfRule>
  </conditionalFormatting>
  <conditionalFormatting sqref="M148:M149">
    <cfRule type="cellIs" dxfId="1458" priority="10022" operator="equal">
      <formula>"value일 미도래"</formula>
    </cfRule>
  </conditionalFormatting>
  <conditionalFormatting sqref="M148:M149">
    <cfRule type="cellIs" dxfId="1457" priority="10021" operator="equal">
      <formula>"value일 미도래"</formula>
    </cfRule>
  </conditionalFormatting>
  <conditionalFormatting sqref="M148">
    <cfRule type="cellIs" dxfId="1456" priority="10020" operator="equal">
      <formula>"value일 미도래"</formula>
    </cfRule>
  </conditionalFormatting>
  <conditionalFormatting sqref="M148">
    <cfRule type="cellIs" dxfId="1455" priority="10019" operator="equal">
      <formula>"value일 미도래"</formula>
    </cfRule>
  </conditionalFormatting>
  <conditionalFormatting sqref="M148">
    <cfRule type="cellIs" dxfId="1454" priority="10018" operator="equal">
      <formula>"value일 미도래"</formula>
    </cfRule>
  </conditionalFormatting>
  <conditionalFormatting sqref="M148">
    <cfRule type="cellIs" dxfId="1453" priority="10017" operator="equal">
      <formula>"value일 미도래"</formula>
    </cfRule>
  </conditionalFormatting>
  <conditionalFormatting sqref="M148">
    <cfRule type="cellIs" dxfId="1452" priority="10016" operator="equal">
      <formula>"value일 미도래"</formula>
    </cfRule>
  </conditionalFormatting>
  <conditionalFormatting sqref="M148">
    <cfRule type="cellIs" dxfId="1451" priority="10015" operator="equal">
      <formula>"value일 미도래"</formula>
    </cfRule>
  </conditionalFormatting>
  <conditionalFormatting sqref="M148">
    <cfRule type="cellIs" dxfId="1450" priority="10013" operator="equal">
      <formula>"value일 미도래"</formula>
    </cfRule>
  </conditionalFormatting>
  <conditionalFormatting sqref="M148">
    <cfRule type="cellIs" dxfId="1449" priority="10012" operator="equal">
      <formula>"value일 미도래"</formula>
    </cfRule>
  </conditionalFormatting>
  <conditionalFormatting sqref="M148">
    <cfRule type="cellIs" dxfId="1448" priority="10011" operator="equal">
      <formula>"value일 미도래"</formula>
    </cfRule>
  </conditionalFormatting>
  <conditionalFormatting sqref="M148">
    <cfRule type="cellIs" dxfId="1447" priority="10010" operator="equal">
      <formula>"value일 미도래"</formula>
    </cfRule>
  </conditionalFormatting>
  <conditionalFormatting sqref="M148">
    <cfRule type="cellIs" dxfId="1446" priority="10009" operator="equal">
      <formula>"value일 미도래"</formula>
    </cfRule>
  </conditionalFormatting>
  <conditionalFormatting sqref="M148">
    <cfRule type="cellIs" dxfId="1445" priority="10008" operator="equal">
      <formula>"value일 미도래"</formula>
    </cfRule>
  </conditionalFormatting>
  <conditionalFormatting sqref="M148">
    <cfRule type="cellIs" dxfId="1444" priority="10007" operator="equal">
      <formula>"value일 미도래"</formula>
    </cfRule>
  </conditionalFormatting>
  <conditionalFormatting sqref="M148">
    <cfRule type="cellIs" dxfId="1443" priority="10006" operator="equal">
      <formula>"value일 미도래"</formula>
    </cfRule>
  </conditionalFormatting>
  <conditionalFormatting sqref="M148">
    <cfRule type="cellIs" dxfId="1442" priority="10004" operator="equal">
      <formula>"value일 미도래"</formula>
    </cfRule>
  </conditionalFormatting>
  <conditionalFormatting sqref="M148">
    <cfRule type="cellIs" dxfId="1441" priority="10003" operator="equal">
      <formula>"value일 미도래"</formula>
    </cfRule>
  </conditionalFormatting>
  <conditionalFormatting sqref="M148">
    <cfRule type="cellIs" dxfId="1440" priority="10002" operator="equal">
      <formula>"value일 미도래"</formula>
    </cfRule>
  </conditionalFormatting>
  <conditionalFormatting sqref="M148">
    <cfRule type="cellIs" dxfId="1439" priority="10001" operator="equal">
      <formula>"value일 미도래"</formula>
    </cfRule>
  </conditionalFormatting>
  <conditionalFormatting sqref="M148">
    <cfRule type="cellIs" dxfId="1438" priority="10000" operator="equal">
      <formula>"value일 미도래"</formula>
    </cfRule>
  </conditionalFormatting>
  <conditionalFormatting sqref="M148">
    <cfRule type="cellIs" dxfId="1437" priority="9999" operator="equal">
      <formula>"value일 미도래"</formula>
    </cfRule>
  </conditionalFormatting>
  <conditionalFormatting sqref="M148">
    <cfRule type="cellIs" dxfId="1436" priority="9998" operator="equal">
      <formula>"value일 미도래"</formula>
    </cfRule>
  </conditionalFormatting>
  <conditionalFormatting sqref="M148">
    <cfRule type="cellIs" dxfId="1435" priority="9997" operator="equal">
      <formula>"value일 미도래"</formula>
    </cfRule>
  </conditionalFormatting>
  <conditionalFormatting sqref="M148">
    <cfRule type="cellIs" dxfId="1434" priority="9996" operator="equal">
      <formula>"value일 미도래"</formula>
    </cfRule>
  </conditionalFormatting>
  <conditionalFormatting sqref="M148">
    <cfRule type="cellIs" dxfId="1433" priority="9995" operator="equal">
      <formula>"value일 미도래"</formula>
    </cfRule>
  </conditionalFormatting>
  <conditionalFormatting sqref="M148">
    <cfRule type="cellIs" dxfId="1432" priority="9994" operator="equal">
      <formula>"value일 미도래"</formula>
    </cfRule>
  </conditionalFormatting>
  <conditionalFormatting sqref="M148">
    <cfRule type="cellIs" dxfId="1431" priority="9992" operator="equal">
      <formula>"value일 미도래"</formula>
    </cfRule>
  </conditionalFormatting>
  <conditionalFormatting sqref="M148">
    <cfRule type="cellIs" dxfId="1430" priority="9991" operator="equal">
      <formula>"value일 미도래"</formula>
    </cfRule>
  </conditionalFormatting>
  <conditionalFormatting sqref="M148">
    <cfRule type="cellIs" dxfId="1429" priority="9990" operator="equal">
      <formula>"value일 미도래"</formula>
    </cfRule>
  </conditionalFormatting>
  <conditionalFormatting sqref="M148">
    <cfRule type="cellIs" dxfId="1428" priority="9989" operator="equal">
      <formula>"value일 미도래"</formula>
    </cfRule>
  </conditionalFormatting>
  <conditionalFormatting sqref="M148">
    <cfRule type="cellIs" dxfId="1427" priority="9988" operator="equal">
      <formula>"value일 미도래"</formula>
    </cfRule>
  </conditionalFormatting>
  <conditionalFormatting sqref="M148">
    <cfRule type="cellIs" dxfId="1426" priority="9987" operator="equal">
      <formula>"value일 미도래"</formula>
    </cfRule>
  </conditionalFormatting>
  <conditionalFormatting sqref="M148">
    <cfRule type="cellIs" dxfId="1425" priority="9986" operator="equal">
      <formula>"value일 미도래"</formula>
    </cfRule>
  </conditionalFormatting>
  <conditionalFormatting sqref="M148">
    <cfRule type="cellIs" dxfId="1424" priority="9985" operator="equal">
      <formula>"value일 미도래"</formula>
    </cfRule>
  </conditionalFormatting>
  <conditionalFormatting sqref="M148">
    <cfRule type="cellIs" dxfId="1423" priority="9984" operator="equal">
      <formula>"value일 미도래"</formula>
    </cfRule>
  </conditionalFormatting>
  <conditionalFormatting sqref="M148">
    <cfRule type="cellIs" dxfId="1422" priority="9983" operator="equal">
      <formula>"value일 미도래"</formula>
    </cfRule>
  </conditionalFormatting>
  <conditionalFormatting sqref="M148">
    <cfRule type="cellIs" dxfId="1421" priority="9982" operator="equal">
      <formula>"value일 미도래"</formula>
    </cfRule>
  </conditionalFormatting>
  <conditionalFormatting sqref="M148">
    <cfRule type="cellIs" dxfId="1420" priority="9980" operator="equal">
      <formula>"value일 미도래"</formula>
    </cfRule>
  </conditionalFormatting>
  <conditionalFormatting sqref="M148">
    <cfRule type="cellIs" dxfId="1419" priority="9979" operator="equal">
      <formula>"value일 미도래"</formula>
    </cfRule>
  </conditionalFormatting>
  <conditionalFormatting sqref="M148">
    <cfRule type="cellIs" dxfId="1418" priority="9978" operator="equal">
      <formula>"value일 미도래"</formula>
    </cfRule>
  </conditionalFormatting>
  <conditionalFormatting sqref="M148">
    <cfRule type="cellIs" dxfId="1417" priority="9977" operator="equal">
      <formula>"value일 미도래"</formula>
    </cfRule>
  </conditionalFormatting>
  <conditionalFormatting sqref="M148">
    <cfRule type="cellIs" dxfId="1416" priority="9976" operator="equal">
      <formula>"value일 미도래"</formula>
    </cfRule>
  </conditionalFormatting>
  <conditionalFormatting sqref="M148">
    <cfRule type="cellIs" dxfId="1415" priority="9975" operator="equal">
      <formula>"value일 미도래"</formula>
    </cfRule>
  </conditionalFormatting>
  <conditionalFormatting sqref="M148:M149">
    <cfRule type="cellIs" dxfId="1414" priority="9974" operator="equal">
      <formula>"value일 미도래"</formula>
    </cfRule>
  </conditionalFormatting>
  <conditionalFormatting sqref="M148:M149">
    <cfRule type="cellIs" dxfId="1413" priority="9973" operator="equal">
      <formula>"value일 미도래"</formula>
    </cfRule>
  </conditionalFormatting>
  <conditionalFormatting sqref="M148:M149">
    <cfRule type="cellIs" dxfId="1412" priority="9972" operator="equal">
      <formula>"value일 미도래"</formula>
    </cfRule>
  </conditionalFormatting>
  <conditionalFormatting sqref="M148">
    <cfRule type="cellIs" dxfId="1411" priority="9971" operator="equal">
      <formula>"value일 미도래"</formula>
    </cfRule>
  </conditionalFormatting>
  <conditionalFormatting sqref="M148">
    <cfRule type="cellIs" dxfId="1410" priority="9970" operator="equal">
      <formula>"value일 미도래"</formula>
    </cfRule>
  </conditionalFormatting>
  <conditionalFormatting sqref="M148">
    <cfRule type="cellIs" dxfId="1409" priority="9969" operator="equal">
      <formula>"value일 미도래"</formula>
    </cfRule>
  </conditionalFormatting>
  <conditionalFormatting sqref="M148">
    <cfRule type="cellIs" dxfId="1408" priority="9968" operator="equal">
      <formula>"value일 미도래"</formula>
    </cfRule>
  </conditionalFormatting>
  <conditionalFormatting sqref="M148">
    <cfRule type="cellIs" dxfId="1407" priority="9967" operator="equal">
      <formula>"value일 미도래"</formula>
    </cfRule>
  </conditionalFormatting>
  <conditionalFormatting sqref="M148">
    <cfRule type="cellIs" dxfId="1406" priority="9966" operator="equal">
      <formula>"value일 미도래"</formula>
    </cfRule>
  </conditionalFormatting>
  <conditionalFormatting sqref="M148">
    <cfRule type="cellIs" dxfId="1405" priority="9965" operator="equal">
      <formula>"value일 미도래"</formula>
    </cfRule>
  </conditionalFormatting>
  <conditionalFormatting sqref="M148">
    <cfRule type="cellIs" dxfId="1404" priority="9964" operator="equal">
      <formula>"value일 미도래"</formula>
    </cfRule>
  </conditionalFormatting>
  <conditionalFormatting sqref="M148">
    <cfRule type="cellIs" dxfId="1403" priority="9963" operator="equal">
      <formula>"value일 미도래"</formula>
    </cfRule>
  </conditionalFormatting>
  <conditionalFormatting sqref="M148:M149">
    <cfRule type="cellIs" dxfId="1402" priority="9962" operator="equal">
      <formula>"value일 미도래"</formula>
    </cfRule>
  </conditionalFormatting>
  <conditionalFormatting sqref="M148:M149">
    <cfRule type="cellIs" dxfId="1401" priority="9961" operator="equal">
      <formula>"value일 미도래"</formula>
    </cfRule>
  </conditionalFormatting>
  <conditionalFormatting sqref="M148:M149">
    <cfRule type="cellIs" dxfId="1400" priority="9960" operator="equal">
      <formula>"value일 미도래"</formula>
    </cfRule>
  </conditionalFormatting>
  <conditionalFormatting sqref="M148">
    <cfRule type="cellIs" dxfId="1399" priority="9959" operator="equal">
      <formula>"value일 미도래"</formula>
    </cfRule>
  </conditionalFormatting>
  <conditionalFormatting sqref="M148">
    <cfRule type="cellIs" dxfId="1398" priority="9958" operator="equal">
      <formula>"value일 미도래"</formula>
    </cfRule>
  </conditionalFormatting>
  <conditionalFormatting sqref="M148">
    <cfRule type="cellIs" dxfId="1397" priority="9957" operator="equal">
      <formula>"value일 미도래"</formula>
    </cfRule>
  </conditionalFormatting>
  <conditionalFormatting sqref="M148">
    <cfRule type="cellIs" dxfId="1396" priority="9956" operator="equal">
      <formula>"value일 미도래"</formula>
    </cfRule>
  </conditionalFormatting>
  <conditionalFormatting sqref="M148">
    <cfRule type="cellIs" dxfId="1395" priority="9955" operator="equal">
      <formula>"value일 미도래"</formula>
    </cfRule>
  </conditionalFormatting>
  <conditionalFormatting sqref="M148">
    <cfRule type="cellIs" dxfId="1394" priority="9954" operator="equal">
      <formula>"value일 미도래"</formula>
    </cfRule>
  </conditionalFormatting>
  <conditionalFormatting sqref="M148:M149">
    <cfRule type="cellIs" dxfId="1393" priority="9953" operator="equal">
      <formula>"value일 미도래"</formula>
    </cfRule>
  </conditionalFormatting>
  <conditionalFormatting sqref="M148:M149">
    <cfRule type="cellIs" dxfId="1392" priority="9952" operator="equal">
      <formula>"value일 미도래"</formula>
    </cfRule>
  </conditionalFormatting>
  <conditionalFormatting sqref="M148:M149">
    <cfRule type="cellIs" dxfId="1391" priority="9951" operator="equal">
      <formula>"value일 미도래"</formula>
    </cfRule>
  </conditionalFormatting>
  <conditionalFormatting sqref="M148:M149">
    <cfRule type="cellIs" dxfId="1390" priority="9950" operator="equal">
      <formula>"value일 미도래"</formula>
    </cfRule>
  </conditionalFormatting>
  <conditionalFormatting sqref="M149:M150">
    <cfRule type="cellIs" dxfId="1389" priority="9949" operator="equal">
      <formula>"value일 미도래"</formula>
    </cfRule>
  </conditionalFormatting>
  <conditionalFormatting sqref="M149:M150">
    <cfRule type="cellIs" dxfId="1388" priority="9948" operator="equal">
      <formula>"value일 미도래"</formula>
    </cfRule>
  </conditionalFormatting>
  <conditionalFormatting sqref="M149:M150">
    <cfRule type="cellIs" dxfId="1387" priority="9947" operator="equal">
      <formula>"value일 미도래"</formula>
    </cfRule>
  </conditionalFormatting>
  <conditionalFormatting sqref="M149:M150">
    <cfRule type="cellIs" dxfId="1386" priority="9946" operator="equal">
      <formula>"value일 미도래"</formula>
    </cfRule>
  </conditionalFormatting>
  <conditionalFormatting sqref="M149:M150">
    <cfRule type="cellIs" dxfId="1385" priority="9945" operator="equal">
      <formula>"value일 미도래"</formula>
    </cfRule>
  </conditionalFormatting>
  <conditionalFormatting sqref="M149:M150">
    <cfRule type="cellIs" dxfId="1384" priority="9944" operator="equal">
      <formula>"value일 미도래"</formula>
    </cfRule>
  </conditionalFormatting>
  <conditionalFormatting sqref="M149:M150">
    <cfRule type="cellIs" dxfId="1383" priority="9943" operator="equal">
      <formula>"value일 미도래"</formula>
    </cfRule>
  </conditionalFormatting>
  <conditionalFormatting sqref="M149:M150">
    <cfRule type="cellIs" dxfId="1382" priority="9942" operator="equal">
      <formula>"value일 미도래"</formula>
    </cfRule>
  </conditionalFormatting>
  <conditionalFormatting sqref="M149:M150">
    <cfRule type="cellIs" dxfId="1381" priority="9941" operator="equal">
      <formula>"value일 미도래"</formula>
    </cfRule>
  </conditionalFormatting>
  <conditionalFormatting sqref="M149:M150">
    <cfRule type="cellIs" dxfId="1380" priority="9940" operator="equal">
      <formula>"value일 미도래"</formula>
    </cfRule>
  </conditionalFormatting>
  <conditionalFormatting sqref="M149:M150">
    <cfRule type="cellIs" dxfId="1379" priority="9939" operator="equal">
      <formula>"value일 미도래"</formula>
    </cfRule>
  </conditionalFormatting>
  <conditionalFormatting sqref="M149:M150">
    <cfRule type="cellIs" dxfId="1378" priority="9938" operator="equal">
      <formula>"value일 미도래"</formula>
    </cfRule>
  </conditionalFormatting>
  <conditionalFormatting sqref="M149:M150">
    <cfRule type="cellIs" dxfId="1377" priority="9937" operator="equal">
      <formula>"value일 미도래"</formula>
    </cfRule>
  </conditionalFormatting>
  <conditionalFormatting sqref="M149:M150">
    <cfRule type="cellIs" dxfId="1376" priority="9936" operator="equal">
      <formula>"value일 미도래"</formula>
    </cfRule>
  </conditionalFormatting>
  <conditionalFormatting sqref="M149:M150">
    <cfRule type="cellIs" dxfId="1375" priority="9935" operator="equal">
      <formula>"value일 미도래"</formula>
    </cfRule>
  </conditionalFormatting>
  <conditionalFormatting sqref="M149:M150">
    <cfRule type="cellIs" dxfId="1374" priority="9934" operator="equal">
      <formula>"value일 미도래"</formula>
    </cfRule>
  </conditionalFormatting>
  <conditionalFormatting sqref="M149:M150">
    <cfRule type="cellIs" dxfId="1373" priority="9933" operator="equal">
      <formula>"value일 미도래"</formula>
    </cfRule>
  </conditionalFormatting>
  <conditionalFormatting sqref="M149:M150">
    <cfRule type="cellIs" dxfId="1372" priority="9932" operator="equal">
      <formula>"value일 미도래"</formula>
    </cfRule>
  </conditionalFormatting>
  <conditionalFormatting sqref="M149:M150">
    <cfRule type="cellIs" dxfId="1371" priority="9931" operator="equal">
      <formula>"value일 미도래"</formula>
    </cfRule>
  </conditionalFormatting>
  <conditionalFormatting sqref="M149:M150">
    <cfRule type="cellIs" dxfId="1370" priority="9930" operator="equal">
      <formula>"value일 미도래"</formula>
    </cfRule>
  </conditionalFormatting>
  <conditionalFormatting sqref="M149:M150">
    <cfRule type="cellIs" dxfId="1369" priority="9929" operator="equal">
      <formula>"value일 미도래"</formula>
    </cfRule>
  </conditionalFormatting>
  <conditionalFormatting sqref="M149:M150">
    <cfRule type="cellIs" dxfId="1368" priority="9928" operator="equal">
      <formula>"value일 미도래"</formula>
    </cfRule>
  </conditionalFormatting>
  <conditionalFormatting sqref="M149:M150">
    <cfRule type="cellIs" dxfId="1367" priority="9927" operator="equal">
      <formula>"value일 미도래"</formula>
    </cfRule>
  </conditionalFormatting>
  <conditionalFormatting sqref="M149:M150">
    <cfRule type="cellIs" dxfId="1366" priority="9926" operator="equal">
      <formula>"value일 미도래"</formula>
    </cfRule>
  </conditionalFormatting>
  <conditionalFormatting sqref="M149:M150">
    <cfRule type="cellIs" dxfId="1365" priority="9925" operator="equal">
      <formula>"value일 미도래"</formula>
    </cfRule>
  </conditionalFormatting>
  <conditionalFormatting sqref="M149:M150">
    <cfRule type="cellIs" dxfId="1364" priority="9924" operator="equal">
      <formula>"value일 미도래"</formula>
    </cfRule>
  </conditionalFormatting>
  <conditionalFormatting sqref="M149:M150">
    <cfRule type="cellIs" dxfId="1363" priority="9923" operator="equal">
      <formula>"value일 미도래"</formula>
    </cfRule>
  </conditionalFormatting>
  <conditionalFormatting sqref="M149:M150">
    <cfRule type="cellIs" dxfId="1362" priority="9922" operator="equal">
      <formula>"value일 미도래"</formula>
    </cfRule>
  </conditionalFormatting>
  <conditionalFormatting sqref="M149:M150">
    <cfRule type="cellIs" dxfId="1361" priority="9921" operator="equal">
      <formula>"value일 미도래"</formula>
    </cfRule>
  </conditionalFormatting>
  <conditionalFormatting sqref="M149:M150">
    <cfRule type="cellIs" dxfId="1360" priority="9920" operator="equal">
      <formula>"value일 미도래"</formula>
    </cfRule>
  </conditionalFormatting>
  <conditionalFormatting sqref="M149:M150">
    <cfRule type="cellIs" dxfId="1359" priority="9919" operator="equal">
      <formula>"value일 미도래"</formula>
    </cfRule>
  </conditionalFormatting>
  <conditionalFormatting sqref="M149:M150">
    <cfRule type="cellIs" dxfId="1358" priority="9918" operator="equal">
      <formula>"value일 미도래"</formula>
    </cfRule>
  </conditionalFormatting>
  <conditionalFormatting sqref="M149:M150">
    <cfRule type="cellIs" dxfId="1357" priority="9917" operator="equal">
      <formula>"value일 미도래"</formula>
    </cfRule>
  </conditionalFormatting>
  <conditionalFormatting sqref="M149:M150">
    <cfRule type="cellIs" dxfId="1356" priority="9916" operator="equal">
      <formula>"value일 미도래"</formula>
    </cfRule>
  </conditionalFormatting>
  <conditionalFormatting sqref="M149:M150">
    <cfRule type="cellIs" dxfId="1355" priority="9915" operator="equal">
      <formula>"value일 미도래"</formula>
    </cfRule>
  </conditionalFormatting>
  <conditionalFormatting sqref="M149:M150">
    <cfRule type="cellIs" dxfId="1354" priority="9914" operator="equal">
      <formula>"value일 미도래"</formula>
    </cfRule>
  </conditionalFormatting>
  <conditionalFormatting sqref="M149:M150">
    <cfRule type="cellIs" dxfId="1353" priority="9913" operator="equal">
      <formula>"value일 미도래"</formula>
    </cfRule>
  </conditionalFormatting>
  <conditionalFormatting sqref="M149:M150">
    <cfRule type="cellIs" dxfId="1352" priority="9912" operator="equal">
      <formula>"value일 미도래"</formula>
    </cfRule>
  </conditionalFormatting>
  <conditionalFormatting sqref="M149:M150">
    <cfRule type="cellIs" dxfId="1351" priority="9911" operator="equal">
      <formula>"value일 미도래"</formula>
    </cfRule>
  </conditionalFormatting>
  <conditionalFormatting sqref="M149:M150">
    <cfRule type="cellIs" dxfId="1350" priority="9910" operator="equal">
      <formula>"value일 미도래"</formula>
    </cfRule>
  </conditionalFormatting>
  <conditionalFormatting sqref="M149:M150">
    <cfRule type="cellIs" dxfId="1349" priority="9909" operator="equal">
      <formula>"value일 미도래"</formula>
    </cfRule>
  </conditionalFormatting>
  <conditionalFormatting sqref="M149:M150">
    <cfRule type="cellIs" dxfId="1348" priority="9908" operator="equal">
      <formula>"value일 미도래"</formula>
    </cfRule>
  </conditionalFormatting>
  <conditionalFormatting sqref="M149:M150">
    <cfRule type="cellIs" dxfId="1347" priority="9907" operator="equal">
      <formula>"value일 미도래"</formula>
    </cfRule>
  </conditionalFormatting>
  <conditionalFormatting sqref="M149:M150">
    <cfRule type="cellIs" dxfId="1346" priority="9906" operator="equal">
      <formula>"value일 미도래"</formula>
    </cfRule>
  </conditionalFormatting>
  <conditionalFormatting sqref="M149:M150">
    <cfRule type="cellIs" dxfId="1345" priority="9905" operator="equal">
      <formula>"value일 미도래"</formula>
    </cfRule>
  </conditionalFormatting>
  <conditionalFormatting sqref="M149:M150">
    <cfRule type="cellIs" dxfId="1344" priority="9904" operator="equal">
      <formula>"value일 미도래"</formula>
    </cfRule>
  </conditionalFormatting>
  <conditionalFormatting sqref="M149:M150">
    <cfRule type="cellIs" dxfId="1343" priority="9903" operator="equal">
      <formula>"value일 미도래"</formula>
    </cfRule>
  </conditionalFormatting>
  <conditionalFormatting sqref="M149:M150">
    <cfRule type="cellIs" dxfId="1342" priority="9902" operator="equal">
      <formula>"value일 미도래"</formula>
    </cfRule>
  </conditionalFormatting>
  <conditionalFormatting sqref="M149:M150">
    <cfRule type="cellIs" dxfId="1341" priority="9901" operator="equal">
      <formula>"value일 미도래"</formula>
    </cfRule>
  </conditionalFormatting>
  <conditionalFormatting sqref="M149:M150">
    <cfRule type="cellIs" dxfId="1340" priority="9900" operator="equal">
      <formula>"value일 미도래"</formula>
    </cfRule>
  </conditionalFormatting>
  <conditionalFormatting sqref="M149:M150">
    <cfRule type="cellIs" dxfId="1339" priority="9899" operator="equal">
      <formula>"value일 미도래"</formula>
    </cfRule>
  </conditionalFormatting>
  <conditionalFormatting sqref="M149:M150">
    <cfRule type="cellIs" dxfId="1338" priority="9898" operator="equal">
      <formula>"value일 미도래"</formula>
    </cfRule>
  </conditionalFormatting>
  <conditionalFormatting sqref="M149:M150">
    <cfRule type="cellIs" dxfId="1337" priority="9897" operator="equal">
      <formula>"value일 미도래"</formula>
    </cfRule>
  </conditionalFormatting>
  <conditionalFormatting sqref="M149:M150">
    <cfRule type="cellIs" dxfId="1336" priority="9896" operator="equal">
      <formula>"value일 미도래"</formula>
    </cfRule>
  </conditionalFormatting>
  <conditionalFormatting sqref="M149:M150">
    <cfRule type="cellIs" dxfId="1335" priority="9895" operator="equal">
      <formula>"value일 미도래"</formula>
    </cfRule>
  </conditionalFormatting>
  <conditionalFormatting sqref="M149:M150">
    <cfRule type="cellIs" dxfId="1334" priority="9894" operator="equal">
      <formula>"value일 미도래"</formula>
    </cfRule>
  </conditionalFormatting>
  <conditionalFormatting sqref="M149:M150">
    <cfRule type="cellIs" dxfId="1333" priority="9893" operator="equal">
      <formula>"value일 미도래"</formula>
    </cfRule>
  </conditionalFormatting>
  <conditionalFormatting sqref="M149:M150">
    <cfRule type="cellIs" dxfId="1332" priority="9892" operator="equal">
      <formula>"value일 미도래"</formula>
    </cfRule>
  </conditionalFormatting>
  <conditionalFormatting sqref="M149:M150">
    <cfRule type="cellIs" dxfId="1331" priority="9891" operator="equal">
      <formula>"value일 미도래"</formula>
    </cfRule>
  </conditionalFormatting>
  <conditionalFormatting sqref="M149:M150">
    <cfRule type="cellIs" dxfId="1330" priority="9890" operator="equal">
      <formula>"value일 미도래"</formula>
    </cfRule>
  </conditionalFormatting>
  <conditionalFormatting sqref="M149:M150">
    <cfRule type="cellIs" dxfId="1329" priority="9889" operator="equal">
      <formula>"value일 미도래"</formula>
    </cfRule>
  </conditionalFormatting>
  <conditionalFormatting sqref="M149:M150">
    <cfRule type="cellIs" dxfId="1328" priority="9888" operator="equal">
      <formula>"value일 미도래"</formula>
    </cfRule>
  </conditionalFormatting>
  <conditionalFormatting sqref="M149:M150">
    <cfRule type="cellIs" dxfId="1327" priority="9887" operator="equal">
      <formula>"value일 미도래"</formula>
    </cfRule>
  </conditionalFormatting>
  <conditionalFormatting sqref="M149:M150">
    <cfRule type="cellIs" dxfId="1326" priority="9886" operator="equal">
      <formula>"value일 미도래"</formula>
    </cfRule>
  </conditionalFormatting>
  <conditionalFormatting sqref="M149:M150">
    <cfRule type="cellIs" dxfId="1325" priority="9885" operator="equal">
      <formula>"value일 미도래"</formula>
    </cfRule>
  </conditionalFormatting>
  <conditionalFormatting sqref="M149:M150">
    <cfRule type="cellIs" dxfId="1324" priority="9884" operator="equal">
      <formula>"value일 미도래"</formula>
    </cfRule>
  </conditionalFormatting>
  <conditionalFormatting sqref="M149:M150">
    <cfRule type="cellIs" dxfId="1323" priority="9883" operator="equal">
      <formula>"value일 미도래"</formula>
    </cfRule>
  </conditionalFormatting>
  <conditionalFormatting sqref="M149:M150">
    <cfRule type="cellIs" dxfId="1322" priority="9882" operator="equal">
      <formula>"value일 미도래"</formula>
    </cfRule>
  </conditionalFormatting>
  <conditionalFormatting sqref="M149:M150">
    <cfRule type="cellIs" dxfId="1321" priority="9881" operator="equal">
      <formula>"value일 미도래"</formula>
    </cfRule>
  </conditionalFormatting>
  <conditionalFormatting sqref="M149:M150">
    <cfRule type="cellIs" dxfId="1320" priority="9880" operator="equal">
      <formula>"value일 미도래"</formula>
    </cfRule>
  </conditionalFormatting>
  <conditionalFormatting sqref="M149:M150">
    <cfRule type="cellIs" dxfId="1319" priority="9879" operator="equal">
      <formula>"value일 미도래"</formula>
    </cfRule>
  </conditionalFormatting>
  <conditionalFormatting sqref="M149:M150">
    <cfRule type="cellIs" dxfId="1318" priority="9878" operator="equal">
      <formula>"value일 미도래"</formula>
    </cfRule>
  </conditionalFormatting>
  <conditionalFormatting sqref="M149:M150">
    <cfRule type="cellIs" dxfId="1317" priority="9877" operator="equal">
      <formula>"value일 미도래"</formula>
    </cfRule>
  </conditionalFormatting>
  <conditionalFormatting sqref="M149:M150">
    <cfRule type="cellIs" dxfId="1316" priority="9876" operator="equal">
      <formula>"value일 미도래"</formula>
    </cfRule>
  </conditionalFormatting>
  <conditionalFormatting sqref="M149:M150">
    <cfRule type="cellIs" dxfId="1315" priority="9875" operator="equal">
      <formula>"value일 미도래"</formula>
    </cfRule>
  </conditionalFormatting>
  <conditionalFormatting sqref="M149:M150">
    <cfRule type="cellIs" dxfId="1314" priority="9874" operator="equal">
      <formula>"value일 미도래"</formula>
    </cfRule>
  </conditionalFormatting>
  <conditionalFormatting sqref="M149:M150">
    <cfRule type="cellIs" dxfId="1313" priority="9873" operator="equal">
      <formula>"value일 미도래"</formula>
    </cfRule>
  </conditionalFormatting>
  <conditionalFormatting sqref="M149:M150">
    <cfRule type="cellIs" dxfId="1312" priority="9872" operator="equal">
      <formula>"value일 미도래"</formula>
    </cfRule>
  </conditionalFormatting>
  <conditionalFormatting sqref="M149:M150">
    <cfRule type="cellIs" dxfId="1311" priority="9871" operator="equal">
      <formula>"value일 미도래"</formula>
    </cfRule>
  </conditionalFormatting>
  <conditionalFormatting sqref="M149:M150">
    <cfRule type="cellIs" dxfId="1310" priority="9870" operator="equal">
      <formula>"value일 미도래"</formula>
    </cfRule>
  </conditionalFormatting>
  <conditionalFormatting sqref="M149:M150">
    <cfRule type="cellIs" dxfId="1309" priority="9869" operator="equal">
      <formula>"value일 미도래"</formula>
    </cfRule>
  </conditionalFormatting>
  <conditionalFormatting sqref="M149:M150">
    <cfRule type="cellIs" dxfId="1308" priority="9868" operator="equal">
      <formula>"value일 미도래"</formula>
    </cfRule>
  </conditionalFormatting>
  <conditionalFormatting sqref="M148">
    <cfRule type="cellIs" dxfId="1307" priority="9867" operator="equal">
      <formula>"value일 미도래"</formula>
    </cfRule>
  </conditionalFormatting>
  <conditionalFormatting sqref="M148">
    <cfRule type="cellIs" dxfId="1306" priority="9866" operator="equal">
      <formula>"value일 미도래"</formula>
    </cfRule>
  </conditionalFormatting>
  <conditionalFormatting sqref="M148">
    <cfRule type="cellIs" dxfId="1305" priority="9865" operator="equal">
      <formula>"value일 미도래"</formula>
    </cfRule>
  </conditionalFormatting>
  <conditionalFormatting sqref="M148">
    <cfRule type="cellIs" dxfId="1304" priority="9864" operator="equal">
      <formula>"value일 미도래"</formula>
    </cfRule>
  </conditionalFormatting>
  <conditionalFormatting sqref="M148">
    <cfRule type="cellIs" dxfId="1303" priority="9863" operator="equal">
      <formula>"value일 미도래"</formula>
    </cfRule>
  </conditionalFormatting>
  <conditionalFormatting sqref="M148">
    <cfRule type="cellIs" dxfId="1302" priority="9862" operator="equal">
      <formula>"value일 미도래"</formula>
    </cfRule>
  </conditionalFormatting>
  <conditionalFormatting sqref="M148">
    <cfRule type="cellIs" dxfId="1301" priority="9860" operator="equal">
      <formula>"value일 미도래"</formula>
    </cfRule>
  </conditionalFormatting>
  <conditionalFormatting sqref="M148">
    <cfRule type="cellIs" dxfId="1300" priority="9859" operator="equal">
      <formula>"value일 미도래"</formula>
    </cfRule>
  </conditionalFormatting>
  <conditionalFormatting sqref="M148">
    <cfRule type="cellIs" dxfId="1299" priority="9858" operator="equal">
      <formula>"value일 미도래"</formula>
    </cfRule>
  </conditionalFormatting>
  <conditionalFormatting sqref="M148">
    <cfRule type="cellIs" dxfId="1298" priority="9857" operator="equal">
      <formula>"value일 미도래"</formula>
    </cfRule>
  </conditionalFormatting>
  <conditionalFormatting sqref="M148">
    <cfRule type="cellIs" dxfId="1297" priority="9856" operator="equal">
      <formula>"value일 미도래"</formula>
    </cfRule>
  </conditionalFormatting>
  <conditionalFormatting sqref="M148">
    <cfRule type="cellIs" dxfId="1296" priority="9855" operator="equal">
      <formula>"value일 미도래"</formula>
    </cfRule>
  </conditionalFormatting>
  <conditionalFormatting sqref="M148">
    <cfRule type="cellIs" dxfId="1295" priority="9854" operator="equal">
      <formula>"value일 미도래"</formula>
    </cfRule>
  </conditionalFormatting>
  <conditionalFormatting sqref="M148">
    <cfRule type="cellIs" dxfId="1294" priority="9853" operator="equal">
      <formula>"value일 미도래"</formula>
    </cfRule>
  </conditionalFormatting>
  <conditionalFormatting sqref="M148">
    <cfRule type="cellIs" dxfId="1293" priority="9851" operator="equal">
      <formula>"value일 미도래"</formula>
    </cfRule>
  </conditionalFormatting>
  <conditionalFormatting sqref="M148">
    <cfRule type="cellIs" dxfId="1292" priority="9850" operator="equal">
      <formula>"value일 미도래"</formula>
    </cfRule>
  </conditionalFormatting>
  <conditionalFormatting sqref="M148">
    <cfRule type="cellIs" dxfId="1291" priority="9849" operator="equal">
      <formula>"value일 미도래"</formula>
    </cfRule>
  </conditionalFormatting>
  <conditionalFormatting sqref="M148">
    <cfRule type="cellIs" dxfId="1290" priority="9848" operator="equal">
      <formula>"value일 미도래"</formula>
    </cfRule>
  </conditionalFormatting>
  <conditionalFormatting sqref="M148">
    <cfRule type="cellIs" dxfId="1289" priority="9847" operator="equal">
      <formula>"value일 미도래"</formula>
    </cfRule>
  </conditionalFormatting>
  <conditionalFormatting sqref="M148">
    <cfRule type="cellIs" dxfId="1288" priority="9846" operator="equal">
      <formula>"value일 미도래"</formula>
    </cfRule>
  </conditionalFormatting>
  <conditionalFormatting sqref="M148">
    <cfRule type="cellIs" dxfId="1287" priority="9845" operator="equal">
      <formula>"value일 미도래"</formula>
    </cfRule>
  </conditionalFormatting>
  <conditionalFormatting sqref="M148">
    <cfRule type="cellIs" dxfId="1286" priority="9844" operator="equal">
      <formula>"value일 미도래"</formula>
    </cfRule>
  </conditionalFormatting>
  <conditionalFormatting sqref="M148">
    <cfRule type="cellIs" dxfId="1285" priority="9843" operator="equal">
      <formula>"value일 미도래"</formula>
    </cfRule>
  </conditionalFormatting>
  <conditionalFormatting sqref="M148">
    <cfRule type="cellIs" dxfId="1284" priority="9842" operator="equal">
      <formula>"value일 미도래"</formula>
    </cfRule>
  </conditionalFormatting>
  <conditionalFormatting sqref="M148">
    <cfRule type="cellIs" dxfId="1283" priority="9841" operator="equal">
      <formula>"value일 미도래"</formula>
    </cfRule>
  </conditionalFormatting>
  <conditionalFormatting sqref="M148">
    <cfRule type="cellIs" dxfId="1282" priority="9839" operator="equal">
      <formula>"value일 미도래"</formula>
    </cfRule>
  </conditionalFormatting>
  <conditionalFormatting sqref="M148">
    <cfRule type="cellIs" dxfId="1281" priority="9838" operator="equal">
      <formula>"value일 미도래"</formula>
    </cfRule>
  </conditionalFormatting>
  <conditionalFormatting sqref="M148">
    <cfRule type="cellIs" dxfId="1280" priority="9837" operator="equal">
      <formula>"value일 미도래"</formula>
    </cfRule>
  </conditionalFormatting>
  <conditionalFormatting sqref="M148">
    <cfRule type="cellIs" dxfId="1279" priority="9836" operator="equal">
      <formula>"value일 미도래"</formula>
    </cfRule>
  </conditionalFormatting>
  <conditionalFormatting sqref="M148">
    <cfRule type="cellIs" dxfId="1278" priority="9835" operator="equal">
      <formula>"value일 미도래"</formula>
    </cfRule>
  </conditionalFormatting>
  <conditionalFormatting sqref="M148">
    <cfRule type="cellIs" dxfId="1277" priority="9834" operator="equal">
      <formula>"value일 미도래"</formula>
    </cfRule>
  </conditionalFormatting>
  <conditionalFormatting sqref="M148">
    <cfRule type="cellIs" dxfId="1276" priority="9833" operator="equal">
      <formula>"value일 미도래"</formula>
    </cfRule>
  </conditionalFormatting>
  <conditionalFormatting sqref="M148">
    <cfRule type="cellIs" dxfId="1275" priority="9832" operator="equal">
      <formula>"value일 미도래"</formula>
    </cfRule>
  </conditionalFormatting>
  <conditionalFormatting sqref="M148">
    <cfRule type="cellIs" dxfId="1274" priority="9831" operator="equal">
      <formula>"value일 미도래"</formula>
    </cfRule>
  </conditionalFormatting>
  <conditionalFormatting sqref="M148">
    <cfRule type="cellIs" dxfId="1273" priority="9830" operator="equal">
      <formula>"value일 미도래"</formula>
    </cfRule>
  </conditionalFormatting>
  <conditionalFormatting sqref="M148">
    <cfRule type="cellIs" dxfId="1272" priority="9829" operator="equal">
      <formula>"value일 미도래"</formula>
    </cfRule>
  </conditionalFormatting>
  <conditionalFormatting sqref="M148">
    <cfRule type="cellIs" dxfId="1271" priority="9827" operator="equal">
      <formula>"value일 미도래"</formula>
    </cfRule>
  </conditionalFormatting>
  <conditionalFormatting sqref="M148">
    <cfRule type="cellIs" dxfId="1270" priority="9826" operator="equal">
      <formula>"value일 미도래"</formula>
    </cfRule>
  </conditionalFormatting>
  <conditionalFormatting sqref="M148">
    <cfRule type="cellIs" dxfId="1269" priority="9825" operator="equal">
      <formula>"value일 미도래"</formula>
    </cfRule>
  </conditionalFormatting>
  <conditionalFormatting sqref="M148">
    <cfRule type="cellIs" dxfId="1268" priority="9824" operator="equal">
      <formula>"value일 미도래"</formula>
    </cfRule>
  </conditionalFormatting>
  <conditionalFormatting sqref="M148">
    <cfRule type="cellIs" dxfId="1267" priority="9823" operator="equal">
      <formula>"value일 미도래"</formula>
    </cfRule>
  </conditionalFormatting>
  <conditionalFormatting sqref="M148">
    <cfRule type="cellIs" dxfId="1266" priority="9822" operator="equal">
      <formula>"value일 미도래"</formula>
    </cfRule>
  </conditionalFormatting>
  <conditionalFormatting sqref="M148">
    <cfRule type="cellIs" dxfId="1265" priority="9821" operator="equal">
      <formula>"value일 미도래"</formula>
    </cfRule>
  </conditionalFormatting>
  <conditionalFormatting sqref="M148">
    <cfRule type="cellIs" dxfId="1264" priority="9820" operator="equal">
      <formula>"value일 미도래"</formula>
    </cfRule>
  </conditionalFormatting>
  <conditionalFormatting sqref="M148">
    <cfRule type="cellIs" dxfId="1263" priority="9819" operator="equal">
      <formula>"value일 미도래"</formula>
    </cfRule>
  </conditionalFormatting>
  <conditionalFormatting sqref="M148">
    <cfRule type="cellIs" dxfId="1262" priority="9818" operator="equal">
      <formula>"value일 미도래"</formula>
    </cfRule>
  </conditionalFormatting>
  <conditionalFormatting sqref="M148">
    <cfRule type="cellIs" dxfId="1261" priority="9817" operator="equal">
      <formula>"value일 미도래"</formula>
    </cfRule>
  </conditionalFormatting>
  <conditionalFormatting sqref="M148">
    <cfRule type="cellIs" dxfId="1260" priority="9816" operator="equal">
      <formula>"value일 미도래"</formula>
    </cfRule>
  </conditionalFormatting>
  <conditionalFormatting sqref="M148">
    <cfRule type="cellIs" dxfId="1259" priority="9815" operator="equal">
      <formula>"value일 미도래"</formula>
    </cfRule>
  </conditionalFormatting>
  <conditionalFormatting sqref="M148">
    <cfRule type="cellIs" dxfId="1258" priority="9814" operator="equal">
      <formula>"value일 미도래"</formula>
    </cfRule>
  </conditionalFormatting>
  <conditionalFormatting sqref="M148">
    <cfRule type="cellIs" dxfId="1257" priority="9812" operator="equal">
      <formula>"value일 미도래"</formula>
    </cfRule>
  </conditionalFormatting>
  <conditionalFormatting sqref="M148">
    <cfRule type="cellIs" dxfId="1256" priority="9811" operator="equal">
      <formula>"value일 미도래"</formula>
    </cfRule>
  </conditionalFormatting>
  <conditionalFormatting sqref="M148">
    <cfRule type="cellIs" dxfId="1255" priority="9810" operator="equal">
      <formula>"value일 미도래"</formula>
    </cfRule>
  </conditionalFormatting>
  <conditionalFormatting sqref="M148">
    <cfRule type="cellIs" dxfId="1254" priority="9809" operator="equal">
      <formula>"value일 미도래"</formula>
    </cfRule>
  </conditionalFormatting>
  <conditionalFormatting sqref="M148">
    <cfRule type="cellIs" dxfId="1253" priority="9808" operator="equal">
      <formula>"value일 미도래"</formula>
    </cfRule>
  </conditionalFormatting>
  <conditionalFormatting sqref="M148">
    <cfRule type="cellIs" dxfId="1252" priority="9807" operator="equal">
      <formula>"value일 미도래"</formula>
    </cfRule>
  </conditionalFormatting>
  <conditionalFormatting sqref="M148">
    <cfRule type="cellIs" dxfId="1251" priority="9806" operator="equal">
      <formula>"value일 미도래"</formula>
    </cfRule>
  </conditionalFormatting>
  <conditionalFormatting sqref="M148">
    <cfRule type="cellIs" dxfId="1250" priority="9805" operator="equal">
      <formula>"value일 미도래"</formula>
    </cfRule>
  </conditionalFormatting>
  <conditionalFormatting sqref="M148">
    <cfRule type="cellIs" dxfId="1249" priority="9804" operator="equal">
      <formula>"value일 미도래"</formula>
    </cfRule>
  </conditionalFormatting>
  <conditionalFormatting sqref="M148">
    <cfRule type="cellIs" dxfId="1248" priority="9803" operator="equal">
      <formula>"value일 미도래"</formula>
    </cfRule>
  </conditionalFormatting>
  <conditionalFormatting sqref="M148">
    <cfRule type="cellIs" dxfId="1247" priority="9802" operator="equal">
      <formula>"value일 미도래"</formula>
    </cfRule>
  </conditionalFormatting>
  <conditionalFormatting sqref="M148">
    <cfRule type="cellIs" dxfId="1246" priority="9801" operator="equal">
      <formula>"value일 미도래"</formula>
    </cfRule>
  </conditionalFormatting>
  <conditionalFormatting sqref="M148">
    <cfRule type="cellIs" dxfId="1245" priority="9800" operator="equal">
      <formula>"value일 미도래"</formula>
    </cfRule>
  </conditionalFormatting>
  <conditionalFormatting sqref="M148">
    <cfRule type="cellIs" dxfId="1244" priority="9799" operator="equal">
      <formula>"value일 미도래"</formula>
    </cfRule>
  </conditionalFormatting>
  <conditionalFormatting sqref="M148">
    <cfRule type="cellIs" dxfId="1243" priority="9798" operator="equal">
      <formula>"value일 미도래"</formula>
    </cfRule>
  </conditionalFormatting>
  <conditionalFormatting sqref="M148">
    <cfRule type="cellIs" dxfId="1242" priority="9797" operator="equal">
      <formula>"value일 미도래"</formula>
    </cfRule>
  </conditionalFormatting>
  <conditionalFormatting sqref="M148">
    <cfRule type="cellIs" dxfId="1241" priority="9796" operator="equal">
      <formula>"value일 미도래"</formula>
    </cfRule>
  </conditionalFormatting>
  <conditionalFormatting sqref="M148">
    <cfRule type="cellIs" dxfId="1240" priority="9795" operator="equal">
      <formula>"value일 미도래"</formula>
    </cfRule>
  </conditionalFormatting>
  <conditionalFormatting sqref="M148">
    <cfRule type="cellIs" dxfId="1239" priority="9794" operator="equal">
      <formula>"value일 미도래"</formula>
    </cfRule>
  </conditionalFormatting>
  <conditionalFormatting sqref="M148">
    <cfRule type="cellIs" dxfId="1238" priority="9793" operator="equal">
      <formula>"value일 미도래"</formula>
    </cfRule>
  </conditionalFormatting>
  <conditionalFormatting sqref="M148">
    <cfRule type="cellIs" dxfId="1237" priority="9791" operator="equal">
      <formula>"value일 미도래"</formula>
    </cfRule>
  </conditionalFormatting>
  <conditionalFormatting sqref="M148">
    <cfRule type="cellIs" dxfId="1236" priority="9790" operator="equal">
      <formula>"value일 미도래"</formula>
    </cfRule>
  </conditionalFormatting>
  <conditionalFormatting sqref="M148">
    <cfRule type="cellIs" dxfId="1235" priority="9789" operator="equal">
      <formula>"value일 미도래"</formula>
    </cfRule>
  </conditionalFormatting>
  <conditionalFormatting sqref="M148">
    <cfRule type="cellIs" dxfId="1234" priority="9788" operator="equal">
      <formula>"value일 미도래"</formula>
    </cfRule>
  </conditionalFormatting>
  <conditionalFormatting sqref="M148">
    <cfRule type="cellIs" dxfId="1233" priority="9787" operator="equal">
      <formula>"value일 미도래"</formula>
    </cfRule>
  </conditionalFormatting>
  <conditionalFormatting sqref="M148">
    <cfRule type="cellIs" dxfId="1232" priority="9786" operator="equal">
      <formula>"value일 미도래"</formula>
    </cfRule>
  </conditionalFormatting>
  <conditionalFormatting sqref="M148">
    <cfRule type="cellIs" dxfId="1231" priority="9785" operator="equal">
      <formula>"value일 미도래"</formula>
    </cfRule>
  </conditionalFormatting>
  <conditionalFormatting sqref="M148">
    <cfRule type="cellIs" dxfId="1230" priority="9784" operator="equal">
      <formula>"value일 미도래"</formula>
    </cfRule>
  </conditionalFormatting>
  <conditionalFormatting sqref="M148">
    <cfRule type="cellIs" dxfId="1229" priority="9783" operator="equal">
      <formula>"value일 미도래"</formula>
    </cfRule>
  </conditionalFormatting>
  <conditionalFormatting sqref="M148">
    <cfRule type="cellIs" dxfId="1228" priority="9782" operator="equal">
      <formula>"value일 미도래"</formula>
    </cfRule>
  </conditionalFormatting>
  <conditionalFormatting sqref="M148">
    <cfRule type="cellIs" dxfId="1227" priority="9781" operator="equal">
      <formula>"value일 미도래"</formula>
    </cfRule>
  </conditionalFormatting>
  <conditionalFormatting sqref="M148">
    <cfRule type="cellIs" dxfId="1226" priority="9780" operator="equal">
      <formula>"value일 미도래"</formula>
    </cfRule>
  </conditionalFormatting>
  <conditionalFormatting sqref="M148:M149">
    <cfRule type="cellIs" dxfId="1225" priority="9779" operator="equal">
      <formula>"value일 미도래"</formula>
    </cfRule>
  </conditionalFormatting>
  <conditionalFormatting sqref="M148:M149">
    <cfRule type="cellIs" dxfId="1224" priority="9778" operator="equal">
      <formula>"value일 미도래"</formula>
    </cfRule>
  </conditionalFormatting>
  <conditionalFormatting sqref="M148:M149">
    <cfRule type="cellIs" dxfId="1223" priority="9777" operator="equal">
      <formula>"value일 미도래"</formula>
    </cfRule>
  </conditionalFormatting>
  <conditionalFormatting sqref="M148:M149">
    <cfRule type="cellIs" dxfId="1222" priority="9776" operator="equal">
      <formula>"value일 미도래"</formula>
    </cfRule>
  </conditionalFormatting>
  <conditionalFormatting sqref="M148:M149">
    <cfRule type="cellIs" dxfId="1221" priority="9775" operator="equal">
      <formula>"value일 미도래"</formula>
    </cfRule>
  </conditionalFormatting>
  <conditionalFormatting sqref="M148:M149">
    <cfRule type="cellIs" dxfId="1220" priority="9774" operator="equal">
      <formula>"value일 미도래"</formula>
    </cfRule>
  </conditionalFormatting>
  <conditionalFormatting sqref="M148:M149">
    <cfRule type="cellIs" dxfId="1219" priority="9773" operator="equal">
      <formula>"value일 미도래"</formula>
    </cfRule>
  </conditionalFormatting>
  <conditionalFormatting sqref="M148">
    <cfRule type="cellIs" dxfId="1218" priority="9772" operator="equal">
      <formula>"value일 미도래"</formula>
    </cfRule>
  </conditionalFormatting>
  <conditionalFormatting sqref="M148">
    <cfRule type="cellIs" dxfId="1217" priority="9771" operator="equal">
      <formula>"value일 미도래"</formula>
    </cfRule>
  </conditionalFormatting>
  <conditionalFormatting sqref="M148">
    <cfRule type="cellIs" dxfId="1216" priority="9770" operator="equal">
      <formula>"value일 미도래"</formula>
    </cfRule>
  </conditionalFormatting>
  <conditionalFormatting sqref="M148">
    <cfRule type="cellIs" dxfId="1215" priority="9769" operator="equal">
      <formula>"value일 미도래"</formula>
    </cfRule>
  </conditionalFormatting>
  <conditionalFormatting sqref="M148">
    <cfRule type="cellIs" dxfId="1214" priority="9768" operator="equal">
      <formula>"value일 미도래"</formula>
    </cfRule>
  </conditionalFormatting>
  <conditionalFormatting sqref="M148">
    <cfRule type="cellIs" dxfId="1213" priority="9767" operator="equal">
      <formula>"value일 미도래"</formula>
    </cfRule>
  </conditionalFormatting>
  <conditionalFormatting sqref="M148">
    <cfRule type="cellIs" dxfId="1212" priority="9765" operator="equal">
      <formula>"value일 미도래"</formula>
    </cfRule>
  </conditionalFormatting>
  <conditionalFormatting sqref="M148">
    <cfRule type="cellIs" dxfId="1211" priority="9764" operator="equal">
      <formula>"value일 미도래"</formula>
    </cfRule>
  </conditionalFormatting>
  <conditionalFormatting sqref="M148">
    <cfRule type="cellIs" dxfId="1210" priority="9763" operator="equal">
      <formula>"value일 미도래"</formula>
    </cfRule>
  </conditionalFormatting>
  <conditionalFormatting sqref="M148">
    <cfRule type="cellIs" dxfId="1209" priority="9762" operator="equal">
      <formula>"value일 미도래"</formula>
    </cfRule>
  </conditionalFormatting>
  <conditionalFormatting sqref="M148">
    <cfRule type="cellIs" dxfId="1208" priority="9761" operator="equal">
      <formula>"value일 미도래"</formula>
    </cfRule>
  </conditionalFormatting>
  <conditionalFormatting sqref="M148">
    <cfRule type="cellIs" dxfId="1207" priority="9760" operator="equal">
      <formula>"value일 미도래"</formula>
    </cfRule>
  </conditionalFormatting>
  <conditionalFormatting sqref="M148">
    <cfRule type="cellIs" dxfId="1206" priority="9759" operator="equal">
      <formula>"value일 미도래"</formula>
    </cfRule>
  </conditionalFormatting>
  <conditionalFormatting sqref="M148">
    <cfRule type="cellIs" dxfId="1205" priority="9758" operator="equal">
      <formula>"value일 미도래"</formula>
    </cfRule>
  </conditionalFormatting>
  <conditionalFormatting sqref="M148">
    <cfRule type="cellIs" dxfId="1204" priority="9756" operator="equal">
      <formula>"value일 미도래"</formula>
    </cfRule>
  </conditionalFormatting>
  <conditionalFormatting sqref="M148">
    <cfRule type="cellIs" dxfId="1203" priority="9755" operator="equal">
      <formula>"value일 미도래"</formula>
    </cfRule>
  </conditionalFormatting>
  <conditionalFormatting sqref="M148">
    <cfRule type="cellIs" dxfId="1202" priority="9754" operator="equal">
      <formula>"value일 미도래"</formula>
    </cfRule>
  </conditionalFormatting>
  <conditionalFormatting sqref="M148">
    <cfRule type="cellIs" dxfId="1201" priority="9753" operator="equal">
      <formula>"value일 미도래"</formula>
    </cfRule>
  </conditionalFormatting>
  <conditionalFormatting sqref="M148">
    <cfRule type="cellIs" dxfId="1200" priority="9752" operator="equal">
      <formula>"value일 미도래"</formula>
    </cfRule>
  </conditionalFormatting>
  <conditionalFormatting sqref="M148">
    <cfRule type="cellIs" dxfId="1199" priority="9751" operator="equal">
      <formula>"value일 미도래"</formula>
    </cfRule>
  </conditionalFormatting>
  <conditionalFormatting sqref="M148">
    <cfRule type="cellIs" dxfId="1198" priority="9750" operator="equal">
      <formula>"value일 미도래"</formula>
    </cfRule>
  </conditionalFormatting>
  <conditionalFormatting sqref="M148">
    <cfRule type="cellIs" dxfId="1197" priority="9749" operator="equal">
      <formula>"value일 미도래"</formula>
    </cfRule>
  </conditionalFormatting>
  <conditionalFormatting sqref="M148">
    <cfRule type="cellIs" dxfId="1196" priority="9748" operator="equal">
      <formula>"value일 미도래"</formula>
    </cfRule>
  </conditionalFormatting>
  <conditionalFormatting sqref="M148">
    <cfRule type="cellIs" dxfId="1195" priority="9747" operator="equal">
      <formula>"value일 미도래"</formula>
    </cfRule>
  </conditionalFormatting>
  <conditionalFormatting sqref="M148">
    <cfRule type="cellIs" dxfId="1194" priority="9746" operator="equal">
      <formula>"value일 미도래"</formula>
    </cfRule>
  </conditionalFormatting>
  <conditionalFormatting sqref="M148">
    <cfRule type="cellIs" dxfId="1193" priority="9744" operator="equal">
      <formula>"value일 미도래"</formula>
    </cfRule>
  </conditionalFormatting>
  <conditionalFormatting sqref="M148">
    <cfRule type="cellIs" dxfId="1192" priority="9743" operator="equal">
      <formula>"value일 미도래"</formula>
    </cfRule>
  </conditionalFormatting>
  <conditionalFormatting sqref="M148">
    <cfRule type="cellIs" dxfId="1191" priority="9742" operator="equal">
      <formula>"value일 미도래"</formula>
    </cfRule>
  </conditionalFormatting>
  <conditionalFormatting sqref="M148">
    <cfRule type="cellIs" dxfId="1190" priority="9741" operator="equal">
      <formula>"value일 미도래"</formula>
    </cfRule>
  </conditionalFormatting>
  <conditionalFormatting sqref="M148">
    <cfRule type="cellIs" dxfId="1189" priority="9740" operator="equal">
      <formula>"value일 미도래"</formula>
    </cfRule>
  </conditionalFormatting>
  <conditionalFormatting sqref="M148">
    <cfRule type="cellIs" dxfId="1188" priority="9739" operator="equal">
      <formula>"value일 미도래"</formula>
    </cfRule>
  </conditionalFormatting>
  <conditionalFormatting sqref="M148">
    <cfRule type="cellIs" dxfId="1187" priority="9738" operator="equal">
      <formula>"value일 미도래"</formula>
    </cfRule>
  </conditionalFormatting>
  <conditionalFormatting sqref="M148">
    <cfRule type="cellIs" dxfId="1186" priority="9737" operator="equal">
      <formula>"value일 미도래"</formula>
    </cfRule>
  </conditionalFormatting>
  <conditionalFormatting sqref="M148">
    <cfRule type="cellIs" dxfId="1185" priority="9736" operator="equal">
      <formula>"value일 미도래"</formula>
    </cfRule>
  </conditionalFormatting>
  <conditionalFormatting sqref="M148">
    <cfRule type="cellIs" dxfId="1184" priority="9735" operator="equal">
      <formula>"value일 미도래"</formula>
    </cfRule>
  </conditionalFormatting>
  <conditionalFormatting sqref="M148">
    <cfRule type="cellIs" dxfId="1183" priority="9734" operator="equal">
      <formula>"value일 미도래"</formula>
    </cfRule>
  </conditionalFormatting>
  <conditionalFormatting sqref="M148">
    <cfRule type="cellIs" dxfId="1182" priority="9732" operator="equal">
      <formula>"value일 미도래"</formula>
    </cfRule>
  </conditionalFormatting>
  <conditionalFormatting sqref="M148">
    <cfRule type="cellIs" dxfId="1181" priority="9731" operator="equal">
      <formula>"value일 미도래"</formula>
    </cfRule>
  </conditionalFormatting>
  <conditionalFormatting sqref="M148">
    <cfRule type="cellIs" dxfId="1180" priority="9730" operator="equal">
      <formula>"value일 미도래"</formula>
    </cfRule>
  </conditionalFormatting>
  <conditionalFormatting sqref="M148">
    <cfRule type="cellIs" dxfId="1179" priority="9729" operator="equal">
      <formula>"value일 미도래"</formula>
    </cfRule>
  </conditionalFormatting>
  <conditionalFormatting sqref="M148">
    <cfRule type="cellIs" dxfId="1178" priority="9728" operator="equal">
      <formula>"value일 미도래"</formula>
    </cfRule>
  </conditionalFormatting>
  <conditionalFormatting sqref="M148">
    <cfRule type="cellIs" dxfId="1177" priority="9727" operator="equal">
      <formula>"value일 미도래"</formula>
    </cfRule>
  </conditionalFormatting>
  <conditionalFormatting sqref="M148">
    <cfRule type="cellIs" dxfId="1176" priority="9726" operator="equal">
      <formula>"value일 미도래"</formula>
    </cfRule>
  </conditionalFormatting>
  <conditionalFormatting sqref="M148">
    <cfRule type="cellIs" dxfId="1175" priority="9725" operator="equal">
      <formula>"value일 미도래"</formula>
    </cfRule>
  </conditionalFormatting>
  <conditionalFormatting sqref="M148">
    <cfRule type="cellIs" dxfId="1174" priority="9724" operator="equal">
      <formula>"value일 미도래"</formula>
    </cfRule>
  </conditionalFormatting>
  <conditionalFormatting sqref="M148">
    <cfRule type="cellIs" dxfId="1173" priority="9723" operator="equal">
      <formula>"value일 미도래"</formula>
    </cfRule>
  </conditionalFormatting>
  <conditionalFormatting sqref="M148">
    <cfRule type="cellIs" dxfId="1172" priority="9722" operator="equal">
      <formula>"value일 미도래"</formula>
    </cfRule>
  </conditionalFormatting>
  <conditionalFormatting sqref="M148">
    <cfRule type="cellIs" dxfId="1171" priority="9721" operator="equal">
      <formula>"value일 미도래"</formula>
    </cfRule>
  </conditionalFormatting>
  <conditionalFormatting sqref="M148">
    <cfRule type="cellIs" dxfId="1170" priority="9720" operator="equal">
      <formula>"value일 미도래"</formula>
    </cfRule>
  </conditionalFormatting>
  <conditionalFormatting sqref="M148">
    <cfRule type="cellIs" dxfId="1169" priority="9719" operator="equal">
      <formula>"value일 미도래"</formula>
    </cfRule>
  </conditionalFormatting>
  <conditionalFormatting sqref="M148">
    <cfRule type="cellIs" dxfId="1168" priority="9717" operator="equal">
      <formula>"value일 미도래"</formula>
    </cfRule>
  </conditionalFormatting>
  <conditionalFormatting sqref="M148">
    <cfRule type="cellIs" dxfId="1167" priority="9716" operator="equal">
      <formula>"value일 미도래"</formula>
    </cfRule>
  </conditionalFormatting>
  <conditionalFormatting sqref="M148">
    <cfRule type="cellIs" dxfId="1166" priority="9715" operator="equal">
      <formula>"value일 미도래"</formula>
    </cfRule>
  </conditionalFormatting>
  <conditionalFormatting sqref="M148">
    <cfRule type="cellIs" dxfId="1165" priority="9714" operator="equal">
      <formula>"value일 미도래"</formula>
    </cfRule>
  </conditionalFormatting>
  <conditionalFormatting sqref="M148">
    <cfRule type="cellIs" dxfId="1164" priority="9713" operator="equal">
      <formula>"value일 미도래"</formula>
    </cfRule>
  </conditionalFormatting>
  <conditionalFormatting sqref="M148">
    <cfRule type="cellIs" dxfId="1163" priority="9712" operator="equal">
      <formula>"value일 미도래"</formula>
    </cfRule>
  </conditionalFormatting>
  <conditionalFormatting sqref="M148">
    <cfRule type="cellIs" dxfId="1162" priority="9711" operator="equal">
      <formula>"value일 미도래"</formula>
    </cfRule>
  </conditionalFormatting>
  <conditionalFormatting sqref="M148">
    <cfRule type="cellIs" dxfId="1161" priority="9710" operator="equal">
      <formula>"value일 미도래"</formula>
    </cfRule>
  </conditionalFormatting>
  <conditionalFormatting sqref="M148">
    <cfRule type="cellIs" dxfId="1160" priority="9709" operator="equal">
      <formula>"value일 미도래"</formula>
    </cfRule>
  </conditionalFormatting>
  <conditionalFormatting sqref="M148">
    <cfRule type="cellIs" dxfId="1159" priority="9708" operator="equal">
      <formula>"value일 미도래"</formula>
    </cfRule>
  </conditionalFormatting>
  <conditionalFormatting sqref="M148">
    <cfRule type="cellIs" dxfId="1158" priority="9707" operator="equal">
      <formula>"value일 미도래"</formula>
    </cfRule>
  </conditionalFormatting>
  <conditionalFormatting sqref="M148">
    <cfRule type="cellIs" dxfId="1157" priority="9706" operator="equal">
      <formula>"value일 미도래"</formula>
    </cfRule>
  </conditionalFormatting>
  <conditionalFormatting sqref="M148">
    <cfRule type="cellIs" dxfId="1156" priority="9705" operator="equal">
      <formula>"value일 미도래"</formula>
    </cfRule>
  </conditionalFormatting>
  <conditionalFormatting sqref="M148">
    <cfRule type="cellIs" dxfId="1155" priority="9704" operator="equal">
      <formula>"value일 미도래"</formula>
    </cfRule>
  </conditionalFormatting>
  <conditionalFormatting sqref="M148">
    <cfRule type="cellIs" dxfId="1154" priority="9703" operator="equal">
      <formula>"value일 미도래"</formula>
    </cfRule>
  </conditionalFormatting>
  <conditionalFormatting sqref="M148">
    <cfRule type="cellIs" dxfId="1153" priority="9702" operator="equal">
      <formula>"value일 미도래"</formula>
    </cfRule>
  </conditionalFormatting>
  <conditionalFormatting sqref="M148">
    <cfRule type="cellIs" dxfId="1152" priority="9701" operator="equal">
      <formula>"value일 미도래"</formula>
    </cfRule>
  </conditionalFormatting>
  <conditionalFormatting sqref="M148">
    <cfRule type="cellIs" dxfId="1151" priority="9700" operator="equal">
      <formula>"value일 미도래"</formula>
    </cfRule>
  </conditionalFormatting>
  <conditionalFormatting sqref="M148">
    <cfRule type="cellIs" dxfId="1150" priority="9699" operator="equal">
      <formula>"value일 미도래"</formula>
    </cfRule>
  </conditionalFormatting>
  <conditionalFormatting sqref="M148">
    <cfRule type="cellIs" dxfId="1149" priority="9698" operator="equal">
      <formula>"value일 미도래"</formula>
    </cfRule>
  </conditionalFormatting>
  <conditionalFormatting sqref="M148">
    <cfRule type="cellIs" dxfId="1148" priority="9696" operator="equal">
      <formula>"value일 미도래"</formula>
    </cfRule>
  </conditionalFormatting>
  <conditionalFormatting sqref="M148">
    <cfRule type="cellIs" dxfId="1147" priority="9695" operator="equal">
      <formula>"value일 미도래"</formula>
    </cfRule>
  </conditionalFormatting>
  <conditionalFormatting sqref="M148">
    <cfRule type="cellIs" dxfId="1146" priority="9694" operator="equal">
      <formula>"value일 미도래"</formula>
    </cfRule>
  </conditionalFormatting>
  <conditionalFormatting sqref="M148">
    <cfRule type="cellIs" dxfId="1145" priority="9693" operator="equal">
      <formula>"value일 미도래"</formula>
    </cfRule>
  </conditionalFormatting>
  <conditionalFormatting sqref="M148">
    <cfRule type="cellIs" dxfId="1144" priority="9692" operator="equal">
      <formula>"value일 미도래"</formula>
    </cfRule>
  </conditionalFormatting>
  <conditionalFormatting sqref="M148">
    <cfRule type="cellIs" dxfId="1143" priority="9691" operator="equal">
      <formula>"value일 미도래"</formula>
    </cfRule>
  </conditionalFormatting>
  <conditionalFormatting sqref="M148">
    <cfRule type="cellIs" dxfId="1142" priority="9690" operator="equal">
      <formula>"value일 미도래"</formula>
    </cfRule>
  </conditionalFormatting>
  <conditionalFormatting sqref="M148">
    <cfRule type="cellIs" dxfId="1141" priority="9689" operator="equal">
      <formula>"value일 미도래"</formula>
    </cfRule>
  </conditionalFormatting>
  <conditionalFormatting sqref="M148">
    <cfRule type="cellIs" dxfId="1140" priority="9688" operator="equal">
      <formula>"value일 미도래"</formula>
    </cfRule>
  </conditionalFormatting>
  <conditionalFormatting sqref="M148">
    <cfRule type="cellIs" dxfId="1139" priority="9687" operator="equal">
      <formula>"value일 미도래"</formula>
    </cfRule>
  </conditionalFormatting>
  <conditionalFormatting sqref="M148">
    <cfRule type="cellIs" dxfId="1138" priority="9686" operator="equal">
      <formula>"value일 미도래"</formula>
    </cfRule>
  </conditionalFormatting>
  <conditionalFormatting sqref="M148">
    <cfRule type="cellIs" dxfId="1137" priority="9685" operator="equal">
      <formula>"value일 미도래"</formula>
    </cfRule>
  </conditionalFormatting>
  <conditionalFormatting sqref="M148">
    <cfRule type="cellIs" dxfId="1136" priority="9666" operator="equal">
      <formula>"value일 미도래"</formula>
    </cfRule>
  </conditionalFormatting>
  <conditionalFormatting sqref="M148">
    <cfRule type="cellIs" dxfId="1135" priority="9665" operator="equal">
      <formula>"value일 미도래"</formula>
    </cfRule>
  </conditionalFormatting>
  <conditionalFormatting sqref="M148">
    <cfRule type="cellIs" dxfId="1134" priority="9664" operator="equal">
      <formula>"value일 미도래"</formula>
    </cfRule>
  </conditionalFormatting>
  <conditionalFormatting sqref="M148">
    <cfRule type="cellIs" dxfId="1133" priority="9663" operator="equal">
      <formula>"value일 미도래"</formula>
    </cfRule>
  </conditionalFormatting>
  <conditionalFormatting sqref="M148">
    <cfRule type="cellIs" dxfId="1132" priority="9662" operator="equal">
      <formula>"value일 미도래"</formula>
    </cfRule>
  </conditionalFormatting>
  <conditionalFormatting sqref="M148">
    <cfRule type="cellIs" dxfId="1131" priority="9661" operator="equal">
      <formula>"value일 미도래"</formula>
    </cfRule>
  </conditionalFormatting>
  <conditionalFormatting sqref="M148">
    <cfRule type="cellIs" dxfId="1130" priority="9660" operator="equal">
      <formula>"value일 미도래"</formula>
    </cfRule>
  </conditionalFormatting>
  <conditionalFormatting sqref="M148">
    <cfRule type="cellIs" dxfId="1129" priority="9659" operator="equal">
      <formula>"value일 미도래"</formula>
    </cfRule>
  </conditionalFormatting>
  <conditionalFormatting sqref="M148">
    <cfRule type="cellIs" dxfId="1128" priority="9658" operator="equal">
      <formula>"value일 미도래"</formula>
    </cfRule>
  </conditionalFormatting>
  <conditionalFormatting sqref="M148">
    <cfRule type="cellIs" dxfId="1127" priority="9657" operator="equal">
      <formula>"value일 미도래"</formula>
    </cfRule>
  </conditionalFormatting>
  <conditionalFormatting sqref="M148">
    <cfRule type="cellIs" dxfId="1126" priority="9656" operator="equal">
      <formula>"value일 미도래"</formula>
    </cfRule>
  </conditionalFormatting>
  <conditionalFormatting sqref="M148">
    <cfRule type="cellIs" dxfId="1125" priority="9654" operator="equal">
      <formula>"value일 미도래"</formula>
    </cfRule>
  </conditionalFormatting>
  <conditionalFormatting sqref="M148">
    <cfRule type="cellIs" dxfId="1124" priority="9653" operator="equal">
      <formula>"value일 미도래"</formula>
    </cfRule>
  </conditionalFormatting>
  <conditionalFormatting sqref="M148">
    <cfRule type="cellIs" dxfId="1123" priority="9652" operator="equal">
      <formula>"value일 미도래"</formula>
    </cfRule>
  </conditionalFormatting>
  <conditionalFormatting sqref="M148">
    <cfRule type="cellIs" dxfId="1122" priority="9651" operator="equal">
      <formula>"value일 미도래"</formula>
    </cfRule>
  </conditionalFormatting>
  <conditionalFormatting sqref="M148">
    <cfRule type="cellIs" dxfId="1121" priority="9650" operator="equal">
      <formula>"value일 미도래"</formula>
    </cfRule>
  </conditionalFormatting>
  <conditionalFormatting sqref="M148">
    <cfRule type="cellIs" dxfId="1120" priority="9649" operator="equal">
      <formula>"value일 미도래"</formula>
    </cfRule>
  </conditionalFormatting>
  <conditionalFormatting sqref="M148">
    <cfRule type="cellIs" dxfId="1119" priority="9648" operator="equal">
      <formula>"value일 미도래"</formula>
    </cfRule>
  </conditionalFormatting>
  <conditionalFormatting sqref="M148">
    <cfRule type="cellIs" dxfId="1118" priority="9647" operator="equal">
      <formula>"value일 미도래"</formula>
    </cfRule>
  </conditionalFormatting>
  <conditionalFormatting sqref="M148">
    <cfRule type="cellIs" dxfId="1117" priority="9646" operator="equal">
      <formula>"value일 미도래"</formula>
    </cfRule>
  </conditionalFormatting>
  <conditionalFormatting sqref="M148">
    <cfRule type="cellIs" dxfId="1116" priority="9645" operator="equal">
      <formula>"value일 미도래"</formula>
    </cfRule>
  </conditionalFormatting>
  <conditionalFormatting sqref="M148">
    <cfRule type="cellIs" dxfId="1115" priority="9644" operator="equal">
      <formula>"value일 미도래"</formula>
    </cfRule>
  </conditionalFormatting>
  <conditionalFormatting sqref="M148">
    <cfRule type="cellIs" dxfId="1114" priority="9643" operator="equal">
      <formula>"value일 미도래"</formula>
    </cfRule>
  </conditionalFormatting>
  <conditionalFormatting sqref="M148">
    <cfRule type="cellIs" dxfId="1113" priority="9642" operator="equal">
      <formula>"value일 미도래"</formula>
    </cfRule>
  </conditionalFormatting>
  <conditionalFormatting sqref="M148">
    <cfRule type="cellIs" dxfId="1112" priority="9641" operator="equal">
      <formula>"value일 미도래"</formula>
    </cfRule>
  </conditionalFormatting>
  <conditionalFormatting sqref="M148">
    <cfRule type="cellIs" dxfId="1111" priority="9640" operator="equal">
      <formula>"value일 미도래"</formula>
    </cfRule>
  </conditionalFormatting>
  <conditionalFormatting sqref="M148">
    <cfRule type="cellIs" dxfId="1110" priority="9639" operator="equal">
      <formula>"value일 미도래"</formula>
    </cfRule>
  </conditionalFormatting>
  <conditionalFormatting sqref="M148">
    <cfRule type="cellIs" dxfId="1109" priority="9638" operator="equal">
      <formula>"value일 미도래"</formula>
    </cfRule>
  </conditionalFormatting>
  <conditionalFormatting sqref="M148">
    <cfRule type="cellIs" dxfId="1108" priority="9637" operator="equal">
      <formula>"value일 미도래"</formula>
    </cfRule>
  </conditionalFormatting>
  <conditionalFormatting sqref="M148">
    <cfRule type="cellIs" dxfId="1107" priority="9636" operator="equal">
      <formula>"value일 미도래"</formula>
    </cfRule>
  </conditionalFormatting>
  <conditionalFormatting sqref="M148">
    <cfRule type="cellIs" dxfId="1106" priority="9635" operator="equal">
      <formula>"value일 미도래"</formula>
    </cfRule>
  </conditionalFormatting>
  <conditionalFormatting sqref="M148">
    <cfRule type="cellIs" dxfId="1105" priority="9634" operator="equal">
      <formula>"value일 미도래"</formula>
    </cfRule>
  </conditionalFormatting>
  <conditionalFormatting sqref="M148">
    <cfRule type="cellIs" dxfId="1104" priority="9633" operator="equal">
      <formula>"value일 미도래"</formula>
    </cfRule>
  </conditionalFormatting>
  <conditionalFormatting sqref="M148">
    <cfRule type="cellIs" dxfId="1103" priority="9632" operator="equal">
      <formula>"value일 미도래"</formula>
    </cfRule>
  </conditionalFormatting>
  <conditionalFormatting sqref="M148">
    <cfRule type="cellIs" dxfId="1102" priority="9631" operator="equal">
      <formula>"value일 미도래"</formula>
    </cfRule>
  </conditionalFormatting>
  <conditionalFormatting sqref="M148">
    <cfRule type="cellIs" dxfId="1101" priority="9630" operator="equal">
      <formula>"value일 미도래"</formula>
    </cfRule>
  </conditionalFormatting>
  <conditionalFormatting sqref="M148">
    <cfRule type="cellIs" dxfId="1100" priority="9629" operator="equal">
      <formula>"value일 미도래"</formula>
    </cfRule>
  </conditionalFormatting>
  <conditionalFormatting sqref="M148">
    <cfRule type="cellIs" dxfId="1099" priority="9616" operator="equal">
      <formula>"value일 미도래"</formula>
    </cfRule>
  </conditionalFormatting>
  <conditionalFormatting sqref="M148">
    <cfRule type="cellIs" dxfId="1098" priority="9615" operator="equal">
      <formula>"value일 미도래"</formula>
    </cfRule>
  </conditionalFormatting>
  <conditionalFormatting sqref="M148">
    <cfRule type="cellIs" dxfId="1097" priority="9614" operator="equal">
      <formula>"value일 미도래"</formula>
    </cfRule>
  </conditionalFormatting>
  <conditionalFormatting sqref="M148">
    <cfRule type="cellIs" dxfId="1096" priority="9613" operator="equal">
      <formula>"value일 미도래"</formula>
    </cfRule>
  </conditionalFormatting>
  <conditionalFormatting sqref="M148">
    <cfRule type="cellIs" dxfId="1095" priority="9612" operator="equal">
      <formula>"value일 미도래"</formula>
    </cfRule>
  </conditionalFormatting>
  <conditionalFormatting sqref="M148">
    <cfRule type="cellIs" dxfId="1094" priority="9611" operator="equal">
      <formula>"value일 미도래"</formula>
    </cfRule>
  </conditionalFormatting>
  <conditionalFormatting sqref="M148">
    <cfRule type="cellIs" dxfId="1093" priority="9609" operator="equal">
      <formula>"value일 미도래"</formula>
    </cfRule>
  </conditionalFormatting>
  <conditionalFormatting sqref="M148">
    <cfRule type="cellIs" dxfId="1092" priority="9608" operator="equal">
      <formula>"value일 미도래"</formula>
    </cfRule>
  </conditionalFormatting>
  <conditionalFormatting sqref="M148">
    <cfRule type="cellIs" dxfId="1091" priority="9607" operator="equal">
      <formula>"value일 미도래"</formula>
    </cfRule>
  </conditionalFormatting>
  <conditionalFormatting sqref="M148">
    <cfRule type="cellIs" dxfId="1090" priority="9606" operator="equal">
      <formula>"value일 미도래"</formula>
    </cfRule>
  </conditionalFormatting>
  <conditionalFormatting sqref="M148">
    <cfRule type="cellIs" dxfId="1089" priority="9605" operator="equal">
      <formula>"value일 미도래"</formula>
    </cfRule>
  </conditionalFormatting>
  <conditionalFormatting sqref="M148">
    <cfRule type="cellIs" dxfId="1088" priority="9604" operator="equal">
      <formula>"value일 미도래"</formula>
    </cfRule>
  </conditionalFormatting>
  <conditionalFormatting sqref="M148">
    <cfRule type="cellIs" dxfId="1087" priority="9603" operator="equal">
      <formula>"value일 미도래"</formula>
    </cfRule>
  </conditionalFormatting>
  <conditionalFormatting sqref="M148">
    <cfRule type="cellIs" dxfId="1086" priority="9602" operator="equal">
      <formula>"value일 미도래"</formula>
    </cfRule>
  </conditionalFormatting>
  <conditionalFormatting sqref="M148">
    <cfRule type="cellIs" dxfId="1085" priority="9600" operator="equal">
      <formula>"value일 미도래"</formula>
    </cfRule>
  </conditionalFormatting>
  <conditionalFormatting sqref="M148">
    <cfRule type="cellIs" dxfId="1084" priority="9599" operator="equal">
      <formula>"value일 미도래"</formula>
    </cfRule>
  </conditionalFormatting>
  <conditionalFormatting sqref="M148">
    <cfRule type="cellIs" dxfId="1083" priority="9598" operator="equal">
      <formula>"value일 미도래"</formula>
    </cfRule>
  </conditionalFormatting>
  <conditionalFormatting sqref="M148">
    <cfRule type="cellIs" dxfId="1082" priority="9597" operator="equal">
      <formula>"value일 미도래"</formula>
    </cfRule>
  </conditionalFormatting>
  <conditionalFormatting sqref="M148">
    <cfRule type="cellIs" dxfId="1081" priority="9596" operator="equal">
      <formula>"value일 미도래"</formula>
    </cfRule>
  </conditionalFormatting>
  <conditionalFormatting sqref="M148">
    <cfRule type="cellIs" dxfId="1080" priority="9595" operator="equal">
      <formula>"value일 미도래"</formula>
    </cfRule>
  </conditionalFormatting>
  <conditionalFormatting sqref="M148">
    <cfRule type="cellIs" dxfId="1079" priority="9594" operator="equal">
      <formula>"value일 미도래"</formula>
    </cfRule>
  </conditionalFormatting>
  <conditionalFormatting sqref="M148">
    <cfRule type="cellIs" dxfId="1078" priority="9593" operator="equal">
      <formula>"value일 미도래"</formula>
    </cfRule>
  </conditionalFormatting>
  <conditionalFormatting sqref="M148">
    <cfRule type="cellIs" dxfId="1077" priority="9592" operator="equal">
      <formula>"value일 미도래"</formula>
    </cfRule>
  </conditionalFormatting>
  <conditionalFormatting sqref="M148">
    <cfRule type="cellIs" dxfId="1076" priority="9591" operator="equal">
      <formula>"value일 미도래"</formula>
    </cfRule>
  </conditionalFormatting>
  <conditionalFormatting sqref="M148">
    <cfRule type="cellIs" dxfId="1075" priority="9590" operator="equal">
      <formula>"value일 미도래"</formula>
    </cfRule>
  </conditionalFormatting>
  <conditionalFormatting sqref="M148">
    <cfRule type="cellIs" dxfId="1074" priority="9588" operator="equal">
      <formula>"value일 미도래"</formula>
    </cfRule>
  </conditionalFormatting>
  <conditionalFormatting sqref="M148">
    <cfRule type="cellIs" dxfId="1073" priority="9587" operator="equal">
      <formula>"value일 미도래"</formula>
    </cfRule>
  </conditionalFormatting>
  <conditionalFormatting sqref="M148">
    <cfRule type="cellIs" dxfId="1072" priority="9586" operator="equal">
      <formula>"value일 미도래"</formula>
    </cfRule>
  </conditionalFormatting>
  <conditionalFormatting sqref="M148">
    <cfRule type="cellIs" dxfId="1071" priority="9585" operator="equal">
      <formula>"value일 미도래"</formula>
    </cfRule>
  </conditionalFormatting>
  <conditionalFormatting sqref="M148">
    <cfRule type="cellIs" dxfId="1070" priority="9584" operator="equal">
      <formula>"value일 미도래"</formula>
    </cfRule>
  </conditionalFormatting>
  <conditionalFormatting sqref="M148">
    <cfRule type="cellIs" dxfId="1069" priority="9583" operator="equal">
      <formula>"value일 미도래"</formula>
    </cfRule>
  </conditionalFormatting>
  <conditionalFormatting sqref="M148">
    <cfRule type="cellIs" dxfId="1068" priority="9582" operator="equal">
      <formula>"value일 미도래"</formula>
    </cfRule>
  </conditionalFormatting>
  <conditionalFormatting sqref="M148">
    <cfRule type="cellIs" dxfId="1067" priority="9581" operator="equal">
      <formula>"value일 미도래"</formula>
    </cfRule>
  </conditionalFormatting>
  <conditionalFormatting sqref="M148">
    <cfRule type="cellIs" dxfId="1066" priority="9580" operator="equal">
      <formula>"value일 미도래"</formula>
    </cfRule>
  </conditionalFormatting>
  <conditionalFormatting sqref="M148">
    <cfRule type="cellIs" dxfId="1065" priority="9579" operator="equal">
      <formula>"value일 미도래"</formula>
    </cfRule>
  </conditionalFormatting>
  <conditionalFormatting sqref="M148">
    <cfRule type="cellIs" dxfId="1064" priority="9578" operator="equal">
      <formula>"value일 미도래"</formula>
    </cfRule>
  </conditionalFormatting>
  <conditionalFormatting sqref="M148">
    <cfRule type="cellIs" dxfId="1063" priority="9576" operator="equal">
      <formula>"value일 미도래"</formula>
    </cfRule>
  </conditionalFormatting>
  <conditionalFormatting sqref="M148">
    <cfRule type="cellIs" dxfId="1062" priority="9575" operator="equal">
      <formula>"value일 미도래"</formula>
    </cfRule>
  </conditionalFormatting>
  <conditionalFormatting sqref="M148">
    <cfRule type="cellIs" dxfId="1061" priority="9574" operator="equal">
      <formula>"value일 미도래"</formula>
    </cfRule>
  </conditionalFormatting>
  <conditionalFormatting sqref="M148">
    <cfRule type="cellIs" dxfId="1060" priority="9573" operator="equal">
      <formula>"value일 미도래"</formula>
    </cfRule>
  </conditionalFormatting>
  <conditionalFormatting sqref="M148">
    <cfRule type="cellIs" dxfId="1059" priority="9572" operator="equal">
      <formula>"value일 미도래"</formula>
    </cfRule>
  </conditionalFormatting>
  <conditionalFormatting sqref="M148">
    <cfRule type="cellIs" dxfId="1058" priority="9571" operator="equal">
      <formula>"value일 미도래"</formula>
    </cfRule>
  </conditionalFormatting>
  <conditionalFormatting sqref="M148">
    <cfRule type="cellIs" dxfId="1057" priority="9570" operator="equal">
      <formula>"value일 미도래"</formula>
    </cfRule>
  </conditionalFormatting>
  <conditionalFormatting sqref="M148">
    <cfRule type="cellIs" dxfId="1056" priority="9569" operator="equal">
      <formula>"value일 미도래"</formula>
    </cfRule>
  </conditionalFormatting>
  <conditionalFormatting sqref="M148">
    <cfRule type="cellIs" dxfId="1055" priority="9568" operator="equal">
      <formula>"value일 미도래"</formula>
    </cfRule>
  </conditionalFormatting>
  <conditionalFormatting sqref="M148">
    <cfRule type="cellIs" dxfId="1054" priority="9567" operator="equal">
      <formula>"value일 미도래"</formula>
    </cfRule>
  </conditionalFormatting>
  <conditionalFormatting sqref="M148">
    <cfRule type="cellIs" dxfId="1053" priority="9566" operator="equal">
      <formula>"value일 미도래"</formula>
    </cfRule>
  </conditionalFormatting>
  <conditionalFormatting sqref="M148">
    <cfRule type="cellIs" dxfId="1052" priority="9565" operator="equal">
      <formula>"value일 미도래"</formula>
    </cfRule>
  </conditionalFormatting>
  <conditionalFormatting sqref="M148">
    <cfRule type="cellIs" dxfId="1051" priority="9564" operator="equal">
      <formula>"value일 미도래"</formula>
    </cfRule>
  </conditionalFormatting>
  <conditionalFormatting sqref="M148">
    <cfRule type="cellIs" dxfId="1050" priority="9563" operator="equal">
      <formula>"value일 미도래"</formula>
    </cfRule>
  </conditionalFormatting>
  <conditionalFormatting sqref="M148">
    <cfRule type="cellIs" dxfId="1049" priority="9561" operator="equal">
      <formula>"value일 미도래"</formula>
    </cfRule>
  </conditionalFormatting>
  <conditionalFormatting sqref="M148">
    <cfRule type="cellIs" dxfId="1048" priority="9560" operator="equal">
      <formula>"value일 미도래"</formula>
    </cfRule>
  </conditionalFormatting>
  <conditionalFormatting sqref="M148">
    <cfRule type="cellIs" dxfId="1047" priority="9559" operator="equal">
      <formula>"value일 미도래"</formula>
    </cfRule>
  </conditionalFormatting>
  <conditionalFormatting sqref="M148">
    <cfRule type="cellIs" dxfId="1046" priority="9558" operator="equal">
      <formula>"value일 미도래"</formula>
    </cfRule>
  </conditionalFormatting>
  <conditionalFormatting sqref="M148">
    <cfRule type="cellIs" dxfId="1045" priority="9557" operator="equal">
      <formula>"value일 미도래"</formula>
    </cfRule>
  </conditionalFormatting>
  <conditionalFormatting sqref="M148">
    <cfRule type="cellIs" dxfId="1044" priority="9556" operator="equal">
      <formula>"value일 미도래"</formula>
    </cfRule>
  </conditionalFormatting>
  <conditionalFormatting sqref="M148">
    <cfRule type="cellIs" dxfId="1043" priority="9555" operator="equal">
      <formula>"value일 미도래"</formula>
    </cfRule>
  </conditionalFormatting>
  <conditionalFormatting sqref="M148">
    <cfRule type="cellIs" dxfId="1042" priority="9554" operator="equal">
      <formula>"value일 미도래"</formula>
    </cfRule>
  </conditionalFormatting>
  <conditionalFormatting sqref="M148">
    <cfRule type="cellIs" dxfId="1041" priority="9553" operator="equal">
      <formula>"value일 미도래"</formula>
    </cfRule>
  </conditionalFormatting>
  <conditionalFormatting sqref="M148">
    <cfRule type="cellIs" dxfId="1040" priority="9552" operator="equal">
      <formula>"value일 미도래"</formula>
    </cfRule>
  </conditionalFormatting>
  <conditionalFormatting sqref="M148">
    <cfRule type="cellIs" dxfId="1039" priority="9551" operator="equal">
      <formula>"value일 미도래"</formula>
    </cfRule>
  </conditionalFormatting>
  <conditionalFormatting sqref="M148">
    <cfRule type="cellIs" dxfId="1038" priority="9550" operator="equal">
      <formula>"value일 미도래"</formula>
    </cfRule>
  </conditionalFormatting>
  <conditionalFormatting sqref="M148">
    <cfRule type="cellIs" dxfId="1037" priority="9549" operator="equal">
      <formula>"value일 미도래"</formula>
    </cfRule>
  </conditionalFormatting>
  <conditionalFormatting sqref="M148">
    <cfRule type="cellIs" dxfId="1036" priority="9548" operator="equal">
      <formula>"value일 미도래"</formula>
    </cfRule>
  </conditionalFormatting>
  <conditionalFormatting sqref="M148">
    <cfRule type="cellIs" dxfId="1035" priority="9547" operator="equal">
      <formula>"value일 미도래"</formula>
    </cfRule>
  </conditionalFormatting>
  <conditionalFormatting sqref="M148">
    <cfRule type="cellIs" dxfId="1034" priority="9546" operator="equal">
      <formula>"value일 미도래"</formula>
    </cfRule>
  </conditionalFormatting>
  <conditionalFormatting sqref="M148">
    <cfRule type="cellIs" dxfId="1033" priority="9545" operator="equal">
      <formula>"value일 미도래"</formula>
    </cfRule>
  </conditionalFormatting>
  <conditionalFormatting sqref="M148">
    <cfRule type="cellIs" dxfId="1032" priority="9544" operator="equal">
      <formula>"value일 미도래"</formula>
    </cfRule>
  </conditionalFormatting>
  <conditionalFormatting sqref="M148">
    <cfRule type="cellIs" dxfId="1031" priority="9543" operator="equal">
      <formula>"value일 미도래"</formula>
    </cfRule>
  </conditionalFormatting>
  <conditionalFormatting sqref="M148">
    <cfRule type="cellIs" dxfId="1030" priority="9542" operator="equal">
      <formula>"value일 미도래"</formula>
    </cfRule>
  </conditionalFormatting>
  <conditionalFormatting sqref="M148">
    <cfRule type="cellIs" dxfId="1029" priority="9540" operator="equal">
      <formula>"value일 미도래"</formula>
    </cfRule>
  </conditionalFormatting>
  <conditionalFormatting sqref="M148">
    <cfRule type="cellIs" dxfId="1028" priority="9539" operator="equal">
      <formula>"value일 미도래"</formula>
    </cfRule>
  </conditionalFormatting>
  <conditionalFormatting sqref="M148">
    <cfRule type="cellIs" dxfId="1027" priority="9538" operator="equal">
      <formula>"value일 미도래"</formula>
    </cfRule>
  </conditionalFormatting>
  <conditionalFormatting sqref="M148">
    <cfRule type="cellIs" dxfId="1026" priority="9537" operator="equal">
      <formula>"value일 미도래"</formula>
    </cfRule>
  </conditionalFormatting>
  <conditionalFormatting sqref="M148">
    <cfRule type="cellIs" dxfId="1025" priority="9536" operator="equal">
      <formula>"value일 미도래"</formula>
    </cfRule>
  </conditionalFormatting>
  <conditionalFormatting sqref="M148">
    <cfRule type="cellIs" dxfId="1024" priority="9535" operator="equal">
      <formula>"value일 미도래"</formula>
    </cfRule>
  </conditionalFormatting>
  <conditionalFormatting sqref="M148">
    <cfRule type="cellIs" dxfId="1023" priority="9534" operator="equal">
      <formula>"value일 미도래"</formula>
    </cfRule>
  </conditionalFormatting>
  <conditionalFormatting sqref="M148">
    <cfRule type="cellIs" dxfId="1022" priority="9533" operator="equal">
      <formula>"value일 미도래"</formula>
    </cfRule>
  </conditionalFormatting>
  <conditionalFormatting sqref="M148">
    <cfRule type="cellIs" dxfId="1021" priority="9532" operator="equal">
      <formula>"value일 미도래"</formula>
    </cfRule>
  </conditionalFormatting>
  <conditionalFormatting sqref="M148">
    <cfRule type="cellIs" dxfId="1020" priority="9531" operator="equal">
      <formula>"value일 미도래"</formula>
    </cfRule>
  </conditionalFormatting>
  <conditionalFormatting sqref="M148">
    <cfRule type="cellIs" dxfId="1019" priority="9530" operator="equal">
      <formula>"value일 미도래"</formula>
    </cfRule>
  </conditionalFormatting>
  <conditionalFormatting sqref="M148">
    <cfRule type="cellIs" dxfId="1018" priority="9529" operator="equal">
      <formula>"value일 미도래"</formula>
    </cfRule>
  </conditionalFormatting>
  <conditionalFormatting sqref="M189">
    <cfRule type="cellIs" dxfId="1017" priority="9105" operator="equal">
      <formula>"value일 미도래"</formula>
    </cfRule>
  </conditionalFormatting>
  <conditionalFormatting sqref="M189">
    <cfRule type="cellIs" dxfId="1016" priority="9103" operator="equal">
      <formula>"value일 미도래"</formula>
    </cfRule>
  </conditionalFormatting>
  <conditionalFormatting sqref="M189">
    <cfRule type="cellIs" dxfId="1015" priority="9102" operator="equal">
      <formula>"value일 미도래"</formula>
    </cfRule>
  </conditionalFormatting>
  <conditionalFormatting sqref="M189">
    <cfRule type="cellIs" dxfId="1014" priority="9101" operator="equal">
      <formula>"value일 미도래"</formula>
    </cfRule>
  </conditionalFormatting>
  <conditionalFormatting sqref="M189">
    <cfRule type="cellIs" dxfId="1013" priority="9100" operator="equal">
      <formula>"value일 미도래"</formula>
    </cfRule>
  </conditionalFormatting>
  <conditionalFormatting sqref="M189">
    <cfRule type="cellIs" dxfId="1012" priority="9099" operator="equal">
      <formula>"value일 미도래"</formula>
    </cfRule>
  </conditionalFormatting>
  <conditionalFormatting sqref="M189">
    <cfRule type="cellIs" dxfId="1011" priority="8963" operator="equal">
      <formula>"value일 미도래"</formula>
    </cfRule>
  </conditionalFormatting>
  <conditionalFormatting sqref="M189">
    <cfRule type="cellIs" dxfId="1010" priority="8961" operator="equal">
      <formula>"value일 미도래"</formula>
    </cfRule>
  </conditionalFormatting>
  <conditionalFormatting sqref="M189">
    <cfRule type="cellIs" dxfId="1009" priority="8960" operator="equal">
      <formula>"value일 미도래"</formula>
    </cfRule>
  </conditionalFormatting>
  <conditionalFormatting sqref="M189">
    <cfRule type="cellIs" dxfId="1008" priority="8959" operator="equal">
      <formula>"value일 미도래"</formula>
    </cfRule>
  </conditionalFormatting>
  <conditionalFormatting sqref="M189">
    <cfRule type="cellIs" dxfId="1007" priority="8958" operator="equal">
      <formula>"value일 미도래"</formula>
    </cfRule>
  </conditionalFormatting>
  <conditionalFormatting sqref="M189">
    <cfRule type="cellIs" dxfId="1006" priority="8957" operator="equal">
      <formula>"value일 미도래"</formula>
    </cfRule>
  </conditionalFormatting>
  <conditionalFormatting sqref="M189">
    <cfRule type="cellIs" dxfId="1005" priority="8924" operator="equal">
      <formula>"value일 미도래"</formula>
    </cfRule>
  </conditionalFormatting>
  <conditionalFormatting sqref="M189">
    <cfRule type="cellIs" dxfId="1004" priority="8922" operator="equal">
      <formula>"value일 미도래"</formula>
    </cfRule>
  </conditionalFormatting>
  <conditionalFormatting sqref="M189">
    <cfRule type="cellIs" dxfId="1003" priority="8921" operator="equal">
      <formula>"value일 미도래"</formula>
    </cfRule>
  </conditionalFormatting>
  <conditionalFormatting sqref="M189">
    <cfRule type="cellIs" dxfId="1002" priority="8920" operator="equal">
      <formula>"value일 미도래"</formula>
    </cfRule>
  </conditionalFormatting>
  <conditionalFormatting sqref="M189">
    <cfRule type="cellIs" dxfId="1001" priority="8919" operator="equal">
      <formula>"value일 미도래"</formula>
    </cfRule>
  </conditionalFormatting>
  <conditionalFormatting sqref="M189">
    <cfRule type="cellIs" dxfId="1000" priority="8918" operator="equal">
      <formula>"value일 미도래"</formula>
    </cfRule>
  </conditionalFormatting>
  <conditionalFormatting sqref="M189">
    <cfRule type="cellIs" dxfId="999" priority="7924" operator="equal">
      <formula>"value일 미도래"</formula>
    </cfRule>
  </conditionalFormatting>
  <conditionalFormatting sqref="M189">
    <cfRule type="cellIs" dxfId="998" priority="7922" operator="equal">
      <formula>"value일 미도래"</formula>
    </cfRule>
  </conditionalFormatting>
  <conditionalFormatting sqref="M189">
    <cfRule type="cellIs" dxfId="997" priority="7921" operator="equal">
      <formula>"value일 미도래"</formula>
    </cfRule>
  </conditionalFormatting>
  <conditionalFormatting sqref="M189">
    <cfRule type="cellIs" dxfId="996" priority="7920" operator="equal">
      <formula>"value일 미도래"</formula>
    </cfRule>
  </conditionalFormatting>
  <conditionalFormatting sqref="M189">
    <cfRule type="cellIs" dxfId="995" priority="7919" operator="equal">
      <formula>"value일 미도래"</formula>
    </cfRule>
  </conditionalFormatting>
  <conditionalFormatting sqref="M189">
    <cfRule type="cellIs" dxfId="994" priority="7918" operator="equal">
      <formula>"value일 미도래"</formula>
    </cfRule>
  </conditionalFormatting>
  <conditionalFormatting sqref="M189">
    <cfRule type="cellIs" dxfId="993" priority="7782" operator="equal">
      <formula>"value일 미도래"</formula>
    </cfRule>
  </conditionalFormatting>
  <conditionalFormatting sqref="M189">
    <cfRule type="cellIs" dxfId="992" priority="7780" operator="equal">
      <formula>"value일 미도래"</formula>
    </cfRule>
  </conditionalFormatting>
  <conditionalFormatting sqref="M189">
    <cfRule type="cellIs" dxfId="991" priority="7779" operator="equal">
      <formula>"value일 미도래"</formula>
    </cfRule>
  </conditionalFormatting>
  <conditionalFormatting sqref="M189">
    <cfRule type="cellIs" dxfId="990" priority="7778" operator="equal">
      <formula>"value일 미도래"</formula>
    </cfRule>
  </conditionalFormatting>
  <conditionalFormatting sqref="M189">
    <cfRule type="cellIs" dxfId="989" priority="7777" operator="equal">
      <formula>"value일 미도래"</formula>
    </cfRule>
  </conditionalFormatting>
  <conditionalFormatting sqref="M189">
    <cfRule type="cellIs" dxfId="988" priority="7776" operator="equal">
      <formula>"value일 미도래"</formula>
    </cfRule>
  </conditionalFormatting>
  <conditionalFormatting sqref="M189">
    <cfRule type="cellIs" dxfId="987" priority="7743" operator="equal">
      <formula>"value일 미도래"</formula>
    </cfRule>
  </conditionalFormatting>
  <conditionalFormatting sqref="M189">
    <cfRule type="cellIs" dxfId="986" priority="7741" operator="equal">
      <formula>"value일 미도래"</formula>
    </cfRule>
  </conditionalFormatting>
  <conditionalFormatting sqref="M189">
    <cfRule type="cellIs" dxfId="985" priority="7740" operator="equal">
      <formula>"value일 미도래"</formula>
    </cfRule>
  </conditionalFormatting>
  <conditionalFormatting sqref="M189">
    <cfRule type="cellIs" dxfId="984" priority="7739" operator="equal">
      <formula>"value일 미도래"</formula>
    </cfRule>
  </conditionalFormatting>
  <conditionalFormatting sqref="M189">
    <cfRule type="cellIs" dxfId="983" priority="7738" operator="equal">
      <formula>"value일 미도래"</formula>
    </cfRule>
  </conditionalFormatting>
  <conditionalFormatting sqref="M189">
    <cfRule type="cellIs" dxfId="982" priority="7737" operator="equal">
      <formula>"value일 미도래"</formula>
    </cfRule>
  </conditionalFormatting>
  <conditionalFormatting sqref="M189">
    <cfRule type="cellIs" dxfId="981" priority="7665" operator="equal">
      <formula>"value일 미도래"</formula>
    </cfRule>
  </conditionalFormatting>
  <conditionalFormatting sqref="M189">
    <cfRule type="cellIs" dxfId="980" priority="7663" operator="equal">
      <formula>"value일 미도래"</formula>
    </cfRule>
  </conditionalFormatting>
  <conditionalFormatting sqref="M189">
    <cfRule type="cellIs" dxfId="979" priority="7662" operator="equal">
      <formula>"value일 미도래"</formula>
    </cfRule>
  </conditionalFormatting>
  <conditionalFormatting sqref="M189">
    <cfRule type="cellIs" dxfId="978" priority="7661" operator="equal">
      <formula>"value일 미도래"</formula>
    </cfRule>
  </conditionalFormatting>
  <conditionalFormatting sqref="M189">
    <cfRule type="cellIs" dxfId="977" priority="7660" operator="equal">
      <formula>"value일 미도래"</formula>
    </cfRule>
  </conditionalFormatting>
  <conditionalFormatting sqref="M189">
    <cfRule type="cellIs" dxfId="976" priority="7659" operator="equal">
      <formula>"value일 미도래"</formula>
    </cfRule>
  </conditionalFormatting>
  <conditionalFormatting sqref="M189">
    <cfRule type="cellIs" dxfId="975" priority="7640" operator="equal">
      <formula>"value일 미도래"</formula>
    </cfRule>
  </conditionalFormatting>
  <conditionalFormatting sqref="M189">
    <cfRule type="cellIs" dxfId="974" priority="7638" operator="equal">
      <formula>"value일 미도래"</formula>
    </cfRule>
  </conditionalFormatting>
  <conditionalFormatting sqref="M189">
    <cfRule type="cellIs" dxfId="973" priority="7637" operator="equal">
      <formula>"value일 미도래"</formula>
    </cfRule>
  </conditionalFormatting>
  <conditionalFormatting sqref="M189">
    <cfRule type="cellIs" dxfId="972" priority="7636" operator="equal">
      <formula>"value일 미도래"</formula>
    </cfRule>
  </conditionalFormatting>
  <conditionalFormatting sqref="M189">
    <cfRule type="cellIs" dxfId="971" priority="7635" operator="equal">
      <formula>"value일 미도래"</formula>
    </cfRule>
  </conditionalFormatting>
  <conditionalFormatting sqref="M189">
    <cfRule type="cellIs" dxfId="970" priority="7634" operator="equal">
      <formula>"value일 미도래"</formula>
    </cfRule>
  </conditionalFormatting>
  <conditionalFormatting sqref="M189">
    <cfRule type="cellIs" dxfId="969" priority="7601" operator="equal">
      <formula>"value일 미도래"</formula>
    </cfRule>
  </conditionalFormatting>
  <conditionalFormatting sqref="M189">
    <cfRule type="cellIs" dxfId="968" priority="7599" operator="equal">
      <formula>"value일 미도래"</formula>
    </cfRule>
  </conditionalFormatting>
  <conditionalFormatting sqref="M189">
    <cfRule type="cellIs" dxfId="967" priority="7598" operator="equal">
      <formula>"value일 미도래"</formula>
    </cfRule>
  </conditionalFormatting>
  <conditionalFormatting sqref="M189">
    <cfRule type="cellIs" dxfId="966" priority="7597" operator="equal">
      <formula>"value일 미도래"</formula>
    </cfRule>
  </conditionalFormatting>
  <conditionalFormatting sqref="M189">
    <cfRule type="cellIs" dxfId="965" priority="7596" operator="equal">
      <formula>"value일 미도래"</formula>
    </cfRule>
  </conditionalFormatting>
  <conditionalFormatting sqref="M189">
    <cfRule type="cellIs" dxfId="964" priority="7595" operator="equal">
      <formula>"value일 미도래"</formula>
    </cfRule>
  </conditionalFormatting>
  <conditionalFormatting sqref="M189">
    <cfRule type="cellIs" dxfId="963" priority="7562" operator="equal">
      <formula>"value일 미도래"</formula>
    </cfRule>
  </conditionalFormatting>
  <conditionalFormatting sqref="M189">
    <cfRule type="cellIs" dxfId="962" priority="7560" operator="equal">
      <formula>"value일 미도래"</formula>
    </cfRule>
  </conditionalFormatting>
  <conditionalFormatting sqref="M189">
    <cfRule type="cellIs" dxfId="961" priority="7559" operator="equal">
      <formula>"value일 미도래"</formula>
    </cfRule>
  </conditionalFormatting>
  <conditionalFormatting sqref="M189">
    <cfRule type="cellIs" dxfId="960" priority="7558" operator="equal">
      <formula>"value일 미도래"</formula>
    </cfRule>
  </conditionalFormatting>
  <conditionalFormatting sqref="M189">
    <cfRule type="cellIs" dxfId="959" priority="7557" operator="equal">
      <formula>"value일 미도래"</formula>
    </cfRule>
  </conditionalFormatting>
  <conditionalFormatting sqref="M189">
    <cfRule type="cellIs" dxfId="958" priority="7556" operator="equal">
      <formula>"value일 미도래"</formula>
    </cfRule>
  </conditionalFormatting>
  <conditionalFormatting sqref="M189">
    <cfRule type="cellIs" dxfId="957" priority="7392" operator="equal">
      <formula>"value일 미도래"</formula>
    </cfRule>
  </conditionalFormatting>
  <conditionalFormatting sqref="M189">
    <cfRule type="cellIs" dxfId="956" priority="7390" operator="equal">
      <formula>"value일 미도래"</formula>
    </cfRule>
  </conditionalFormatting>
  <conditionalFormatting sqref="M189">
    <cfRule type="cellIs" dxfId="955" priority="7389" operator="equal">
      <formula>"value일 미도래"</formula>
    </cfRule>
  </conditionalFormatting>
  <conditionalFormatting sqref="M189">
    <cfRule type="cellIs" dxfId="954" priority="7388" operator="equal">
      <formula>"value일 미도래"</formula>
    </cfRule>
  </conditionalFormatting>
  <conditionalFormatting sqref="M189">
    <cfRule type="cellIs" dxfId="953" priority="7387" operator="equal">
      <formula>"value일 미도래"</formula>
    </cfRule>
  </conditionalFormatting>
  <conditionalFormatting sqref="M189">
    <cfRule type="cellIs" dxfId="952" priority="7386" operator="equal">
      <formula>"value일 미도래"</formula>
    </cfRule>
  </conditionalFormatting>
  <conditionalFormatting sqref="M189">
    <cfRule type="cellIs" dxfId="951" priority="7250" operator="equal">
      <formula>"value일 미도래"</formula>
    </cfRule>
  </conditionalFormatting>
  <conditionalFormatting sqref="M189">
    <cfRule type="cellIs" dxfId="950" priority="7248" operator="equal">
      <formula>"value일 미도래"</formula>
    </cfRule>
  </conditionalFormatting>
  <conditionalFormatting sqref="M189">
    <cfRule type="cellIs" dxfId="949" priority="7247" operator="equal">
      <formula>"value일 미도래"</formula>
    </cfRule>
  </conditionalFormatting>
  <conditionalFormatting sqref="M189">
    <cfRule type="cellIs" dxfId="948" priority="7246" operator="equal">
      <formula>"value일 미도래"</formula>
    </cfRule>
  </conditionalFormatting>
  <conditionalFormatting sqref="M189">
    <cfRule type="cellIs" dxfId="947" priority="7245" operator="equal">
      <formula>"value일 미도래"</formula>
    </cfRule>
  </conditionalFormatting>
  <conditionalFormatting sqref="M189">
    <cfRule type="cellIs" dxfId="946" priority="7244" operator="equal">
      <formula>"value일 미도래"</formula>
    </cfRule>
  </conditionalFormatting>
  <conditionalFormatting sqref="M189">
    <cfRule type="cellIs" dxfId="945" priority="7211" operator="equal">
      <formula>"value일 미도래"</formula>
    </cfRule>
  </conditionalFormatting>
  <conditionalFormatting sqref="M189">
    <cfRule type="cellIs" dxfId="944" priority="7209" operator="equal">
      <formula>"value일 미도래"</formula>
    </cfRule>
  </conditionalFormatting>
  <conditionalFormatting sqref="M189">
    <cfRule type="cellIs" dxfId="943" priority="7208" operator="equal">
      <formula>"value일 미도래"</formula>
    </cfRule>
  </conditionalFormatting>
  <conditionalFormatting sqref="M189">
    <cfRule type="cellIs" dxfId="942" priority="7207" operator="equal">
      <formula>"value일 미도래"</formula>
    </cfRule>
  </conditionalFormatting>
  <conditionalFormatting sqref="M189">
    <cfRule type="cellIs" dxfId="941" priority="7206" operator="equal">
      <formula>"value일 미도래"</formula>
    </cfRule>
  </conditionalFormatting>
  <conditionalFormatting sqref="M189">
    <cfRule type="cellIs" dxfId="940" priority="7205" operator="equal">
      <formula>"value일 미도래"</formula>
    </cfRule>
  </conditionalFormatting>
  <conditionalFormatting sqref="M189">
    <cfRule type="cellIs" dxfId="939" priority="6718" operator="equal">
      <formula>"value일 미도래"</formula>
    </cfRule>
  </conditionalFormatting>
  <conditionalFormatting sqref="M189">
    <cfRule type="cellIs" dxfId="938" priority="6716" operator="equal">
      <formula>"value일 미도래"</formula>
    </cfRule>
  </conditionalFormatting>
  <conditionalFormatting sqref="M189">
    <cfRule type="cellIs" dxfId="937" priority="6715" operator="equal">
      <formula>"value일 미도래"</formula>
    </cfRule>
  </conditionalFormatting>
  <conditionalFormatting sqref="M189">
    <cfRule type="cellIs" dxfId="936" priority="6714" operator="equal">
      <formula>"value일 미도래"</formula>
    </cfRule>
  </conditionalFormatting>
  <conditionalFormatting sqref="M189">
    <cfRule type="cellIs" dxfId="935" priority="6713" operator="equal">
      <formula>"value일 미도래"</formula>
    </cfRule>
  </conditionalFormatting>
  <conditionalFormatting sqref="M189">
    <cfRule type="cellIs" dxfId="934" priority="6712" operator="equal">
      <formula>"value일 미도래"</formula>
    </cfRule>
  </conditionalFormatting>
  <conditionalFormatting sqref="M189">
    <cfRule type="cellIs" dxfId="933" priority="6679" operator="equal">
      <formula>"value일 미도래"</formula>
    </cfRule>
  </conditionalFormatting>
  <conditionalFormatting sqref="M189">
    <cfRule type="cellIs" dxfId="932" priority="6677" operator="equal">
      <formula>"value일 미도래"</formula>
    </cfRule>
  </conditionalFormatting>
  <conditionalFormatting sqref="M189">
    <cfRule type="cellIs" dxfId="931" priority="6676" operator="equal">
      <formula>"value일 미도래"</formula>
    </cfRule>
  </conditionalFormatting>
  <conditionalFormatting sqref="M189">
    <cfRule type="cellIs" dxfId="930" priority="6675" operator="equal">
      <formula>"value일 미도래"</formula>
    </cfRule>
  </conditionalFormatting>
  <conditionalFormatting sqref="M189">
    <cfRule type="cellIs" dxfId="929" priority="6674" operator="equal">
      <formula>"value일 미도래"</formula>
    </cfRule>
  </conditionalFormatting>
  <conditionalFormatting sqref="M189">
    <cfRule type="cellIs" dxfId="928" priority="6673" operator="equal">
      <formula>"value일 미도래"</formula>
    </cfRule>
  </conditionalFormatting>
  <conditionalFormatting sqref="M189">
    <cfRule type="cellIs" dxfId="927" priority="6615" operator="equal">
      <formula>"value일 미도래"</formula>
    </cfRule>
  </conditionalFormatting>
  <conditionalFormatting sqref="M189">
    <cfRule type="cellIs" dxfId="926" priority="6613" operator="equal">
      <formula>"value일 미도래"</formula>
    </cfRule>
  </conditionalFormatting>
  <conditionalFormatting sqref="M189">
    <cfRule type="cellIs" dxfId="925" priority="6612" operator="equal">
      <formula>"value일 미도래"</formula>
    </cfRule>
  </conditionalFormatting>
  <conditionalFormatting sqref="M189">
    <cfRule type="cellIs" dxfId="924" priority="6611" operator="equal">
      <formula>"value일 미도래"</formula>
    </cfRule>
  </conditionalFormatting>
  <conditionalFormatting sqref="M189">
    <cfRule type="cellIs" dxfId="923" priority="6610" operator="equal">
      <formula>"value일 미도래"</formula>
    </cfRule>
  </conditionalFormatting>
  <conditionalFormatting sqref="M189">
    <cfRule type="cellIs" dxfId="922" priority="6609" operator="equal">
      <formula>"value일 미도래"</formula>
    </cfRule>
  </conditionalFormatting>
  <conditionalFormatting sqref="M189">
    <cfRule type="cellIs" dxfId="921" priority="6576" operator="equal">
      <formula>"value일 미도래"</formula>
    </cfRule>
  </conditionalFormatting>
  <conditionalFormatting sqref="M189">
    <cfRule type="cellIs" dxfId="920" priority="6574" operator="equal">
      <formula>"value일 미도래"</formula>
    </cfRule>
  </conditionalFormatting>
  <conditionalFormatting sqref="M189">
    <cfRule type="cellIs" dxfId="919" priority="6573" operator="equal">
      <formula>"value일 미도래"</formula>
    </cfRule>
  </conditionalFormatting>
  <conditionalFormatting sqref="M189">
    <cfRule type="cellIs" dxfId="918" priority="6572" operator="equal">
      <formula>"value일 미도래"</formula>
    </cfRule>
  </conditionalFormatting>
  <conditionalFormatting sqref="M189">
    <cfRule type="cellIs" dxfId="917" priority="6571" operator="equal">
      <formula>"value일 미도래"</formula>
    </cfRule>
  </conditionalFormatting>
  <conditionalFormatting sqref="M189">
    <cfRule type="cellIs" dxfId="916" priority="6570" operator="equal">
      <formula>"value일 미도래"</formula>
    </cfRule>
  </conditionalFormatting>
  <conditionalFormatting sqref="M189">
    <cfRule type="cellIs" dxfId="915" priority="6551" operator="equal">
      <formula>"value일 미도래"</formula>
    </cfRule>
  </conditionalFormatting>
  <conditionalFormatting sqref="M189">
    <cfRule type="cellIs" dxfId="914" priority="6549" operator="equal">
      <formula>"value일 미도래"</formula>
    </cfRule>
  </conditionalFormatting>
  <conditionalFormatting sqref="M189">
    <cfRule type="cellIs" dxfId="913" priority="6548" operator="equal">
      <formula>"value일 미도래"</formula>
    </cfRule>
  </conditionalFormatting>
  <conditionalFormatting sqref="M189">
    <cfRule type="cellIs" dxfId="912" priority="6547" operator="equal">
      <formula>"value일 미도래"</formula>
    </cfRule>
  </conditionalFormatting>
  <conditionalFormatting sqref="M189">
    <cfRule type="cellIs" dxfId="911" priority="6546" operator="equal">
      <formula>"value일 미도래"</formula>
    </cfRule>
  </conditionalFormatting>
  <conditionalFormatting sqref="M189">
    <cfRule type="cellIs" dxfId="910" priority="6545" operator="equal">
      <formula>"value일 미도래"</formula>
    </cfRule>
  </conditionalFormatting>
  <conditionalFormatting sqref="M189">
    <cfRule type="cellIs" dxfId="909" priority="6498" operator="equal">
      <formula>"value일 미도래"</formula>
    </cfRule>
  </conditionalFormatting>
  <conditionalFormatting sqref="M189">
    <cfRule type="cellIs" dxfId="908" priority="6496" operator="equal">
      <formula>"value일 미도래"</formula>
    </cfRule>
  </conditionalFormatting>
  <conditionalFormatting sqref="M189">
    <cfRule type="cellIs" dxfId="907" priority="6495" operator="equal">
      <formula>"value일 미도래"</formula>
    </cfRule>
  </conditionalFormatting>
  <conditionalFormatting sqref="M189">
    <cfRule type="cellIs" dxfId="906" priority="6494" operator="equal">
      <formula>"value일 미도래"</formula>
    </cfRule>
  </conditionalFormatting>
  <conditionalFormatting sqref="M189">
    <cfRule type="cellIs" dxfId="905" priority="6493" operator="equal">
      <formula>"value일 미도래"</formula>
    </cfRule>
  </conditionalFormatting>
  <conditionalFormatting sqref="M189">
    <cfRule type="cellIs" dxfId="904" priority="6492" operator="equal">
      <formula>"value일 미도래"</formula>
    </cfRule>
  </conditionalFormatting>
  <conditionalFormatting sqref="M189">
    <cfRule type="cellIs" dxfId="903" priority="6473" operator="equal">
      <formula>"value일 미도래"</formula>
    </cfRule>
  </conditionalFormatting>
  <conditionalFormatting sqref="M189">
    <cfRule type="cellIs" dxfId="902" priority="6471" operator="equal">
      <formula>"value일 미도래"</formula>
    </cfRule>
  </conditionalFormatting>
  <conditionalFormatting sqref="M189">
    <cfRule type="cellIs" dxfId="901" priority="6470" operator="equal">
      <formula>"value일 미도래"</formula>
    </cfRule>
  </conditionalFormatting>
  <conditionalFormatting sqref="M189">
    <cfRule type="cellIs" dxfId="900" priority="6469" operator="equal">
      <formula>"value일 미도래"</formula>
    </cfRule>
  </conditionalFormatting>
  <conditionalFormatting sqref="M189">
    <cfRule type="cellIs" dxfId="899" priority="6468" operator="equal">
      <formula>"value일 미도래"</formula>
    </cfRule>
  </conditionalFormatting>
  <conditionalFormatting sqref="M189">
    <cfRule type="cellIs" dxfId="898" priority="6467" operator="equal">
      <formula>"value일 미도래"</formula>
    </cfRule>
  </conditionalFormatting>
  <conditionalFormatting sqref="M189">
    <cfRule type="cellIs" dxfId="897" priority="6420" operator="equal">
      <formula>"value일 미도래"</formula>
    </cfRule>
  </conditionalFormatting>
  <conditionalFormatting sqref="M189">
    <cfRule type="cellIs" dxfId="896" priority="6418" operator="equal">
      <formula>"value일 미도래"</formula>
    </cfRule>
  </conditionalFormatting>
  <conditionalFormatting sqref="M189">
    <cfRule type="cellIs" dxfId="895" priority="6417" operator="equal">
      <formula>"value일 미도래"</formula>
    </cfRule>
  </conditionalFormatting>
  <conditionalFormatting sqref="M189">
    <cfRule type="cellIs" dxfId="894" priority="6416" operator="equal">
      <formula>"value일 미도래"</formula>
    </cfRule>
  </conditionalFormatting>
  <conditionalFormatting sqref="M189">
    <cfRule type="cellIs" dxfId="893" priority="6415" operator="equal">
      <formula>"value일 미도래"</formula>
    </cfRule>
  </conditionalFormatting>
  <conditionalFormatting sqref="M189">
    <cfRule type="cellIs" dxfId="892" priority="6414" operator="equal">
      <formula>"value일 미도래"</formula>
    </cfRule>
  </conditionalFormatting>
  <conditionalFormatting sqref="M189">
    <cfRule type="cellIs" dxfId="891" priority="6395" operator="equal">
      <formula>"value일 미도래"</formula>
    </cfRule>
  </conditionalFormatting>
  <conditionalFormatting sqref="M189">
    <cfRule type="cellIs" dxfId="890" priority="6393" operator="equal">
      <formula>"value일 미도래"</formula>
    </cfRule>
  </conditionalFormatting>
  <conditionalFormatting sqref="M189">
    <cfRule type="cellIs" dxfId="889" priority="6392" operator="equal">
      <formula>"value일 미도래"</formula>
    </cfRule>
  </conditionalFormatting>
  <conditionalFormatting sqref="M189">
    <cfRule type="cellIs" dxfId="888" priority="6391" operator="equal">
      <formula>"value일 미도래"</formula>
    </cfRule>
  </conditionalFormatting>
  <conditionalFormatting sqref="M189">
    <cfRule type="cellIs" dxfId="887" priority="6390" operator="equal">
      <formula>"value일 미도래"</formula>
    </cfRule>
  </conditionalFormatting>
  <conditionalFormatting sqref="M189">
    <cfRule type="cellIs" dxfId="886" priority="6389" operator="equal">
      <formula>"value일 미도래"</formula>
    </cfRule>
  </conditionalFormatting>
  <conditionalFormatting sqref="M189">
    <cfRule type="cellIs" dxfId="885" priority="6356" operator="equal">
      <formula>"value일 미도래"</formula>
    </cfRule>
  </conditionalFormatting>
  <conditionalFormatting sqref="M189">
    <cfRule type="cellIs" dxfId="884" priority="6354" operator="equal">
      <formula>"value일 미도래"</formula>
    </cfRule>
  </conditionalFormatting>
  <conditionalFormatting sqref="M189">
    <cfRule type="cellIs" dxfId="883" priority="6353" operator="equal">
      <formula>"value일 미도래"</formula>
    </cfRule>
  </conditionalFormatting>
  <conditionalFormatting sqref="M189">
    <cfRule type="cellIs" dxfId="882" priority="6352" operator="equal">
      <formula>"value일 미도래"</formula>
    </cfRule>
  </conditionalFormatting>
  <conditionalFormatting sqref="M189">
    <cfRule type="cellIs" dxfId="881" priority="6351" operator="equal">
      <formula>"value일 미도래"</formula>
    </cfRule>
  </conditionalFormatting>
  <conditionalFormatting sqref="M189">
    <cfRule type="cellIs" dxfId="880" priority="6350" operator="equal">
      <formula>"value일 미도래"</formula>
    </cfRule>
  </conditionalFormatting>
  <conditionalFormatting sqref="M189">
    <cfRule type="cellIs" dxfId="879" priority="6317" operator="equal">
      <formula>"value일 미도래"</formula>
    </cfRule>
  </conditionalFormatting>
  <conditionalFormatting sqref="M189">
    <cfRule type="cellIs" dxfId="878" priority="6315" operator="equal">
      <formula>"value일 미도래"</formula>
    </cfRule>
  </conditionalFormatting>
  <conditionalFormatting sqref="M189">
    <cfRule type="cellIs" dxfId="877" priority="6314" operator="equal">
      <formula>"value일 미도래"</formula>
    </cfRule>
  </conditionalFormatting>
  <conditionalFormatting sqref="M189">
    <cfRule type="cellIs" dxfId="876" priority="6313" operator="equal">
      <formula>"value일 미도래"</formula>
    </cfRule>
  </conditionalFormatting>
  <conditionalFormatting sqref="M189">
    <cfRule type="cellIs" dxfId="875" priority="6312" operator="equal">
      <formula>"value일 미도래"</formula>
    </cfRule>
  </conditionalFormatting>
  <conditionalFormatting sqref="M189">
    <cfRule type="cellIs" dxfId="874" priority="6311" operator="equal">
      <formula>"value일 미도래"</formula>
    </cfRule>
  </conditionalFormatting>
  <conditionalFormatting sqref="M189">
    <cfRule type="cellIs" dxfId="873" priority="6278" operator="equal">
      <formula>"value일 미도래"</formula>
    </cfRule>
  </conditionalFormatting>
  <conditionalFormatting sqref="M189">
    <cfRule type="cellIs" dxfId="872" priority="6276" operator="equal">
      <formula>"value일 미도래"</formula>
    </cfRule>
  </conditionalFormatting>
  <conditionalFormatting sqref="M189">
    <cfRule type="cellIs" dxfId="871" priority="6275" operator="equal">
      <formula>"value일 미도래"</formula>
    </cfRule>
  </conditionalFormatting>
  <conditionalFormatting sqref="M189">
    <cfRule type="cellIs" dxfId="870" priority="6274" operator="equal">
      <formula>"value일 미도래"</formula>
    </cfRule>
  </conditionalFormatting>
  <conditionalFormatting sqref="M189">
    <cfRule type="cellIs" dxfId="869" priority="6273" operator="equal">
      <formula>"value일 미도래"</formula>
    </cfRule>
  </conditionalFormatting>
  <conditionalFormatting sqref="M189">
    <cfRule type="cellIs" dxfId="868" priority="6272" operator="equal">
      <formula>"value일 미도래"</formula>
    </cfRule>
  </conditionalFormatting>
  <conditionalFormatting sqref="M189">
    <cfRule type="cellIs" dxfId="867" priority="6136" operator="equal">
      <formula>"value일 미도래"</formula>
    </cfRule>
  </conditionalFormatting>
  <conditionalFormatting sqref="M189">
    <cfRule type="cellIs" dxfId="866" priority="6134" operator="equal">
      <formula>"value일 미도래"</formula>
    </cfRule>
  </conditionalFormatting>
  <conditionalFormatting sqref="M189">
    <cfRule type="cellIs" dxfId="865" priority="6133" operator="equal">
      <formula>"value일 미도래"</formula>
    </cfRule>
  </conditionalFormatting>
  <conditionalFormatting sqref="M189">
    <cfRule type="cellIs" dxfId="864" priority="6132" operator="equal">
      <formula>"value일 미도래"</formula>
    </cfRule>
  </conditionalFormatting>
  <conditionalFormatting sqref="M189">
    <cfRule type="cellIs" dxfId="863" priority="6131" operator="equal">
      <formula>"value일 미도래"</formula>
    </cfRule>
  </conditionalFormatting>
  <conditionalFormatting sqref="M189">
    <cfRule type="cellIs" dxfId="862" priority="6130" operator="equal">
      <formula>"value일 미도래"</formula>
    </cfRule>
  </conditionalFormatting>
  <conditionalFormatting sqref="M189">
    <cfRule type="cellIs" dxfId="861" priority="6097" operator="equal">
      <formula>"value일 미도래"</formula>
    </cfRule>
  </conditionalFormatting>
  <conditionalFormatting sqref="M189">
    <cfRule type="cellIs" dxfId="860" priority="6095" operator="equal">
      <formula>"value일 미도래"</formula>
    </cfRule>
  </conditionalFormatting>
  <conditionalFormatting sqref="M189">
    <cfRule type="cellIs" dxfId="859" priority="6094" operator="equal">
      <formula>"value일 미도래"</formula>
    </cfRule>
  </conditionalFormatting>
  <conditionalFormatting sqref="M189">
    <cfRule type="cellIs" dxfId="858" priority="6093" operator="equal">
      <formula>"value일 미도래"</formula>
    </cfRule>
  </conditionalFormatting>
  <conditionalFormatting sqref="M189">
    <cfRule type="cellIs" dxfId="857" priority="6092" operator="equal">
      <formula>"value일 미도래"</formula>
    </cfRule>
  </conditionalFormatting>
  <conditionalFormatting sqref="M189">
    <cfRule type="cellIs" dxfId="856" priority="6091" operator="equal">
      <formula>"value일 미도래"</formula>
    </cfRule>
  </conditionalFormatting>
  <conditionalFormatting sqref="M189">
    <cfRule type="cellIs" dxfId="855" priority="6019" operator="equal">
      <formula>"value일 미도래"</formula>
    </cfRule>
  </conditionalFormatting>
  <conditionalFormatting sqref="M189">
    <cfRule type="cellIs" dxfId="854" priority="6017" operator="equal">
      <formula>"value일 미도래"</formula>
    </cfRule>
  </conditionalFormatting>
  <conditionalFormatting sqref="M189">
    <cfRule type="cellIs" dxfId="853" priority="6016" operator="equal">
      <formula>"value일 미도래"</formula>
    </cfRule>
  </conditionalFormatting>
  <conditionalFormatting sqref="M189">
    <cfRule type="cellIs" dxfId="852" priority="6015" operator="equal">
      <formula>"value일 미도래"</formula>
    </cfRule>
  </conditionalFormatting>
  <conditionalFormatting sqref="M189">
    <cfRule type="cellIs" dxfId="851" priority="6014" operator="equal">
      <formula>"value일 미도래"</formula>
    </cfRule>
  </conditionalFormatting>
  <conditionalFormatting sqref="M189">
    <cfRule type="cellIs" dxfId="850" priority="6013" operator="equal">
      <formula>"value일 미도래"</formula>
    </cfRule>
  </conditionalFormatting>
  <conditionalFormatting sqref="M189">
    <cfRule type="cellIs" dxfId="849" priority="5994" operator="equal">
      <formula>"value일 미도래"</formula>
    </cfRule>
  </conditionalFormatting>
  <conditionalFormatting sqref="M189">
    <cfRule type="cellIs" dxfId="848" priority="5992" operator="equal">
      <formula>"value일 미도래"</formula>
    </cfRule>
  </conditionalFormatting>
  <conditionalFormatting sqref="M189">
    <cfRule type="cellIs" dxfId="847" priority="5991" operator="equal">
      <formula>"value일 미도래"</formula>
    </cfRule>
  </conditionalFormatting>
  <conditionalFormatting sqref="M189">
    <cfRule type="cellIs" dxfId="846" priority="5990" operator="equal">
      <formula>"value일 미도래"</formula>
    </cfRule>
  </conditionalFormatting>
  <conditionalFormatting sqref="M189">
    <cfRule type="cellIs" dxfId="845" priority="5989" operator="equal">
      <formula>"value일 미도래"</formula>
    </cfRule>
  </conditionalFormatting>
  <conditionalFormatting sqref="M189">
    <cfRule type="cellIs" dxfId="844" priority="5988" operator="equal">
      <formula>"value일 미도래"</formula>
    </cfRule>
  </conditionalFormatting>
  <conditionalFormatting sqref="M189">
    <cfRule type="cellIs" dxfId="843" priority="5955" operator="equal">
      <formula>"value일 미도래"</formula>
    </cfRule>
  </conditionalFormatting>
  <conditionalFormatting sqref="M189">
    <cfRule type="cellIs" dxfId="842" priority="5953" operator="equal">
      <formula>"value일 미도래"</formula>
    </cfRule>
  </conditionalFormatting>
  <conditionalFormatting sqref="M189">
    <cfRule type="cellIs" dxfId="841" priority="5952" operator="equal">
      <formula>"value일 미도래"</formula>
    </cfRule>
  </conditionalFormatting>
  <conditionalFormatting sqref="M189">
    <cfRule type="cellIs" dxfId="840" priority="5951" operator="equal">
      <formula>"value일 미도래"</formula>
    </cfRule>
  </conditionalFormatting>
  <conditionalFormatting sqref="M189">
    <cfRule type="cellIs" dxfId="839" priority="5950" operator="equal">
      <formula>"value일 미도래"</formula>
    </cfRule>
  </conditionalFormatting>
  <conditionalFormatting sqref="M189">
    <cfRule type="cellIs" dxfId="838" priority="5949" operator="equal">
      <formula>"value일 미도래"</formula>
    </cfRule>
  </conditionalFormatting>
  <conditionalFormatting sqref="M189">
    <cfRule type="cellIs" dxfId="837" priority="5916" operator="equal">
      <formula>"value일 미도래"</formula>
    </cfRule>
  </conditionalFormatting>
  <conditionalFormatting sqref="M189">
    <cfRule type="cellIs" dxfId="836" priority="5914" operator="equal">
      <formula>"value일 미도래"</formula>
    </cfRule>
  </conditionalFormatting>
  <conditionalFormatting sqref="M189">
    <cfRule type="cellIs" dxfId="835" priority="5913" operator="equal">
      <formula>"value일 미도래"</formula>
    </cfRule>
  </conditionalFormatting>
  <conditionalFormatting sqref="M189">
    <cfRule type="cellIs" dxfId="834" priority="5912" operator="equal">
      <formula>"value일 미도래"</formula>
    </cfRule>
  </conditionalFormatting>
  <conditionalFormatting sqref="M189">
    <cfRule type="cellIs" dxfId="833" priority="5911" operator="equal">
      <formula>"value일 미도래"</formula>
    </cfRule>
  </conditionalFormatting>
  <conditionalFormatting sqref="M189">
    <cfRule type="cellIs" dxfId="832" priority="5910" operator="equal">
      <formula>"value일 미도래"</formula>
    </cfRule>
  </conditionalFormatting>
  <conditionalFormatting sqref="M189">
    <cfRule type="cellIs" dxfId="831" priority="5746" operator="equal">
      <formula>"value일 미도래"</formula>
    </cfRule>
  </conditionalFormatting>
  <conditionalFormatting sqref="M189">
    <cfRule type="cellIs" dxfId="830" priority="5744" operator="equal">
      <formula>"value일 미도래"</formula>
    </cfRule>
  </conditionalFormatting>
  <conditionalFormatting sqref="M189">
    <cfRule type="cellIs" dxfId="829" priority="5743" operator="equal">
      <formula>"value일 미도래"</formula>
    </cfRule>
  </conditionalFormatting>
  <conditionalFormatting sqref="M189">
    <cfRule type="cellIs" dxfId="828" priority="5742" operator="equal">
      <formula>"value일 미도래"</formula>
    </cfRule>
  </conditionalFormatting>
  <conditionalFormatting sqref="M189">
    <cfRule type="cellIs" dxfId="827" priority="5741" operator="equal">
      <formula>"value일 미도래"</formula>
    </cfRule>
  </conditionalFormatting>
  <conditionalFormatting sqref="M189">
    <cfRule type="cellIs" dxfId="826" priority="5740" operator="equal">
      <formula>"value일 미도래"</formula>
    </cfRule>
  </conditionalFormatting>
  <conditionalFormatting sqref="M189">
    <cfRule type="cellIs" dxfId="825" priority="5604" operator="equal">
      <formula>"value일 미도래"</formula>
    </cfRule>
  </conditionalFormatting>
  <conditionalFormatting sqref="M189">
    <cfRule type="cellIs" dxfId="824" priority="5602" operator="equal">
      <formula>"value일 미도래"</formula>
    </cfRule>
  </conditionalFormatting>
  <conditionalFormatting sqref="M189">
    <cfRule type="cellIs" dxfId="823" priority="5601" operator="equal">
      <formula>"value일 미도래"</formula>
    </cfRule>
  </conditionalFormatting>
  <conditionalFormatting sqref="M189">
    <cfRule type="cellIs" dxfId="822" priority="5600" operator="equal">
      <formula>"value일 미도래"</formula>
    </cfRule>
  </conditionalFormatting>
  <conditionalFormatting sqref="M189">
    <cfRule type="cellIs" dxfId="821" priority="5599" operator="equal">
      <formula>"value일 미도래"</formula>
    </cfRule>
  </conditionalFormatting>
  <conditionalFormatting sqref="M189">
    <cfRule type="cellIs" dxfId="820" priority="5598" operator="equal">
      <formula>"value일 미도래"</formula>
    </cfRule>
  </conditionalFormatting>
  <conditionalFormatting sqref="M189">
    <cfRule type="cellIs" dxfId="819" priority="5565" operator="equal">
      <formula>"value일 미도래"</formula>
    </cfRule>
  </conditionalFormatting>
  <conditionalFormatting sqref="M189">
    <cfRule type="cellIs" dxfId="818" priority="5563" operator="equal">
      <formula>"value일 미도래"</formula>
    </cfRule>
  </conditionalFormatting>
  <conditionalFormatting sqref="M189">
    <cfRule type="cellIs" dxfId="817" priority="5562" operator="equal">
      <formula>"value일 미도래"</formula>
    </cfRule>
  </conditionalFormatting>
  <conditionalFormatting sqref="M189">
    <cfRule type="cellIs" dxfId="816" priority="5561" operator="equal">
      <formula>"value일 미도래"</formula>
    </cfRule>
  </conditionalFormatting>
  <conditionalFormatting sqref="M189">
    <cfRule type="cellIs" dxfId="815" priority="5560" operator="equal">
      <formula>"value일 미도래"</formula>
    </cfRule>
  </conditionalFormatting>
  <conditionalFormatting sqref="M189">
    <cfRule type="cellIs" dxfId="814" priority="5559" operator="equal">
      <formula>"value일 미도래"</formula>
    </cfRule>
  </conditionalFormatting>
  <conditionalFormatting sqref="M227:M228">
    <cfRule type="cellIs" dxfId="813" priority="5460" operator="equal">
      <formula>"value일 미도래"</formula>
    </cfRule>
  </conditionalFormatting>
  <conditionalFormatting sqref="M227:M228">
    <cfRule type="cellIs" dxfId="812" priority="5456" operator="equal">
      <formula>"value일 미도래"</formula>
    </cfRule>
  </conditionalFormatting>
  <conditionalFormatting sqref="M227:M228">
    <cfRule type="cellIs" dxfId="811" priority="5455" operator="equal">
      <formula>"value일 미도래"</formula>
    </cfRule>
  </conditionalFormatting>
  <conditionalFormatting sqref="M227:M228">
    <cfRule type="cellIs" dxfId="810" priority="5453" operator="equal">
      <formula>"value일 미도래"</formula>
    </cfRule>
  </conditionalFormatting>
  <conditionalFormatting sqref="M227:M228">
    <cfRule type="cellIs" dxfId="809" priority="5452" operator="equal">
      <formula>"value일 미도래"</formula>
    </cfRule>
  </conditionalFormatting>
  <conditionalFormatting sqref="M229">
    <cfRule type="cellIs" dxfId="808" priority="5399" operator="equal">
      <formula>"value일 미도래"</formula>
    </cfRule>
  </conditionalFormatting>
  <conditionalFormatting sqref="M229">
    <cfRule type="cellIs" dxfId="807" priority="5398" operator="equal">
      <formula>"value일 미도래"</formula>
    </cfRule>
  </conditionalFormatting>
  <conditionalFormatting sqref="M231">
    <cfRule type="cellIs" dxfId="806" priority="5349" operator="equal">
      <formula>"value일 미도래"</formula>
    </cfRule>
  </conditionalFormatting>
  <conditionalFormatting sqref="M191">
    <cfRule type="cellIs" dxfId="805" priority="5253" operator="equal">
      <formula>"value일 미도래"</formula>
    </cfRule>
  </conditionalFormatting>
  <conditionalFormatting sqref="M191">
    <cfRule type="cellIs" dxfId="804" priority="5251" operator="equal">
      <formula>"value일 미도래"</formula>
    </cfRule>
  </conditionalFormatting>
  <conditionalFormatting sqref="M191">
    <cfRule type="cellIs" dxfId="803" priority="5250" operator="equal">
      <formula>"value일 미도래"</formula>
    </cfRule>
  </conditionalFormatting>
  <conditionalFormatting sqref="M191">
    <cfRule type="cellIs" dxfId="802" priority="5249" operator="equal">
      <formula>"value일 미도래"</formula>
    </cfRule>
  </conditionalFormatting>
  <conditionalFormatting sqref="M191">
    <cfRule type="cellIs" dxfId="801" priority="5248" operator="equal">
      <formula>"value일 미도래"</formula>
    </cfRule>
  </conditionalFormatting>
  <conditionalFormatting sqref="M191">
    <cfRule type="cellIs" dxfId="800" priority="5247" operator="equal">
      <formula>"value일 미도래"</formula>
    </cfRule>
  </conditionalFormatting>
  <conditionalFormatting sqref="M191">
    <cfRule type="cellIs" dxfId="799" priority="5186" operator="equal">
      <formula>"value일 미도래"</formula>
    </cfRule>
  </conditionalFormatting>
  <conditionalFormatting sqref="M191">
    <cfRule type="cellIs" dxfId="798" priority="5184" operator="equal">
      <formula>"value일 미도래"</formula>
    </cfRule>
  </conditionalFormatting>
  <conditionalFormatting sqref="M191">
    <cfRule type="cellIs" dxfId="797" priority="5183" operator="equal">
      <formula>"value일 미도래"</formula>
    </cfRule>
  </conditionalFormatting>
  <conditionalFormatting sqref="M191">
    <cfRule type="cellIs" dxfId="796" priority="5182" operator="equal">
      <formula>"value일 미도래"</formula>
    </cfRule>
  </conditionalFormatting>
  <conditionalFormatting sqref="M191">
    <cfRule type="cellIs" dxfId="795" priority="5181" operator="equal">
      <formula>"value일 미도래"</formula>
    </cfRule>
  </conditionalFormatting>
  <conditionalFormatting sqref="M191">
    <cfRule type="cellIs" dxfId="794" priority="5180" operator="equal">
      <formula>"value일 미도래"</formula>
    </cfRule>
  </conditionalFormatting>
  <conditionalFormatting sqref="M191">
    <cfRule type="cellIs" dxfId="793" priority="5161" operator="equal">
      <formula>"value일 미도래"</formula>
    </cfRule>
  </conditionalFormatting>
  <conditionalFormatting sqref="M191">
    <cfRule type="cellIs" dxfId="792" priority="5159" operator="equal">
      <formula>"value일 미도래"</formula>
    </cfRule>
  </conditionalFormatting>
  <conditionalFormatting sqref="M191">
    <cfRule type="cellIs" dxfId="791" priority="5158" operator="equal">
      <formula>"value일 미도래"</formula>
    </cfRule>
  </conditionalFormatting>
  <conditionalFormatting sqref="M191">
    <cfRule type="cellIs" dxfId="790" priority="5157" operator="equal">
      <formula>"value일 미도래"</formula>
    </cfRule>
  </conditionalFormatting>
  <conditionalFormatting sqref="M191">
    <cfRule type="cellIs" dxfId="789" priority="5156" operator="equal">
      <formula>"value일 미도래"</formula>
    </cfRule>
  </conditionalFormatting>
  <conditionalFormatting sqref="M191">
    <cfRule type="cellIs" dxfId="788" priority="5155" operator="equal">
      <formula>"value일 미도래"</formula>
    </cfRule>
  </conditionalFormatting>
  <conditionalFormatting sqref="M190">
    <cfRule type="cellIs" dxfId="787" priority="5108" operator="equal">
      <formula>"value일 미도래"</formula>
    </cfRule>
  </conditionalFormatting>
  <conditionalFormatting sqref="M190">
    <cfRule type="cellIs" dxfId="786" priority="5106" operator="equal">
      <formula>"value일 미도래"</formula>
    </cfRule>
  </conditionalFormatting>
  <conditionalFormatting sqref="M190">
    <cfRule type="cellIs" dxfId="785" priority="5105" operator="equal">
      <formula>"value일 미도래"</formula>
    </cfRule>
  </conditionalFormatting>
  <conditionalFormatting sqref="M190">
    <cfRule type="cellIs" dxfId="784" priority="5104" operator="equal">
      <formula>"value일 미도래"</formula>
    </cfRule>
  </conditionalFormatting>
  <conditionalFormatting sqref="M190">
    <cfRule type="cellIs" dxfId="783" priority="5103" operator="equal">
      <formula>"value일 미도래"</formula>
    </cfRule>
  </conditionalFormatting>
  <conditionalFormatting sqref="M190">
    <cfRule type="cellIs" dxfId="782" priority="5102" operator="equal">
      <formula>"value일 미도래"</formula>
    </cfRule>
  </conditionalFormatting>
  <conditionalFormatting sqref="M191">
    <cfRule type="cellIs" dxfId="781" priority="5083" operator="equal">
      <formula>"value일 미도래"</formula>
    </cfRule>
  </conditionalFormatting>
  <conditionalFormatting sqref="M191">
    <cfRule type="cellIs" dxfId="780" priority="5081" operator="equal">
      <formula>"value일 미도래"</formula>
    </cfRule>
  </conditionalFormatting>
  <conditionalFormatting sqref="M191">
    <cfRule type="cellIs" dxfId="779" priority="5080" operator="equal">
      <formula>"value일 미도래"</formula>
    </cfRule>
  </conditionalFormatting>
  <conditionalFormatting sqref="M191">
    <cfRule type="cellIs" dxfId="778" priority="5079" operator="equal">
      <formula>"value일 미도래"</formula>
    </cfRule>
  </conditionalFormatting>
  <conditionalFormatting sqref="M191">
    <cfRule type="cellIs" dxfId="777" priority="5078" operator="equal">
      <formula>"value일 미도래"</formula>
    </cfRule>
  </conditionalFormatting>
  <conditionalFormatting sqref="M191">
    <cfRule type="cellIs" dxfId="776" priority="5077" operator="equal">
      <formula>"value일 미도래"</formula>
    </cfRule>
  </conditionalFormatting>
  <conditionalFormatting sqref="M191">
    <cfRule type="cellIs" dxfId="775" priority="5044" operator="equal">
      <formula>"value일 미도래"</formula>
    </cfRule>
  </conditionalFormatting>
  <conditionalFormatting sqref="M191">
    <cfRule type="cellIs" dxfId="774" priority="5042" operator="equal">
      <formula>"value일 미도래"</formula>
    </cfRule>
  </conditionalFormatting>
  <conditionalFormatting sqref="M191">
    <cfRule type="cellIs" dxfId="773" priority="5041" operator="equal">
      <formula>"value일 미도래"</formula>
    </cfRule>
  </conditionalFormatting>
  <conditionalFormatting sqref="M191">
    <cfRule type="cellIs" dxfId="772" priority="5040" operator="equal">
      <formula>"value일 미도래"</formula>
    </cfRule>
  </conditionalFormatting>
  <conditionalFormatting sqref="M191">
    <cfRule type="cellIs" dxfId="771" priority="5039" operator="equal">
      <formula>"value일 미도래"</formula>
    </cfRule>
  </conditionalFormatting>
  <conditionalFormatting sqref="M191">
    <cfRule type="cellIs" dxfId="770" priority="5038" operator="equal">
      <formula>"value일 미도래"</formula>
    </cfRule>
  </conditionalFormatting>
  <conditionalFormatting sqref="M191">
    <cfRule type="cellIs" dxfId="769" priority="5005" operator="equal">
      <formula>"value일 미도래"</formula>
    </cfRule>
  </conditionalFormatting>
  <conditionalFormatting sqref="M191">
    <cfRule type="cellIs" dxfId="768" priority="5003" operator="equal">
      <formula>"value일 미도래"</formula>
    </cfRule>
  </conditionalFormatting>
  <conditionalFormatting sqref="M191">
    <cfRule type="cellIs" dxfId="767" priority="5002" operator="equal">
      <formula>"value일 미도래"</formula>
    </cfRule>
  </conditionalFormatting>
  <conditionalFormatting sqref="M191">
    <cfRule type="cellIs" dxfId="766" priority="5001" operator="equal">
      <formula>"value일 미도래"</formula>
    </cfRule>
  </conditionalFormatting>
  <conditionalFormatting sqref="M191">
    <cfRule type="cellIs" dxfId="765" priority="5000" operator="equal">
      <formula>"value일 미도래"</formula>
    </cfRule>
  </conditionalFormatting>
  <conditionalFormatting sqref="M191">
    <cfRule type="cellIs" dxfId="764" priority="4999" operator="equal">
      <formula>"value일 미도래"</formula>
    </cfRule>
  </conditionalFormatting>
  <conditionalFormatting sqref="M190">
    <cfRule type="cellIs" dxfId="763" priority="4966" operator="equal">
      <formula>"value일 미도래"</formula>
    </cfRule>
  </conditionalFormatting>
  <conditionalFormatting sqref="M190">
    <cfRule type="cellIs" dxfId="762" priority="4964" operator="equal">
      <formula>"value일 미도래"</formula>
    </cfRule>
  </conditionalFormatting>
  <conditionalFormatting sqref="M190">
    <cfRule type="cellIs" dxfId="761" priority="4963" operator="equal">
      <formula>"value일 미도래"</formula>
    </cfRule>
  </conditionalFormatting>
  <conditionalFormatting sqref="M190">
    <cfRule type="cellIs" dxfId="760" priority="4962" operator="equal">
      <formula>"value일 미도래"</formula>
    </cfRule>
  </conditionalFormatting>
  <conditionalFormatting sqref="M190">
    <cfRule type="cellIs" dxfId="759" priority="4961" operator="equal">
      <formula>"value일 미도래"</formula>
    </cfRule>
  </conditionalFormatting>
  <conditionalFormatting sqref="M190">
    <cfRule type="cellIs" dxfId="758" priority="4960" operator="equal">
      <formula>"value일 미도래"</formula>
    </cfRule>
  </conditionalFormatting>
  <conditionalFormatting sqref="M190">
    <cfRule type="cellIs" dxfId="757" priority="4927" operator="equal">
      <formula>"value일 미도래"</formula>
    </cfRule>
  </conditionalFormatting>
  <conditionalFormatting sqref="M190">
    <cfRule type="cellIs" dxfId="756" priority="4925" operator="equal">
      <formula>"value일 미도래"</formula>
    </cfRule>
  </conditionalFormatting>
  <conditionalFormatting sqref="M190">
    <cfRule type="cellIs" dxfId="755" priority="4924" operator="equal">
      <formula>"value일 미도래"</formula>
    </cfRule>
  </conditionalFormatting>
  <conditionalFormatting sqref="M190">
    <cfRule type="cellIs" dxfId="754" priority="4923" operator="equal">
      <formula>"value일 미도래"</formula>
    </cfRule>
  </conditionalFormatting>
  <conditionalFormatting sqref="M190">
    <cfRule type="cellIs" dxfId="753" priority="4922" operator="equal">
      <formula>"value일 미도래"</formula>
    </cfRule>
  </conditionalFormatting>
  <conditionalFormatting sqref="M190">
    <cfRule type="cellIs" dxfId="752" priority="4921" operator="equal">
      <formula>"value일 미도래"</formula>
    </cfRule>
  </conditionalFormatting>
  <conditionalFormatting sqref="M191">
    <cfRule type="cellIs" dxfId="751" priority="4902" operator="equal">
      <formula>"value일 미도래"</formula>
    </cfRule>
  </conditionalFormatting>
  <conditionalFormatting sqref="M191">
    <cfRule type="cellIs" dxfId="750" priority="4900" operator="equal">
      <formula>"value일 미도래"</formula>
    </cfRule>
  </conditionalFormatting>
  <conditionalFormatting sqref="M191">
    <cfRule type="cellIs" dxfId="749" priority="4899" operator="equal">
      <formula>"value일 미도래"</formula>
    </cfRule>
  </conditionalFormatting>
  <conditionalFormatting sqref="M191">
    <cfRule type="cellIs" dxfId="748" priority="4898" operator="equal">
      <formula>"value일 미도래"</formula>
    </cfRule>
  </conditionalFormatting>
  <conditionalFormatting sqref="M191">
    <cfRule type="cellIs" dxfId="747" priority="4897" operator="equal">
      <formula>"value일 미도래"</formula>
    </cfRule>
  </conditionalFormatting>
  <conditionalFormatting sqref="M191">
    <cfRule type="cellIs" dxfId="746" priority="4896" operator="equal">
      <formula>"value일 미도래"</formula>
    </cfRule>
  </conditionalFormatting>
  <conditionalFormatting sqref="M191">
    <cfRule type="cellIs" dxfId="745" priority="4849" operator="equal">
      <formula>"value일 미도래"</formula>
    </cfRule>
  </conditionalFormatting>
  <conditionalFormatting sqref="M191">
    <cfRule type="cellIs" dxfId="744" priority="4847" operator="equal">
      <formula>"value일 미도래"</formula>
    </cfRule>
  </conditionalFormatting>
  <conditionalFormatting sqref="M191">
    <cfRule type="cellIs" dxfId="743" priority="4846" operator="equal">
      <formula>"value일 미도래"</formula>
    </cfRule>
  </conditionalFormatting>
  <conditionalFormatting sqref="M191">
    <cfRule type="cellIs" dxfId="742" priority="4845" operator="equal">
      <formula>"value일 미도래"</formula>
    </cfRule>
  </conditionalFormatting>
  <conditionalFormatting sqref="M191">
    <cfRule type="cellIs" dxfId="741" priority="4844" operator="equal">
      <formula>"value일 미도래"</formula>
    </cfRule>
  </conditionalFormatting>
  <conditionalFormatting sqref="M191">
    <cfRule type="cellIs" dxfId="740" priority="4843" operator="equal">
      <formula>"value일 미도래"</formula>
    </cfRule>
  </conditionalFormatting>
  <conditionalFormatting sqref="M191">
    <cfRule type="cellIs" dxfId="739" priority="4796" operator="equal">
      <formula>"value일 미도래"</formula>
    </cfRule>
  </conditionalFormatting>
  <conditionalFormatting sqref="M191">
    <cfRule type="cellIs" dxfId="738" priority="4794" operator="equal">
      <formula>"value일 미도래"</formula>
    </cfRule>
  </conditionalFormatting>
  <conditionalFormatting sqref="M191">
    <cfRule type="cellIs" dxfId="737" priority="4793" operator="equal">
      <formula>"value일 미도래"</formula>
    </cfRule>
  </conditionalFormatting>
  <conditionalFormatting sqref="M191">
    <cfRule type="cellIs" dxfId="736" priority="4792" operator="equal">
      <formula>"value일 미도래"</formula>
    </cfRule>
  </conditionalFormatting>
  <conditionalFormatting sqref="M191">
    <cfRule type="cellIs" dxfId="735" priority="4791" operator="equal">
      <formula>"value일 미도래"</formula>
    </cfRule>
  </conditionalFormatting>
  <conditionalFormatting sqref="M191">
    <cfRule type="cellIs" dxfId="734" priority="4790" operator="equal">
      <formula>"value일 미도래"</formula>
    </cfRule>
  </conditionalFormatting>
  <conditionalFormatting sqref="M191">
    <cfRule type="cellIs" dxfId="733" priority="4771" operator="equal">
      <formula>"value일 미도래"</formula>
    </cfRule>
  </conditionalFormatting>
  <conditionalFormatting sqref="M191">
    <cfRule type="cellIs" dxfId="732" priority="4769" operator="equal">
      <formula>"value일 미도래"</formula>
    </cfRule>
  </conditionalFormatting>
  <conditionalFormatting sqref="M191">
    <cfRule type="cellIs" dxfId="731" priority="4768" operator="equal">
      <formula>"value일 미도래"</formula>
    </cfRule>
  </conditionalFormatting>
  <conditionalFormatting sqref="M191">
    <cfRule type="cellIs" dxfId="730" priority="4767" operator="equal">
      <formula>"value일 미도래"</formula>
    </cfRule>
  </conditionalFormatting>
  <conditionalFormatting sqref="M191">
    <cfRule type="cellIs" dxfId="729" priority="4766" operator="equal">
      <formula>"value일 미도래"</formula>
    </cfRule>
  </conditionalFormatting>
  <conditionalFormatting sqref="M191">
    <cfRule type="cellIs" dxfId="728" priority="4765" operator="equal">
      <formula>"value일 미도래"</formula>
    </cfRule>
  </conditionalFormatting>
  <conditionalFormatting sqref="M191">
    <cfRule type="cellIs" dxfId="727" priority="4718" operator="equal">
      <formula>"value일 미도래"</formula>
    </cfRule>
  </conditionalFormatting>
  <conditionalFormatting sqref="M191">
    <cfRule type="cellIs" dxfId="726" priority="4716" operator="equal">
      <formula>"value일 미도래"</formula>
    </cfRule>
  </conditionalFormatting>
  <conditionalFormatting sqref="M191">
    <cfRule type="cellIs" dxfId="725" priority="4715" operator="equal">
      <formula>"value일 미도래"</formula>
    </cfRule>
  </conditionalFormatting>
  <conditionalFormatting sqref="M191">
    <cfRule type="cellIs" dxfId="724" priority="4714" operator="equal">
      <formula>"value일 미도래"</formula>
    </cfRule>
  </conditionalFormatting>
  <conditionalFormatting sqref="M191">
    <cfRule type="cellIs" dxfId="723" priority="4713" operator="equal">
      <formula>"value일 미도래"</formula>
    </cfRule>
  </conditionalFormatting>
  <conditionalFormatting sqref="M191">
    <cfRule type="cellIs" dxfId="722" priority="4712" operator="equal">
      <formula>"value일 미도래"</formula>
    </cfRule>
  </conditionalFormatting>
  <conditionalFormatting sqref="M191">
    <cfRule type="cellIs" dxfId="721" priority="4693" operator="equal">
      <formula>"value일 미도래"</formula>
    </cfRule>
  </conditionalFormatting>
  <conditionalFormatting sqref="M191">
    <cfRule type="cellIs" dxfId="720" priority="4691" operator="equal">
      <formula>"value일 미도래"</formula>
    </cfRule>
  </conditionalFormatting>
  <conditionalFormatting sqref="M191">
    <cfRule type="cellIs" dxfId="719" priority="4690" operator="equal">
      <formula>"value일 미도래"</formula>
    </cfRule>
  </conditionalFormatting>
  <conditionalFormatting sqref="M191">
    <cfRule type="cellIs" dxfId="718" priority="4689" operator="equal">
      <formula>"value일 미도래"</formula>
    </cfRule>
  </conditionalFormatting>
  <conditionalFormatting sqref="M191">
    <cfRule type="cellIs" dxfId="717" priority="4688" operator="equal">
      <formula>"value일 미도래"</formula>
    </cfRule>
  </conditionalFormatting>
  <conditionalFormatting sqref="M191">
    <cfRule type="cellIs" dxfId="716" priority="4687" operator="equal">
      <formula>"value일 미도래"</formula>
    </cfRule>
  </conditionalFormatting>
  <conditionalFormatting sqref="M191">
    <cfRule type="cellIs" dxfId="715" priority="4654" operator="equal">
      <formula>"value일 미도래"</formula>
    </cfRule>
  </conditionalFormatting>
  <conditionalFormatting sqref="M191">
    <cfRule type="cellIs" dxfId="714" priority="4652" operator="equal">
      <formula>"value일 미도래"</formula>
    </cfRule>
  </conditionalFormatting>
  <conditionalFormatting sqref="M191">
    <cfRule type="cellIs" dxfId="713" priority="4651" operator="equal">
      <formula>"value일 미도래"</formula>
    </cfRule>
  </conditionalFormatting>
  <conditionalFormatting sqref="M191">
    <cfRule type="cellIs" dxfId="712" priority="4650" operator="equal">
      <formula>"value일 미도래"</formula>
    </cfRule>
  </conditionalFormatting>
  <conditionalFormatting sqref="M191">
    <cfRule type="cellIs" dxfId="711" priority="4649" operator="equal">
      <formula>"value일 미도래"</formula>
    </cfRule>
  </conditionalFormatting>
  <conditionalFormatting sqref="M191">
    <cfRule type="cellIs" dxfId="710" priority="4648" operator="equal">
      <formula>"value일 미도래"</formula>
    </cfRule>
  </conditionalFormatting>
  <conditionalFormatting sqref="M191">
    <cfRule type="cellIs" dxfId="709" priority="4615" operator="equal">
      <formula>"value일 미도래"</formula>
    </cfRule>
  </conditionalFormatting>
  <conditionalFormatting sqref="M191">
    <cfRule type="cellIs" dxfId="708" priority="4613" operator="equal">
      <formula>"value일 미도래"</formula>
    </cfRule>
  </conditionalFormatting>
  <conditionalFormatting sqref="M191">
    <cfRule type="cellIs" dxfId="707" priority="4612" operator="equal">
      <formula>"value일 미도래"</formula>
    </cfRule>
  </conditionalFormatting>
  <conditionalFormatting sqref="M191">
    <cfRule type="cellIs" dxfId="706" priority="4611" operator="equal">
      <formula>"value일 미도래"</formula>
    </cfRule>
  </conditionalFormatting>
  <conditionalFormatting sqref="M191">
    <cfRule type="cellIs" dxfId="705" priority="4610" operator="equal">
      <formula>"value일 미도래"</formula>
    </cfRule>
  </conditionalFormatting>
  <conditionalFormatting sqref="M191">
    <cfRule type="cellIs" dxfId="704" priority="4609" operator="equal">
      <formula>"value일 미도래"</formula>
    </cfRule>
  </conditionalFormatting>
  <conditionalFormatting sqref="M191">
    <cfRule type="cellIs" dxfId="703" priority="4590" operator="equal">
      <formula>"value일 미도래"</formula>
    </cfRule>
  </conditionalFormatting>
  <conditionalFormatting sqref="M191">
    <cfRule type="cellIs" dxfId="702" priority="4588" operator="equal">
      <formula>"value일 미도래"</formula>
    </cfRule>
  </conditionalFormatting>
  <conditionalFormatting sqref="M191">
    <cfRule type="cellIs" dxfId="701" priority="4587" operator="equal">
      <formula>"value일 미도래"</formula>
    </cfRule>
  </conditionalFormatting>
  <conditionalFormatting sqref="M191">
    <cfRule type="cellIs" dxfId="700" priority="4586" operator="equal">
      <formula>"value일 미도래"</formula>
    </cfRule>
  </conditionalFormatting>
  <conditionalFormatting sqref="M191">
    <cfRule type="cellIs" dxfId="699" priority="4585" operator="equal">
      <formula>"value일 미도래"</formula>
    </cfRule>
  </conditionalFormatting>
  <conditionalFormatting sqref="M191">
    <cfRule type="cellIs" dxfId="698" priority="4584" operator="equal">
      <formula>"value일 미도래"</formula>
    </cfRule>
  </conditionalFormatting>
  <conditionalFormatting sqref="M191">
    <cfRule type="cellIs" dxfId="697" priority="4537" operator="equal">
      <formula>"value일 미도래"</formula>
    </cfRule>
  </conditionalFormatting>
  <conditionalFormatting sqref="M191">
    <cfRule type="cellIs" dxfId="696" priority="4535" operator="equal">
      <formula>"value일 미도래"</formula>
    </cfRule>
  </conditionalFormatting>
  <conditionalFormatting sqref="M191">
    <cfRule type="cellIs" dxfId="695" priority="4534" operator="equal">
      <formula>"value일 미도래"</formula>
    </cfRule>
  </conditionalFormatting>
  <conditionalFormatting sqref="M191">
    <cfRule type="cellIs" dxfId="694" priority="4533" operator="equal">
      <formula>"value일 미도래"</formula>
    </cfRule>
  </conditionalFormatting>
  <conditionalFormatting sqref="M191">
    <cfRule type="cellIs" dxfId="693" priority="4532" operator="equal">
      <formula>"value일 미도래"</formula>
    </cfRule>
  </conditionalFormatting>
  <conditionalFormatting sqref="M191">
    <cfRule type="cellIs" dxfId="692" priority="4531" operator="equal">
      <formula>"value일 미도래"</formula>
    </cfRule>
  </conditionalFormatting>
  <conditionalFormatting sqref="M191">
    <cfRule type="cellIs" dxfId="691" priority="4512" operator="equal">
      <formula>"value일 미도래"</formula>
    </cfRule>
  </conditionalFormatting>
  <conditionalFormatting sqref="M191">
    <cfRule type="cellIs" dxfId="690" priority="4510" operator="equal">
      <formula>"value일 미도래"</formula>
    </cfRule>
  </conditionalFormatting>
  <conditionalFormatting sqref="M191">
    <cfRule type="cellIs" dxfId="689" priority="4509" operator="equal">
      <formula>"value일 미도래"</formula>
    </cfRule>
  </conditionalFormatting>
  <conditionalFormatting sqref="M191">
    <cfRule type="cellIs" dxfId="688" priority="4508" operator="equal">
      <formula>"value일 미도래"</formula>
    </cfRule>
  </conditionalFormatting>
  <conditionalFormatting sqref="M191">
    <cfRule type="cellIs" dxfId="687" priority="4507" operator="equal">
      <formula>"value일 미도래"</formula>
    </cfRule>
  </conditionalFormatting>
  <conditionalFormatting sqref="M191">
    <cfRule type="cellIs" dxfId="686" priority="4506" operator="equal">
      <formula>"value일 미도래"</formula>
    </cfRule>
  </conditionalFormatting>
  <conditionalFormatting sqref="M191">
    <cfRule type="cellIs" dxfId="685" priority="4459" operator="equal">
      <formula>"value일 미도래"</formula>
    </cfRule>
  </conditionalFormatting>
  <conditionalFormatting sqref="M191">
    <cfRule type="cellIs" dxfId="684" priority="4457" operator="equal">
      <formula>"value일 미도래"</formula>
    </cfRule>
  </conditionalFormatting>
  <conditionalFormatting sqref="M191">
    <cfRule type="cellIs" dxfId="683" priority="4456" operator="equal">
      <formula>"value일 미도래"</formula>
    </cfRule>
  </conditionalFormatting>
  <conditionalFormatting sqref="M191">
    <cfRule type="cellIs" dxfId="682" priority="4455" operator="equal">
      <formula>"value일 미도래"</formula>
    </cfRule>
  </conditionalFormatting>
  <conditionalFormatting sqref="M191">
    <cfRule type="cellIs" dxfId="681" priority="4454" operator="equal">
      <formula>"value일 미도래"</formula>
    </cfRule>
  </conditionalFormatting>
  <conditionalFormatting sqref="M191">
    <cfRule type="cellIs" dxfId="680" priority="4453" operator="equal">
      <formula>"value일 미도래"</formula>
    </cfRule>
  </conditionalFormatting>
  <conditionalFormatting sqref="M191">
    <cfRule type="cellIs" dxfId="679" priority="4434" operator="equal">
      <formula>"value일 미도래"</formula>
    </cfRule>
  </conditionalFormatting>
  <conditionalFormatting sqref="M191">
    <cfRule type="cellIs" dxfId="678" priority="4432" operator="equal">
      <formula>"value일 미도래"</formula>
    </cfRule>
  </conditionalFormatting>
  <conditionalFormatting sqref="M191">
    <cfRule type="cellIs" dxfId="677" priority="4431" operator="equal">
      <formula>"value일 미도래"</formula>
    </cfRule>
  </conditionalFormatting>
  <conditionalFormatting sqref="M191">
    <cfRule type="cellIs" dxfId="676" priority="4430" operator="equal">
      <formula>"value일 미도래"</formula>
    </cfRule>
  </conditionalFormatting>
  <conditionalFormatting sqref="M191">
    <cfRule type="cellIs" dxfId="675" priority="4429" operator="equal">
      <formula>"value일 미도래"</formula>
    </cfRule>
  </conditionalFormatting>
  <conditionalFormatting sqref="M191">
    <cfRule type="cellIs" dxfId="674" priority="4428" operator="equal">
      <formula>"value일 미도래"</formula>
    </cfRule>
  </conditionalFormatting>
  <conditionalFormatting sqref="M191">
    <cfRule type="cellIs" dxfId="673" priority="4395" operator="equal">
      <formula>"value일 미도래"</formula>
    </cfRule>
  </conditionalFormatting>
  <conditionalFormatting sqref="M191">
    <cfRule type="cellIs" dxfId="672" priority="4393" operator="equal">
      <formula>"value일 미도래"</formula>
    </cfRule>
  </conditionalFormatting>
  <conditionalFormatting sqref="M191">
    <cfRule type="cellIs" dxfId="671" priority="4392" operator="equal">
      <formula>"value일 미도래"</formula>
    </cfRule>
  </conditionalFormatting>
  <conditionalFormatting sqref="M191">
    <cfRule type="cellIs" dxfId="670" priority="4391" operator="equal">
      <formula>"value일 미도래"</formula>
    </cfRule>
  </conditionalFormatting>
  <conditionalFormatting sqref="M191">
    <cfRule type="cellIs" dxfId="669" priority="4390" operator="equal">
      <formula>"value일 미도래"</formula>
    </cfRule>
  </conditionalFormatting>
  <conditionalFormatting sqref="M191">
    <cfRule type="cellIs" dxfId="668" priority="4389" operator="equal">
      <formula>"value일 미도래"</formula>
    </cfRule>
  </conditionalFormatting>
  <conditionalFormatting sqref="M191">
    <cfRule type="cellIs" dxfId="667" priority="4356" operator="equal">
      <formula>"value일 미도래"</formula>
    </cfRule>
  </conditionalFormatting>
  <conditionalFormatting sqref="M191">
    <cfRule type="cellIs" dxfId="666" priority="4354" operator="equal">
      <formula>"value일 미도래"</formula>
    </cfRule>
  </conditionalFormatting>
  <conditionalFormatting sqref="M191">
    <cfRule type="cellIs" dxfId="665" priority="4353" operator="equal">
      <formula>"value일 미도래"</formula>
    </cfRule>
  </conditionalFormatting>
  <conditionalFormatting sqref="M191">
    <cfRule type="cellIs" dxfId="664" priority="4352" operator="equal">
      <formula>"value일 미도래"</formula>
    </cfRule>
  </conditionalFormatting>
  <conditionalFormatting sqref="M191">
    <cfRule type="cellIs" dxfId="663" priority="4351" operator="equal">
      <formula>"value일 미도래"</formula>
    </cfRule>
  </conditionalFormatting>
  <conditionalFormatting sqref="M191">
    <cfRule type="cellIs" dxfId="662" priority="4350" operator="equal">
      <formula>"value일 미도래"</formula>
    </cfRule>
  </conditionalFormatting>
  <conditionalFormatting sqref="M191">
    <cfRule type="cellIs" dxfId="661" priority="4331" operator="equal">
      <formula>"value일 미도래"</formula>
    </cfRule>
  </conditionalFormatting>
  <conditionalFormatting sqref="M191">
    <cfRule type="cellIs" dxfId="660" priority="4329" operator="equal">
      <formula>"value일 미도래"</formula>
    </cfRule>
  </conditionalFormatting>
  <conditionalFormatting sqref="M191">
    <cfRule type="cellIs" dxfId="659" priority="4328" operator="equal">
      <formula>"value일 미도래"</formula>
    </cfRule>
  </conditionalFormatting>
  <conditionalFormatting sqref="M191">
    <cfRule type="cellIs" dxfId="658" priority="4327" operator="equal">
      <formula>"value일 미도래"</formula>
    </cfRule>
  </conditionalFormatting>
  <conditionalFormatting sqref="M191">
    <cfRule type="cellIs" dxfId="657" priority="4326" operator="equal">
      <formula>"value일 미도래"</formula>
    </cfRule>
  </conditionalFormatting>
  <conditionalFormatting sqref="M191">
    <cfRule type="cellIs" dxfId="656" priority="4325" operator="equal">
      <formula>"value일 미도래"</formula>
    </cfRule>
  </conditionalFormatting>
  <conditionalFormatting sqref="M191">
    <cfRule type="cellIs" dxfId="655" priority="4278" operator="equal">
      <formula>"value일 미도래"</formula>
    </cfRule>
  </conditionalFormatting>
  <conditionalFormatting sqref="M191">
    <cfRule type="cellIs" dxfId="654" priority="4276" operator="equal">
      <formula>"value일 미도래"</formula>
    </cfRule>
  </conditionalFormatting>
  <conditionalFormatting sqref="M191">
    <cfRule type="cellIs" dxfId="653" priority="4275" operator="equal">
      <formula>"value일 미도래"</formula>
    </cfRule>
  </conditionalFormatting>
  <conditionalFormatting sqref="M191">
    <cfRule type="cellIs" dxfId="652" priority="4274" operator="equal">
      <formula>"value일 미도래"</formula>
    </cfRule>
  </conditionalFormatting>
  <conditionalFormatting sqref="M191">
    <cfRule type="cellIs" dxfId="651" priority="4273" operator="equal">
      <formula>"value일 미도래"</formula>
    </cfRule>
  </conditionalFormatting>
  <conditionalFormatting sqref="M191">
    <cfRule type="cellIs" dxfId="650" priority="4272" operator="equal">
      <formula>"value일 미도래"</formula>
    </cfRule>
  </conditionalFormatting>
  <conditionalFormatting sqref="M191">
    <cfRule type="cellIs" dxfId="649" priority="4253" operator="equal">
      <formula>"value일 미도래"</formula>
    </cfRule>
  </conditionalFormatting>
  <conditionalFormatting sqref="M191">
    <cfRule type="cellIs" dxfId="648" priority="4251" operator="equal">
      <formula>"value일 미도래"</formula>
    </cfRule>
  </conditionalFormatting>
  <conditionalFormatting sqref="M191">
    <cfRule type="cellIs" dxfId="647" priority="4250" operator="equal">
      <formula>"value일 미도래"</formula>
    </cfRule>
  </conditionalFormatting>
  <conditionalFormatting sqref="M191">
    <cfRule type="cellIs" dxfId="646" priority="4249" operator="equal">
      <formula>"value일 미도래"</formula>
    </cfRule>
  </conditionalFormatting>
  <conditionalFormatting sqref="M191">
    <cfRule type="cellIs" dxfId="645" priority="4248" operator="equal">
      <formula>"value일 미도래"</formula>
    </cfRule>
  </conditionalFormatting>
  <conditionalFormatting sqref="M191">
    <cfRule type="cellIs" dxfId="644" priority="4247" operator="equal">
      <formula>"value일 미도래"</formula>
    </cfRule>
  </conditionalFormatting>
  <conditionalFormatting sqref="M191">
    <cfRule type="cellIs" dxfId="643" priority="4200" operator="equal">
      <formula>"value일 미도래"</formula>
    </cfRule>
  </conditionalFormatting>
  <conditionalFormatting sqref="M191">
    <cfRule type="cellIs" dxfId="642" priority="4198" operator="equal">
      <formula>"value일 미도래"</formula>
    </cfRule>
  </conditionalFormatting>
  <conditionalFormatting sqref="M191">
    <cfRule type="cellIs" dxfId="641" priority="4197" operator="equal">
      <formula>"value일 미도래"</formula>
    </cfRule>
  </conditionalFormatting>
  <conditionalFormatting sqref="M191">
    <cfRule type="cellIs" dxfId="640" priority="4196" operator="equal">
      <formula>"value일 미도래"</formula>
    </cfRule>
  </conditionalFormatting>
  <conditionalFormatting sqref="M191">
    <cfRule type="cellIs" dxfId="639" priority="4195" operator="equal">
      <formula>"value일 미도래"</formula>
    </cfRule>
  </conditionalFormatting>
  <conditionalFormatting sqref="M191">
    <cfRule type="cellIs" dxfId="638" priority="4194" operator="equal">
      <formula>"value일 미도래"</formula>
    </cfRule>
  </conditionalFormatting>
  <conditionalFormatting sqref="M191">
    <cfRule type="cellIs" dxfId="637" priority="4175" operator="equal">
      <formula>"value일 미도래"</formula>
    </cfRule>
  </conditionalFormatting>
  <conditionalFormatting sqref="M191">
    <cfRule type="cellIs" dxfId="636" priority="4173" operator="equal">
      <formula>"value일 미도래"</formula>
    </cfRule>
  </conditionalFormatting>
  <conditionalFormatting sqref="M191">
    <cfRule type="cellIs" dxfId="635" priority="4172" operator="equal">
      <formula>"value일 미도래"</formula>
    </cfRule>
  </conditionalFormatting>
  <conditionalFormatting sqref="M191">
    <cfRule type="cellIs" dxfId="634" priority="4171" operator="equal">
      <formula>"value일 미도래"</formula>
    </cfRule>
  </conditionalFormatting>
  <conditionalFormatting sqref="M191">
    <cfRule type="cellIs" dxfId="633" priority="4170" operator="equal">
      <formula>"value일 미도래"</formula>
    </cfRule>
  </conditionalFormatting>
  <conditionalFormatting sqref="M191">
    <cfRule type="cellIs" dxfId="632" priority="4169" operator="equal">
      <formula>"value일 미도래"</formula>
    </cfRule>
  </conditionalFormatting>
  <conditionalFormatting sqref="M191">
    <cfRule type="cellIs" dxfId="631" priority="4136" operator="equal">
      <formula>"value일 미도래"</formula>
    </cfRule>
  </conditionalFormatting>
  <conditionalFormatting sqref="M191">
    <cfRule type="cellIs" dxfId="630" priority="4134" operator="equal">
      <formula>"value일 미도래"</formula>
    </cfRule>
  </conditionalFormatting>
  <conditionalFormatting sqref="M191">
    <cfRule type="cellIs" dxfId="629" priority="4133" operator="equal">
      <formula>"value일 미도래"</formula>
    </cfRule>
  </conditionalFormatting>
  <conditionalFormatting sqref="M191">
    <cfRule type="cellIs" dxfId="628" priority="4132" operator="equal">
      <formula>"value일 미도래"</formula>
    </cfRule>
  </conditionalFormatting>
  <conditionalFormatting sqref="M191">
    <cfRule type="cellIs" dxfId="627" priority="4131" operator="equal">
      <formula>"value일 미도래"</formula>
    </cfRule>
  </conditionalFormatting>
  <conditionalFormatting sqref="M191">
    <cfRule type="cellIs" dxfId="626" priority="4130" operator="equal">
      <formula>"value일 미도래"</formula>
    </cfRule>
  </conditionalFormatting>
  <conditionalFormatting sqref="M191">
    <cfRule type="cellIs" dxfId="625" priority="4097" operator="equal">
      <formula>"value일 미도래"</formula>
    </cfRule>
  </conditionalFormatting>
  <conditionalFormatting sqref="M191">
    <cfRule type="cellIs" dxfId="624" priority="4095" operator="equal">
      <formula>"value일 미도래"</formula>
    </cfRule>
  </conditionalFormatting>
  <conditionalFormatting sqref="M191">
    <cfRule type="cellIs" dxfId="623" priority="4094" operator="equal">
      <formula>"value일 미도래"</formula>
    </cfRule>
  </conditionalFormatting>
  <conditionalFormatting sqref="M191">
    <cfRule type="cellIs" dxfId="622" priority="4093" operator="equal">
      <formula>"value일 미도래"</formula>
    </cfRule>
  </conditionalFormatting>
  <conditionalFormatting sqref="M191">
    <cfRule type="cellIs" dxfId="621" priority="4092" operator="equal">
      <formula>"value일 미도래"</formula>
    </cfRule>
  </conditionalFormatting>
  <conditionalFormatting sqref="M191">
    <cfRule type="cellIs" dxfId="620" priority="4091" operator="equal">
      <formula>"value일 미도래"</formula>
    </cfRule>
  </conditionalFormatting>
  <conditionalFormatting sqref="M191">
    <cfRule type="cellIs" dxfId="619" priority="4058" operator="equal">
      <formula>"value일 미도래"</formula>
    </cfRule>
  </conditionalFormatting>
  <conditionalFormatting sqref="M191">
    <cfRule type="cellIs" dxfId="618" priority="4056" operator="equal">
      <formula>"value일 미도래"</formula>
    </cfRule>
  </conditionalFormatting>
  <conditionalFormatting sqref="M191">
    <cfRule type="cellIs" dxfId="617" priority="4055" operator="equal">
      <formula>"value일 미도래"</formula>
    </cfRule>
  </conditionalFormatting>
  <conditionalFormatting sqref="M191">
    <cfRule type="cellIs" dxfId="616" priority="4054" operator="equal">
      <formula>"value일 미도래"</formula>
    </cfRule>
  </conditionalFormatting>
  <conditionalFormatting sqref="M191">
    <cfRule type="cellIs" dxfId="615" priority="4053" operator="equal">
      <formula>"value일 미도래"</formula>
    </cfRule>
  </conditionalFormatting>
  <conditionalFormatting sqref="M191">
    <cfRule type="cellIs" dxfId="614" priority="4052" operator="equal">
      <formula>"value일 미도래"</formula>
    </cfRule>
  </conditionalFormatting>
  <conditionalFormatting sqref="M191">
    <cfRule type="cellIs" dxfId="613" priority="4005" operator="equal">
      <formula>"value일 미도래"</formula>
    </cfRule>
  </conditionalFormatting>
  <conditionalFormatting sqref="M191">
    <cfRule type="cellIs" dxfId="612" priority="4003" operator="equal">
      <formula>"value일 미도래"</formula>
    </cfRule>
  </conditionalFormatting>
  <conditionalFormatting sqref="M191">
    <cfRule type="cellIs" dxfId="611" priority="4002" operator="equal">
      <formula>"value일 미도래"</formula>
    </cfRule>
  </conditionalFormatting>
  <conditionalFormatting sqref="M191">
    <cfRule type="cellIs" dxfId="610" priority="4001" operator="equal">
      <formula>"value일 미도래"</formula>
    </cfRule>
  </conditionalFormatting>
  <conditionalFormatting sqref="M191">
    <cfRule type="cellIs" dxfId="609" priority="4000" operator="equal">
      <formula>"value일 미도래"</formula>
    </cfRule>
  </conditionalFormatting>
  <conditionalFormatting sqref="M191">
    <cfRule type="cellIs" dxfId="608" priority="3999" operator="equal">
      <formula>"value일 미도래"</formula>
    </cfRule>
  </conditionalFormatting>
  <conditionalFormatting sqref="M191">
    <cfRule type="cellIs" dxfId="607" priority="3980" operator="equal">
      <formula>"value일 미도래"</formula>
    </cfRule>
  </conditionalFormatting>
  <conditionalFormatting sqref="M191">
    <cfRule type="cellIs" dxfId="606" priority="3978" operator="equal">
      <formula>"value일 미도래"</formula>
    </cfRule>
  </conditionalFormatting>
  <conditionalFormatting sqref="M191">
    <cfRule type="cellIs" dxfId="605" priority="3977" operator="equal">
      <formula>"value일 미도래"</formula>
    </cfRule>
  </conditionalFormatting>
  <conditionalFormatting sqref="M191">
    <cfRule type="cellIs" dxfId="604" priority="3976" operator="equal">
      <formula>"value일 미도래"</formula>
    </cfRule>
  </conditionalFormatting>
  <conditionalFormatting sqref="M191">
    <cfRule type="cellIs" dxfId="603" priority="3975" operator="equal">
      <formula>"value일 미도래"</formula>
    </cfRule>
  </conditionalFormatting>
  <conditionalFormatting sqref="M191">
    <cfRule type="cellIs" dxfId="602" priority="3974" operator="equal">
      <formula>"value일 미도래"</formula>
    </cfRule>
  </conditionalFormatting>
  <conditionalFormatting sqref="M190">
    <cfRule type="cellIs" dxfId="601" priority="3927" operator="equal">
      <formula>"value일 미도래"</formula>
    </cfRule>
  </conditionalFormatting>
  <conditionalFormatting sqref="M190">
    <cfRule type="cellIs" dxfId="600" priority="3925" operator="equal">
      <formula>"value일 미도래"</formula>
    </cfRule>
  </conditionalFormatting>
  <conditionalFormatting sqref="M190">
    <cfRule type="cellIs" dxfId="599" priority="3924" operator="equal">
      <formula>"value일 미도래"</formula>
    </cfRule>
  </conditionalFormatting>
  <conditionalFormatting sqref="M190">
    <cfRule type="cellIs" dxfId="598" priority="3923" operator="equal">
      <formula>"value일 미도래"</formula>
    </cfRule>
  </conditionalFormatting>
  <conditionalFormatting sqref="M190">
    <cfRule type="cellIs" dxfId="597" priority="3922" operator="equal">
      <formula>"value일 미도래"</formula>
    </cfRule>
  </conditionalFormatting>
  <conditionalFormatting sqref="M190">
    <cfRule type="cellIs" dxfId="596" priority="3921" operator="equal">
      <formula>"value일 미도래"</formula>
    </cfRule>
  </conditionalFormatting>
  <conditionalFormatting sqref="M191">
    <cfRule type="cellIs" dxfId="595" priority="3902" operator="equal">
      <formula>"value일 미도래"</formula>
    </cfRule>
  </conditionalFormatting>
  <conditionalFormatting sqref="M191">
    <cfRule type="cellIs" dxfId="594" priority="3900" operator="equal">
      <formula>"value일 미도래"</formula>
    </cfRule>
  </conditionalFormatting>
  <conditionalFormatting sqref="M191">
    <cfRule type="cellIs" dxfId="593" priority="3899" operator="equal">
      <formula>"value일 미도래"</formula>
    </cfRule>
  </conditionalFormatting>
  <conditionalFormatting sqref="M191">
    <cfRule type="cellIs" dxfId="592" priority="3898" operator="equal">
      <formula>"value일 미도래"</formula>
    </cfRule>
  </conditionalFormatting>
  <conditionalFormatting sqref="M191">
    <cfRule type="cellIs" dxfId="591" priority="3897" operator="equal">
      <formula>"value일 미도래"</formula>
    </cfRule>
  </conditionalFormatting>
  <conditionalFormatting sqref="M191">
    <cfRule type="cellIs" dxfId="590" priority="3896" operator="equal">
      <formula>"value일 미도래"</formula>
    </cfRule>
  </conditionalFormatting>
  <conditionalFormatting sqref="M191">
    <cfRule type="cellIs" dxfId="589" priority="3863" operator="equal">
      <formula>"value일 미도래"</formula>
    </cfRule>
  </conditionalFormatting>
  <conditionalFormatting sqref="M191">
    <cfRule type="cellIs" dxfId="588" priority="3861" operator="equal">
      <formula>"value일 미도래"</formula>
    </cfRule>
  </conditionalFormatting>
  <conditionalFormatting sqref="M191">
    <cfRule type="cellIs" dxfId="587" priority="3860" operator="equal">
      <formula>"value일 미도래"</formula>
    </cfRule>
  </conditionalFormatting>
  <conditionalFormatting sqref="M191">
    <cfRule type="cellIs" dxfId="586" priority="3859" operator="equal">
      <formula>"value일 미도래"</formula>
    </cfRule>
  </conditionalFormatting>
  <conditionalFormatting sqref="M191">
    <cfRule type="cellIs" dxfId="585" priority="3858" operator="equal">
      <formula>"value일 미도래"</formula>
    </cfRule>
  </conditionalFormatting>
  <conditionalFormatting sqref="M191">
    <cfRule type="cellIs" dxfId="584" priority="3857" operator="equal">
      <formula>"value일 미도래"</formula>
    </cfRule>
  </conditionalFormatting>
  <conditionalFormatting sqref="M191">
    <cfRule type="cellIs" dxfId="583" priority="3824" operator="equal">
      <formula>"value일 미도래"</formula>
    </cfRule>
  </conditionalFormatting>
  <conditionalFormatting sqref="M191">
    <cfRule type="cellIs" dxfId="582" priority="3822" operator="equal">
      <formula>"value일 미도래"</formula>
    </cfRule>
  </conditionalFormatting>
  <conditionalFormatting sqref="M191">
    <cfRule type="cellIs" dxfId="581" priority="3821" operator="equal">
      <formula>"value일 미도래"</formula>
    </cfRule>
  </conditionalFormatting>
  <conditionalFormatting sqref="M191">
    <cfRule type="cellIs" dxfId="580" priority="3820" operator="equal">
      <formula>"value일 미도래"</formula>
    </cfRule>
  </conditionalFormatting>
  <conditionalFormatting sqref="M191">
    <cfRule type="cellIs" dxfId="579" priority="3819" operator="equal">
      <formula>"value일 미도래"</formula>
    </cfRule>
  </conditionalFormatting>
  <conditionalFormatting sqref="M191">
    <cfRule type="cellIs" dxfId="578" priority="3818" operator="equal">
      <formula>"value일 미도래"</formula>
    </cfRule>
  </conditionalFormatting>
  <conditionalFormatting sqref="M190">
    <cfRule type="cellIs" dxfId="577" priority="3785" operator="equal">
      <formula>"value일 미도래"</formula>
    </cfRule>
  </conditionalFormatting>
  <conditionalFormatting sqref="M190">
    <cfRule type="cellIs" dxfId="576" priority="3783" operator="equal">
      <formula>"value일 미도래"</formula>
    </cfRule>
  </conditionalFormatting>
  <conditionalFormatting sqref="M190">
    <cfRule type="cellIs" dxfId="575" priority="3782" operator="equal">
      <formula>"value일 미도래"</formula>
    </cfRule>
  </conditionalFormatting>
  <conditionalFormatting sqref="M190">
    <cfRule type="cellIs" dxfId="574" priority="3781" operator="equal">
      <formula>"value일 미도래"</formula>
    </cfRule>
  </conditionalFormatting>
  <conditionalFormatting sqref="M190">
    <cfRule type="cellIs" dxfId="573" priority="3780" operator="equal">
      <formula>"value일 미도래"</formula>
    </cfRule>
  </conditionalFormatting>
  <conditionalFormatting sqref="M190">
    <cfRule type="cellIs" dxfId="572" priority="3779" operator="equal">
      <formula>"value일 미도래"</formula>
    </cfRule>
  </conditionalFormatting>
  <conditionalFormatting sqref="M190">
    <cfRule type="cellIs" dxfId="571" priority="3746" operator="equal">
      <formula>"value일 미도래"</formula>
    </cfRule>
  </conditionalFormatting>
  <conditionalFormatting sqref="M190">
    <cfRule type="cellIs" dxfId="570" priority="3744" operator="equal">
      <formula>"value일 미도래"</formula>
    </cfRule>
  </conditionalFormatting>
  <conditionalFormatting sqref="M190">
    <cfRule type="cellIs" dxfId="569" priority="3743" operator="equal">
      <formula>"value일 미도래"</formula>
    </cfRule>
  </conditionalFormatting>
  <conditionalFormatting sqref="M190">
    <cfRule type="cellIs" dxfId="568" priority="3742" operator="equal">
      <formula>"value일 미도래"</formula>
    </cfRule>
  </conditionalFormatting>
  <conditionalFormatting sqref="M190">
    <cfRule type="cellIs" dxfId="567" priority="3741" operator="equal">
      <formula>"value일 미도래"</formula>
    </cfRule>
  </conditionalFormatting>
  <conditionalFormatting sqref="M190">
    <cfRule type="cellIs" dxfId="566" priority="3740" operator="equal">
      <formula>"value일 미도래"</formula>
    </cfRule>
  </conditionalFormatting>
  <conditionalFormatting sqref="M191">
    <cfRule type="cellIs" dxfId="565" priority="3721" operator="equal">
      <formula>"value일 미도래"</formula>
    </cfRule>
  </conditionalFormatting>
  <conditionalFormatting sqref="M191">
    <cfRule type="cellIs" dxfId="564" priority="3719" operator="equal">
      <formula>"value일 미도래"</formula>
    </cfRule>
  </conditionalFormatting>
  <conditionalFormatting sqref="M191">
    <cfRule type="cellIs" dxfId="563" priority="3718" operator="equal">
      <formula>"value일 미도래"</formula>
    </cfRule>
  </conditionalFormatting>
  <conditionalFormatting sqref="M191">
    <cfRule type="cellIs" dxfId="562" priority="3717" operator="equal">
      <formula>"value일 미도래"</formula>
    </cfRule>
  </conditionalFormatting>
  <conditionalFormatting sqref="M191">
    <cfRule type="cellIs" dxfId="561" priority="3716" operator="equal">
      <formula>"value일 미도래"</formula>
    </cfRule>
  </conditionalFormatting>
  <conditionalFormatting sqref="M191">
    <cfRule type="cellIs" dxfId="560" priority="3715" operator="equal">
      <formula>"value일 미도래"</formula>
    </cfRule>
  </conditionalFormatting>
  <conditionalFormatting sqref="M190">
    <cfRule type="cellIs" dxfId="559" priority="3668" operator="equal">
      <formula>"value일 미도래"</formula>
    </cfRule>
  </conditionalFormatting>
  <conditionalFormatting sqref="M190">
    <cfRule type="cellIs" dxfId="558" priority="3666" operator="equal">
      <formula>"value일 미도래"</formula>
    </cfRule>
  </conditionalFormatting>
  <conditionalFormatting sqref="M190">
    <cfRule type="cellIs" dxfId="557" priority="3665" operator="equal">
      <formula>"value일 미도래"</formula>
    </cfRule>
  </conditionalFormatting>
  <conditionalFormatting sqref="M190">
    <cfRule type="cellIs" dxfId="556" priority="3664" operator="equal">
      <formula>"value일 미도래"</formula>
    </cfRule>
  </conditionalFormatting>
  <conditionalFormatting sqref="M190">
    <cfRule type="cellIs" dxfId="555" priority="3663" operator="equal">
      <formula>"value일 미도래"</formula>
    </cfRule>
  </conditionalFormatting>
  <conditionalFormatting sqref="M190">
    <cfRule type="cellIs" dxfId="554" priority="3662" operator="equal">
      <formula>"value일 미도래"</formula>
    </cfRule>
  </conditionalFormatting>
  <conditionalFormatting sqref="M190">
    <cfRule type="cellIs" dxfId="553" priority="3643" operator="equal">
      <formula>"value일 미도래"</formula>
    </cfRule>
  </conditionalFormatting>
  <conditionalFormatting sqref="M190">
    <cfRule type="cellIs" dxfId="552" priority="3641" operator="equal">
      <formula>"value일 미도래"</formula>
    </cfRule>
  </conditionalFormatting>
  <conditionalFormatting sqref="M190">
    <cfRule type="cellIs" dxfId="551" priority="3640" operator="equal">
      <formula>"value일 미도래"</formula>
    </cfRule>
  </conditionalFormatting>
  <conditionalFormatting sqref="M190">
    <cfRule type="cellIs" dxfId="550" priority="3639" operator="equal">
      <formula>"value일 미도래"</formula>
    </cfRule>
  </conditionalFormatting>
  <conditionalFormatting sqref="M190">
    <cfRule type="cellIs" dxfId="549" priority="3638" operator="equal">
      <formula>"value일 미도래"</formula>
    </cfRule>
  </conditionalFormatting>
  <conditionalFormatting sqref="M190">
    <cfRule type="cellIs" dxfId="548" priority="3637" operator="equal">
      <formula>"value일 미도래"</formula>
    </cfRule>
  </conditionalFormatting>
  <conditionalFormatting sqref="M190">
    <cfRule type="cellIs" dxfId="547" priority="3604" operator="equal">
      <formula>"value일 미도래"</formula>
    </cfRule>
  </conditionalFormatting>
  <conditionalFormatting sqref="M190">
    <cfRule type="cellIs" dxfId="546" priority="3602" operator="equal">
      <formula>"value일 미도래"</formula>
    </cfRule>
  </conditionalFormatting>
  <conditionalFormatting sqref="M190">
    <cfRule type="cellIs" dxfId="545" priority="3601" operator="equal">
      <formula>"value일 미도래"</formula>
    </cfRule>
  </conditionalFormatting>
  <conditionalFormatting sqref="M190">
    <cfRule type="cellIs" dxfId="544" priority="3600" operator="equal">
      <formula>"value일 미도래"</formula>
    </cfRule>
  </conditionalFormatting>
  <conditionalFormatting sqref="M190">
    <cfRule type="cellIs" dxfId="543" priority="3599" operator="equal">
      <formula>"value일 미도래"</formula>
    </cfRule>
  </conditionalFormatting>
  <conditionalFormatting sqref="M190">
    <cfRule type="cellIs" dxfId="542" priority="3598" operator="equal">
      <formula>"value일 미도래"</formula>
    </cfRule>
  </conditionalFormatting>
  <conditionalFormatting sqref="M190">
    <cfRule type="cellIs" dxfId="541" priority="3565" operator="equal">
      <formula>"value일 미도래"</formula>
    </cfRule>
  </conditionalFormatting>
  <conditionalFormatting sqref="M190">
    <cfRule type="cellIs" dxfId="540" priority="3563" operator="equal">
      <formula>"value일 미도래"</formula>
    </cfRule>
  </conditionalFormatting>
  <conditionalFormatting sqref="M190">
    <cfRule type="cellIs" dxfId="539" priority="3562" operator="equal">
      <formula>"value일 미도래"</formula>
    </cfRule>
  </conditionalFormatting>
  <conditionalFormatting sqref="M190">
    <cfRule type="cellIs" dxfId="538" priority="3561" operator="equal">
      <formula>"value일 미도래"</formula>
    </cfRule>
  </conditionalFormatting>
  <conditionalFormatting sqref="M190">
    <cfRule type="cellIs" dxfId="537" priority="3560" operator="equal">
      <formula>"value일 미도래"</formula>
    </cfRule>
  </conditionalFormatting>
  <conditionalFormatting sqref="M190">
    <cfRule type="cellIs" dxfId="536" priority="3559" operator="equal">
      <formula>"value일 미도래"</formula>
    </cfRule>
  </conditionalFormatting>
  <conditionalFormatting sqref="M191">
    <cfRule type="cellIs" dxfId="535" priority="3540" operator="equal">
      <formula>"value일 미도래"</formula>
    </cfRule>
  </conditionalFormatting>
  <conditionalFormatting sqref="M191">
    <cfRule type="cellIs" dxfId="534" priority="3538" operator="equal">
      <formula>"value일 미도래"</formula>
    </cfRule>
  </conditionalFormatting>
  <conditionalFormatting sqref="M191">
    <cfRule type="cellIs" dxfId="533" priority="3537" operator="equal">
      <formula>"value일 미도래"</formula>
    </cfRule>
  </conditionalFormatting>
  <conditionalFormatting sqref="M191">
    <cfRule type="cellIs" dxfId="532" priority="3536" operator="equal">
      <formula>"value일 미도래"</formula>
    </cfRule>
  </conditionalFormatting>
  <conditionalFormatting sqref="M191">
    <cfRule type="cellIs" dxfId="531" priority="3535" operator="equal">
      <formula>"value일 미도래"</formula>
    </cfRule>
  </conditionalFormatting>
  <conditionalFormatting sqref="M191">
    <cfRule type="cellIs" dxfId="530" priority="3534" operator="equal">
      <formula>"value일 미도래"</formula>
    </cfRule>
  </conditionalFormatting>
  <conditionalFormatting sqref="M191">
    <cfRule type="cellIs" dxfId="529" priority="3473" operator="equal">
      <formula>"value일 미도래"</formula>
    </cfRule>
  </conditionalFormatting>
  <conditionalFormatting sqref="M191">
    <cfRule type="cellIs" dxfId="528" priority="3471" operator="equal">
      <formula>"value일 미도래"</formula>
    </cfRule>
  </conditionalFormatting>
  <conditionalFormatting sqref="M191">
    <cfRule type="cellIs" dxfId="527" priority="3470" operator="equal">
      <formula>"value일 미도래"</formula>
    </cfRule>
  </conditionalFormatting>
  <conditionalFormatting sqref="M191">
    <cfRule type="cellIs" dxfId="526" priority="3469" operator="equal">
      <formula>"value일 미도래"</formula>
    </cfRule>
  </conditionalFormatting>
  <conditionalFormatting sqref="M191">
    <cfRule type="cellIs" dxfId="525" priority="3468" operator="equal">
      <formula>"value일 미도래"</formula>
    </cfRule>
  </conditionalFormatting>
  <conditionalFormatting sqref="M191">
    <cfRule type="cellIs" dxfId="524" priority="3467" operator="equal">
      <formula>"value일 미도래"</formula>
    </cfRule>
  </conditionalFormatting>
  <conditionalFormatting sqref="M191">
    <cfRule type="cellIs" dxfId="523" priority="3448" operator="equal">
      <formula>"value일 미도래"</formula>
    </cfRule>
  </conditionalFormatting>
  <conditionalFormatting sqref="M191">
    <cfRule type="cellIs" dxfId="522" priority="3446" operator="equal">
      <formula>"value일 미도래"</formula>
    </cfRule>
  </conditionalFormatting>
  <conditionalFormatting sqref="M191">
    <cfRule type="cellIs" dxfId="521" priority="3445" operator="equal">
      <formula>"value일 미도래"</formula>
    </cfRule>
  </conditionalFormatting>
  <conditionalFormatting sqref="M191">
    <cfRule type="cellIs" dxfId="520" priority="3444" operator="equal">
      <formula>"value일 미도래"</formula>
    </cfRule>
  </conditionalFormatting>
  <conditionalFormatting sqref="M191">
    <cfRule type="cellIs" dxfId="519" priority="3443" operator="equal">
      <formula>"value일 미도래"</formula>
    </cfRule>
  </conditionalFormatting>
  <conditionalFormatting sqref="M191">
    <cfRule type="cellIs" dxfId="518" priority="3442" operator="equal">
      <formula>"value일 미도래"</formula>
    </cfRule>
  </conditionalFormatting>
  <conditionalFormatting sqref="M190">
    <cfRule type="cellIs" dxfId="517" priority="3395" operator="equal">
      <formula>"value일 미도래"</formula>
    </cfRule>
  </conditionalFormatting>
  <conditionalFormatting sqref="M190">
    <cfRule type="cellIs" dxfId="516" priority="3393" operator="equal">
      <formula>"value일 미도래"</formula>
    </cfRule>
  </conditionalFormatting>
  <conditionalFormatting sqref="M190">
    <cfRule type="cellIs" dxfId="515" priority="3392" operator="equal">
      <formula>"value일 미도래"</formula>
    </cfRule>
  </conditionalFormatting>
  <conditionalFormatting sqref="M190">
    <cfRule type="cellIs" dxfId="514" priority="3391" operator="equal">
      <formula>"value일 미도래"</formula>
    </cfRule>
  </conditionalFormatting>
  <conditionalFormatting sqref="M190">
    <cfRule type="cellIs" dxfId="513" priority="3390" operator="equal">
      <formula>"value일 미도래"</formula>
    </cfRule>
  </conditionalFormatting>
  <conditionalFormatting sqref="M190">
    <cfRule type="cellIs" dxfId="512" priority="3389" operator="equal">
      <formula>"value일 미도래"</formula>
    </cfRule>
  </conditionalFormatting>
  <conditionalFormatting sqref="M191">
    <cfRule type="cellIs" dxfId="511" priority="3370" operator="equal">
      <formula>"value일 미도래"</formula>
    </cfRule>
  </conditionalFormatting>
  <conditionalFormatting sqref="M191">
    <cfRule type="cellIs" dxfId="510" priority="3368" operator="equal">
      <formula>"value일 미도래"</formula>
    </cfRule>
  </conditionalFormatting>
  <conditionalFormatting sqref="M191">
    <cfRule type="cellIs" dxfId="509" priority="3367" operator="equal">
      <formula>"value일 미도래"</formula>
    </cfRule>
  </conditionalFormatting>
  <conditionalFormatting sqref="M191">
    <cfRule type="cellIs" dxfId="508" priority="3366" operator="equal">
      <formula>"value일 미도래"</formula>
    </cfRule>
  </conditionalFormatting>
  <conditionalFormatting sqref="M191">
    <cfRule type="cellIs" dxfId="507" priority="3365" operator="equal">
      <formula>"value일 미도래"</formula>
    </cfRule>
  </conditionalFormatting>
  <conditionalFormatting sqref="M191">
    <cfRule type="cellIs" dxfId="506" priority="3364" operator="equal">
      <formula>"value일 미도래"</formula>
    </cfRule>
  </conditionalFormatting>
  <conditionalFormatting sqref="M191">
    <cfRule type="cellIs" dxfId="505" priority="3331" operator="equal">
      <formula>"value일 미도래"</formula>
    </cfRule>
  </conditionalFormatting>
  <conditionalFormatting sqref="M191">
    <cfRule type="cellIs" dxfId="504" priority="3329" operator="equal">
      <formula>"value일 미도래"</formula>
    </cfRule>
  </conditionalFormatting>
  <conditionalFormatting sqref="M191">
    <cfRule type="cellIs" dxfId="503" priority="3328" operator="equal">
      <formula>"value일 미도래"</formula>
    </cfRule>
  </conditionalFormatting>
  <conditionalFormatting sqref="M191">
    <cfRule type="cellIs" dxfId="502" priority="3327" operator="equal">
      <formula>"value일 미도래"</formula>
    </cfRule>
  </conditionalFormatting>
  <conditionalFormatting sqref="M191">
    <cfRule type="cellIs" dxfId="501" priority="3326" operator="equal">
      <formula>"value일 미도래"</formula>
    </cfRule>
  </conditionalFormatting>
  <conditionalFormatting sqref="M191">
    <cfRule type="cellIs" dxfId="500" priority="3325" operator="equal">
      <formula>"value일 미도래"</formula>
    </cfRule>
  </conditionalFormatting>
  <conditionalFormatting sqref="M191">
    <cfRule type="cellIs" dxfId="499" priority="3292" operator="equal">
      <formula>"value일 미도래"</formula>
    </cfRule>
  </conditionalFormatting>
  <conditionalFormatting sqref="M191">
    <cfRule type="cellIs" dxfId="498" priority="3290" operator="equal">
      <formula>"value일 미도래"</formula>
    </cfRule>
  </conditionalFormatting>
  <conditionalFormatting sqref="M191">
    <cfRule type="cellIs" dxfId="497" priority="3289" operator="equal">
      <formula>"value일 미도래"</formula>
    </cfRule>
  </conditionalFormatting>
  <conditionalFormatting sqref="M191">
    <cfRule type="cellIs" dxfId="496" priority="3288" operator="equal">
      <formula>"value일 미도래"</formula>
    </cfRule>
  </conditionalFormatting>
  <conditionalFormatting sqref="M191">
    <cfRule type="cellIs" dxfId="495" priority="3287" operator="equal">
      <formula>"value일 미도래"</formula>
    </cfRule>
  </conditionalFormatting>
  <conditionalFormatting sqref="M191">
    <cfRule type="cellIs" dxfId="494" priority="3286" operator="equal">
      <formula>"value일 미도래"</formula>
    </cfRule>
  </conditionalFormatting>
  <conditionalFormatting sqref="M190">
    <cfRule type="cellIs" dxfId="493" priority="3253" operator="equal">
      <formula>"value일 미도래"</formula>
    </cfRule>
  </conditionalFormatting>
  <conditionalFormatting sqref="M190">
    <cfRule type="cellIs" dxfId="492" priority="3251" operator="equal">
      <formula>"value일 미도래"</formula>
    </cfRule>
  </conditionalFormatting>
  <conditionalFormatting sqref="M190">
    <cfRule type="cellIs" dxfId="491" priority="3250" operator="equal">
      <formula>"value일 미도래"</formula>
    </cfRule>
  </conditionalFormatting>
  <conditionalFormatting sqref="M190">
    <cfRule type="cellIs" dxfId="490" priority="3249" operator="equal">
      <formula>"value일 미도래"</formula>
    </cfRule>
  </conditionalFormatting>
  <conditionalFormatting sqref="M190">
    <cfRule type="cellIs" dxfId="489" priority="3248" operator="equal">
      <formula>"value일 미도래"</formula>
    </cfRule>
  </conditionalFormatting>
  <conditionalFormatting sqref="M190">
    <cfRule type="cellIs" dxfId="488" priority="3247" operator="equal">
      <formula>"value일 미도래"</formula>
    </cfRule>
  </conditionalFormatting>
  <conditionalFormatting sqref="M190">
    <cfRule type="cellIs" dxfId="487" priority="3214" operator="equal">
      <formula>"value일 미도래"</formula>
    </cfRule>
  </conditionalFormatting>
  <conditionalFormatting sqref="M190">
    <cfRule type="cellIs" dxfId="486" priority="3212" operator="equal">
      <formula>"value일 미도래"</formula>
    </cfRule>
  </conditionalFormatting>
  <conditionalFormatting sqref="M190">
    <cfRule type="cellIs" dxfId="485" priority="3211" operator="equal">
      <formula>"value일 미도래"</formula>
    </cfRule>
  </conditionalFormatting>
  <conditionalFormatting sqref="M190">
    <cfRule type="cellIs" dxfId="484" priority="3210" operator="equal">
      <formula>"value일 미도래"</formula>
    </cfRule>
  </conditionalFormatting>
  <conditionalFormatting sqref="M190">
    <cfRule type="cellIs" dxfId="483" priority="3209" operator="equal">
      <formula>"value일 미도래"</formula>
    </cfRule>
  </conditionalFormatting>
  <conditionalFormatting sqref="M190">
    <cfRule type="cellIs" dxfId="482" priority="3208" operator="equal">
      <formula>"value일 미도래"</formula>
    </cfRule>
  </conditionalFormatting>
  <conditionalFormatting sqref="M191">
    <cfRule type="cellIs" dxfId="481" priority="3189" operator="equal">
      <formula>"value일 미도래"</formula>
    </cfRule>
  </conditionalFormatting>
  <conditionalFormatting sqref="M191">
    <cfRule type="cellIs" dxfId="480" priority="3187" operator="equal">
      <formula>"value일 미도래"</formula>
    </cfRule>
  </conditionalFormatting>
  <conditionalFormatting sqref="M191">
    <cfRule type="cellIs" dxfId="479" priority="3186" operator="equal">
      <formula>"value일 미도래"</formula>
    </cfRule>
  </conditionalFormatting>
  <conditionalFormatting sqref="M191">
    <cfRule type="cellIs" dxfId="478" priority="3185" operator="equal">
      <formula>"value일 미도래"</formula>
    </cfRule>
  </conditionalFormatting>
  <conditionalFormatting sqref="M191">
    <cfRule type="cellIs" dxfId="477" priority="3184" operator="equal">
      <formula>"value일 미도래"</formula>
    </cfRule>
  </conditionalFormatting>
  <conditionalFormatting sqref="M191">
    <cfRule type="cellIs" dxfId="476" priority="3183" operator="equal">
      <formula>"value일 미도래"</formula>
    </cfRule>
  </conditionalFormatting>
  <conditionalFormatting sqref="M191">
    <cfRule type="cellIs" dxfId="475" priority="3150" operator="equal">
      <formula>"value일 미도래"</formula>
    </cfRule>
  </conditionalFormatting>
  <conditionalFormatting sqref="M191">
    <cfRule type="cellIs" dxfId="474" priority="3148" operator="equal">
      <formula>"value일 미도래"</formula>
    </cfRule>
  </conditionalFormatting>
  <conditionalFormatting sqref="M191">
    <cfRule type="cellIs" dxfId="473" priority="3147" operator="equal">
      <formula>"value일 미도래"</formula>
    </cfRule>
  </conditionalFormatting>
  <conditionalFormatting sqref="M191">
    <cfRule type="cellIs" dxfId="472" priority="3146" operator="equal">
      <formula>"value일 미도래"</formula>
    </cfRule>
  </conditionalFormatting>
  <conditionalFormatting sqref="M191">
    <cfRule type="cellIs" dxfId="471" priority="3145" operator="equal">
      <formula>"value일 미도래"</formula>
    </cfRule>
  </conditionalFormatting>
  <conditionalFormatting sqref="M191">
    <cfRule type="cellIs" dxfId="470" priority="3144" operator="equal">
      <formula>"value일 미도래"</formula>
    </cfRule>
  </conditionalFormatting>
  <conditionalFormatting sqref="M191">
    <cfRule type="cellIs" dxfId="469" priority="3097" operator="equal">
      <formula>"value일 미도래"</formula>
    </cfRule>
  </conditionalFormatting>
  <conditionalFormatting sqref="M191">
    <cfRule type="cellIs" dxfId="468" priority="3095" operator="equal">
      <formula>"value일 미도래"</formula>
    </cfRule>
  </conditionalFormatting>
  <conditionalFormatting sqref="M191">
    <cfRule type="cellIs" dxfId="467" priority="3094" operator="equal">
      <formula>"value일 미도래"</formula>
    </cfRule>
  </conditionalFormatting>
  <conditionalFormatting sqref="M191">
    <cfRule type="cellIs" dxfId="466" priority="3093" operator="equal">
      <formula>"value일 미도래"</formula>
    </cfRule>
  </conditionalFormatting>
  <conditionalFormatting sqref="M191">
    <cfRule type="cellIs" dxfId="465" priority="3092" operator="equal">
      <formula>"value일 미도래"</formula>
    </cfRule>
  </conditionalFormatting>
  <conditionalFormatting sqref="M191">
    <cfRule type="cellIs" dxfId="464" priority="3091" operator="equal">
      <formula>"value일 미도래"</formula>
    </cfRule>
  </conditionalFormatting>
  <conditionalFormatting sqref="M191">
    <cfRule type="cellIs" dxfId="463" priority="3072" operator="equal">
      <formula>"value일 미도래"</formula>
    </cfRule>
  </conditionalFormatting>
  <conditionalFormatting sqref="M191">
    <cfRule type="cellIs" dxfId="462" priority="3070" operator="equal">
      <formula>"value일 미도래"</formula>
    </cfRule>
  </conditionalFormatting>
  <conditionalFormatting sqref="M191">
    <cfRule type="cellIs" dxfId="461" priority="3069" operator="equal">
      <formula>"value일 미도래"</formula>
    </cfRule>
  </conditionalFormatting>
  <conditionalFormatting sqref="M191">
    <cfRule type="cellIs" dxfId="460" priority="3068" operator="equal">
      <formula>"value일 미도래"</formula>
    </cfRule>
  </conditionalFormatting>
  <conditionalFormatting sqref="M191">
    <cfRule type="cellIs" dxfId="459" priority="3067" operator="equal">
      <formula>"value일 미도래"</formula>
    </cfRule>
  </conditionalFormatting>
  <conditionalFormatting sqref="M191">
    <cfRule type="cellIs" dxfId="458" priority="3066" operator="equal">
      <formula>"value일 미도래"</formula>
    </cfRule>
  </conditionalFormatting>
  <conditionalFormatting sqref="M191">
    <cfRule type="cellIs" dxfId="457" priority="3019" operator="equal">
      <formula>"value일 미도래"</formula>
    </cfRule>
  </conditionalFormatting>
  <conditionalFormatting sqref="M191">
    <cfRule type="cellIs" dxfId="456" priority="3017" operator="equal">
      <formula>"value일 미도래"</formula>
    </cfRule>
  </conditionalFormatting>
  <conditionalFormatting sqref="M191">
    <cfRule type="cellIs" dxfId="455" priority="3016" operator="equal">
      <formula>"value일 미도래"</formula>
    </cfRule>
  </conditionalFormatting>
  <conditionalFormatting sqref="M191">
    <cfRule type="cellIs" dxfId="454" priority="3015" operator="equal">
      <formula>"value일 미도래"</formula>
    </cfRule>
  </conditionalFormatting>
  <conditionalFormatting sqref="M191">
    <cfRule type="cellIs" dxfId="453" priority="3014" operator="equal">
      <formula>"value일 미도래"</formula>
    </cfRule>
  </conditionalFormatting>
  <conditionalFormatting sqref="M191">
    <cfRule type="cellIs" dxfId="452" priority="3013" operator="equal">
      <formula>"value일 미도래"</formula>
    </cfRule>
  </conditionalFormatting>
  <conditionalFormatting sqref="M191">
    <cfRule type="cellIs" dxfId="451" priority="2994" operator="equal">
      <formula>"value일 미도래"</formula>
    </cfRule>
  </conditionalFormatting>
  <conditionalFormatting sqref="M191">
    <cfRule type="cellIs" dxfId="450" priority="2992" operator="equal">
      <formula>"value일 미도래"</formula>
    </cfRule>
  </conditionalFormatting>
  <conditionalFormatting sqref="M191">
    <cfRule type="cellIs" dxfId="449" priority="2991" operator="equal">
      <formula>"value일 미도래"</formula>
    </cfRule>
  </conditionalFormatting>
  <conditionalFormatting sqref="M191">
    <cfRule type="cellIs" dxfId="448" priority="2990" operator="equal">
      <formula>"value일 미도래"</formula>
    </cfRule>
  </conditionalFormatting>
  <conditionalFormatting sqref="M191">
    <cfRule type="cellIs" dxfId="447" priority="2989" operator="equal">
      <formula>"value일 미도래"</formula>
    </cfRule>
  </conditionalFormatting>
  <conditionalFormatting sqref="M191">
    <cfRule type="cellIs" dxfId="446" priority="2988" operator="equal">
      <formula>"value일 미도래"</formula>
    </cfRule>
  </conditionalFormatting>
  <conditionalFormatting sqref="M191">
    <cfRule type="cellIs" dxfId="445" priority="2955" operator="equal">
      <formula>"value일 미도래"</formula>
    </cfRule>
  </conditionalFormatting>
  <conditionalFormatting sqref="M191">
    <cfRule type="cellIs" dxfId="444" priority="2953" operator="equal">
      <formula>"value일 미도래"</formula>
    </cfRule>
  </conditionalFormatting>
  <conditionalFormatting sqref="M191">
    <cfRule type="cellIs" dxfId="443" priority="2952" operator="equal">
      <formula>"value일 미도래"</formula>
    </cfRule>
  </conditionalFormatting>
  <conditionalFormatting sqref="M191">
    <cfRule type="cellIs" dxfId="442" priority="2951" operator="equal">
      <formula>"value일 미도래"</formula>
    </cfRule>
  </conditionalFormatting>
  <conditionalFormatting sqref="M191">
    <cfRule type="cellIs" dxfId="441" priority="2950" operator="equal">
      <formula>"value일 미도래"</formula>
    </cfRule>
  </conditionalFormatting>
  <conditionalFormatting sqref="M191">
    <cfRule type="cellIs" dxfId="440" priority="2949" operator="equal">
      <formula>"value일 미도래"</formula>
    </cfRule>
  </conditionalFormatting>
  <conditionalFormatting sqref="M191">
    <cfRule type="cellIs" dxfId="439" priority="2916" operator="equal">
      <formula>"value일 미도래"</formula>
    </cfRule>
  </conditionalFormatting>
  <conditionalFormatting sqref="M191">
    <cfRule type="cellIs" dxfId="438" priority="2914" operator="equal">
      <formula>"value일 미도래"</formula>
    </cfRule>
  </conditionalFormatting>
  <conditionalFormatting sqref="M191">
    <cfRule type="cellIs" dxfId="437" priority="2913" operator="equal">
      <formula>"value일 미도래"</formula>
    </cfRule>
  </conditionalFormatting>
  <conditionalFormatting sqref="M191">
    <cfRule type="cellIs" dxfId="436" priority="2912" operator="equal">
      <formula>"value일 미도래"</formula>
    </cfRule>
  </conditionalFormatting>
  <conditionalFormatting sqref="M191">
    <cfRule type="cellIs" dxfId="435" priority="2911" operator="equal">
      <formula>"value일 미도래"</formula>
    </cfRule>
  </conditionalFormatting>
  <conditionalFormatting sqref="M191">
    <cfRule type="cellIs" dxfId="434" priority="2910" operator="equal">
      <formula>"value일 미도래"</formula>
    </cfRule>
  </conditionalFormatting>
  <conditionalFormatting sqref="M191">
    <cfRule type="cellIs" dxfId="433" priority="2877" operator="equal">
      <formula>"value일 미도래"</formula>
    </cfRule>
  </conditionalFormatting>
  <conditionalFormatting sqref="M191">
    <cfRule type="cellIs" dxfId="432" priority="2875" operator="equal">
      <formula>"value일 미도래"</formula>
    </cfRule>
  </conditionalFormatting>
  <conditionalFormatting sqref="M191">
    <cfRule type="cellIs" dxfId="431" priority="2874" operator="equal">
      <formula>"value일 미도래"</formula>
    </cfRule>
  </conditionalFormatting>
  <conditionalFormatting sqref="M191">
    <cfRule type="cellIs" dxfId="430" priority="2873" operator="equal">
      <formula>"value일 미도래"</formula>
    </cfRule>
  </conditionalFormatting>
  <conditionalFormatting sqref="M191">
    <cfRule type="cellIs" dxfId="429" priority="2872" operator="equal">
      <formula>"value일 미도래"</formula>
    </cfRule>
  </conditionalFormatting>
  <conditionalFormatting sqref="M191">
    <cfRule type="cellIs" dxfId="428" priority="2871" operator="equal">
      <formula>"value일 미도래"</formula>
    </cfRule>
  </conditionalFormatting>
  <conditionalFormatting sqref="M191">
    <cfRule type="cellIs" dxfId="427" priority="2824" operator="equal">
      <formula>"value일 미도래"</formula>
    </cfRule>
  </conditionalFormatting>
  <conditionalFormatting sqref="M191">
    <cfRule type="cellIs" dxfId="426" priority="2822" operator="equal">
      <formula>"value일 미도래"</formula>
    </cfRule>
  </conditionalFormatting>
  <conditionalFormatting sqref="M191">
    <cfRule type="cellIs" dxfId="425" priority="2821" operator="equal">
      <formula>"value일 미도래"</formula>
    </cfRule>
  </conditionalFormatting>
  <conditionalFormatting sqref="M191">
    <cfRule type="cellIs" dxfId="424" priority="2820" operator="equal">
      <formula>"value일 미도래"</formula>
    </cfRule>
  </conditionalFormatting>
  <conditionalFormatting sqref="M191">
    <cfRule type="cellIs" dxfId="423" priority="2819" operator="equal">
      <formula>"value일 미도래"</formula>
    </cfRule>
  </conditionalFormatting>
  <conditionalFormatting sqref="M191">
    <cfRule type="cellIs" dxfId="422" priority="2818" operator="equal">
      <formula>"value일 미도래"</formula>
    </cfRule>
  </conditionalFormatting>
  <conditionalFormatting sqref="M191">
    <cfRule type="cellIs" dxfId="421" priority="2799" operator="equal">
      <formula>"value일 미도래"</formula>
    </cfRule>
  </conditionalFormatting>
  <conditionalFormatting sqref="M191">
    <cfRule type="cellIs" dxfId="420" priority="2797" operator="equal">
      <formula>"value일 미도래"</formula>
    </cfRule>
  </conditionalFormatting>
  <conditionalFormatting sqref="M191">
    <cfRule type="cellIs" dxfId="419" priority="2796" operator="equal">
      <formula>"value일 미도래"</formula>
    </cfRule>
  </conditionalFormatting>
  <conditionalFormatting sqref="M191">
    <cfRule type="cellIs" dxfId="418" priority="2795" operator="equal">
      <formula>"value일 미도래"</formula>
    </cfRule>
  </conditionalFormatting>
  <conditionalFormatting sqref="M191">
    <cfRule type="cellIs" dxfId="417" priority="2794" operator="equal">
      <formula>"value일 미도래"</formula>
    </cfRule>
  </conditionalFormatting>
  <conditionalFormatting sqref="M191">
    <cfRule type="cellIs" dxfId="416" priority="2793" operator="equal">
      <formula>"value일 미도래"</formula>
    </cfRule>
  </conditionalFormatting>
  <conditionalFormatting sqref="M191">
    <cfRule type="cellIs" dxfId="415" priority="2760" operator="equal">
      <formula>"value일 미도래"</formula>
    </cfRule>
  </conditionalFormatting>
  <conditionalFormatting sqref="M191">
    <cfRule type="cellIs" dxfId="414" priority="2758" operator="equal">
      <formula>"value일 미도래"</formula>
    </cfRule>
  </conditionalFormatting>
  <conditionalFormatting sqref="M191">
    <cfRule type="cellIs" dxfId="413" priority="2757" operator="equal">
      <formula>"value일 미도래"</formula>
    </cfRule>
  </conditionalFormatting>
  <conditionalFormatting sqref="M191">
    <cfRule type="cellIs" dxfId="412" priority="2756" operator="equal">
      <formula>"value일 미도래"</formula>
    </cfRule>
  </conditionalFormatting>
  <conditionalFormatting sqref="M191">
    <cfRule type="cellIs" dxfId="411" priority="2755" operator="equal">
      <formula>"value일 미도래"</formula>
    </cfRule>
  </conditionalFormatting>
  <conditionalFormatting sqref="M191">
    <cfRule type="cellIs" dxfId="410" priority="2754" operator="equal">
      <formula>"value일 미도래"</formula>
    </cfRule>
  </conditionalFormatting>
  <conditionalFormatting sqref="M190">
    <cfRule type="cellIs" dxfId="409" priority="2721" operator="equal">
      <formula>"value일 미도래"</formula>
    </cfRule>
  </conditionalFormatting>
  <conditionalFormatting sqref="M190">
    <cfRule type="cellIs" dxfId="408" priority="2719" operator="equal">
      <formula>"value일 미도래"</formula>
    </cfRule>
  </conditionalFormatting>
  <conditionalFormatting sqref="M190">
    <cfRule type="cellIs" dxfId="407" priority="2718" operator="equal">
      <formula>"value일 미도래"</formula>
    </cfRule>
  </conditionalFormatting>
  <conditionalFormatting sqref="M190">
    <cfRule type="cellIs" dxfId="406" priority="2717" operator="equal">
      <formula>"value일 미도래"</formula>
    </cfRule>
  </conditionalFormatting>
  <conditionalFormatting sqref="M190">
    <cfRule type="cellIs" dxfId="405" priority="2716" operator="equal">
      <formula>"value일 미도래"</formula>
    </cfRule>
  </conditionalFormatting>
  <conditionalFormatting sqref="M190">
    <cfRule type="cellIs" dxfId="404" priority="2715" operator="equal">
      <formula>"value일 미도래"</formula>
    </cfRule>
  </conditionalFormatting>
  <conditionalFormatting sqref="M190">
    <cfRule type="cellIs" dxfId="403" priority="2682" operator="equal">
      <formula>"value일 미도래"</formula>
    </cfRule>
  </conditionalFormatting>
  <conditionalFormatting sqref="M190">
    <cfRule type="cellIs" dxfId="402" priority="2680" operator="equal">
      <formula>"value일 미도래"</formula>
    </cfRule>
  </conditionalFormatting>
  <conditionalFormatting sqref="M190">
    <cfRule type="cellIs" dxfId="401" priority="2679" operator="equal">
      <formula>"value일 미도래"</formula>
    </cfRule>
  </conditionalFormatting>
  <conditionalFormatting sqref="M190">
    <cfRule type="cellIs" dxfId="400" priority="2678" operator="equal">
      <formula>"value일 미도래"</formula>
    </cfRule>
  </conditionalFormatting>
  <conditionalFormatting sqref="M190">
    <cfRule type="cellIs" dxfId="399" priority="2677" operator="equal">
      <formula>"value일 미도래"</formula>
    </cfRule>
  </conditionalFormatting>
  <conditionalFormatting sqref="M190">
    <cfRule type="cellIs" dxfId="398" priority="2676" operator="equal">
      <formula>"value일 미도래"</formula>
    </cfRule>
  </conditionalFormatting>
  <conditionalFormatting sqref="M191">
    <cfRule type="cellIs" dxfId="397" priority="2657" operator="equal">
      <formula>"value일 미도래"</formula>
    </cfRule>
  </conditionalFormatting>
  <conditionalFormatting sqref="M191">
    <cfRule type="cellIs" dxfId="396" priority="2655" operator="equal">
      <formula>"value일 미도래"</formula>
    </cfRule>
  </conditionalFormatting>
  <conditionalFormatting sqref="M191">
    <cfRule type="cellIs" dxfId="395" priority="2654" operator="equal">
      <formula>"value일 미도래"</formula>
    </cfRule>
  </conditionalFormatting>
  <conditionalFormatting sqref="M191">
    <cfRule type="cellIs" dxfId="394" priority="2653" operator="equal">
      <formula>"value일 미도래"</formula>
    </cfRule>
  </conditionalFormatting>
  <conditionalFormatting sqref="M191">
    <cfRule type="cellIs" dxfId="393" priority="2652" operator="equal">
      <formula>"value일 미도래"</formula>
    </cfRule>
  </conditionalFormatting>
  <conditionalFormatting sqref="M191">
    <cfRule type="cellIs" dxfId="392" priority="2651" operator="equal">
      <formula>"value일 미도래"</formula>
    </cfRule>
  </conditionalFormatting>
  <conditionalFormatting sqref="M190">
    <cfRule type="cellIs" dxfId="391" priority="2618" operator="equal">
      <formula>"value일 미도래"</formula>
    </cfRule>
  </conditionalFormatting>
  <conditionalFormatting sqref="M190">
    <cfRule type="cellIs" dxfId="390" priority="2616" operator="equal">
      <formula>"value일 미도래"</formula>
    </cfRule>
  </conditionalFormatting>
  <conditionalFormatting sqref="M190">
    <cfRule type="cellIs" dxfId="389" priority="2615" operator="equal">
      <formula>"value일 미도래"</formula>
    </cfRule>
  </conditionalFormatting>
  <conditionalFormatting sqref="M190">
    <cfRule type="cellIs" dxfId="388" priority="2614" operator="equal">
      <formula>"value일 미도래"</formula>
    </cfRule>
  </conditionalFormatting>
  <conditionalFormatting sqref="M190">
    <cfRule type="cellIs" dxfId="387" priority="2613" operator="equal">
      <formula>"value일 미도래"</formula>
    </cfRule>
  </conditionalFormatting>
  <conditionalFormatting sqref="M190">
    <cfRule type="cellIs" dxfId="386" priority="2612" operator="equal">
      <formula>"value일 미도래"</formula>
    </cfRule>
  </conditionalFormatting>
  <conditionalFormatting sqref="M190">
    <cfRule type="cellIs" dxfId="385" priority="2579" operator="equal">
      <formula>"value일 미도래"</formula>
    </cfRule>
  </conditionalFormatting>
  <conditionalFormatting sqref="M190">
    <cfRule type="cellIs" dxfId="384" priority="2577" operator="equal">
      <formula>"value일 미도래"</formula>
    </cfRule>
  </conditionalFormatting>
  <conditionalFormatting sqref="M190">
    <cfRule type="cellIs" dxfId="383" priority="2576" operator="equal">
      <formula>"value일 미도래"</formula>
    </cfRule>
  </conditionalFormatting>
  <conditionalFormatting sqref="M190">
    <cfRule type="cellIs" dxfId="382" priority="2575" operator="equal">
      <formula>"value일 미도래"</formula>
    </cfRule>
  </conditionalFormatting>
  <conditionalFormatting sqref="M190">
    <cfRule type="cellIs" dxfId="381" priority="2574" operator="equal">
      <formula>"value일 미도래"</formula>
    </cfRule>
  </conditionalFormatting>
  <conditionalFormatting sqref="M190">
    <cfRule type="cellIs" dxfId="380" priority="2573" operator="equal">
      <formula>"value일 미도래"</formula>
    </cfRule>
  </conditionalFormatting>
  <conditionalFormatting sqref="M190">
    <cfRule type="cellIs" dxfId="379" priority="2554" operator="equal">
      <formula>"value일 미도래"</formula>
    </cfRule>
  </conditionalFormatting>
  <conditionalFormatting sqref="M190">
    <cfRule type="cellIs" dxfId="378" priority="2552" operator="equal">
      <formula>"value일 미도래"</formula>
    </cfRule>
  </conditionalFormatting>
  <conditionalFormatting sqref="M190">
    <cfRule type="cellIs" dxfId="377" priority="2551" operator="equal">
      <formula>"value일 미도래"</formula>
    </cfRule>
  </conditionalFormatting>
  <conditionalFormatting sqref="M190">
    <cfRule type="cellIs" dxfId="376" priority="2550" operator="equal">
      <formula>"value일 미도래"</formula>
    </cfRule>
  </conditionalFormatting>
  <conditionalFormatting sqref="M190">
    <cfRule type="cellIs" dxfId="375" priority="2549" operator="equal">
      <formula>"value일 미도래"</formula>
    </cfRule>
  </conditionalFormatting>
  <conditionalFormatting sqref="M190">
    <cfRule type="cellIs" dxfId="374" priority="2548" operator="equal">
      <formula>"value일 미도래"</formula>
    </cfRule>
  </conditionalFormatting>
  <conditionalFormatting sqref="M190">
    <cfRule type="cellIs" dxfId="373" priority="2501" operator="equal">
      <formula>"value일 미도래"</formula>
    </cfRule>
  </conditionalFormatting>
  <conditionalFormatting sqref="M190">
    <cfRule type="cellIs" dxfId="372" priority="2499" operator="equal">
      <formula>"value일 미도래"</formula>
    </cfRule>
  </conditionalFormatting>
  <conditionalFormatting sqref="M190">
    <cfRule type="cellIs" dxfId="371" priority="2498" operator="equal">
      <formula>"value일 미도래"</formula>
    </cfRule>
  </conditionalFormatting>
  <conditionalFormatting sqref="M190">
    <cfRule type="cellIs" dxfId="370" priority="2497" operator="equal">
      <formula>"value일 미도래"</formula>
    </cfRule>
  </conditionalFormatting>
  <conditionalFormatting sqref="M190">
    <cfRule type="cellIs" dxfId="369" priority="2496" operator="equal">
      <formula>"value일 미도래"</formula>
    </cfRule>
  </conditionalFormatting>
  <conditionalFormatting sqref="M190">
    <cfRule type="cellIs" dxfId="368" priority="2495" operator="equal">
      <formula>"value일 미도래"</formula>
    </cfRule>
  </conditionalFormatting>
  <conditionalFormatting sqref="M190">
    <cfRule type="cellIs" dxfId="367" priority="2476" operator="equal">
      <formula>"value일 미도래"</formula>
    </cfRule>
  </conditionalFormatting>
  <conditionalFormatting sqref="M190">
    <cfRule type="cellIs" dxfId="366" priority="2474" operator="equal">
      <formula>"value일 미도래"</formula>
    </cfRule>
  </conditionalFormatting>
  <conditionalFormatting sqref="M190">
    <cfRule type="cellIs" dxfId="365" priority="2473" operator="equal">
      <formula>"value일 미도래"</formula>
    </cfRule>
  </conditionalFormatting>
  <conditionalFormatting sqref="M190">
    <cfRule type="cellIs" dxfId="364" priority="2472" operator="equal">
      <formula>"value일 미도래"</formula>
    </cfRule>
  </conditionalFormatting>
  <conditionalFormatting sqref="M190">
    <cfRule type="cellIs" dxfId="363" priority="2471" operator="equal">
      <formula>"value일 미도래"</formula>
    </cfRule>
  </conditionalFormatting>
  <conditionalFormatting sqref="M190">
    <cfRule type="cellIs" dxfId="362" priority="2470" operator="equal">
      <formula>"value일 미도래"</formula>
    </cfRule>
  </conditionalFormatting>
  <conditionalFormatting sqref="M190">
    <cfRule type="cellIs" dxfId="361" priority="2423" operator="equal">
      <formula>"value일 미도래"</formula>
    </cfRule>
  </conditionalFormatting>
  <conditionalFormatting sqref="M190">
    <cfRule type="cellIs" dxfId="360" priority="2421" operator="equal">
      <formula>"value일 미도래"</formula>
    </cfRule>
  </conditionalFormatting>
  <conditionalFormatting sqref="M190">
    <cfRule type="cellIs" dxfId="359" priority="2420" operator="equal">
      <formula>"value일 미도래"</formula>
    </cfRule>
  </conditionalFormatting>
  <conditionalFormatting sqref="M190">
    <cfRule type="cellIs" dxfId="358" priority="2419" operator="equal">
      <formula>"value일 미도래"</formula>
    </cfRule>
  </conditionalFormatting>
  <conditionalFormatting sqref="M190">
    <cfRule type="cellIs" dxfId="357" priority="2418" operator="equal">
      <formula>"value일 미도래"</formula>
    </cfRule>
  </conditionalFormatting>
  <conditionalFormatting sqref="M190">
    <cfRule type="cellIs" dxfId="356" priority="2417" operator="equal">
      <formula>"value일 미도래"</formula>
    </cfRule>
  </conditionalFormatting>
  <conditionalFormatting sqref="M190">
    <cfRule type="cellIs" dxfId="355" priority="2398" operator="equal">
      <formula>"value일 미도래"</formula>
    </cfRule>
  </conditionalFormatting>
  <conditionalFormatting sqref="M190">
    <cfRule type="cellIs" dxfId="354" priority="2396" operator="equal">
      <formula>"value일 미도래"</formula>
    </cfRule>
  </conditionalFormatting>
  <conditionalFormatting sqref="M190">
    <cfRule type="cellIs" dxfId="353" priority="2395" operator="equal">
      <formula>"value일 미도래"</formula>
    </cfRule>
  </conditionalFormatting>
  <conditionalFormatting sqref="M190">
    <cfRule type="cellIs" dxfId="352" priority="2394" operator="equal">
      <formula>"value일 미도래"</formula>
    </cfRule>
  </conditionalFormatting>
  <conditionalFormatting sqref="M190">
    <cfRule type="cellIs" dxfId="351" priority="2393" operator="equal">
      <formula>"value일 미도래"</formula>
    </cfRule>
  </conditionalFormatting>
  <conditionalFormatting sqref="M190">
    <cfRule type="cellIs" dxfId="350" priority="2392" operator="equal">
      <formula>"value일 미도래"</formula>
    </cfRule>
  </conditionalFormatting>
  <conditionalFormatting sqref="M190">
    <cfRule type="cellIs" dxfId="349" priority="2359" operator="equal">
      <formula>"value일 미도래"</formula>
    </cfRule>
  </conditionalFormatting>
  <conditionalFormatting sqref="M190">
    <cfRule type="cellIs" dxfId="348" priority="2357" operator="equal">
      <formula>"value일 미도래"</formula>
    </cfRule>
  </conditionalFormatting>
  <conditionalFormatting sqref="M190">
    <cfRule type="cellIs" dxfId="347" priority="2356" operator="equal">
      <formula>"value일 미도래"</formula>
    </cfRule>
  </conditionalFormatting>
  <conditionalFormatting sqref="M190">
    <cfRule type="cellIs" dxfId="346" priority="2355" operator="equal">
      <formula>"value일 미도래"</formula>
    </cfRule>
  </conditionalFormatting>
  <conditionalFormatting sqref="M190">
    <cfRule type="cellIs" dxfId="345" priority="2354" operator="equal">
      <formula>"value일 미도래"</formula>
    </cfRule>
  </conditionalFormatting>
  <conditionalFormatting sqref="M190">
    <cfRule type="cellIs" dxfId="344" priority="2353" operator="equal">
      <formula>"value일 미도래"</formula>
    </cfRule>
  </conditionalFormatting>
  <conditionalFormatting sqref="M190">
    <cfRule type="cellIs" dxfId="343" priority="2320" operator="equal">
      <formula>"value일 미도래"</formula>
    </cfRule>
  </conditionalFormatting>
  <conditionalFormatting sqref="M190">
    <cfRule type="cellIs" dxfId="342" priority="2318" operator="equal">
      <formula>"value일 미도래"</formula>
    </cfRule>
  </conditionalFormatting>
  <conditionalFormatting sqref="M190">
    <cfRule type="cellIs" dxfId="341" priority="2317" operator="equal">
      <formula>"value일 미도래"</formula>
    </cfRule>
  </conditionalFormatting>
  <conditionalFormatting sqref="M190">
    <cfRule type="cellIs" dxfId="340" priority="2316" operator="equal">
      <formula>"value일 미도래"</formula>
    </cfRule>
  </conditionalFormatting>
  <conditionalFormatting sqref="M190">
    <cfRule type="cellIs" dxfId="339" priority="2315" operator="equal">
      <formula>"value일 미도래"</formula>
    </cfRule>
  </conditionalFormatting>
  <conditionalFormatting sqref="M190">
    <cfRule type="cellIs" dxfId="338" priority="2314" operator="equal">
      <formula>"value일 미도래"</formula>
    </cfRule>
  </conditionalFormatting>
  <conditionalFormatting sqref="M190">
    <cfRule type="cellIs" dxfId="337" priority="2281" operator="equal">
      <formula>"value일 미도래"</formula>
    </cfRule>
  </conditionalFormatting>
  <conditionalFormatting sqref="M190">
    <cfRule type="cellIs" dxfId="336" priority="2279" operator="equal">
      <formula>"value일 미도래"</formula>
    </cfRule>
  </conditionalFormatting>
  <conditionalFormatting sqref="M190">
    <cfRule type="cellIs" dxfId="335" priority="2278" operator="equal">
      <formula>"value일 미도래"</formula>
    </cfRule>
  </conditionalFormatting>
  <conditionalFormatting sqref="M190">
    <cfRule type="cellIs" dxfId="334" priority="2277" operator="equal">
      <formula>"value일 미도래"</formula>
    </cfRule>
  </conditionalFormatting>
  <conditionalFormatting sqref="M190">
    <cfRule type="cellIs" dxfId="333" priority="2276" operator="equal">
      <formula>"value일 미도래"</formula>
    </cfRule>
  </conditionalFormatting>
  <conditionalFormatting sqref="M190">
    <cfRule type="cellIs" dxfId="332" priority="2275" operator="equal">
      <formula>"value일 미도래"</formula>
    </cfRule>
  </conditionalFormatting>
  <conditionalFormatting sqref="M191">
    <cfRule type="cellIs" dxfId="331" priority="2256" operator="equal">
      <formula>"value일 미도래"</formula>
    </cfRule>
  </conditionalFormatting>
  <conditionalFormatting sqref="M191">
    <cfRule type="cellIs" dxfId="330" priority="2254" operator="equal">
      <formula>"value일 미도래"</formula>
    </cfRule>
  </conditionalFormatting>
  <conditionalFormatting sqref="M191">
    <cfRule type="cellIs" dxfId="329" priority="2253" operator="equal">
      <formula>"value일 미도래"</formula>
    </cfRule>
  </conditionalFormatting>
  <conditionalFormatting sqref="M191">
    <cfRule type="cellIs" dxfId="328" priority="2252" operator="equal">
      <formula>"value일 미도래"</formula>
    </cfRule>
  </conditionalFormatting>
  <conditionalFormatting sqref="M191">
    <cfRule type="cellIs" dxfId="327" priority="2251" operator="equal">
      <formula>"value일 미도래"</formula>
    </cfRule>
  </conditionalFormatting>
  <conditionalFormatting sqref="M191">
    <cfRule type="cellIs" dxfId="326" priority="2250" operator="equal">
      <formula>"value일 미도래"</formula>
    </cfRule>
  </conditionalFormatting>
  <conditionalFormatting sqref="M191">
    <cfRule type="cellIs" dxfId="325" priority="2217" operator="equal">
      <formula>"value일 미도래"</formula>
    </cfRule>
  </conditionalFormatting>
  <conditionalFormatting sqref="M191">
    <cfRule type="cellIs" dxfId="324" priority="2215" operator="equal">
      <formula>"value일 미도래"</formula>
    </cfRule>
  </conditionalFormatting>
  <conditionalFormatting sqref="M191">
    <cfRule type="cellIs" dxfId="323" priority="2214" operator="equal">
      <formula>"value일 미도래"</formula>
    </cfRule>
  </conditionalFormatting>
  <conditionalFormatting sqref="M191">
    <cfRule type="cellIs" dxfId="322" priority="2213" operator="equal">
      <formula>"value일 미도래"</formula>
    </cfRule>
  </conditionalFormatting>
  <conditionalFormatting sqref="M191">
    <cfRule type="cellIs" dxfId="321" priority="2212" operator="equal">
      <formula>"value일 미도래"</formula>
    </cfRule>
  </conditionalFormatting>
  <conditionalFormatting sqref="M191">
    <cfRule type="cellIs" dxfId="320" priority="2211" operator="equal">
      <formula>"value일 미도래"</formula>
    </cfRule>
  </conditionalFormatting>
  <conditionalFormatting sqref="M191">
    <cfRule type="cellIs" dxfId="319" priority="2178" operator="equal">
      <formula>"value일 미도래"</formula>
    </cfRule>
  </conditionalFormatting>
  <conditionalFormatting sqref="M191">
    <cfRule type="cellIs" dxfId="318" priority="2176" operator="equal">
      <formula>"value일 미도래"</formula>
    </cfRule>
  </conditionalFormatting>
  <conditionalFormatting sqref="M191">
    <cfRule type="cellIs" dxfId="317" priority="2175" operator="equal">
      <formula>"value일 미도래"</formula>
    </cfRule>
  </conditionalFormatting>
  <conditionalFormatting sqref="M191">
    <cfRule type="cellIs" dxfId="316" priority="2174" operator="equal">
      <formula>"value일 미도래"</formula>
    </cfRule>
  </conditionalFormatting>
  <conditionalFormatting sqref="M191">
    <cfRule type="cellIs" dxfId="315" priority="2173" operator="equal">
      <formula>"value일 미도래"</formula>
    </cfRule>
  </conditionalFormatting>
  <conditionalFormatting sqref="M191">
    <cfRule type="cellIs" dxfId="314" priority="2172" operator="equal">
      <formula>"value일 미도래"</formula>
    </cfRule>
  </conditionalFormatting>
  <conditionalFormatting sqref="M190">
    <cfRule type="cellIs" dxfId="313" priority="2139" operator="equal">
      <formula>"value일 미도래"</formula>
    </cfRule>
  </conditionalFormatting>
  <conditionalFormatting sqref="M190">
    <cfRule type="cellIs" dxfId="312" priority="2137" operator="equal">
      <formula>"value일 미도래"</formula>
    </cfRule>
  </conditionalFormatting>
  <conditionalFormatting sqref="M190">
    <cfRule type="cellIs" dxfId="311" priority="2136" operator="equal">
      <formula>"value일 미도래"</formula>
    </cfRule>
  </conditionalFormatting>
  <conditionalFormatting sqref="M190">
    <cfRule type="cellIs" dxfId="310" priority="2135" operator="equal">
      <formula>"value일 미도래"</formula>
    </cfRule>
  </conditionalFormatting>
  <conditionalFormatting sqref="M190">
    <cfRule type="cellIs" dxfId="309" priority="2134" operator="equal">
      <formula>"value일 미도래"</formula>
    </cfRule>
  </conditionalFormatting>
  <conditionalFormatting sqref="M190">
    <cfRule type="cellIs" dxfId="308" priority="2133" operator="equal">
      <formula>"value일 미도래"</formula>
    </cfRule>
  </conditionalFormatting>
  <conditionalFormatting sqref="M190">
    <cfRule type="cellIs" dxfId="307" priority="2100" operator="equal">
      <formula>"value일 미도래"</formula>
    </cfRule>
  </conditionalFormatting>
  <conditionalFormatting sqref="M190">
    <cfRule type="cellIs" dxfId="306" priority="2098" operator="equal">
      <formula>"value일 미도래"</formula>
    </cfRule>
  </conditionalFormatting>
  <conditionalFormatting sqref="M190">
    <cfRule type="cellIs" dxfId="305" priority="2097" operator="equal">
      <formula>"value일 미도래"</formula>
    </cfRule>
  </conditionalFormatting>
  <conditionalFormatting sqref="M190">
    <cfRule type="cellIs" dxfId="304" priority="2096" operator="equal">
      <formula>"value일 미도래"</formula>
    </cfRule>
  </conditionalFormatting>
  <conditionalFormatting sqref="M190">
    <cfRule type="cellIs" dxfId="303" priority="2095" operator="equal">
      <formula>"value일 미도래"</formula>
    </cfRule>
  </conditionalFormatting>
  <conditionalFormatting sqref="M190">
    <cfRule type="cellIs" dxfId="302" priority="2094" operator="equal">
      <formula>"value일 미도래"</formula>
    </cfRule>
  </conditionalFormatting>
  <conditionalFormatting sqref="M191">
    <cfRule type="cellIs" dxfId="301" priority="2075" operator="equal">
      <formula>"value일 미도래"</formula>
    </cfRule>
  </conditionalFormatting>
  <conditionalFormatting sqref="M191">
    <cfRule type="cellIs" dxfId="300" priority="2073" operator="equal">
      <formula>"value일 미도래"</formula>
    </cfRule>
  </conditionalFormatting>
  <conditionalFormatting sqref="M191">
    <cfRule type="cellIs" dxfId="299" priority="2072" operator="equal">
      <formula>"value일 미도래"</formula>
    </cfRule>
  </conditionalFormatting>
  <conditionalFormatting sqref="M191">
    <cfRule type="cellIs" dxfId="298" priority="2071" operator="equal">
      <formula>"value일 미도래"</formula>
    </cfRule>
  </conditionalFormatting>
  <conditionalFormatting sqref="M191">
    <cfRule type="cellIs" dxfId="297" priority="2070" operator="equal">
      <formula>"value일 미도래"</formula>
    </cfRule>
  </conditionalFormatting>
  <conditionalFormatting sqref="M191">
    <cfRule type="cellIs" dxfId="296" priority="2069" operator="equal">
      <formula>"value일 미도래"</formula>
    </cfRule>
  </conditionalFormatting>
  <conditionalFormatting sqref="M190">
    <cfRule type="cellIs" dxfId="295" priority="2022" operator="equal">
      <formula>"value일 미도래"</formula>
    </cfRule>
  </conditionalFormatting>
  <conditionalFormatting sqref="M190">
    <cfRule type="cellIs" dxfId="294" priority="2020" operator="equal">
      <formula>"value일 미도래"</formula>
    </cfRule>
  </conditionalFormatting>
  <conditionalFormatting sqref="M190">
    <cfRule type="cellIs" dxfId="293" priority="2019" operator="equal">
      <formula>"value일 미도래"</formula>
    </cfRule>
  </conditionalFormatting>
  <conditionalFormatting sqref="M190">
    <cfRule type="cellIs" dxfId="292" priority="2018" operator="equal">
      <formula>"value일 미도래"</formula>
    </cfRule>
  </conditionalFormatting>
  <conditionalFormatting sqref="M190">
    <cfRule type="cellIs" dxfId="291" priority="2017" operator="equal">
      <formula>"value일 미도래"</formula>
    </cfRule>
  </conditionalFormatting>
  <conditionalFormatting sqref="M190">
    <cfRule type="cellIs" dxfId="290" priority="2016" operator="equal">
      <formula>"value일 미도래"</formula>
    </cfRule>
  </conditionalFormatting>
  <conditionalFormatting sqref="M190">
    <cfRule type="cellIs" dxfId="289" priority="1997" operator="equal">
      <formula>"value일 미도래"</formula>
    </cfRule>
  </conditionalFormatting>
  <conditionalFormatting sqref="M190">
    <cfRule type="cellIs" dxfId="288" priority="1995" operator="equal">
      <formula>"value일 미도래"</formula>
    </cfRule>
  </conditionalFormatting>
  <conditionalFormatting sqref="M190">
    <cfRule type="cellIs" dxfId="287" priority="1994" operator="equal">
      <formula>"value일 미도래"</formula>
    </cfRule>
  </conditionalFormatting>
  <conditionalFormatting sqref="M190">
    <cfRule type="cellIs" dxfId="286" priority="1993" operator="equal">
      <formula>"value일 미도래"</formula>
    </cfRule>
  </conditionalFormatting>
  <conditionalFormatting sqref="M190">
    <cfRule type="cellIs" dxfId="285" priority="1992" operator="equal">
      <formula>"value일 미도래"</formula>
    </cfRule>
  </conditionalFormatting>
  <conditionalFormatting sqref="M190">
    <cfRule type="cellIs" dxfId="284" priority="1991" operator="equal">
      <formula>"value일 미도래"</formula>
    </cfRule>
  </conditionalFormatting>
  <conditionalFormatting sqref="M190">
    <cfRule type="cellIs" dxfId="283" priority="1958" operator="equal">
      <formula>"value일 미도래"</formula>
    </cfRule>
  </conditionalFormatting>
  <conditionalFormatting sqref="M190">
    <cfRule type="cellIs" dxfId="282" priority="1956" operator="equal">
      <formula>"value일 미도래"</formula>
    </cfRule>
  </conditionalFormatting>
  <conditionalFormatting sqref="M190">
    <cfRule type="cellIs" dxfId="281" priority="1955" operator="equal">
      <formula>"value일 미도래"</formula>
    </cfRule>
  </conditionalFormatting>
  <conditionalFormatting sqref="M190">
    <cfRule type="cellIs" dxfId="280" priority="1954" operator="equal">
      <formula>"value일 미도래"</formula>
    </cfRule>
  </conditionalFormatting>
  <conditionalFormatting sqref="M190">
    <cfRule type="cellIs" dxfId="279" priority="1953" operator="equal">
      <formula>"value일 미도래"</formula>
    </cfRule>
  </conditionalFormatting>
  <conditionalFormatting sqref="M190">
    <cfRule type="cellIs" dxfId="278" priority="1952" operator="equal">
      <formula>"value일 미도래"</formula>
    </cfRule>
  </conditionalFormatting>
  <conditionalFormatting sqref="M190">
    <cfRule type="cellIs" dxfId="277" priority="1919" operator="equal">
      <formula>"value일 미도래"</formula>
    </cfRule>
  </conditionalFormatting>
  <conditionalFormatting sqref="M190">
    <cfRule type="cellIs" dxfId="276" priority="1917" operator="equal">
      <formula>"value일 미도래"</formula>
    </cfRule>
  </conditionalFormatting>
  <conditionalFormatting sqref="M190">
    <cfRule type="cellIs" dxfId="275" priority="1916" operator="equal">
      <formula>"value일 미도래"</formula>
    </cfRule>
  </conditionalFormatting>
  <conditionalFormatting sqref="M190">
    <cfRule type="cellIs" dxfId="274" priority="1915" operator="equal">
      <formula>"value일 미도래"</formula>
    </cfRule>
  </conditionalFormatting>
  <conditionalFormatting sqref="M190">
    <cfRule type="cellIs" dxfId="273" priority="1914" operator="equal">
      <formula>"value일 미도래"</formula>
    </cfRule>
  </conditionalFormatting>
  <conditionalFormatting sqref="M190">
    <cfRule type="cellIs" dxfId="272" priority="1913" operator="equal">
      <formula>"value일 미도래"</formula>
    </cfRule>
  </conditionalFormatting>
  <conditionalFormatting sqref="M191">
    <cfRule type="cellIs" dxfId="271" priority="1894" operator="equal">
      <formula>"value일 미도래"</formula>
    </cfRule>
  </conditionalFormatting>
  <conditionalFormatting sqref="M191">
    <cfRule type="cellIs" dxfId="270" priority="1892" operator="equal">
      <formula>"value일 미도래"</formula>
    </cfRule>
  </conditionalFormatting>
  <conditionalFormatting sqref="M191">
    <cfRule type="cellIs" dxfId="269" priority="1891" operator="equal">
      <formula>"value일 미도래"</formula>
    </cfRule>
  </conditionalFormatting>
  <conditionalFormatting sqref="M191">
    <cfRule type="cellIs" dxfId="268" priority="1890" operator="equal">
      <formula>"value일 미도래"</formula>
    </cfRule>
  </conditionalFormatting>
  <conditionalFormatting sqref="M191">
    <cfRule type="cellIs" dxfId="267" priority="1889" operator="equal">
      <formula>"value일 미도래"</formula>
    </cfRule>
  </conditionalFormatting>
  <conditionalFormatting sqref="M191">
    <cfRule type="cellIs" dxfId="266" priority="1888" operator="equal">
      <formula>"value일 미도래"</formula>
    </cfRule>
  </conditionalFormatting>
  <conditionalFormatting sqref="M191">
    <cfRule type="cellIs" dxfId="265" priority="1827" operator="equal">
      <formula>"value일 미도래"</formula>
    </cfRule>
  </conditionalFormatting>
  <conditionalFormatting sqref="M191">
    <cfRule type="cellIs" dxfId="264" priority="1825" operator="equal">
      <formula>"value일 미도래"</formula>
    </cfRule>
  </conditionalFormatting>
  <conditionalFormatting sqref="M191">
    <cfRule type="cellIs" dxfId="263" priority="1824" operator="equal">
      <formula>"value일 미도래"</formula>
    </cfRule>
  </conditionalFormatting>
  <conditionalFormatting sqref="M191">
    <cfRule type="cellIs" dxfId="262" priority="1823" operator="equal">
      <formula>"value일 미도래"</formula>
    </cfRule>
  </conditionalFormatting>
  <conditionalFormatting sqref="M191">
    <cfRule type="cellIs" dxfId="261" priority="1822" operator="equal">
      <formula>"value일 미도래"</formula>
    </cfRule>
  </conditionalFormatting>
  <conditionalFormatting sqref="M191">
    <cfRule type="cellIs" dxfId="260" priority="1821" operator="equal">
      <formula>"value일 미도래"</formula>
    </cfRule>
  </conditionalFormatting>
  <conditionalFormatting sqref="M191">
    <cfRule type="cellIs" dxfId="259" priority="1802" operator="equal">
      <formula>"value일 미도래"</formula>
    </cfRule>
  </conditionalFormatting>
  <conditionalFormatting sqref="M191">
    <cfRule type="cellIs" dxfId="258" priority="1800" operator="equal">
      <formula>"value일 미도래"</formula>
    </cfRule>
  </conditionalFormatting>
  <conditionalFormatting sqref="M191">
    <cfRule type="cellIs" dxfId="257" priority="1799" operator="equal">
      <formula>"value일 미도래"</formula>
    </cfRule>
  </conditionalFormatting>
  <conditionalFormatting sqref="M191">
    <cfRule type="cellIs" dxfId="256" priority="1798" operator="equal">
      <formula>"value일 미도래"</formula>
    </cfRule>
  </conditionalFormatting>
  <conditionalFormatting sqref="M191">
    <cfRule type="cellIs" dxfId="255" priority="1797" operator="equal">
      <formula>"value일 미도래"</formula>
    </cfRule>
  </conditionalFormatting>
  <conditionalFormatting sqref="M191">
    <cfRule type="cellIs" dxfId="254" priority="1796" operator="equal">
      <formula>"value일 미도래"</formula>
    </cfRule>
  </conditionalFormatting>
  <conditionalFormatting sqref="M190">
    <cfRule type="cellIs" dxfId="253" priority="1749" operator="equal">
      <formula>"value일 미도래"</formula>
    </cfRule>
  </conditionalFormatting>
  <conditionalFormatting sqref="M190">
    <cfRule type="cellIs" dxfId="252" priority="1747" operator="equal">
      <formula>"value일 미도래"</formula>
    </cfRule>
  </conditionalFormatting>
  <conditionalFormatting sqref="M190">
    <cfRule type="cellIs" dxfId="251" priority="1746" operator="equal">
      <formula>"value일 미도래"</formula>
    </cfRule>
  </conditionalFormatting>
  <conditionalFormatting sqref="M190">
    <cfRule type="cellIs" dxfId="250" priority="1745" operator="equal">
      <formula>"value일 미도래"</formula>
    </cfRule>
  </conditionalFormatting>
  <conditionalFormatting sqref="M190">
    <cfRule type="cellIs" dxfId="249" priority="1744" operator="equal">
      <formula>"value일 미도래"</formula>
    </cfRule>
  </conditionalFormatting>
  <conditionalFormatting sqref="M190">
    <cfRule type="cellIs" dxfId="248" priority="1743" operator="equal">
      <formula>"value일 미도래"</formula>
    </cfRule>
  </conditionalFormatting>
  <conditionalFormatting sqref="M191">
    <cfRule type="cellIs" dxfId="247" priority="1724" operator="equal">
      <formula>"value일 미도래"</formula>
    </cfRule>
  </conditionalFormatting>
  <conditionalFormatting sqref="M191">
    <cfRule type="cellIs" dxfId="246" priority="1722" operator="equal">
      <formula>"value일 미도래"</formula>
    </cfRule>
  </conditionalFormatting>
  <conditionalFormatting sqref="M191">
    <cfRule type="cellIs" dxfId="245" priority="1721" operator="equal">
      <formula>"value일 미도래"</formula>
    </cfRule>
  </conditionalFormatting>
  <conditionalFormatting sqref="M191">
    <cfRule type="cellIs" dxfId="244" priority="1720" operator="equal">
      <formula>"value일 미도래"</formula>
    </cfRule>
  </conditionalFormatting>
  <conditionalFormatting sqref="M191">
    <cfRule type="cellIs" dxfId="243" priority="1719" operator="equal">
      <formula>"value일 미도래"</formula>
    </cfRule>
  </conditionalFormatting>
  <conditionalFormatting sqref="M191">
    <cfRule type="cellIs" dxfId="242" priority="1718" operator="equal">
      <formula>"value일 미도래"</formula>
    </cfRule>
  </conditionalFormatting>
  <conditionalFormatting sqref="M191">
    <cfRule type="cellIs" dxfId="241" priority="1685" operator="equal">
      <formula>"value일 미도래"</formula>
    </cfRule>
  </conditionalFormatting>
  <conditionalFormatting sqref="M191">
    <cfRule type="cellIs" dxfId="240" priority="1683" operator="equal">
      <formula>"value일 미도래"</formula>
    </cfRule>
  </conditionalFormatting>
  <conditionalFormatting sqref="M191">
    <cfRule type="cellIs" dxfId="239" priority="1682" operator="equal">
      <formula>"value일 미도래"</formula>
    </cfRule>
  </conditionalFormatting>
  <conditionalFormatting sqref="M191">
    <cfRule type="cellIs" dxfId="238" priority="1681" operator="equal">
      <formula>"value일 미도래"</formula>
    </cfRule>
  </conditionalFormatting>
  <conditionalFormatting sqref="M191">
    <cfRule type="cellIs" dxfId="237" priority="1680" operator="equal">
      <formula>"value일 미도래"</formula>
    </cfRule>
  </conditionalFormatting>
  <conditionalFormatting sqref="M191">
    <cfRule type="cellIs" dxfId="236" priority="1679" operator="equal">
      <formula>"value일 미도래"</formula>
    </cfRule>
  </conditionalFormatting>
  <conditionalFormatting sqref="M191">
    <cfRule type="cellIs" dxfId="235" priority="1646" operator="equal">
      <formula>"value일 미도래"</formula>
    </cfRule>
  </conditionalFormatting>
  <conditionalFormatting sqref="M191">
    <cfRule type="cellIs" dxfId="234" priority="1644" operator="equal">
      <formula>"value일 미도래"</formula>
    </cfRule>
  </conditionalFormatting>
  <conditionalFormatting sqref="M191">
    <cfRule type="cellIs" dxfId="233" priority="1643" operator="equal">
      <formula>"value일 미도래"</formula>
    </cfRule>
  </conditionalFormatting>
  <conditionalFormatting sqref="M191">
    <cfRule type="cellIs" dxfId="232" priority="1642" operator="equal">
      <formula>"value일 미도래"</formula>
    </cfRule>
  </conditionalFormatting>
  <conditionalFormatting sqref="M191">
    <cfRule type="cellIs" dxfId="231" priority="1641" operator="equal">
      <formula>"value일 미도래"</formula>
    </cfRule>
  </conditionalFormatting>
  <conditionalFormatting sqref="M191">
    <cfRule type="cellIs" dxfId="230" priority="1640" operator="equal">
      <formula>"value일 미도래"</formula>
    </cfRule>
  </conditionalFormatting>
  <conditionalFormatting sqref="M190">
    <cfRule type="cellIs" dxfId="229" priority="1607" operator="equal">
      <formula>"value일 미도래"</formula>
    </cfRule>
  </conditionalFormatting>
  <conditionalFormatting sqref="M190">
    <cfRule type="cellIs" dxfId="228" priority="1605" operator="equal">
      <formula>"value일 미도래"</formula>
    </cfRule>
  </conditionalFormatting>
  <conditionalFormatting sqref="M190">
    <cfRule type="cellIs" dxfId="227" priority="1604" operator="equal">
      <formula>"value일 미도래"</formula>
    </cfRule>
  </conditionalFormatting>
  <conditionalFormatting sqref="M190">
    <cfRule type="cellIs" dxfId="226" priority="1603" operator="equal">
      <formula>"value일 미도래"</formula>
    </cfRule>
  </conditionalFormatting>
  <conditionalFormatting sqref="M190">
    <cfRule type="cellIs" dxfId="225" priority="1602" operator="equal">
      <formula>"value일 미도래"</formula>
    </cfRule>
  </conditionalFormatting>
  <conditionalFormatting sqref="M190">
    <cfRule type="cellIs" dxfId="224" priority="1601" operator="equal">
      <formula>"value일 미도래"</formula>
    </cfRule>
  </conditionalFormatting>
  <conditionalFormatting sqref="M190">
    <cfRule type="cellIs" dxfId="223" priority="1568" operator="equal">
      <formula>"value일 미도래"</formula>
    </cfRule>
  </conditionalFormatting>
  <conditionalFormatting sqref="M190">
    <cfRule type="cellIs" dxfId="222" priority="1566" operator="equal">
      <formula>"value일 미도래"</formula>
    </cfRule>
  </conditionalFormatting>
  <conditionalFormatting sqref="M190">
    <cfRule type="cellIs" dxfId="221" priority="1565" operator="equal">
      <formula>"value일 미도래"</formula>
    </cfRule>
  </conditionalFormatting>
  <conditionalFormatting sqref="M190">
    <cfRule type="cellIs" dxfId="220" priority="1564" operator="equal">
      <formula>"value일 미도래"</formula>
    </cfRule>
  </conditionalFormatting>
  <conditionalFormatting sqref="M190">
    <cfRule type="cellIs" dxfId="219" priority="1563" operator="equal">
      <formula>"value일 미도래"</formula>
    </cfRule>
  </conditionalFormatting>
  <conditionalFormatting sqref="M190">
    <cfRule type="cellIs" dxfId="218" priority="1562" operator="equal">
      <formula>"value일 미도래"</formula>
    </cfRule>
  </conditionalFormatting>
  <conditionalFormatting sqref="M191">
    <cfRule type="cellIs" dxfId="217" priority="1543" operator="equal">
      <formula>"value일 미도래"</formula>
    </cfRule>
  </conditionalFormatting>
  <conditionalFormatting sqref="M191">
    <cfRule type="cellIs" dxfId="216" priority="1541" operator="equal">
      <formula>"value일 미도래"</formula>
    </cfRule>
  </conditionalFormatting>
  <conditionalFormatting sqref="M191">
    <cfRule type="cellIs" dxfId="215" priority="1540" operator="equal">
      <formula>"value일 미도래"</formula>
    </cfRule>
  </conditionalFormatting>
  <conditionalFormatting sqref="M191">
    <cfRule type="cellIs" dxfId="214" priority="1539" operator="equal">
      <formula>"value일 미도래"</formula>
    </cfRule>
  </conditionalFormatting>
  <conditionalFormatting sqref="M191">
    <cfRule type="cellIs" dxfId="213" priority="1538" operator="equal">
      <formula>"value일 미도래"</formula>
    </cfRule>
  </conditionalFormatting>
  <conditionalFormatting sqref="M191">
    <cfRule type="cellIs" dxfId="212" priority="1537" operator="equal">
      <formula>"value일 미도래"</formula>
    </cfRule>
  </conditionalFormatting>
  <conditionalFormatting sqref="M191">
    <cfRule type="cellIs" dxfId="211" priority="1490" operator="equal">
      <formula>"value일 미도래"</formula>
    </cfRule>
  </conditionalFormatting>
  <conditionalFormatting sqref="M191">
    <cfRule type="cellIs" dxfId="210" priority="1488" operator="equal">
      <formula>"value일 미도래"</formula>
    </cfRule>
  </conditionalFormatting>
  <conditionalFormatting sqref="M191">
    <cfRule type="cellIs" dxfId="209" priority="1487" operator="equal">
      <formula>"value일 미도래"</formula>
    </cfRule>
  </conditionalFormatting>
  <conditionalFormatting sqref="M191">
    <cfRule type="cellIs" dxfId="208" priority="1486" operator="equal">
      <formula>"value일 미도래"</formula>
    </cfRule>
  </conditionalFormatting>
  <conditionalFormatting sqref="M191">
    <cfRule type="cellIs" dxfId="207" priority="1485" operator="equal">
      <formula>"value일 미도래"</formula>
    </cfRule>
  </conditionalFormatting>
  <conditionalFormatting sqref="M191">
    <cfRule type="cellIs" dxfId="206" priority="1484" operator="equal">
      <formula>"value일 미도래"</formula>
    </cfRule>
  </conditionalFormatting>
  <conditionalFormatting sqref="M191">
    <cfRule type="cellIs" dxfId="205" priority="1437" operator="equal">
      <formula>"value일 미도래"</formula>
    </cfRule>
  </conditionalFormatting>
  <conditionalFormatting sqref="M191">
    <cfRule type="cellIs" dxfId="204" priority="1435" operator="equal">
      <formula>"value일 미도래"</formula>
    </cfRule>
  </conditionalFormatting>
  <conditionalFormatting sqref="M191">
    <cfRule type="cellIs" dxfId="203" priority="1434" operator="equal">
      <formula>"value일 미도래"</formula>
    </cfRule>
  </conditionalFormatting>
  <conditionalFormatting sqref="M191">
    <cfRule type="cellIs" dxfId="202" priority="1433" operator="equal">
      <formula>"value일 미도래"</formula>
    </cfRule>
  </conditionalFormatting>
  <conditionalFormatting sqref="M191">
    <cfRule type="cellIs" dxfId="201" priority="1432" operator="equal">
      <formula>"value일 미도래"</formula>
    </cfRule>
  </conditionalFormatting>
  <conditionalFormatting sqref="M191">
    <cfRule type="cellIs" dxfId="200" priority="1431" operator="equal">
      <formula>"value일 미도래"</formula>
    </cfRule>
  </conditionalFormatting>
  <conditionalFormatting sqref="M191">
    <cfRule type="cellIs" dxfId="199" priority="1412" operator="equal">
      <formula>"value일 미도래"</formula>
    </cfRule>
  </conditionalFormatting>
  <conditionalFormatting sqref="M191">
    <cfRule type="cellIs" dxfId="198" priority="1410" operator="equal">
      <formula>"value일 미도래"</formula>
    </cfRule>
  </conditionalFormatting>
  <conditionalFormatting sqref="M191">
    <cfRule type="cellIs" dxfId="197" priority="1409" operator="equal">
      <formula>"value일 미도래"</formula>
    </cfRule>
  </conditionalFormatting>
  <conditionalFormatting sqref="M191">
    <cfRule type="cellIs" dxfId="196" priority="1408" operator="equal">
      <formula>"value일 미도래"</formula>
    </cfRule>
  </conditionalFormatting>
  <conditionalFormatting sqref="M191">
    <cfRule type="cellIs" dxfId="195" priority="1407" operator="equal">
      <formula>"value일 미도래"</formula>
    </cfRule>
  </conditionalFormatting>
  <conditionalFormatting sqref="M191">
    <cfRule type="cellIs" dxfId="194" priority="1406" operator="equal">
      <formula>"value일 미도래"</formula>
    </cfRule>
  </conditionalFormatting>
  <conditionalFormatting sqref="M191">
    <cfRule type="cellIs" dxfId="193" priority="1373" operator="equal">
      <formula>"value일 미도래"</formula>
    </cfRule>
  </conditionalFormatting>
  <conditionalFormatting sqref="M191">
    <cfRule type="cellIs" dxfId="192" priority="1371" operator="equal">
      <formula>"value일 미도래"</formula>
    </cfRule>
  </conditionalFormatting>
  <conditionalFormatting sqref="M191">
    <cfRule type="cellIs" dxfId="191" priority="1370" operator="equal">
      <formula>"value일 미도래"</formula>
    </cfRule>
  </conditionalFormatting>
  <conditionalFormatting sqref="M191">
    <cfRule type="cellIs" dxfId="190" priority="1369" operator="equal">
      <formula>"value일 미도래"</formula>
    </cfRule>
  </conditionalFormatting>
  <conditionalFormatting sqref="M191">
    <cfRule type="cellIs" dxfId="189" priority="1368" operator="equal">
      <formula>"value일 미도래"</formula>
    </cfRule>
  </conditionalFormatting>
  <conditionalFormatting sqref="M191">
    <cfRule type="cellIs" dxfId="188" priority="1367" operator="equal">
      <formula>"value일 미도래"</formula>
    </cfRule>
  </conditionalFormatting>
  <conditionalFormatting sqref="M191">
    <cfRule type="cellIs" dxfId="187" priority="1320" operator="equal">
      <formula>"value일 미도래"</formula>
    </cfRule>
  </conditionalFormatting>
  <conditionalFormatting sqref="M191">
    <cfRule type="cellIs" dxfId="186" priority="1318" operator="equal">
      <formula>"value일 미도래"</formula>
    </cfRule>
  </conditionalFormatting>
  <conditionalFormatting sqref="M191">
    <cfRule type="cellIs" dxfId="185" priority="1317" operator="equal">
      <formula>"value일 미도래"</formula>
    </cfRule>
  </conditionalFormatting>
  <conditionalFormatting sqref="M191">
    <cfRule type="cellIs" dxfId="184" priority="1316" operator="equal">
      <formula>"value일 미도래"</formula>
    </cfRule>
  </conditionalFormatting>
  <conditionalFormatting sqref="M191">
    <cfRule type="cellIs" dxfId="183" priority="1315" operator="equal">
      <formula>"value일 미도래"</formula>
    </cfRule>
  </conditionalFormatting>
  <conditionalFormatting sqref="M191">
    <cfRule type="cellIs" dxfId="182" priority="1314" operator="equal">
      <formula>"value일 미도래"</formula>
    </cfRule>
  </conditionalFormatting>
  <conditionalFormatting sqref="M191">
    <cfRule type="cellIs" dxfId="181" priority="1295" operator="equal">
      <formula>"value일 미도래"</formula>
    </cfRule>
  </conditionalFormatting>
  <conditionalFormatting sqref="M191">
    <cfRule type="cellIs" dxfId="180" priority="1293" operator="equal">
      <formula>"value일 미도래"</formula>
    </cfRule>
  </conditionalFormatting>
  <conditionalFormatting sqref="M191">
    <cfRule type="cellIs" dxfId="179" priority="1292" operator="equal">
      <formula>"value일 미도래"</formula>
    </cfRule>
  </conditionalFormatting>
  <conditionalFormatting sqref="M191">
    <cfRule type="cellIs" dxfId="178" priority="1291" operator="equal">
      <formula>"value일 미도래"</formula>
    </cfRule>
  </conditionalFormatting>
  <conditionalFormatting sqref="M191">
    <cfRule type="cellIs" dxfId="177" priority="1290" operator="equal">
      <formula>"value일 미도래"</formula>
    </cfRule>
  </conditionalFormatting>
  <conditionalFormatting sqref="M191">
    <cfRule type="cellIs" dxfId="176" priority="1289" operator="equal">
      <formula>"value일 미도래"</formula>
    </cfRule>
  </conditionalFormatting>
  <conditionalFormatting sqref="M191">
    <cfRule type="cellIs" dxfId="175" priority="1242" operator="equal">
      <formula>"value일 미도래"</formula>
    </cfRule>
  </conditionalFormatting>
  <conditionalFormatting sqref="M191">
    <cfRule type="cellIs" dxfId="174" priority="1240" operator="equal">
      <formula>"value일 미도래"</formula>
    </cfRule>
  </conditionalFormatting>
  <conditionalFormatting sqref="M191">
    <cfRule type="cellIs" dxfId="173" priority="1239" operator="equal">
      <formula>"value일 미도래"</formula>
    </cfRule>
  </conditionalFormatting>
  <conditionalFormatting sqref="M191">
    <cfRule type="cellIs" dxfId="172" priority="1238" operator="equal">
      <formula>"value일 미도래"</formula>
    </cfRule>
  </conditionalFormatting>
  <conditionalFormatting sqref="M191">
    <cfRule type="cellIs" dxfId="171" priority="1237" operator="equal">
      <formula>"value일 미도래"</formula>
    </cfRule>
  </conditionalFormatting>
  <conditionalFormatting sqref="M191">
    <cfRule type="cellIs" dxfId="170" priority="1236" operator="equal">
      <formula>"value일 미도래"</formula>
    </cfRule>
  </conditionalFormatting>
  <conditionalFormatting sqref="M191">
    <cfRule type="cellIs" dxfId="169" priority="1217" operator="equal">
      <formula>"value일 미도래"</formula>
    </cfRule>
  </conditionalFormatting>
  <conditionalFormatting sqref="M191">
    <cfRule type="cellIs" dxfId="168" priority="1215" operator="equal">
      <formula>"value일 미도래"</formula>
    </cfRule>
  </conditionalFormatting>
  <conditionalFormatting sqref="M191">
    <cfRule type="cellIs" dxfId="167" priority="1214" operator="equal">
      <formula>"value일 미도래"</formula>
    </cfRule>
  </conditionalFormatting>
  <conditionalFormatting sqref="M191">
    <cfRule type="cellIs" dxfId="166" priority="1213" operator="equal">
      <formula>"value일 미도래"</formula>
    </cfRule>
  </conditionalFormatting>
  <conditionalFormatting sqref="M191">
    <cfRule type="cellIs" dxfId="165" priority="1212" operator="equal">
      <formula>"value일 미도래"</formula>
    </cfRule>
  </conditionalFormatting>
  <conditionalFormatting sqref="M191">
    <cfRule type="cellIs" dxfId="164" priority="1211" operator="equal">
      <formula>"value일 미도래"</formula>
    </cfRule>
  </conditionalFormatting>
  <conditionalFormatting sqref="M191">
    <cfRule type="cellIs" dxfId="163" priority="1178" operator="equal">
      <formula>"value일 미도래"</formula>
    </cfRule>
  </conditionalFormatting>
  <conditionalFormatting sqref="M191">
    <cfRule type="cellIs" dxfId="162" priority="1176" operator="equal">
      <formula>"value일 미도래"</formula>
    </cfRule>
  </conditionalFormatting>
  <conditionalFormatting sqref="M191">
    <cfRule type="cellIs" dxfId="161" priority="1175" operator="equal">
      <formula>"value일 미도래"</formula>
    </cfRule>
  </conditionalFormatting>
  <conditionalFormatting sqref="M191">
    <cfRule type="cellIs" dxfId="160" priority="1174" operator="equal">
      <formula>"value일 미도래"</formula>
    </cfRule>
  </conditionalFormatting>
  <conditionalFormatting sqref="M191">
    <cfRule type="cellIs" dxfId="159" priority="1173" operator="equal">
      <formula>"value일 미도래"</formula>
    </cfRule>
  </conditionalFormatting>
  <conditionalFormatting sqref="M191">
    <cfRule type="cellIs" dxfId="158" priority="1172" operator="equal">
      <formula>"value일 미도래"</formula>
    </cfRule>
  </conditionalFormatting>
  <conditionalFormatting sqref="M191">
    <cfRule type="cellIs" dxfId="157" priority="1139" operator="equal">
      <formula>"value일 미도래"</formula>
    </cfRule>
  </conditionalFormatting>
  <conditionalFormatting sqref="M191">
    <cfRule type="cellIs" dxfId="156" priority="1137" operator="equal">
      <formula>"value일 미도래"</formula>
    </cfRule>
  </conditionalFormatting>
  <conditionalFormatting sqref="M191">
    <cfRule type="cellIs" dxfId="155" priority="1136" operator="equal">
      <formula>"value일 미도래"</formula>
    </cfRule>
  </conditionalFormatting>
  <conditionalFormatting sqref="M191">
    <cfRule type="cellIs" dxfId="154" priority="1135" operator="equal">
      <formula>"value일 미도래"</formula>
    </cfRule>
  </conditionalFormatting>
  <conditionalFormatting sqref="M191">
    <cfRule type="cellIs" dxfId="153" priority="1134" operator="equal">
      <formula>"value일 미도래"</formula>
    </cfRule>
  </conditionalFormatting>
  <conditionalFormatting sqref="M191">
    <cfRule type="cellIs" dxfId="152" priority="1133" operator="equal">
      <formula>"value일 미도래"</formula>
    </cfRule>
  </conditionalFormatting>
  <conditionalFormatting sqref="M191">
    <cfRule type="cellIs" dxfId="151" priority="1100" operator="equal">
      <formula>"value일 미도래"</formula>
    </cfRule>
  </conditionalFormatting>
  <conditionalFormatting sqref="M191">
    <cfRule type="cellIs" dxfId="150" priority="1098" operator="equal">
      <formula>"value일 미도래"</formula>
    </cfRule>
  </conditionalFormatting>
  <conditionalFormatting sqref="M191">
    <cfRule type="cellIs" dxfId="149" priority="1097" operator="equal">
      <formula>"value일 미도래"</formula>
    </cfRule>
  </conditionalFormatting>
  <conditionalFormatting sqref="M191">
    <cfRule type="cellIs" dxfId="148" priority="1096" operator="equal">
      <formula>"value일 미도래"</formula>
    </cfRule>
  </conditionalFormatting>
  <conditionalFormatting sqref="M191">
    <cfRule type="cellIs" dxfId="147" priority="1095" operator="equal">
      <formula>"value일 미도래"</formula>
    </cfRule>
  </conditionalFormatting>
  <conditionalFormatting sqref="M191">
    <cfRule type="cellIs" dxfId="146" priority="1094" operator="equal">
      <formula>"value일 미도래"</formula>
    </cfRule>
  </conditionalFormatting>
  <conditionalFormatting sqref="M191">
    <cfRule type="cellIs" dxfId="145" priority="1047" operator="equal">
      <formula>"value일 미도래"</formula>
    </cfRule>
  </conditionalFormatting>
  <conditionalFormatting sqref="M191">
    <cfRule type="cellIs" dxfId="144" priority="1045" operator="equal">
      <formula>"value일 미도래"</formula>
    </cfRule>
  </conditionalFormatting>
  <conditionalFormatting sqref="M191">
    <cfRule type="cellIs" dxfId="143" priority="1044" operator="equal">
      <formula>"value일 미도래"</formula>
    </cfRule>
  </conditionalFormatting>
  <conditionalFormatting sqref="M191">
    <cfRule type="cellIs" dxfId="142" priority="1043" operator="equal">
      <formula>"value일 미도래"</formula>
    </cfRule>
  </conditionalFormatting>
  <conditionalFormatting sqref="M191">
    <cfRule type="cellIs" dxfId="141" priority="1042" operator="equal">
      <formula>"value일 미도래"</formula>
    </cfRule>
  </conditionalFormatting>
  <conditionalFormatting sqref="M191">
    <cfRule type="cellIs" dxfId="140" priority="1041" operator="equal">
      <formula>"value일 미도래"</formula>
    </cfRule>
  </conditionalFormatting>
  <conditionalFormatting sqref="M191">
    <cfRule type="cellIs" dxfId="139" priority="1022" operator="equal">
      <formula>"value일 미도래"</formula>
    </cfRule>
  </conditionalFormatting>
  <conditionalFormatting sqref="M191">
    <cfRule type="cellIs" dxfId="138" priority="1020" operator="equal">
      <formula>"value일 미도래"</formula>
    </cfRule>
  </conditionalFormatting>
  <conditionalFormatting sqref="M191">
    <cfRule type="cellIs" dxfId="137" priority="1019" operator="equal">
      <formula>"value일 미도래"</formula>
    </cfRule>
  </conditionalFormatting>
  <conditionalFormatting sqref="M191">
    <cfRule type="cellIs" dxfId="136" priority="1018" operator="equal">
      <formula>"value일 미도래"</formula>
    </cfRule>
  </conditionalFormatting>
  <conditionalFormatting sqref="M191">
    <cfRule type="cellIs" dxfId="135" priority="1017" operator="equal">
      <formula>"value일 미도래"</formula>
    </cfRule>
  </conditionalFormatting>
  <conditionalFormatting sqref="M191">
    <cfRule type="cellIs" dxfId="134" priority="1016" operator="equal">
      <formula>"value일 미도래"</formula>
    </cfRule>
  </conditionalFormatting>
  <conditionalFormatting sqref="M191">
    <cfRule type="cellIs" dxfId="133" priority="969" operator="equal">
      <formula>"value일 미도래"</formula>
    </cfRule>
  </conditionalFormatting>
  <conditionalFormatting sqref="M191">
    <cfRule type="cellIs" dxfId="132" priority="967" operator="equal">
      <formula>"value일 미도래"</formula>
    </cfRule>
  </conditionalFormatting>
  <conditionalFormatting sqref="M191">
    <cfRule type="cellIs" dxfId="131" priority="966" operator="equal">
      <formula>"value일 미도래"</formula>
    </cfRule>
  </conditionalFormatting>
  <conditionalFormatting sqref="M191">
    <cfRule type="cellIs" dxfId="130" priority="965" operator="equal">
      <formula>"value일 미도래"</formula>
    </cfRule>
  </conditionalFormatting>
  <conditionalFormatting sqref="M191">
    <cfRule type="cellIs" dxfId="129" priority="964" operator="equal">
      <formula>"value일 미도래"</formula>
    </cfRule>
  </conditionalFormatting>
  <conditionalFormatting sqref="M191">
    <cfRule type="cellIs" dxfId="128" priority="963" operator="equal">
      <formula>"value일 미도래"</formula>
    </cfRule>
  </conditionalFormatting>
  <conditionalFormatting sqref="M191">
    <cfRule type="cellIs" dxfId="127" priority="944" operator="equal">
      <formula>"value일 미도래"</formula>
    </cfRule>
  </conditionalFormatting>
  <conditionalFormatting sqref="M191">
    <cfRule type="cellIs" dxfId="126" priority="942" operator="equal">
      <formula>"value일 미도래"</formula>
    </cfRule>
  </conditionalFormatting>
  <conditionalFormatting sqref="M191">
    <cfRule type="cellIs" dxfId="125" priority="941" operator="equal">
      <formula>"value일 미도래"</formula>
    </cfRule>
  </conditionalFormatting>
  <conditionalFormatting sqref="M191">
    <cfRule type="cellIs" dxfId="124" priority="940" operator="equal">
      <formula>"value일 미도래"</formula>
    </cfRule>
  </conditionalFormatting>
  <conditionalFormatting sqref="M191">
    <cfRule type="cellIs" dxfId="123" priority="939" operator="equal">
      <formula>"value일 미도래"</formula>
    </cfRule>
  </conditionalFormatting>
  <conditionalFormatting sqref="M191">
    <cfRule type="cellIs" dxfId="122" priority="938" operator="equal">
      <formula>"value일 미도래"</formula>
    </cfRule>
  </conditionalFormatting>
  <conditionalFormatting sqref="M191">
    <cfRule type="cellIs" dxfId="121" priority="905" operator="equal">
      <formula>"value일 미도래"</formula>
    </cfRule>
  </conditionalFormatting>
  <conditionalFormatting sqref="M191">
    <cfRule type="cellIs" dxfId="120" priority="903" operator="equal">
      <formula>"value일 미도래"</formula>
    </cfRule>
  </conditionalFormatting>
  <conditionalFormatting sqref="M191">
    <cfRule type="cellIs" dxfId="119" priority="902" operator="equal">
      <formula>"value일 미도래"</formula>
    </cfRule>
  </conditionalFormatting>
  <conditionalFormatting sqref="M191">
    <cfRule type="cellIs" dxfId="118" priority="901" operator="equal">
      <formula>"value일 미도래"</formula>
    </cfRule>
  </conditionalFormatting>
  <conditionalFormatting sqref="M191">
    <cfRule type="cellIs" dxfId="117" priority="900" operator="equal">
      <formula>"value일 미도래"</formula>
    </cfRule>
  </conditionalFormatting>
  <conditionalFormatting sqref="M191">
    <cfRule type="cellIs" dxfId="116" priority="899" operator="equal">
      <formula>"value일 미도래"</formula>
    </cfRule>
  </conditionalFormatting>
  <conditionalFormatting sqref="M191">
    <cfRule type="cellIs" dxfId="115" priority="866" operator="equal">
      <formula>"value일 미도래"</formula>
    </cfRule>
  </conditionalFormatting>
  <conditionalFormatting sqref="M191">
    <cfRule type="cellIs" dxfId="114" priority="864" operator="equal">
      <formula>"value일 미도래"</formula>
    </cfRule>
  </conditionalFormatting>
  <conditionalFormatting sqref="M191">
    <cfRule type="cellIs" dxfId="113" priority="863" operator="equal">
      <formula>"value일 미도래"</formula>
    </cfRule>
  </conditionalFormatting>
  <conditionalFormatting sqref="M191">
    <cfRule type="cellIs" dxfId="112" priority="862" operator="equal">
      <formula>"value일 미도래"</formula>
    </cfRule>
  </conditionalFormatting>
  <conditionalFormatting sqref="M191">
    <cfRule type="cellIs" dxfId="111" priority="861" operator="equal">
      <formula>"value일 미도래"</formula>
    </cfRule>
  </conditionalFormatting>
  <conditionalFormatting sqref="M191">
    <cfRule type="cellIs" dxfId="110" priority="860" operator="equal">
      <formula>"value일 미도래"</formula>
    </cfRule>
  </conditionalFormatting>
  <conditionalFormatting sqref="M191">
    <cfRule type="cellIs" dxfId="109" priority="841" operator="equal">
      <formula>"value일 미도래"</formula>
    </cfRule>
  </conditionalFormatting>
  <conditionalFormatting sqref="M191">
    <cfRule type="cellIs" dxfId="108" priority="839" operator="equal">
      <formula>"value일 미도래"</formula>
    </cfRule>
  </conditionalFormatting>
  <conditionalFormatting sqref="M191">
    <cfRule type="cellIs" dxfId="107" priority="838" operator="equal">
      <formula>"value일 미도래"</formula>
    </cfRule>
  </conditionalFormatting>
  <conditionalFormatting sqref="M191">
    <cfRule type="cellIs" dxfId="106" priority="837" operator="equal">
      <formula>"value일 미도래"</formula>
    </cfRule>
  </conditionalFormatting>
  <conditionalFormatting sqref="M191">
    <cfRule type="cellIs" dxfId="105" priority="836" operator="equal">
      <formula>"value일 미도래"</formula>
    </cfRule>
  </conditionalFormatting>
  <conditionalFormatting sqref="M191">
    <cfRule type="cellIs" dxfId="104" priority="835" operator="equal">
      <formula>"value일 미도래"</formula>
    </cfRule>
  </conditionalFormatting>
  <conditionalFormatting sqref="M191">
    <cfRule type="cellIs" dxfId="103" priority="788" operator="equal">
      <formula>"value일 미도래"</formula>
    </cfRule>
  </conditionalFormatting>
  <conditionalFormatting sqref="M191">
    <cfRule type="cellIs" dxfId="102" priority="786" operator="equal">
      <formula>"value일 미도래"</formula>
    </cfRule>
  </conditionalFormatting>
  <conditionalFormatting sqref="M191">
    <cfRule type="cellIs" dxfId="101" priority="785" operator="equal">
      <formula>"value일 미도래"</formula>
    </cfRule>
  </conditionalFormatting>
  <conditionalFormatting sqref="M191">
    <cfRule type="cellIs" dxfId="100" priority="784" operator="equal">
      <formula>"value일 미도래"</formula>
    </cfRule>
  </conditionalFormatting>
  <conditionalFormatting sqref="M191">
    <cfRule type="cellIs" dxfId="99" priority="783" operator="equal">
      <formula>"value일 미도래"</formula>
    </cfRule>
  </conditionalFormatting>
  <conditionalFormatting sqref="M191">
    <cfRule type="cellIs" dxfId="98" priority="782" operator="equal">
      <formula>"value일 미도래"</formula>
    </cfRule>
  </conditionalFormatting>
  <conditionalFormatting sqref="M191">
    <cfRule type="cellIs" dxfId="97" priority="763" operator="equal">
      <formula>"value일 미도래"</formula>
    </cfRule>
  </conditionalFormatting>
  <conditionalFormatting sqref="M191">
    <cfRule type="cellIs" dxfId="96" priority="761" operator="equal">
      <formula>"value일 미도래"</formula>
    </cfRule>
  </conditionalFormatting>
  <conditionalFormatting sqref="M191">
    <cfRule type="cellIs" dxfId="95" priority="760" operator="equal">
      <formula>"value일 미도래"</formula>
    </cfRule>
  </conditionalFormatting>
  <conditionalFormatting sqref="M191">
    <cfRule type="cellIs" dxfId="94" priority="759" operator="equal">
      <formula>"value일 미도래"</formula>
    </cfRule>
  </conditionalFormatting>
  <conditionalFormatting sqref="M191">
    <cfRule type="cellIs" dxfId="93" priority="758" operator="equal">
      <formula>"value일 미도래"</formula>
    </cfRule>
  </conditionalFormatting>
  <conditionalFormatting sqref="M191">
    <cfRule type="cellIs" dxfId="92" priority="757" operator="equal">
      <formula>"value일 미도래"</formula>
    </cfRule>
  </conditionalFormatting>
  <conditionalFormatting sqref="M191">
    <cfRule type="cellIs" dxfId="91" priority="710" operator="equal">
      <formula>"value일 미도래"</formula>
    </cfRule>
  </conditionalFormatting>
  <conditionalFormatting sqref="M191">
    <cfRule type="cellIs" dxfId="90" priority="708" operator="equal">
      <formula>"value일 미도래"</formula>
    </cfRule>
  </conditionalFormatting>
  <conditionalFormatting sqref="M191">
    <cfRule type="cellIs" dxfId="89" priority="707" operator="equal">
      <formula>"value일 미도래"</formula>
    </cfRule>
  </conditionalFormatting>
  <conditionalFormatting sqref="M191">
    <cfRule type="cellIs" dxfId="88" priority="706" operator="equal">
      <formula>"value일 미도래"</formula>
    </cfRule>
  </conditionalFormatting>
  <conditionalFormatting sqref="M191">
    <cfRule type="cellIs" dxfId="87" priority="705" operator="equal">
      <formula>"value일 미도래"</formula>
    </cfRule>
  </conditionalFormatting>
  <conditionalFormatting sqref="M191">
    <cfRule type="cellIs" dxfId="86" priority="704" operator="equal">
      <formula>"value일 미도래"</formula>
    </cfRule>
  </conditionalFormatting>
  <conditionalFormatting sqref="M191">
    <cfRule type="cellIs" dxfId="85" priority="685" operator="equal">
      <formula>"value일 미도래"</formula>
    </cfRule>
  </conditionalFormatting>
  <conditionalFormatting sqref="M191">
    <cfRule type="cellIs" dxfId="84" priority="683" operator="equal">
      <formula>"value일 미도래"</formula>
    </cfRule>
  </conditionalFormatting>
  <conditionalFormatting sqref="M191">
    <cfRule type="cellIs" dxfId="83" priority="682" operator="equal">
      <formula>"value일 미도래"</formula>
    </cfRule>
  </conditionalFormatting>
  <conditionalFormatting sqref="M191">
    <cfRule type="cellIs" dxfId="82" priority="681" operator="equal">
      <formula>"value일 미도래"</formula>
    </cfRule>
  </conditionalFormatting>
  <conditionalFormatting sqref="M191">
    <cfRule type="cellIs" dxfId="81" priority="680" operator="equal">
      <formula>"value일 미도래"</formula>
    </cfRule>
  </conditionalFormatting>
  <conditionalFormatting sqref="M191">
    <cfRule type="cellIs" dxfId="80" priority="679" operator="equal">
      <formula>"value일 미도래"</formula>
    </cfRule>
  </conditionalFormatting>
  <conditionalFormatting sqref="M191">
    <cfRule type="cellIs" dxfId="79" priority="646" operator="equal">
      <formula>"value일 미도래"</formula>
    </cfRule>
  </conditionalFormatting>
  <conditionalFormatting sqref="M191">
    <cfRule type="cellIs" dxfId="78" priority="644" operator="equal">
      <formula>"value일 미도래"</formula>
    </cfRule>
  </conditionalFormatting>
  <conditionalFormatting sqref="M191">
    <cfRule type="cellIs" dxfId="77" priority="643" operator="equal">
      <formula>"value일 미도래"</formula>
    </cfRule>
  </conditionalFormatting>
  <conditionalFormatting sqref="M191">
    <cfRule type="cellIs" dxfId="76" priority="642" operator="equal">
      <formula>"value일 미도래"</formula>
    </cfRule>
  </conditionalFormatting>
  <conditionalFormatting sqref="M191">
    <cfRule type="cellIs" dxfId="75" priority="641" operator="equal">
      <formula>"value일 미도래"</formula>
    </cfRule>
  </conditionalFormatting>
  <conditionalFormatting sqref="M191">
    <cfRule type="cellIs" dxfId="74" priority="640" operator="equal">
      <formula>"value일 미도래"</formula>
    </cfRule>
  </conditionalFormatting>
  <conditionalFormatting sqref="M191">
    <cfRule type="cellIs" dxfId="73" priority="607" operator="equal">
      <formula>"value일 미도래"</formula>
    </cfRule>
  </conditionalFormatting>
  <conditionalFormatting sqref="M191">
    <cfRule type="cellIs" dxfId="72" priority="605" operator="equal">
      <formula>"value일 미도래"</formula>
    </cfRule>
  </conditionalFormatting>
  <conditionalFormatting sqref="M191">
    <cfRule type="cellIs" dxfId="71" priority="604" operator="equal">
      <formula>"value일 미도래"</formula>
    </cfRule>
  </conditionalFormatting>
  <conditionalFormatting sqref="M191">
    <cfRule type="cellIs" dxfId="70" priority="603" operator="equal">
      <formula>"value일 미도래"</formula>
    </cfRule>
  </conditionalFormatting>
  <conditionalFormatting sqref="M191">
    <cfRule type="cellIs" dxfId="69" priority="602" operator="equal">
      <formula>"value일 미도래"</formula>
    </cfRule>
  </conditionalFormatting>
  <conditionalFormatting sqref="M191">
    <cfRule type="cellIs" dxfId="68" priority="601" operator="equal">
      <formula>"value일 미도래"</formula>
    </cfRule>
  </conditionalFormatting>
  <conditionalFormatting sqref="M191">
    <cfRule type="cellIs" dxfId="67" priority="582" operator="equal">
      <formula>"value일 미도래"</formula>
    </cfRule>
  </conditionalFormatting>
  <conditionalFormatting sqref="M191">
    <cfRule type="cellIs" dxfId="66" priority="580" operator="equal">
      <formula>"value일 미도래"</formula>
    </cfRule>
  </conditionalFormatting>
  <conditionalFormatting sqref="M191">
    <cfRule type="cellIs" dxfId="65" priority="579" operator="equal">
      <formula>"value일 미도래"</formula>
    </cfRule>
  </conditionalFormatting>
  <conditionalFormatting sqref="M191">
    <cfRule type="cellIs" dxfId="64" priority="578" operator="equal">
      <formula>"value일 미도래"</formula>
    </cfRule>
  </conditionalFormatting>
  <conditionalFormatting sqref="M191">
    <cfRule type="cellIs" dxfId="63" priority="577" operator="equal">
      <formula>"value일 미도래"</formula>
    </cfRule>
  </conditionalFormatting>
  <conditionalFormatting sqref="M191">
    <cfRule type="cellIs" dxfId="62" priority="576" operator="equal">
      <formula>"value일 미도래"</formula>
    </cfRule>
  </conditionalFormatting>
  <conditionalFormatting sqref="M191">
    <cfRule type="cellIs" dxfId="61" priority="529" operator="equal">
      <formula>"value일 미도래"</formula>
    </cfRule>
  </conditionalFormatting>
  <conditionalFormatting sqref="M191">
    <cfRule type="cellIs" dxfId="60" priority="527" operator="equal">
      <formula>"value일 미도래"</formula>
    </cfRule>
  </conditionalFormatting>
  <conditionalFormatting sqref="M191">
    <cfRule type="cellIs" dxfId="59" priority="526" operator="equal">
      <formula>"value일 미도래"</formula>
    </cfRule>
  </conditionalFormatting>
  <conditionalFormatting sqref="M191">
    <cfRule type="cellIs" dxfId="58" priority="525" operator="equal">
      <formula>"value일 미도래"</formula>
    </cfRule>
  </conditionalFormatting>
  <conditionalFormatting sqref="M191">
    <cfRule type="cellIs" dxfId="57" priority="524" operator="equal">
      <formula>"value일 미도래"</formula>
    </cfRule>
  </conditionalFormatting>
  <conditionalFormatting sqref="M191">
    <cfRule type="cellIs" dxfId="56" priority="523" operator="equal">
      <formula>"value일 미도래"</formula>
    </cfRule>
  </conditionalFormatting>
  <conditionalFormatting sqref="M191">
    <cfRule type="cellIs" dxfId="55" priority="504" operator="equal">
      <formula>"value일 미도래"</formula>
    </cfRule>
  </conditionalFormatting>
  <conditionalFormatting sqref="M191">
    <cfRule type="cellIs" dxfId="54" priority="502" operator="equal">
      <formula>"value일 미도래"</formula>
    </cfRule>
  </conditionalFormatting>
  <conditionalFormatting sqref="M191">
    <cfRule type="cellIs" dxfId="53" priority="501" operator="equal">
      <formula>"value일 미도래"</formula>
    </cfRule>
  </conditionalFormatting>
  <conditionalFormatting sqref="M191">
    <cfRule type="cellIs" dxfId="52" priority="500" operator="equal">
      <formula>"value일 미도래"</formula>
    </cfRule>
  </conditionalFormatting>
  <conditionalFormatting sqref="M191">
    <cfRule type="cellIs" dxfId="51" priority="499" operator="equal">
      <formula>"value일 미도래"</formula>
    </cfRule>
  </conditionalFormatting>
  <conditionalFormatting sqref="M191">
    <cfRule type="cellIs" dxfId="50" priority="498" operator="equal">
      <formula>"value일 미도래"</formula>
    </cfRule>
  </conditionalFormatting>
  <conditionalFormatting sqref="M191">
    <cfRule type="cellIs" dxfId="49" priority="451" operator="equal">
      <formula>"value일 미도래"</formula>
    </cfRule>
  </conditionalFormatting>
  <conditionalFormatting sqref="M191">
    <cfRule type="cellIs" dxfId="48" priority="449" operator="equal">
      <formula>"value일 미도래"</formula>
    </cfRule>
  </conditionalFormatting>
  <conditionalFormatting sqref="M191">
    <cfRule type="cellIs" dxfId="47" priority="448" operator="equal">
      <formula>"value일 미도래"</formula>
    </cfRule>
  </conditionalFormatting>
  <conditionalFormatting sqref="M191">
    <cfRule type="cellIs" dxfId="46" priority="447" operator="equal">
      <formula>"value일 미도래"</formula>
    </cfRule>
  </conditionalFormatting>
  <conditionalFormatting sqref="M191">
    <cfRule type="cellIs" dxfId="45" priority="446" operator="equal">
      <formula>"value일 미도래"</formula>
    </cfRule>
  </conditionalFormatting>
  <conditionalFormatting sqref="M191">
    <cfRule type="cellIs" dxfId="44" priority="445" operator="equal">
      <formula>"value일 미도래"</formula>
    </cfRule>
  </conditionalFormatting>
  <conditionalFormatting sqref="M191">
    <cfRule type="cellIs" dxfId="43" priority="426" operator="equal">
      <formula>"value일 미도래"</formula>
    </cfRule>
  </conditionalFormatting>
  <conditionalFormatting sqref="M191">
    <cfRule type="cellIs" dxfId="42" priority="424" operator="equal">
      <formula>"value일 미도래"</formula>
    </cfRule>
  </conditionalFormatting>
  <conditionalFormatting sqref="M191">
    <cfRule type="cellIs" dxfId="41" priority="423" operator="equal">
      <formula>"value일 미도래"</formula>
    </cfRule>
  </conditionalFormatting>
  <conditionalFormatting sqref="M191">
    <cfRule type="cellIs" dxfId="40" priority="422" operator="equal">
      <formula>"value일 미도래"</formula>
    </cfRule>
  </conditionalFormatting>
  <conditionalFormatting sqref="M191">
    <cfRule type="cellIs" dxfId="39" priority="421" operator="equal">
      <formula>"value일 미도래"</formula>
    </cfRule>
  </conditionalFormatting>
  <conditionalFormatting sqref="M191">
    <cfRule type="cellIs" dxfId="38" priority="420" operator="equal">
      <formula>"value일 미도래"</formula>
    </cfRule>
  </conditionalFormatting>
  <conditionalFormatting sqref="M191">
    <cfRule type="cellIs" dxfId="37" priority="387" operator="equal">
      <formula>"value일 미도래"</formula>
    </cfRule>
  </conditionalFormatting>
  <conditionalFormatting sqref="M191">
    <cfRule type="cellIs" dxfId="36" priority="385" operator="equal">
      <formula>"value일 미도래"</formula>
    </cfRule>
  </conditionalFormatting>
  <conditionalFormatting sqref="M191">
    <cfRule type="cellIs" dxfId="35" priority="384" operator="equal">
      <formula>"value일 미도래"</formula>
    </cfRule>
  </conditionalFormatting>
  <conditionalFormatting sqref="M191">
    <cfRule type="cellIs" dxfId="34" priority="383" operator="equal">
      <formula>"value일 미도래"</formula>
    </cfRule>
  </conditionalFormatting>
  <conditionalFormatting sqref="M191">
    <cfRule type="cellIs" dxfId="33" priority="382" operator="equal">
      <formula>"value일 미도래"</formula>
    </cfRule>
  </conditionalFormatting>
  <conditionalFormatting sqref="M191">
    <cfRule type="cellIs" dxfId="32" priority="381" operator="equal">
      <formula>"value일 미도래"</formula>
    </cfRule>
  </conditionalFormatting>
  <conditionalFormatting sqref="M191">
    <cfRule type="cellIs" dxfId="31" priority="348" operator="equal">
      <formula>"value일 미도래"</formula>
    </cfRule>
  </conditionalFormatting>
  <conditionalFormatting sqref="M191">
    <cfRule type="cellIs" dxfId="30" priority="346" operator="equal">
      <formula>"value일 미도래"</formula>
    </cfRule>
  </conditionalFormatting>
  <conditionalFormatting sqref="M191">
    <cfRule type="cellIs" dxfId="29" priority="345" operator="equal">
      <formula>"value일 미도래"</formula>
    </cfRule>
  </conditionalFormatting>
  <conditionalFormatting sqref="M191">
    <cfRule type="cellIs" dxfId="28" priority="344" operator="equal">
      <formula>"value일 미도래"</formula>
    </cfRule>
  </conditionalFormatting>
  <conditionalFormatting sqref="M191">
    <cfRule type="cellIs" dxfId="27" priority="343" operator="equal">
      <formula>"value일 미도래"</formula>
    </cfRule>
  </conditionalFormatting>
  <conditionalFormatting sqref="M191">
    <cfRule type="cellIs" dxfId="26" priority="342" operator="equal">
      <formula>"value일 미도래"</formula>
    </cfRule>
  </conditionalFormatting>
  <conditionalFormatting sqref="M191">
    <cfRule type="cellIs" dxfId="25" priority="309" operator="equal">
      <formula>"value일 미도래"</formula>
    </cfRule>
  </conditionalFormatting>
  <conditionalFormatting sqref="M191">
    <cfRule type="cellIs" dxfId="24" priority="307" operator="equal">
      <formula>"value일 미도래"</formula>
    </cfRule>
  </conditionalFormatting>
  <conditionalFormatting sqref="M191">
    <cfRule type="cellIs" dxfId="23" priority="306" operator="equal">
      <formula>"value일 미도래"</formula>
    </cfRule>
  </conditionalFormatting>
  <conditionalFormatting sqref="M191">
    <cfRule type="cellIs" dxfId="22" priority="305" operator="equal">
      <formula>"value일 미도래"</formula>
    </cfRule>
  </conditionalFormatting>
  <conditionalFormatting sqref="M191">
    <cfRule type="cellIs" dxfId="21" priority="304" operator="equal">
      <formula>"value일 미도래"</formula>
    </cfRule>
  </conditionalFormatting>
  <conditionalFormatting sqref="M191">
    <cfRule type="cellIs" dxfId="20" priority="303" operator="equal">
      <formula>"value일 미도래"</formula>
    </cfRule>
  </conditionalFormatting>
  <conditionalFormatting sqref="M191">
    <cfRule type="cellIs" dxfId="19" priority="256" operator="equal">
      <formula>"value일 미도래"</formula>
    </cfRule>
  </conditionalFormatting>
  <conditionalFormatting sqref="M191">
    <cfRule type="cellIs" dxfId="18" priority="254" operator="equal">
      <formula>"value일 미도래"</formula>
    </cfRule>
  </conditionalFormatting>
  <conditionalFormatting sqref="M191">
    <cfRule type="cellIs" dxfId="17" priority="253" operator="equal">
      <formula>"value일 미도래"</formula>
    </cfRule>
  </conditionalFormatting>
  <conditionalFormatting sqref="M191">
    <cfRule type="cellIs" dxfId="16" priority="252" operator="equal">
      <formula>"value일 미도래"</formula>
    </cfRule>
  </conditionalFormatting>
  <conditionalFormatting sqref="M191">
    <cfRule type="cellIs" dxfId="15" priority="251" operator="equal">
      <formula>"value일 미도래"</formula>
    </cfRule>
  </conditionalFormatting>
  <conditionalFormatting sqref="M191">
    <cfRule type="cellIs" dxfId="14" priority="250" operator="equal">
      <formula>"value일 미도래"</formula>
    </cfRule>
  </conditionalFormatting>
  <conditionalFormatting sqref="M191">
    <cfRule type="cellIs" dxfId="13" priority="231" operator="equal">
      <formula>"value일 미도래"</formula>
    </cfRule>
  </conditionalFormatting>
  <conditionalFormatting sqref="M191">
    <cfRule type="cellIs" dxfId="12" priority="229" operator="equal">
      <formula>"value일 미도래"</formula>
    </cfRule>
  </conditionalFormatting>
  <conditionalFormatting sqref="M191">
    <cfRule type="cellIs" dxfId="11" priority="228" operator="equal">
      <formula>"value일 미도래"</formula>
    </cfRule>
  </conditionalFormatting>
  <conditionalFormatting sqref="M191">
    <cfRule type="cellIs" dxfId="10" priority="227" operator="equal">
      <formula>"value일 미도래"</formula>
    </cfRule>
  </conditionalFormatting>
  <conditionalFormatting sqref="M191">
    <cfRule type="cellIs" dxfId="9" priority="226" operator="equal">
      <formula>"value일 미도래"</formula>
    </cfRule>
  </conditionalFormatting>
  <conditionalFormatting sqref="M191">
    <cfRule type="cellIs" dxfId="8" priority="225" operator="equal">
      <formula>"value일 미도래"</formula>
    </cfRule>
  </conditionalFormatting>
  <conditionalFormatting sqref="M230">
    <cfRule type="cellIs" dxfId="7" priority="111" operator="equal">
      <formula>"value일 미도래"</formula>
    </cfRule>
  </conditionalFormatting>
  <conditionalFormatting sqref="M227:M228">
    <cfRule type="cellIs" dxfId="6" priority="38" operator="equal">
      <formula>"value일 미도래"</formula>
    </cfRule>
  </conditionalFormatting>
  <conditionalFormatting sqref="J148:J352">
    <cfRule type="expression" dxfId="5" priority="8">
      <formula>INT(J148)=TODAY()</formula>
    </cfRule>
  </conditionalFormatting>
  <conditionalFormatting sqref="J197:J208">
    <cfRule type="expression" dxfId="4" priority="5">
      <formula>AND(TODAY()&gt;=EDATE(J197,-1),TODAY()&lt;=J197)</formula>
    </cfRule>
  </conditionalFormatting>
  <conditionalFormatting sqref="J287:J352">
    <cfRule type="expression" dxfId="3" priority="4">
      <formula>AND(TODAY()&gt;=EDATE(J287,-1),TODAY()&lt;=J287)</formula>
    </cfRule>
  </conditionalFormatting>
  <conditionalFormatting sqref="L358:L382">
    <cfRule type="expression" dxfId="2" priority="3">
      <formula>AND(TODAY()&gt;=L358-5,TODAY()&lt;=L358)</formula>
    </cfRule>
  </conditionalFormatting>
  <conditionalFormatting sqref="I228">
    <cfRule type="expression" dxfId="1" priority="2">
      <formula>INT(I228)=TODAY()</formula>
    </cfRule>
  </conditionalFormatting>
  <conditionalFormatting sqref="I227">
    <cfRule type="expression" dxfId="0" priority="1">
      <formula>INT(I227)=TODAY()</formula>
    </cfRule>
  </conditionalFormatting>
  <hyperlinks>
    <hyperlink ref="A3" location="'1.자금일보'!B289" display="차입금" xr:uid="{00000000-0004-0000-0300-000000000000}"/>
    <hyperlink ref="A2" location="'1.자금일보'!B172" display="콜론" xr:uid="{00000000-0004-0000-0300-000001000000}"/>
  </hyperlinks>
  <printOptions horizontalCentered="1"/>
  <pageMargins left="0.25" right="0.25" top="0.75" bottom="0.75" header="0.3" footer="0.3"/>
  <pageSetup paperSize="9" scale="77" orientation="landscape" r:id="rId1"/>
  <headerFooter alignWithMargins="0"/>
  <rowBreaks count="1" manualBreakCount="1">
    <brk id="524" max="16383" man="1"/>
  </rowBreaks>
  <ignoredErrors>
    <ignoredError sqref="K7:L10 H433 H428:H430" unlockedFormula="1"/>
    <ignoredError sqref="K60 K35:K40 P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5116" r:id="rId4" name="Button 60">
              <controlPr defaultSize="0" print="0" autoFill="0" autoPict="0" macro="[0]!칸밀기">
                <anchor moveWithCells="1" sizeWithCells="1">
                  <from>
                    <xdr:col>14</xdr:col>
                    <xdr:colOff>0</xdr:colOff>
                    <xdr:row>7</xdr:row>
                    <xdr:rowOff>19050</xdr:rowOff>
                  </from>
                  <to>
                    <xdr:col>15</xdr:col>
                    <xdr:colOff>695325</xdr:colOff>
                    <xdr:row>9</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vt:i4>
      </vt:variant>
      <vt:variant>
        <vt:lpstr>이름 지정된 범위</vt:lpstr>
      </vt:variant>
      <vt:variant>
        <vt:i4>2</vt:i4>
      </vt:variant>
    </vt:vector>
  </HeadingPairs>
  <TitlesOfParts>
    <vt:vector size="3" baseType="lpstr">
      <vt:lpstr>1.자금일보</vt:lpstr>
      <vt:lpstr>'1.자금일보'!OLE_LINK2</vt:lpstr>
      <vt:lpstr>'1.자금일보'!Print_Area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MasterVD</dc:creator>
  <cp:lastModifiedBy>Administrator</cp:lastModifiedBy>
  <cp:lastPrinted>2026-02-11T00:13:14Z</cp:lastPrinted>
  <dcterms:created xsi:type="dcterms:W3CDTF">2024-08-29T06:12:52Z</dcterms:created>
  <dcterms:modified xsi:type="dcterms:W3CDTF">2026-06-17T03:40:48Z</dcterms:modified>
</cp:coreProperties>
</file>