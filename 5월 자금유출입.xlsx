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월 자금유출입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<sst xmlns="http://schemas.openxmlformats.org/spreadsheetml/2006/main" count="31" uniqueCount="31">
  <si>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r>
      <rPr>
        <b val="true"/>
        <sz val="12"/>
        <rFont val="Arial"/>
        <family val="0"/>
        <charset val="1"/>
      </rPr>
      <t xml:space="preserve">[</t>
    </r>
    <r>
      <rPr>
        <b val="true"/>
        <sz val="12"/>
        <rFont val="Noto Sans CJK SC"/>
        <family val="2"/>
      </rPr>
      <t xml:space="preserve">참고</t>
    </r>
    <r>
      <rPr>
        <b val="true"/>
        <sz val="12"/>
        <rFont val="Arial"/>
        <family val="0"/>
        <charset val="1"/>
      </rPr>
      <t xml:space="preserve">] 5</t>
    </r>
    <r>
      <rPr>
        <b val="true"/>
        <sz val="12"/>
        <rFont val="Noto Sans CJK SC"/>
        <family val="2"/>
      </rPr>
      <t xml:space="preserve">월 일별 자금유출입 현황</t>
    </r>
  </si>
  <si>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단위 </t>
    </r>
    <r>
      <rPr>
        <sz val="9"/>
        <rFont val="Arial"/>
        <family val="0"/>
        <charset val="1"/>
      </rPr>
      <t xml:space="preserve">: </t>
    </r>
    <r>
      <rPr>
        <sz val="9"/>
        <rFont val="Noto Sans CJK SC"/>
        <family val="2"/>
      </rPr>
      <t xml:space="preserve">백만불</t>
    </r>
    <r>
      <rPr>
        <sz val="9"/>
        <rFont val="Arial"/>
        <family val="0"/>
        <charset val="1"/>
      </rPr>
      <t xml:space="preserve">)</t>
    </r>
  </si>
  <si>
    <t xml:space="preserve">일자</t>
  </si>
  <si>
    <t xml:space="preserve">전일자 마감액</t>
  </si>
  <si>
    <t xml:space="preserve">당발송금(-)</t>
  </si>
  <si>
    <t xml:space="preserve">타발송금(+)</t>
  </si>
  <si>
    <r>
      <rPr>
        <b val="true"/>
        <sz val="10"/>
        <rFont val="Arial"/>
        <family val="0"/>
        <charset val="1"/>
      </rPr>
      <t xml:space="preserve">FX</t>
    </r>
    <r>
      <rPr>
        <b val="true"/>
        <sz val="10"/>
        <rFont val="Noto Sans CJK SC"/>
        <family val="2"/>
      </rPr>
      <t xml:space="preserve">거래
자금유출입</t>
    </r>
  </si>
  <si>
    <t xml:space="preserve">콜머니(+)</t>
  </si>
  <si>
    <t xml:space="preserve">당일 마감액</t>
  </si>
  <si>
    <t xml:space="preserve">콜머니제외
마감액</t>
  </si>
  <si>
    <t xml:space="preserve">05.04</t>
  </si>
  <si>
    <t xml:space="preserve">05.06</t>
  </si>
  <si>
    <t xml:space="preserve">05.07</t>
  </si>
  <si>
    <t xml:space="preserve">05.08</t>
  </si>
  <si>
    <t xml:space="preserve">05.11</t>
  </si>
  <si>
    <t xml:space="preserve">05.12</t>
  </si>
  <si>
    <t xml:space="preserve">05.13</t>
  </si>
  <si>
    <t xml:space="preserve">05.14</t>
  </si>
  <si>
    <t xml:space="preserve">05.15</t>
  </si>
  <si>
    <t xml:space="preserve">05.18</t>
  </si>
  <si>
    <t xml:space="preserve">05.19</t>
  </si>
  <si>
    <t xml:space="preserve">05.20</t>
  </si>
  <si>
    <t xml:space="preserve">05.21</t>
  </si>
  <si>
    <t xml:space="preserve">05.22</t>
  </si>
  <si>
    <t xml:space="preserve">05.26</t>
  </si>
  <si>
    <t xml:space="preserve">05.27</t>
  </si>
  <si>
    <t xml:space="preserve">05.28</t>
  </si>
  <si>
    <t xml:space="preserve">05.29</t>
  </si>
  <si>
    <t xml:space="preserve">합계</t>
  </si>
  <si>
    <r>
      <rPr>
        <sz val="9"/>
        <rFont val="Arial"/>
        <family val="0"/>
        <charset val="1"/>
      </rPr>
      <t xml:space="preserve">※ FX</t>
    </r>
    <r>
      <rPr>
        <sz val="9"/>
        <rFont val="Noto Sans CJK SC"/>
        <family val="2"/>
      </rPr>
      <t xml:space="preserve">거래 자금유출입 </t>
    </r>
    <r>
      <rPr>
        <sz val="9"/>
        <rFont val="Arial"/>
        <family val="0"/>
        <charset val="1"/>
      </rPr>
      <t xml:space="preserve">= </t>
    </r>
    <r>
      <rPr>
        <sz val="9"/>
        <rFont val="Noto Sans CJK SC"/>
        <family val="2"/>
      </rPr>
      <t xml:space="preserve">당일 마감액 − 전일자 마감액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당발송금 − 타발송금 − 콜머니</t>
    </r>
  </si>
  <si>
    <t xml:space="preserve">※ 노란색 칸(전일자 마감액·콜머니·당일 마감액)에 값을 입력하면 FX거래 자금유출입이 자동 계산됩니다. (콜머니 없는 날은 비워두면 0으로 처리)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</si>
</sst>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FF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FFF2CC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3"/>
    <col collapsed="false" customWidth="true" hidden="false" outlineLevel="0" max="5" min="3" style="1" width="12"/>
    <col collapsed="false" customWidth="true" hidden="false" outlineLevel="0" max="6" min="6" style="1" width="11"/>
    <col collapsed="false" customWidth="true" hidden="false" outlineLevel="0" max="8" min="7" style="1" width="13"/>
  </cols>
  <sheetData>
    <row r="1" customFormat="false" ht="18.75" hidden="false" customHeight="true" outlineLevel="0" collapsed="false">
      <c r="A1" s="2" t="s">
        <v>0</v>
      </c>
      <c r="H1" s="3" t="s">
        <v>1</v>
      </c>
    </row>
    <row r="3" customFormat="false" ht="36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6" t="s">
        <v>9</v>
      </c>
    </row>
    <row r="4" customFormat="false" ht="15" hidden="false" customHeight="true" outlineLevel="0" collapsed="false">
      <c r="A4" s="7" t="s">
        <v>10</v>
      </c>
      <c r="B4" s="8"/>
      <c r="C4" s="9" t="n">
        <v>8.21</v>
      </c>
      <c r="D4" s="9" t="n">
        <v>18.13</v>
      </c>
      <c r="E4" s="9" t="str">
        <f aca="false">IF(OR(B4="",G4=""),"",G4-B4+C4-D4-F4)</f>
        <v/>
      </c>
      <c r="F4" s="8"/>
      <c r="G4" s="8"/>
      <c r="H4" s="10"/>
    </row>
    <row r="5" customFormat="false" ht="15" hidden="false" customHeight="true" outlineLevel="0" collapsed="false">
      <c r="A5" s="7" t="s">
        <v>11</v>
      </c>
      <c r="B5" s="8"/>
      <c r="C5" s="9" t="n">
        <v>24.81</v>
      </c>
      <c r="D5" s="9" t="n">
        <v>28.15</v>
      </c>
      <c r="E5" s="9" t="str">
        <f aca="false">IF(OR(B5="",G5=""),"",G5-B5+C5-D5-F5)</f>
        <v/>
      </c>
      <c r="F5" s="8"/>
      <c r="G5" s="8"/>
      <c r="H5" s="10"/>
    </row>
    <row r="6" customFormat="false" ht="15" hidden="false" customHeight="true" outlineLevel="0" collapsed="false">
      <c r="A6" s="7" t="s">
        <v>12</v>
      </c>
      <c r="B6" s="8"/>
      <c r="C6" s="9" t="n">
        <v>29.03</v>
      </c>
      <c r="D6" s="9" t="n">
        <v>27.93</v>
      </c>
      <c r="E6" s="9" t="str">
        <f aca="false">IF(OR(B6="",G6=""),"",G6-B6+C6-D6-F6)</f>
        <v/>
      </c>
      <c r="F6" s="8"/>
      <c r="G6" s="8"/>
      <c r="H6" s="10"/>
    </row>
    <row r="7" customFormat="false" ht="15" hidden="false" customHeight="true" outlineLevel="0" collapsed="false">
      <c r="A7" s="7" t="s">
        <v>13</v>
      </c>
      <c r="B7" s="8"/>
      <c r="C7" s="9" t="n">
        <v>15.1</v>
      </c>
      <c r="D7" s="9" t="n">
        <v>24.52</v>
      </c>
      <c r="E7" s="9" t="str">
        <f aca="false">IF(OR(B7="",G7=""),"",G7-B7+C7-D7-F7)</f>
        <v/>
      </c>
      <c r="F7" s="8"/>
      <c r="G7" s="8"/>
      <c r="H7" s="10"/>
    </row>
    <row r="8" customFormat="false" ht="15" hidden="false" customHeight="true" outlineLevel="0" collapsed="false">
      <c r="A8" s="7" t="s">
        <v>14</v>
      </c>
      <c r="B8" s="8"/>
      <c r="C8" s="9" t="n">
        <v>14.7</v>
      </c>
      <c r="D8" s="9" t="n">
        <v>16.65</v>
      </c>
      <c r="E8" s="9" t="str">
        <f aca="false">IF(OR(B8="",G8=""),"",G8-B8+C8-D8-F8)</f>
        <v/>
      </c>
      <c r="F8" s="8"/>
      <c r="G8" s="8"/>
      <c r="H8" s="10"/>
    </row>
    <row r="9" customFormat="false" ht="15" hidden="false" customHeight="true" outlineLevel="0" collapsed="false">
      <c r="A9" s="7" t="s">
        <v>15</v>
      </c>
      <c r="B9" s="8"/>
      <c r="C9" s="9" t="n">
        <v>17.59</v>
      </c>
      <c r="D9" s="9" t="n">
        <v>24.55</v>
      </c>
      <c r="E9" s="9" t="str">
        <f aca="false">IF(OR(B9="",G9=""),"",G9-B9+C9-D9-F9)</f>
        <v/>
      </c>
      <c r="F9" s="8"/>
      <c r="G9" s="8"/>
      <c r="H9" s="10"/>
    </row>
    <row r="10" customFormat="false" ht="15" hidden="false" customHeight="true" outlineLevel="0" collapsed="false">
      <c r="A10" s="7" t="s">
        <v>16</v>
      </c>
      <c r="B10" s="8"/>
      <c r="C10" s="9" t="n">
        <v>10.21</v>
      </c>
      <c r="D10" s="9" t="n">
        <v>13.9</v>
      </c>
      <c r="E10" s="9" t="str">
        <f aca="false">IF(OR(B10="",G10=""),"",G10-B10+C10-D10-F10)</f>
        <v/>
      </c>
      <c r="F10" s="8"/>
      <c r="G10" s="8"/>
      <c r="H10" s="10"/>
    </row>
    <row r="11" customFormat="false" ht="15" hidden="false" customHeight="true" outlineLevel="0" collapsed="false">
      <c r="A11" s="7" t="s">
        <v>17</v>
      </c>
      <c r="B11" s="8"/>
      <c r="C11" s="9" t="n">
        <v>15.48</v>
      </c>
      <c r="D11" s="9" t="n">
        <v>51.75</v>
      </c>
      <c r="E11" s="9" t="str">
        <f aca="false">IF(OR(B11="",G11=""),"",G11-B11+C11-D11-F11)</f>
        <v/>
      </c>
      <c r="F11" s="8"/>
      <c r="G11" s="8"/>
      <c r="H11" s="10"/>
    </row>
    <row r="12" customFormat="false" ht="15" hidden="false" customHeight="true" outlineLevel="0" collapsed="false">
      <c r="A12" s="7" t="s">
        <v>18</v>
      </c>
      <c r="B12" s="8"/>
      <c r="C12" s="9" t="n">
        <v>32.65</v>
      </c>
      <c r="D12" s="9" t="n">
        <v>46.1</v>
      </c>
      <c r="E12" s="9" t="str">
        <f aca="false">IF(OR(B12="",G12=""),"",G12-B12+C12-D12-F12)</f>
        <v/>
      </c>
      <c r="F12" s="8"/>
      <c r="G12" s="8"/>
      <c r="H12" s="10"/>
    </row>
    <row r="13" customFormat="false" ht="15" hidden="false" customHeight="true" outlineLevel="0" collapsed="false">
      <c r="A13" s="7" t="s">
        <v>19</v>
      </c>
      <c r="B13" s="8"/>
      <c r="C13" s="9" t="n">
        <v>27.31</v>
      </c>
      <c r="D13" s="9" t="n">
        <v>25.13</v>
      </c>
      <c r="E13" s="9" t="str">
        <f aca="false">IF(OR(B13="",G13=""),"",G13-B13+C13-D13-F13)</f>
        <v/>
      </c>
      <c r="F13" s="8"/>
      <c r="G13" s="8"/>
      <c r="H13" s="10"/>
    </row>
    <row r="14" customFormat="false" ht="15" hidden="false" customHeight="true" outlineLevel="0" collapsed="false">
      <c r="A14" s="7" t="s">
        <v>20</v>
      </c>
      <c r="B14" s="8"/>
      <c r="C14" s="9" t="n">
        <v>29.17</v>
      </c>
      <c r="D14" s="9" t="n">
        <v>16.44</v>
      </c>
      <c r="E14" s="9" t="str">
        <f aca="false">IF(OR(B14="",G14=""),"",G14-B14+C14-D14-F14)</f>
        <v/>
      </c>
      <c r="F14" s="8"/>
      <c r="G14" s="8"/>
      <c r="H14" s="10"/>
    </row>
    <row r="15" customFormat="false" ht="15" hidden="false" customHeight="true" outlineLevel="0" collapsed="false">
      <c r="A15" s="7" t="s">
        <v>21</v>
      </c>
      <c r="B15" s="8"/>
      <c r="C15" s="9" t="n">
        <v>23.14</v>
      </c>
      <c r="D15" s="9" t="n">
        <v>20.77</v>
      </c>
      <c r="E15" s="9" t="str">
        <f aca="false">IF(OR(B15="",G15=""),"",G15-B15+C15-D15-F15)</f>
        <v/>
      </c>
      <c r="F15" s="8"/>
      <c r="G15" s="8"/>
      <c r="H15" s="10"/>
    </row>
    <row r="16" customFormat="false" ht="15" hidden="false" customHeight="true" outlineLevel="0" collapsed="false">
      <c r="A16" s="7" t="s">
        <v>22</v>
      </c>
      <c r="B16" s="8"/>
      <c r="C16" s="9" t="n">
        <v>11.84</v>
      </c>
      <c r="D16" s="9" t="n">
        <v>40.43</v>
      </c>
      <c r="E16" s="9" t="str">
        <f aca="false">IF(OR(B16="",G16=""),"",G16-B16+C16-D16-F16)</f>
        <v/>
      </c>
      <c r="F16" s="8"/>
      <c r="G16" s="8"/>
      <c r="H16" s="10"/>
    </row>
    <row r="17" customFormat="false" ht="15" hidden="false" customHeight="true" outlineLevel="0" collapsed="false">
      <c r="A17" s="7" t="s">
        <v>23</v>
      </c>
      <c r="B17" s="8"/>
      <c r="C17" s="9" t="n">
        <v>29.18</v>
      </c>
      <c r="D17" s="9" t="n">
        <v>120.41</v>
      </c>
      <c r="E17" s="9" t="str">
        <f aca="false">IF(OR(B17="",G17=""),"",G17-B17+C17-D17-F17)</f>
        <v/>
      </c>
      <c r="F17" s="8"/>
      <c r="G17" s="8"/>
      <c r="H17" s="10"/>
    </row>
    <row r="18" customFormat="false" ht="15" hidden="false" customHeight="true" outlineLevel="0" collapsed="false">
      <c r="A18" s="7" t="s">
        <v>24</v>
      </c>
      <c r="B18" s="8"/>
      <c r="C18" s="9" t="n">
        <v>108.24</v>
      </c>
      <c r="D18" s="9" t="n">
        <v>37.7</v>
      </c>
      <c r="E18" s="9" t="str">
        <f aca="false">IF(OR(B18="",G18=""),"",G18-B18+C18-D18-F18)</f>
        <v/>
      </c>
      <c r="F18" s="8"/>
      <c r="G18" s="8"/>
      <c r="H18" s="10"/>
    </row>
    <row r="19" customFormat="false" ht="15" hidden="false" customHeight="true" outlineLevel="0" collapsed="false">
      <c r="A19" s="7" t="s">
        <v>25</v>
      </c>
      <c r="B19" s="8"/>
      <c r="C19" s="9" t="n">
        <v>119.08</v>
      </c>
      <c r="D19" s="9" t="n">
        <v>42.6</v>
      </c>
      <c r="E19" s="9" t="str">
        <f aca="false">IF(OR(B19="",G19=""),"",G19-B19+C19-D19-F19)</f>
        <v/>
      </c>
      <c r="F19" s="8"/>
      <c r="G19" s="8"/>
      <c r="H19" s="10"/>
    </row>
    <row r="20" customFormat="false" ht="15" hidden="false" customHeight="true" outlineLevel="0" collapsed="false">
      <c r="A20" s="7" t="s">
        <v>26</v>
      </c>
      <c r="B20" s="8"/>
      <c r="C20" s="9" t="n">
        <v>63.7</v>
      </c>
      <c r="D20" s="9" t="n">
        <v>8.3</v>
      </c>
      <c r="E20" s="9" t="str">
        <f aca="false">IF(OR(B20="",G20=""),"",G20-B20+C20-D20-F20)</f>
        <v/>
      </c>
      <c r="F20" s="8"/>
      <c r="G20" s="8"/>
      <c r="H20" s="10"/>
    </row>
    <row r="21" customFormat="false" ht="15" hidden="false" customHeight="true" outlineLevel="0" collapsed="false">
      <c r="A21" s="7" t="s">
        <v>27</v>
      </c>
      <c r="B21" s="8"/>
      <c r="C21" s="9" t="n">
        <v>40.66</v>
      </c>
      <c r="D21" s="9" t="n">
        <v>57.45</v>
      </c>
      <c r="E21" s="9" t="str">
        <f aca="false">IF(OR(B21="",G21=""),"",G21-B21+C21-D21-F21)</f>
        <v/>
      </c>
      <c r="F21" s="8"/>
      <c r="G21" s="8"/>
      <c r="H21" s="10"/>
    </row>
    <row r="22" customFormat="false" ht="15" hidden="false" customHeight="true" outlineLevel="0" collapsed="false">
      <c r="A22" s="4" t="s">
        <v>28</v>
      </c>
      <c r="B22" s="11" t="str">
        <f aca="false">IF(COUNT(B4:B21)=0,"",SUM(B4:B21))</f>
        <v/>
      </c>
      <c r="C22" s="11" t="n">
        <f aca="false">SUM(C4:C21)</f>
        <v>620.1</v>
      </c>
      <c r="D22" s="11" t="n">
        <f aca="false">SUM(D4:D21)</f>
        <v>620.91</v>
      </c>
      <c r="E22" s="11" t="str">
        <f aca="false">IF(COUNT(E4:E21)=0,"",SUM(E4:E21))</f>
        <v/>
      </c>
      <c r="F22" s="11" t="str">
        <f aca="false">IF(COUNT(F4:F21)=0,"",SUM(F4:F21))</f>
        <v/>
      </c>
      <c r="G22" s="11" t="str">
        <f aca="false">IF(COUNT(G4:G21)=0,"",SUM(G4:G21))</f>
        <v/>
      </c>
      <c r="H22" s="12" t="str">
        <f aca="false">IF(COUNT(H4:H21)=0,"",SUM(H4:H21))</f>
        <v/>
      </c>
    </row>
    <row r="24" customFormat="false" ht="15" hidden="false" customHeight="true" outlineLevel="0" collapsed="false">
      <c r="A24" s="13" t="s">
        <v>29</v>
      </c>
    </row>
    <row r="25" customFormat="false" ht="15" hidden="false" customHeight="true" outlineLevel="0" collapsed="false">
      <c r="A25" s="1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2026-06-10T00:03:47Z</dcterms:created>
  <dc:creator>openpyxl</dc:creator>
  <dc:description/>
  <dc:language>en-US</dc:language>
  <cp:lastModifiedBy/>
  <dcterms:modified xsi:type="dcterms:W3CDTF">2026-06-10T00:05:01Z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