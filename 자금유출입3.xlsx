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6" tabRatio="500"/>
  </bookViews>
  <sheets>
    <sheet name="5월 자금유출입" sheetId="1" r:id="rId1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/>
  <c r="H6"/>
  <c r="H7"/>
  <c r="H8"/>
  <c r="H9"/>
  <c r="H10"/>
  <c r="H11"/>
  <c r="H12"/>
  <c r="H13"/>
  <c r="H14"/>
  <c r="H15"/>
  <c r="H16"/>
  <c r="H17"/>
  <c r="H18"/>
  <c r="H19"/>
  <c r="H20"/>
  <c r="H21"/>
  <c r="H4"/>
  <c r="B6"/>
  <c r="B7"/>
  <c r="E7" s="1"/>
  <c r="B8"/>
  <c r="E8" s="1"/>
  <c r="B9"/>
  <c r="E9" s="1"/>
  <c r="B10"/>
  <c r="E10" s="1"/>
  <c r="B11"/>
  <c r="B12"/>
  <c r="B13"/>
  <c r="E13" s="1"/>
  <c r="B14"/>
  <c r="B15"/>
  <c r="B16"/>
  <c r="B17"/>
  <c r="E17" s="1"/>
  <c r="B18"/>
  <c r="B19"/>
  <c r="E19" s="1"/>
  <c r="B20"/>
  <c r="E20" s="1"/>
  <c r="B21"/>
  <c r="E21" s="1"/>
  <c r="B5"/>
  <c r="E5" s="1"/>
  <c r="E14"/>
  <c r="G22"/>
  <c r="F22"/>
  <c r="D22"/>
  <c r="C22"/>
  <c r="E18"/>
  <c r="E16"/>
  <c r="E15"/>
  <c r="E12"/>
  <c r="E11"/>
  <c r="E6"/>
  <c r="E4"/>
  <c r="H22" l="1"/>
  <c r="E22"/>
  <c r="B22"/>
</calcChain>
</file>

<file path=xl/sharedStrings.xml><?xml version="1.0" encoding="utf-8"?>
<sst xmlns="http://schemas.openxmlformats.org/spreadsheetml/2006/main" count="31" uniqueCount="31">
  <si>
    <r>
      <rPr>
        <b/>
        <sz val="12"/>
        <rFont val="Arial"/>
        <family val="2"/>
      </rPr>
      <t>[</t>
    </r>
    <r>
      <rPr>
        <b/>
        <sz val="12"/>
        <rFont val="Noto Sans CJK SC"/>
        <family val="2"/>
      </rPr>
      <t>참고</t>
    </r>
    <r>
      <rPr>
        <b/>
        <sz val="12"/>
        <rFont val="Arial"/>
        <family val="2"/>
      </rPr>
      <t>] 5</t>
    </r>
    <r>
      <rPr>
        <b/>
        <sz val="12"/>
        <rFont val="Noto Sans CJK SC"/>
        <family val="2"/>
      </rPr>
      <t>월 일별 자금유출입 현황</t>
    </r>
  </si>
  <si>
    <r>
      <rPr>
        <sz val="9"/>
        <rFont val="Arial"/>
        <family val="2"/>
      </rPr>
      <t>(</t>
    </r>
    <r>
      <rPr>
        <sz val="9"/>
        <rFont val="Noto Sans CJK SC"/>
        <family val="2"/>
      </rPr>
      <t xml:space="preserve">단위 </t>
    </r>
    <r>
      <rPr>
        <sz val="9"/>
        <rFont val="Arial"/>
        <family val="2"/>
      </rPr>
      <t xml:space="preserve">: </t>
    </r>
    <r>
      <rPr>
        <sz val="9"/>
        <rFont val="Noto Sans CJK SC"/>
        <family val="2"/>
      </rPr>
      <t>백만불</t>
    </r>
    <r>
      <rPr>
        <sz val="9"/>
        <rFont val="Arial"/>
        <family val="2"/>
      </rPr>
      <t>)</t>
    </r>
  </si>
  <si>
    <t>일자</t>
  </si>
  <si>
    <t>전일자 마감액</t>
  </si>
  <si>
    <t>당발송금(-)</t>
  </si>
  <si>
    <t>타발송금(+)</t>
  </si>
  <si>
    <r>
      <rPr>
        <b/>
        <sz val="10"/>
        <rFont val="Arial"/>
        <family val="2"/>
      </rPr>
      <t>FX</t>
    </r>
    <r>
      <rPr>
        <b/>
        <sz val="10"/>
        <rFont val="Noto Sans CJK SC"/>
        <family val="2"/>
      </rPr>
      <t>거래
자금유출입</t>
    </r>
  </si>
  <si>
    <t>콜머니(+)</t>
  </si>
  <si>
    <t>당일 마감액</t>
  </si>
  <si>
    <t>콜머니제외
마감액</t>
  </si>
  <si>
    <t>05.04</t>
  </si>
  <si>
    <t>05.06</t>
  </si>
  <si>
    <t>05.07</t>
  </si>
  <si>
    <t>05.08</t>
  </si>
  <si>
    <t>05.11</t>
  </si>
  <si>
    <t>05.12</t>
  </si>
  <si>
    <t>05.13</t>
  </si>
  <si>
    <t>05.14</t>
  </si>
  <si>
    <t>05.15</t>
  </si>
  <si>
    <t>05.18</t>
  </si>
  <si>
    <t>05.19</t>
  </si>
  <si>
    <t>05.20</t>
  </si>
  <si>
    <t>05.21</t>
  </si>
  <si>
    <t>05.22</t>
  </si>
  <si>
    <t>05.26</t>
  </si>
  <si>
    <t>05.27</t>
  </si>
  <si>
    <t>05.28</t>
  </si>
  <si>
    <t>05.29</t>
  </si>
  <si>
    <t>합계</t>
  </si>
  <si>
    <r>
      <rPr>
        <sz val="9"/>
        <rFont val="Arial"/>
        <family val="2"/>
      </rPr>
      <t>※ FX</t>
    </r>
    <r>
      <rPr>
        <sz val="9"/>
        <rFont val="Noto Sans CJK SC"/>
        <family val="2"/>
      </rPr>
      <t xml:space="preserve">거래 자금유출입 </t>
    </r>
    <r>
      <rPr>
        <sz val="9"/>
        <rFont val="Arial"/>
        <family val="2"/>
      </rPr>
      <t xml:space="preserve">= </t>
    </r>
    <r>
      <rPr>
        <sz val="9"/>
        <rFont val="Noto Sans CJK SC"/>
        <family val="2"/>
      </rPr>
      <t xml:space="preserve">당일 마감액 − 전일자 마감액 </t>
    </r>
    <r>
      <rPr>
        <sz val="9"/>
        <rFont val="Arial"/>
        <family val="2"/>
      </rPr>
      <t xml:space="preserve">+ </t>
    </r>
    <r>
      <rPr>
        <sz val="9"/>
        <rFont val="Noto Sans CJK SC"/>
        <family val="2"/>
      </rPr>
      <t>당발송금 − 타발송금 − 콜머니</t>
    </r>
  </si>
  <si>
    <t>※ 노란색 칸(전일자 마감액·콜머니·당일 마감액)에 값을 입력하면 FX거래 자금유출입이 자동 계산됩니다. (콜머니 없는 날은 비워두면 0으로 처리)</t>
  </si>
</sst>
</file>

<file path=xl/styles.xml><?xml version="1.0" encoding="utf-8"?>
<styleSheet xmlns="http://schemas.openxmlformats.org/spreadsheetml/2006/main">
  <numFmts count="1">
    <numFmt numFmtId="176" formatCode="#,##0.00;\(#,##0.00\)"/>
  </numFmts>
  <fonts count="12"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2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0"/>
      <name val="Noto Sans CJK SC"/>
      <family val="2"/>
      <charset val="1"/>
    </font>
    <font>
      <b/>
      <sz val="10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0000FF"/>
      <name val="Noto Sans CJK SC"/>
      <family val="2"/>
      <charset val="1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176" fontId="8" fillId="0" borderId="3" xfId="0" applyNumberFormat="1" applyFont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6" fontId="6" fillId="3" borderId="4" xfId="0" applyNumberFormat="1" applyFont="1" applyFill="1" applyBorder="1" applyAlignment="1">
      <alignment horizontal="right" vertical="center"/>
    </xf>
    <xf numFmtId="0" fontId="3" fillId="0" borderId="0" xfId="0" applyFont="1" applyAlignment="1"/>
    <xf numFmtId="0" fontId="10" fillId="0" borderId="0" xfId="0" applyFont="1" applyAlignment="1"/>
    <xf numFmtId="176" fontId="9" fillId="5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zoomScaleNormal="100" workbookViewId="0">
      <selection activeCell="E20" sqref="E20"/>
    </sheetView>
  </sheetViews>
  <sheetFormatPr defaultColWidth="8.6640625" defaultRowHeight="14.4"/>
  <cols>
    <col min="1" max="1" width="9" style="1" customWidth="1"/>
    <col min="2" max="2" width="13" style="1" customWidth="1"/>
    <col min="3" max="5" width="12" style="1" customWidth="1"/>
    <col min="6" max="6" width="11" style="1" customWidth="1"/>
    <col min="7" max="8" width="13" style="1" customWidth="1"/>
  </cols>
  <sheetData>
    <row r="1" spans="1:8" ht="18.75" customHeight="1">
      <c r="A1" s="2" t="s">
        <v>0</v>
      </c>
      <c r="H1" s="3" t="s">
        <v>1</v>
      </c>
    </row>
    <row r="3" spans="1:8" ht="36" customHeight="1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6" t="s">
        <v>9</v>
      </c>
    </row>
    <row r="4" spans="1:8" ht="15" customHeight="1">
      <c r="A4" s="7" t="s">
        <v>10</v>
      </c>
      <c r="B4" s="15">
        <v>60.98</v>
      </c>
      <c r="C4" s="9">
        <v>8.2100000000000009</v>
      </c>
      <c r="D4" s="9">
        <v>18.13</v>
      </c>
      <c r="E4" s="9">
        <f t="shared" ref="E4:E21" si="0">IF(OR(B4="",G4=""),"",G4-B4+C4-D4-F4)</f>
        <v>-15.039999999999996</v>
      </c>
      <c r="F4" s="8"/>
      <c r="G4" s="15">
        <v>55.86</v>
      </c>
      <c r="H4" s="10">
        <f>G4-F4</f>
        <v>55.86</v>
      </c>
    </row>
    <row r="5" spans="1:8" ht="15" customHeight="1">
      <c r="A5" s="7" t="s">
        <v>11</v>
      </c>
      <c r="B5" s="15">
        <f>G4</f>
        <v>55.86</v>
      </c>
      <c r="C5" s="9">
        <v>24.81</v>
      </c>
      <c r="D5" s="9">
        <v>28.15</v>
      </c>
      <c r="E5" s="9">
        <f t="shared" si="0"/>
        <v>-1.6900000000000013</v>
      </c>
      <c r="F5" s="8"/>
      <c r="G5" s="15">
        <v>57.51</v>
      </c>
      <c r="H5" s="10">
        <f t="shared" ref="H5:H21" si="1">G5-F5</f>
        <v>57.51</v>
      </c>
    </row>
    <row r="6" spans="1:8" ht="15" customHeight="1">
      <c r="A6" s="7" t="s">
        <v>12</v>
      </c>
      <c r="B6" s="15">
        <f t="shared" ref="B6:B21" si="2">G5</f>
        <v>57.51</v>
      </c>
      <c r="C6" s="9">
        <v>29.03</v>
      </c>
      <c r="D6" s="9">
        <v>27.93</v>
      </c>
      <c r="E6" s="9">
        <f t="shared" si="0"/>
        <v>-39.549999999999997</v>
      </c>
      <c r="F6" s="8">
        <v>10</v>
      </c>
      <c r="G6" s="15">
        <v>26.86</v>
      </c>
      <c r="H6" s="10">
        <f t="shared" si="1"/>
        <v>16.86</v>
      </c>
    </row>
    <row r="7" spans="1:8" ht="15" customHeight="1">
      <c r="A7" s="7" t="s">
        <v>13</v>
      </c>
      <c r="B7" s="15">
        <f t="shared" si="2"/>
        <v>26.86</v>
      </c>
      <c r="C7" s="9">
        <v>15.1</v>
      </c>
      <c r="D7" s="9">
        <v>24.52</v>
      </c>
      <c r="E7" s="9">
        <f t="shared" si="0"/>
        <v>11.240000000000006</v>
      </c>
      <c r="F7" s="8"/>
      <c r="G7" s="15">
        <v>47.52</v>
      </c>
      <c r="H7" s="10">
        <f t="shared" si="1"/>
        <v>47.52</v>
      </c>
    </row>
    <row r="8" spans="1:8" ht="15" customHeight="1">
      <c r="A8" s="7" t="s">
        <v>14</v>
      </c>
      <c r="B8" s="15">
        <f t="shared" si="2"/>
        <v>47.52</v>
      </c>
      <c r="C8" s="9">
        <v>14.7</v>
      </c>
      <c r="D8" s="9">
        <v>16.649999999999999</v>
      </c>
      <c r="E8" s="9">
        <f t="shared" si="0"/>
        <v>-31.860000000000003</v>
      </c>
      <c r="F8" s="8"/>
      <c r="G8" s="15">
        <v>17.61</v>
      </c>
      <c r="H8" s="10">
        <f t="shared" si="1"/>
        <v>17.61</v>
      </c>
    </row>
    <row r="9" spans="1:8" ht="15" customHeight="1">
      <c r="A9" s="7" t="s">
        <v>15</v>
      </c>
      <c r="B9" s="15">
        <f t="shared" si="2"/>
        <v>17.61</v>
      </c>
      <c r="C9" s="9">
        <v>17.59</v>
      </c>
      <c r="D9" s="9">
        <v>24.55</v>
      </c>
      <c r="E9" s="9">
        <f t="shared" si="0"/>
        <v>-5.52</v>
      </c>
      <c r="F9" s="8">
        <v>10</v>
      </c>
      <c r="G9" s="15">
        <v>29.05</v>
      </c>
      <c r="H9" s="10">
        <f t="shared" si="1"/>
        <v>19.05</v>
      </c>
    </row>
    <row r="10" spans="1:8" ht="15" customHeight="1">
      <c r="A10" s="7" t="s">
        <v>16</v>
      </c>
      <c r="B10" s="15">
        <f t="shared" si="2"/>
        <v>29.05</v>
      </c>
      <c r="C10" s="9">
        <v>10.210000000000001</v>
      </c>
      <c r="D10" s="9">
        <v>13.9</v>
      </c>
      <c r="E10" s="9">
        <f t="shared" si="0"/>
        <v>-15.160000000000002</v>
      </c>
      <c r="F10" s="8">
        <v>20</v>
      </c>
      <c r="G10" s="15">
        <v>37.58</v>
      </c>
      <c r="H10" s="10">
        <f t="shared" si="1"/>
        <v>17.579999999999998</v>
      </c>
    </row>
    <row r="11" spans="1:8" ht="15" customHeight="1">
      <c r="A11" s="7" t="s">
        <v>17</v>
      </c>
      <c r="B11" s="15">
        <f t="shared" si="2"/>
        <v>37.58</v>
      </c>
      <c r="C11" s="9">
        <v>15.48</v>
      </c>
      <c r="D11" s="9">
        <v>51.75</v>
      </c>
      <c r="E11" s="9">
        <f t="shared" si="0"/>
        <v>-12.399999999999991</v>
      </c>
      <c r="F11" s="8"/>
      <c r="G11" s="15">
        <v>61.45</v>
      </c>
      <c r="H11" s="10">
        <f t="shared" si="1"/>
        <v>61.45</v>
      </c>
    </row>
    <row r="12" spans="1:8" ht="15" customHeight="1">
      <c r="A12" s="7" t="s">
        <v>18</v>
      </c>
      <c r="B12" s="15">
        <f t="shared" si="2"/>
        <v>61.45</v>
      </c>
      <c r="C12" s="9">
        <v>32.65</v>
      </c>
      <c r="D12" s="9">
        <v>46.1</v>
      </c>
      <c r="E12" s="9">
        <f t="shared" si="0"/>
        <v>-34.180000000000007</v>
      </c>
      <c r="F12" s="8"/>
      <c r="G12" s="15">
        <v>40.72</v>
      </c>
      <c r="H12" s="10">
        <f t="shared" si="1"/>
        <v>40.72</v>
      </c>
    </row>
    <row r="13" spans="1:8" ht="15" customHeight="1">
      <c r="A13" s="7" t="s">
        <v>19</v>
      </c>
      <c r="B13" s="15">
        <f t="shared" si="2"/>
        <v>40.72</v>
      </c>
      <c r="C13" s="9">
        <v>27.31</v>
      </c>
      <c r="D13" s="9">
        <v>25.13</v>
      </c>
      <c r="E13" s="9">
        <f t="shared" si="0"/>
        <v>-2.6499999999999986</v>
      </c>
      <c r="F13" s="8"/>
      <c r="G13" s="15">
        <v>35.89</v>
      </c>
      <c r="H13" s="10">
        <f t="shared" si="1"/>
        <v>35.89</v>
      </c>
    </row>
    <row r="14" spans="1:8" ht="15" customHeight="1">
      <c r="A14" s="7" t="s">
        <v>20</v>
      </c>
      <c r="B14" s="15">
        <f t="shared" si="2"/>
        <v>35.89</v>
      </c>
      <c r="C14" s="9">
        <v>29.17</v>
      </c>
      <c r="D14" s="9">
        <v>16.440000000000001</v>
      </c>
      <c r="E14" s="9">
        <f t="shared" si="0"/>
        <v>-2.3500000000000014</v>
      </c>
      <c r="F14" s="8"/>
      <c r="G14" s="15">
        <v>20.81</v>
      </c>
      <c r="H14" s="10">
        <f t="shared" si="1"/>
        <v>20.81</v>
      </c>
    </row>
    <row r="15" spans="1:8" ht="15" customHeight="1">
      <c r="A15" s="7" t="s">
        <v>21</v>
      </c>
      <c r="B15" s="15">
        <f t="shared" si="2"/>
        <v>20.81</v>
      </c>
      <c r="C15" s="9">
        <v>23.14</v>
      </c>
      <c r="D15" s="9">
        <v>20.77</v>
      </c>
      <c r="E15" s="9">
        <f t="shared" si="0"/>
        <v>-24.819999999999997</v>
      </c>
      <c r="F15" s="8">
        <v>40</v>
      </c>
      <c r="G15" s="15">
        <v>33.619999999999997</v>
      </c>
      <c r="H15" s="10">
        <f t="shared" si="1"/>
        <v>-6.3800000000000026</v>
      </c>
    </row>
    <row r="16" spans="1:8" ht="15" customHeight="1">
      <c r="A16" s="7" t="s">
        <v>22</v>
      </c>
      <c r="B16" s="15">
        <f t="shared" si="2"/>
        <v>33.619999999999997</v>
      </c>
      <c r="C16" s="9">
        <v>11.84</v>
      </c>
      <c r="D16" s="9">
        <v>40.43</v>
      </c>
      <c r="E16" s="9">
        <f t="shared" si="0"/>
        <v>-9.0599999999999987</v>
      </c>
      <c r="F16" s="8"/>
      <c r="G16" s="15">
        <v>53.15</v>
      </c>
      <c r="H16" s="10">
        <f t="shared" si="1"/>
        <v>53.15</v>
      </c>
    </row>
    <row r="17" spans="1:8" ht="15" customHeight="1">
      <c r="A17" s="7" t="s">
        <v>23</v>
      </c>
      <c r="B17" s="15">
        <f t="shared" si="2"/>
        <v>53.15</v>
      </c>
      <c r="C17" s="9">
        <v>29.18</v>
      </c>
      <c r="D17" s="9">
        <v>120.41</v>
      </c>
      <c r="E17" s="9">
        <f t="shared" si="0"/>
        <v>-107.72</v>
      </c>
      <c r="F17" s="8"/>
      <c r="G17" s="15">
        <v>36.659999999999997</v>
      </c>
      <c r="H17" s="10">
        <f t="shared" si="1"/>
        <v>36.659999999999997</v>
      </c>
    </row>
    <row r="18" spans="1:8" ht="15" customHeight="1">
      <c r="A18" s="7" t="s">
        <v>24</v>
      </c>
      <c r="B18" s="15">
        <f t="shared" si="2"/>
        <v>36.659999999999997</v>
      </c>
      <c r="C18" s="9">
        <v>108.24</v>
      </c>
      <c r="D18" s="9">
        <v>37.700000000000003</v>
      </c>
      <c r="E18" s="9">
        <f t="shared" si="0"/>
        <v>77.589999999999989</v>
      </c>
      <c r="F18" s="8"/>
      <c r="G18" s="15">
        <v>43.71</v>
      </c>
      <c r="H18" s="10">
        <f t="shared" si="1"/>
        <v>43.71</v>
      </c>
    </row>
    <row r="19" spans="1:8" ht="15" customHeight="1">
      <c r="A19" s="7" t="s">
        <v>25</v>
      </c>
      <c r="B19" s="15">
        <f t="shared" si="2"/>
        <v>43.71</v>
      </c>
      <c r="C19" s="9">
        <v>119.08</v>
      </c>
      <c r="D19" s="9">
        <v>42.6</v>
      </c>
      <c r="E19" s="9">
        <f t="shared" si="0"/>
        <v>-10.190000000000005</v>
      </c>
      <c r="F19" s="8">
        <v>60</v>
      </c>
      <c r="G19" s="15">
        <v>17.04</v>
      </c>
      <c r="H19" s="10">
        <f t="shared" si="1"/>
        <v>-42.96</v>
      </c>
    </row>
    <row r="20" spans="1:8" ht="15" customHeight="1">
      <c r="A20" s="7" t="s">
        <v>26</v>
      </c>
      <c r="B20" s="15">
        <f t="shared" si="2"/>
        <v>17.04</v>
      </c>
      <c r="C20" s="9">
        <v>63.7</v>
      </c>
      <c r="D20" s="9">
        <v>8.3000000000000007</v>
      </c>
      <c r="E20" s="9">
        <f t="shared" si="0"/>
        <v>2.710000000000008</v>
      </c>
      <c r="F20" s="8">
        <v>90</v>
      </c>
      <c r="G20" s="15">
        <v>54.35</v>
      </c>
      <c r="H20" s="10">
        <f t="shared" si="1"/>
        <v>-35.65</v>
      </c>
    </row>
    <row r="21" spans="1:8" ht="15" customHeight="1">
      <c r="A21" s="7" t="s">
        <v>27</v>
      </c>
      <c r="B21" s="15">
        <f t="shared" si="2"/>
        <v>54.35</v>
      </c>
      <c r="C21" s="9">
        <v>40.659999999999997</v>
      </c>
      <c r="D21" s="9">
        <v>57.45</v>
      </c>
      <c r="E21" s="9">
        <f t="shared" si="0"/>
        <v>18.510000000000005</v>
      </c>
      <c r="F21" s="8"/>
      <c r="G21" s="15">
        <v>89.65</v>
      </c>
      <c r="H21" s="10">
        <f t="shared" si="1"/>
        <v>89.65</v>
      </c>
    </row>
    <row r="22" spans="1:8" ht="15" customHeight="1">
      <c r="A22" s="4" t="s">
        <v>28</v>
      </c>
      <c r="B22" s="11">
        <f>IF(COUNT(B4:B21)=0,"",SUM(B4:B21))</f>
        <v>730.36999999999989</v>
      </c>
      <c r="C22" s="11">
        <f>SUM(C4:C21)</f>
        <v>620.1</v>
      </c>
      <c r="D22" s="11">
        <f>SUM(D4:D21)</f>
        <v>620.91000000000008</v>
      </c>
      <c r="E22" s="11">
        <f>IF(COUNT(E4:E21)=0,"",SUM(E4:E21))</f>
        <v>-202.14</v>
      </c>
      <c r="F22" s="11">
        <f>IF(COUNT(F4:F21)=0,"",SUM(F4:F21))</f>
        <v>230</v>
      </c>
      <c r="G22" s="11">
        <f>IF(COUNT(G4:G21)=0,"",SUM(G4:G21))</f>
        <v>759.04</v>
      </c>
      <c r="H22" s="12">
        <f>IF(COUNT(H4:H21)=0,"",SUM(H4:H21))</f>
        <v>529.04000000000008</v>
      </c>
    </row>
    <row r="24" spans="1:8" ht="15" customHeight="1">
      <c r="A24" s="13" t="s">
        <v>29</v>
      </c>
    </row>
    <row r="25" spans="1:8" ht="15" customHeight="1">
      <c r="A25" s="14" t="s">
        <v>30</v>
      </c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 자금유출입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2170480</cp:lastModifiedBy>
  <cp:revision>0</cp:revision>
  <dcterms:created xsi:type="dcterms:W3CDTF">2026-06-10T00:03:47Z</dcterms:created>
  <dcterms:modified xsi:type="dcterms:W3CDTF">2026-06-10T00:07:24Z</dcterms:modified>
  <dc:language>en-US</dc:language>
</cp:coreProperties>
</file>